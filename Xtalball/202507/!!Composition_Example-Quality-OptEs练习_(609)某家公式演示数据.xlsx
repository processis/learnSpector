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defaultThemeVersion="124226"/>
  <mc:AlternateContent xmlns:mc="http://schemas.openxmlformats.org/markup-compatibility/2006">
    <mc:Choice Requires="x15">
      <x15ac:absPath xmlns:x15ac="http://schemas.microsoft.com/office/spreadsheetml/2010/11/ac" url="E:\GZNR\2025\三月\"/>
    </mc:Choice>
  </mc:AlternateContent>
  <xr:revisionPtr revIDLastSave="0" documentId="13_ncr:1_{A47F9E48-957C-4EBA-96D8-4DD8ED8CBE26}" xr6:coauthVersionLast="47" xr6:coauthVersionMax="47" xr10:uidLastSave="{00000000-0000-0000-0000-000000000000}"/>
  <bookViews>
    <workbookView xWindow="-120" yWindow="-120" windowWidth="24240" windowHeight="15000" tabRatio="546" firstSheet="1" activeTab="3" xr2:uid="{00000000-000D-0000-FFFF-FFFF00000000}"/>
  </bookViews>
  <sheets>
    <sheet name="CB_DATA_" sheetId="4" state="hidden" r:id="rId1"/>
    <sheet name="Units of measure" sheetId="5" r:id="rId2"/>
    <sheet name="Process Description" sheetId="6" r:id="rId3"/>
    <sheet name="Model" sheetId="1" r:id="rId4"/>
    <sheet name="Sheet2" sheetId="2" r:id="rId5"/>
    <sheet name="Sheet3" sheetId="3" r:id="rId6"/>
  </sheets>
  <definedNames>
    <definedName name="AT_Decision" localSheetId="2">'Process Description'!#REF!</definedName>
    <definedName name="AT_Decision" localSheetId="1">'Units of measure'!#REF!</definedName>
    <definedName name="AT_Decision">Model!$T$47</definedName>
    <definedName name="CB_008b1fd305514201a8e5c1af1cd0babd" localSheetId="3" hidden="1">Model!$AH$4</definedName>
    <definedName name="CB_025b56d493fd4ea799ac7dfb71e20e1e" localSheetId="3" hidden="1">Model!$AH$49</definedName>
    <definedName name="CB_040cd8300434447d8dd1ec7f95ece8d5" localSheetId="3" hidden="1">Model!$AC$10</definedName>
    <definedName name="CB_06db507f81094d66bdf5492d31d2411a" localSheetId="3" hidden="1">Model!$Y$39</definedName>
    <definedName name="CB_0768dd12c9ba40478be5d368f9d87b29" localSheetId="3" hidden="1">Model!$AC$24</definedName>
    <definedName name="CB_0cace266cdb148eab939088d26aba984" localSheetId="3" hidden="1">Model!$AA$20</definedName>
    <definedName name="CB_0ce434d88c2d48cf87f2c97f5beb32fa" localSheetId="3" hidden="1">Model!$W$49</definedName>
    <definedName name="CB_0db9d16b69254e48a7a2aac00f3aa66e" localSheetId="3" hidden="1">Model!$U$57</definedName>
    <definedName name="CB_0dc9474e4a824b7fac490c5c4371585b" localSheetId="3" hidden="1">Model!$Y$50</definedName>
    <definedName name="CB_0de9fbf6b0c549b89e6bbfbbdf949c3b" localSheetId="3" hidden="1">Model!$U$64</definedName>
    <definedName name="CB_11880c3cf8dc4c36b30c12d27c9045f8" localSheetId="3" hidden="1">Model!$W$29</definedName>
    <definedName name="CB_1466b39f73d946c7b95d9237191b72e6" localSheetId="3" hidden="1">Model!$AH$4</definedName>
    <definedName name="CB_1466b39f73d946c7b95d9237191b72e6" localSheetId="2" hidden="1">'Process Description'!#REF!</definedName>
    <definedName name="CB_1466b39f73d946c7b95d9237191b72e6" localSheetId="1" hidden="1">'Units of measure'!#REF!</definedName>
    <definedName name="CB_147fabfe1fdc4d23a3f38d2fd4747f65" localSheetId="3" hidden="1">Model!$AH$40</definedName>
    <definedName name="CB_17b665573800456d987e3b39878925b0" localSheetId="3" hidden="1">Model!$W$9</definedName>
    <definedName name="CB_18a37914abc04f979eb8d18724398205" localSheetId="3" hidden="1">Model!$W$5</definedName>
    <definedName name="CB_1942403805214479b4c455f58c0ba6bc" localSheetId="3" hidden="1">Model!$AA$4</definedName>
    <definedName name="CB_1b2413801790478089d960a5f19b1f68" localSheetId="3" hidden="1">Model!$AH$29</definedName>
    <definedName name="CB_1b2da355cdae4e4e833ab6861ee125d8" localSheetId="3" hidden="1">Model!$Y$10</definedName>
    <definedName name="CB_1bd6c710c1f84e6caf49bf137d4e6992" localSheetId="3" hidden="1">Model!$W$44</definedName>
    <definedName name="CB_1cfe51afdbf942f698209e1c4819bac4" localSheetId="3" hidden="1">Model!$T$12</definedName>
    <definedName name="CB_1ea458101bbe49ad908733a0c03ce199" localSheetId="3" hidden="1">Model!$T$47</definedName>
    <definedName name="CB_20faf180b763439cac278195c318d946" localSheetId="3" hidden="1">Model!$Y$30</definedName>
    <definedName name="CB_21077b3e51b2467fb8ec8fe7ecd736ce" localSheetId="3" hidden="1">Model!$Y$19</definedName>
    <definedName name="CB_21bf52b0e609426ab63cad690a186d52" localSheetId="3" hidden="1">Model!$Y$44</definedName>
    <definedName name="CB_223226d259f143838a7003f2801f0def" localSheetId="3" hidden="1">Model!$U$62</definedName>
    <definedName name="CB_23809f73826c45b499b12f0c3a764119" localSheetId="3" hidden="1">Model!$Y$40</definedName>
    <definedName name="CB_249467d4fa4640fea1acbc8d2344feda" localSheetId="3" hidden="1">Model!$AA$30</definedName>
    <definedName name="CB_2553f5c4744d46668592269d51c7b654" localSheetId="3" hidden="1">Model!$Y$14</definedName>
    <definedName name="CB_292298a6b8a549be8bedfae66acd84bf" localSheetId="3" hidden="1">Model!$Y$9</definedName>
    <definedName name="CB_299fecff45db4cd9bb2212ee622705fa" localSheetId="3" hidden="1">Model!$AC$9</definedName>
    <definedName name="CB_2c6a161b16f9414c99b7197ce17ecebc" localSheetId="3" hidden="1">Model!$W$25</definedName>
    <definedName name="CB_2f8c2fb87abd4717af0cc2afc59b798e" localSheetId="3" hidden="1">Model!$T$22</definedName>
    <definedName name="CB_30a30c5003c94a1384236766afff8797" localSheetId="3" hidden="1">Model!$W$45</definedName>
    <definedName name="CB_3106663aa42346428431275779c88301" localSheetId="3" hidden="1">Model!$AH$14</definedName>
    <definedName name="CB_32c1351867bd4c0cafda42eea9a10979" localSheetId="3" hidden="1">Model!$D$58</definedName>
    <definedName name="CB_32f72c4e28b246a58fd10f4618c7444d" localSheetId="3" hidden="1">Model!$AH$45</definedName>
    <definedName name="CB_332c9587f46948a2b3e20585ab9fecca" localSheetId="3" hidden="1">Model!$AC$20</definedName>
    <definedName name="CB_3682339f75554c6d83918ff1b4c0e206" localSheetId="3" hidden="1">Model!$AH$39</definedName>
    <definedName name="CB_3a2c7444760e48d0a6c0d6fec96cf5b8" localSheetId="3" hidden="1">Model!$AA$9</definedName>
    <definedName name="CB_3c3c4bdc06504408b0cfd487779077d3" localSheetId="3" hidden="1">Model!$Y$5</definedName>
    <definedName name="CB_3c999cbb627648a4a023470095976a25" localSheetId="3" hidden="1">Model!$W$24</definedName>
    <definedName name="CB_3d7c01548b374cdabd13681cbce92f75" localSheetId="3" hidden="1">Model!$AH$44</definedName>
    <definedName name="CB_41376f0e21884e33b1e6a09d19efe2dd" localSheetId="3" hidden="1">Model!$W$4</definedName>
    <definedName name="CB_5209fe41fc6f483f81458216e816fb3b" localSheetId="3" hidden="1">Model!$AH$20</definedName>
    <definedName name="CB_52b3346623584352a9404ef787170f94" localSheetId="3" hidden="1">Model!$W$20</definedName>
    <definedName name="CB_530c3f9ef11d42bf97ce6678c28c30c7" localSheetId="3" hidden="1">Model!$AA$50</definedName>
    <definedName name="CB_5fd0fb456b78407e9f45b6074e752a89" localSheetId="3" hidden="1">Model!$AA$24</definedName>
    <definedName name="CB_5fe91c1c31cc40e186edcc65db5a790e" localSheetId="3" hidden="1">Model!$AH$19</definedName>
    <definedName name="CB_60f75a16e0c54150b5da2b84480f69cb" localSheetId="3" hidden="1">Model!$AH$9</definedName>
    <definedName name="CB_61d9413727f94b40ab1bb8483b8df48c" localSheetId="3" hidden="1">Model!$W$19</definedName>
    <definedName name="CB_65bd5280107648e7a0207335980a21c6" localSheetId="3" hidden="1">Model!$W$10</definedName>
    <definedName name="CB_65ce67fef3cc4ebba6e026699fadc325" localSheetId="3" hidden="1">Model!$U$55</definedName>
    <definedName name="CB_672f50cc63f94fdfbd9cc573d9e51c1c" localSheetId="3" hidden="1">Model!$Y$35</definedName>
    <definedName name="CB_6acfaa8d33dc490294abe7fd055f2726" localSheetId="3" hidden="1">Model!$AH$10</definedName>
    <definedName name="CB_6b9fc9f5303c48f785ab232703bcd2ff" localSheetId="3" hidden="1">Model!$AH$24</definedName>
    <definedName name="CB_6fe49d68241e48e9a36bc5f712809176" localSheetId="3" hidden="1">Model!$U$74</definedName>
    <definedName name="CB_70d264c0436046ef97b2881e1362f89a" localSheetId="3" hidden="1">Model!$U$60</definedName>
    <definedName name="CB_728ec9c388ca4ad89771987dcf6aee34" localSheetId="3" hidden="1">Model!$Y$15</definedName>
    <definedName name="CB_729c4ef3f8364cca8e4681402e7dc2d2" localSheetId="3" hidden="1">Model!$W$15</definedName>
    <definedName name="CB_7bc011fa15954e44a576576d7b7df41d" localSheetId="3" hidden="1">Model!$U$68</definedName>
    <definedName name="CB_7c506b580a1c4876b520da9e57837189" localSheetId="3" hidden="1">Model!$W$34</definedName>
    <definedName name="CB_7ddf164c2c414615845722a089cdc117" localSheetId="3" hidden="1">Model!$AA$5</definedName>
    <definedName name="CB_80964666865948c0824e71102d82a577" localSheetId="3" hidden="1">Model!$U$53</definedName>
    <definedName name="CB_8251ef9ce92d4afba31d0b7aec1ec9e9" localSheetId="3" hidden="1">Model!$AA$40</definedName>
    <definedName name="CB_84214266b836489a9758fe87f3e9a961" localSheetId="0" hidden="1">#N/A</definedName>
    <definedName name="CB_84946ec9e5fd416fb8b71b77c57df2c9" localSheetId="3" hidden="1">Model!$AA$34</definedName>
    <definedName name="CB_864ce18db2b9479294d951773d162caa" localSheetId="3" hidden="1">Model!$AA$45</definedName>
    <definedName name="CB_866cb6c7361846b4bba2b8f8f7982899" localSheetId="3" hidden="1">Model!$T$17</definedName>
    <definedName name="CB_8a77b8cb9e5f4e2eb2868a32213256b4" localSheetId="3" hidden="1">Model!$W$40</definedName>
    <definedName name="CB_8bc3d642d1d94fb5bcbab520a7d58559" localSheetId="3" hidden="1">Model!$AC$29</definedName>
    <definedName name="CB_8c7f34c1e9204bc6a9a8c88342b4a72c" localSheetId="0" hidden="1">#N/A</definedName>
    <definedName name="CB_911a1771b298424db14c7cb7fb985090" localSheetId="3" hidden="1">Model!$AH$34</definedName>
    <definedName name="CB_916fae0fe58a4bb3b7a68c3119670c09" localSheetId="3" hidden="1">Model!$W$39</definedName>
    <definedName name="CB_96cdb40350ff454b94b969b0f31dfd59" localSheetId="3" hidden="1">Model!$AA$10</definedName>
    <definedName name="CB_96d69b736b254c0db34c0d68d9c19bc0" localSheetId="3" hidden="1">Model!$Y$49</definedName>
    <definedName name="CB_98e844b7be9e4e2ea7c63cf3f5e2eca9" localSheetId="3" hidden="1">Model!$AC$19</definedName>
    <definedName name="CB_9e4c2c299c364f1a9c2ccf14ed8d9402" localSheetId="3" hidden="1">Model!$AC$34</definedName>
    <definedName name="CB_9f52c939e671425485d1c159cbcfbe35" localSheetId="3" hidden="1">Model!$AA$19</definedName>
    <definedName name="CB_9f550ba96f004a809dd2d98ca32508b7" localSheetId="3" hidden="1">Model!$U$72</definedName>
    <definedName name="CB_a0004ed50af84159aea20c7be314b61d" localSheetId="3" hidden="1">Model!$AA$39</definedName>
    <definedName name="CB_a57b8915d4b34aa3a31e8db25cc721a4" localSheetId="3" hidden="1">Model!$AH$35</definedName>
    <definedName name="CB_a60bd68c30014ff19fa729253e860efc" localSheetId="3" hidden="1">Model!$T$7</definedName>
    <definedName name="CB_a82ad252f02945b9b0751bb7be111ea8" localSheetId="3" hidden="1">Model!$Y$29</definedName>
    <definedName name="CB_aabdeadfc41c4abb8ae3cb95b2a75f0b" localSheetId="3" hidden="1">Model!$AA$35</definedName>
    <definedName name="CB_abd459469c4b43d29e94be7c5b51dbc1" localSheetId="3" hidden="1">Model!$AA$25</definedName>
    <definedName name="CB_aee4f0696f884ae4a8850dffe660eaf8" localSheetId="3" hidden="1">Model!$AC$35</definedName>
    <definedName name="CB_b1cde6744f75483cb8959832d8e67e02" localSheetId="3" hidden="1">Model!$AH$30</definedName>
    <definedName name="CB_b4ba4dc8a2384fffb82d392904d39693" localSheetId="3" hidden="1">Model!$T$27</definedName>
    <definedName name="CB_b703c8455b1e4a1f80412e5641570b85" localSheetId="3" hidden="1">Model!$W$35</definedName>
    <definedName name="CB_b7c66788f9c14aa199283ba015c4e826" localSheetId="3" hidden="1">Model!$Y$20</definedName>
    <definedName name="CB_b8b0ccd73dfc47b9a33990b028f16f7f" localSheetId="3" hidden="1">Model!$AA$49</definedName>
    <definedName name="CB_b93f11a6a38144bba2cdbcab47f3f7bf" localSheetId="3" hidden="1">Model!$AA$44</definedName>
    <definedName name="CB_bb3558686b464d8eb1f2effc266bb024" localSheetId="3" hidden="1">Model!$AC$25</definedName>
    <definedName name="CB_bbc60f6a125f4ad983891983b779a2bd" localSheetId="0" hidden="1">#N/A</definedName>
    <definedName name="CB_bfa1970eac284fd6938edc19e6f0c44a" localSheetId="3" hidden="1">Model!$AC$30</definedName>
    <definedName name="CB_Block_00000000000000000000000000000000" localSheetId="0" hidden="1">"'7.0.0.0"</definedName>
    <definedName name="CB_Block_00000000000000000000000000000000" localSheetId="3" hidden="1">"'7.0.0.0"</definedName>
    <definedName name="CB_Block_00000000000000000000000000000001" localSheetId="0" hidden="1">"'638850842392856766"</definedName>
    <definedName name="CB_Block_00000000000000000000000000000001" localSheetId="3" hidden="1">"'638850842393469786"</definedName>
    <definedName name="CB_Block_00000000000000000000000000000003" localSheetId="0" hidden="1">"'11.1.2391.0"</definedName>
    <definedName name="CB_Block_00000000000000000000000000000003" localSheetId="3" hidden="1">"'11.1.2391.0"</definedName>
    <definedName name="CB_BlockExt_00000000000000000000000000000003" localSheetId="0" hidden="1">"'11.1.2.1.000"</definedName>
    <definedName name="CB_BlockExt_00000000000000000000000000000003" localSheetId="3" hidden="1">"'11.1.2.1.000"</definedName>
    <definedName name="CB_c47872e997ed4319adf2fb3f3349d439" localSheetId="3" hidden="1">Model!$T$32</definedName>
    <definedName name="CB_c4d0685e78ee440aad7b237bb42fe66a" localSheetId="3" hidden="1">Model!$AH$50</definedName>
    <definedName name="CB_c62e80ed678f4fa399f3a73011361e39" localSheetId="3" hidden="1">Model!$D$60</definedName>
    <definedName name="CB_c64d0237325c415884252f45357db11b" localSheetId="3" hidden="1">Model!$Y$25</definedName>
    <definedName name="CB_c94cc54f95da46ec9587c85e092cec40" localSheetId="3" hidden="1">Model!$U$66</definedName>
    <definedName name="CB_ca2c366f79154ee7a8d8bd6acff12a78" localSheetId="3" hidden="1">Model!$D$56</definedName>
    <definedName name="CB_cb4929b3dc6f46afb8d49c3da0060c07" localSheetId="3" hidden="1">Model!$AA$29</definedName>
    <definedName name="CB_cc0fabe170d44797a8c41df76b7b2ad3" localSheetId="3" hidden="1">Model!$T$2</definedName>
    <definedName name="CB_ced414c8788844c0829a0da92a6d9253" localSheetId="3" hidden="1">Model!$W$14</definedName>
    <definedName name="CB_d0f5f101f3f149d892b223413a541e58" localSheetId="3" hidden="1">Model!$Y$34</definedName>
    <definedName name="CB_d2ccf89dedf646e7ae62c1c880e5cdff" localSheetId="3" hidden="1">Model!$T$42</definedName>
    <definedName name="CB_d8da4562cd1d4c36afa96a9342f2242b" localSheetId="3" hidden="1">Model!$W$50</definedName>
    <definedName name="CB_def7b358f6974af0b8faa8d7691d93ef" localSheetId="3" hidden="1">Model!$U$70</definedName>
    <definedName name="CB_ecddc11418fe405c97a5d28024750e6e" localSheetId="3" hidden="1">Model!$Y$24</definedName>
    <definedName name="CB_f3991b7e99f4459297c3220a2488a5ad" localSheetId="3" hidden="1">Model!$Y$4</definedName>
    <definedName name="CB_f71d235adfdd4eadbaac7029ec5ebc87" localSheetId="3" hidden="1">Model!$W$30</definedName>
    <definedName name="CB_fbbb6cfbed404d729e3c6e63a37bb121" localSheetId="3" hidden="1">Model!$Y$45</definedName>
    <definedName name="CBCR_00631c2191c347698cb39578ec4901bd" localSheetId="3" hidden="1">Model!$I$5</definedName>
    <definedName name="CBCR_03ce0721f04e46208693a9dfd5d394cf" localSheetId="3" hidden="1">Model!$M$24</definedName>
    <definedName name="CBCR_071ebcf749104165838a771753b3cd4e" localSheetId="3" hidden="1">Model!$X$14</definedName>
    <definedName name="CBCR_078bdec6f9a3487682ec78e2b73e8631" localSheetId="3" hidden="1">Model!$AL$45</definedName>
    <definedName name="CBCR_07d80eb882584bf1b0b14d6afd4a754e" localSheetId="3" hidden="1">Model!$E$25</definedName>
    <definedName name="CBCR_08b9f7481d2b4ca7859a19cede7d563b" localSheetId="3" hidden="1">Model!$AK$30</definedName>
    <definedName name="CBCR_0a46a160aa8e48c4a55e57e9b9e752eb" localSheetId="3" hidden="1">Model!$M$44</definedName>
    <definedName name="CBCR_0b12d5b1a97b45958257f4f29b53ecaa" localSheetId="3" hidden="1">Model!$M$40</definedName>
    <definedName name="CBCR_0b4fcd2230dc4bf7aa2269856e43de23" localSheetId="3" hidden="1">Model!$M$19</definedName>
    <definedName name="CBCR_0bdd5af5281a475eaa74e559bb83d3ce" localSheetId="3" hidden="1">Model!$V$19</definedName>
    <definedName name="CBCR_0ce17d5fa501435bb6f1c21b78bf3532" localSheetId="3" hidden="1">Model!$A$60</definedName>
    <definedName name="CBCR_0e933288205d4b57a0df817d0cc15603" localSheetId="3" hidden="1">Model!$M$9</definedName>
    <definedName name="CBCR_0f23f3751332421ab4027a924475c065" localSheetId="3" hidden="1">Model!$A$56</definedName>
    <definedName name="CBCR_0f27f1ea47d04713a4e385f2a772ab15" localSheetId="3" hidden="1">Model!$AJ$19</definedName>
    <definedName name="CBCR_105580f242654b9685e8c514a0731861" localSheetId="3" hidden="1">Model!$AK$9</definedName>
    <definedName name="CBCR_10726a02a68a4075a31ac723aa939581" localSheetId="3" hidden="1">Model!$E$44</definedName>
    <definedName name="CBCR_13b828fd9fed44c4a021035628c418da" localSheetId="3" hidden="1">Model!$E$40</definedName>
    <definedName name="CBCR_192a5e54ebb84dd682e86118424e80c8" localSheetId="3" hidden="1">Model!$AK$29</definedName>
    <definedName name="CBCR_1b2ccba462324b50959379c0d5924758" localSheetId="3" hidden="1">Model!$AL$49</definedName>
    <definedName name="CBCR_1bbe0411469346068986d43de4ec832a" localSheetId="3" hidden="1">Model!$E$9</definedName>
    <definedName name="CBCR_1e718d384bf74e98b6c377f13d12a9a5" localSheetId="3" hidden="1">Model!$M$20</definedName>
    <definedName name="CBCR_1e7458d7fbc049a4b23c254ebf6748f1" localSheetId="3" hidden="1">Model!$AB$9</definedName>
    <definedName name="CBCR_1eb323bd3d5e444cb44319bcac395579" localSheetId="3" hidden="1">Model!$Z$25</definedName>
    <definedName name="CBCR_1fe1467a209343f6ab86fc3cf9c8f71c" localSheetId="3" hidden="1">Model!$V$24</definedName>
    <definedName name="CBCR_21622d516b534524b4f8c675218942d2" localSheetId="3" hidden="1">Model!$AL$20</definedName>
    <definedName name="CBCR_223d9a4b27b94bc2987c71ac29f8ec69" localSheetId="3" hidden="1">Model!$M$34</definedName>
    <definedName name="CBCR_240366133fb9468cbfe3b5edb11fe806" localSheetId="3" hidden="1">Model!$V$5</definedName>
    <definedName name="CBCR_25e768b2e8754f4bacc173cbbaf5da16" localSheetId="3" hidden="1">Model!$X$10</definedName>
    <definedName name="CBCR_263e445ed1db4c959e10d4dcca2c6e32" localSheetId="3" hidden="1">Model!$AK$34</definedName>
    <definedName name="CBCR_29afe04c26b1425fabb015f1eba44761" localSheetId="3" hidden="1">Model!$X$44</definedName>
    <definedName name="CBCR_2bfaa8ecc91c4a3da05691f9ffa48176" localSheetId="3" hidden="1">Model!$AB$19</definedName>
    <definedName name="CBCR_32a21c270c344ce1bd26c54724c9c61b" localSheetId="3" hidden="1">Model!$AL$44</definedName>
    <definedName name="CBCR_3341bdc7b4e043df9cb04107c12eaccd" localSheetId="3" hidden="1">Model!$AJ$4</definedName>
    <definedName name="CBCR_34dd507bf8844bbb8b280e73db143507" localSheetId="3" hidden="1">Model!$I$30</definedName>
    <definedName name="CBCR_357c93c123174d9cb6a3c7058f738a36" localSheetId="3" hidden="1">Model!$V$50</definedName>
    <definedName name="CBCR_35961194baa9497e819b5c7f6d06038d" localSheetId="3" hidden="1">Model!$AJ$40</definedName>
    <definedName name="CBCR_35b8ef34bde44c2c8c2d708febeb5beb" localSheetId="3" hidden="1">Model!$AK$49</definedName>
    <definedName name="CBCR_36d43eda9bd94dadbccfd85bef7a98c0" localSheetId="3" hidden="1">Model!$X$9</definedName>
    <definedName name="CBCR_37429d7402ea4bbba8f12808c12462a9" localSheetId="3" hidden="1">Model!$Z$30</definedName>
    <definedName name="CBCR_37b7da3a6752419686db132f80cbefb8" localSheetId="3" hidden="1">Model!$I$19</definedName>
    <definedName name="CBCR_37c2909ee64041de84da7e2f136be283" localSheetId="3" hidden="1">Model!$Z$4</definedName>
    <definedName name="CBCR_382df07c7b1b477c845fbbb5575a851b" localSheetId="3" hidden="1">Model!$Q$10</definedName>
    <definedName name="CBCR_3986b018076b40f0bfcb99b2402774ed" localSheetId="3" hidden="1">Model!$Q$34</definedName>
    <definedName name="CBCR_3af3fbf77e8c4b7796157fa52b8fc842" localSheetId="3" hidden="1">Model!$I$50</definedName>
    <definedName name="CBCR_3b812126195e404f860f67c55937e28a" localSheetId="3" hidden="1">Model!$AL$10</definedName>
    <definedName name="CBCR_3d70015afd1844ac98e1c8e8c0712ce8" localSheetId="3" hidden="1">Model!$M$35</definedName>
    <definedName name="CBCR_3df5c0875fb24176a968452a71e206d8" localSheetId="3" hidden="1">Model!$V$34</definedName>
    <definedName name="CBCR_43db60ba1e2f439a9fb5a57c427dfc7d" localSheetId="3" hidden="1">Model!$X$45</definedName>
    <definedName name="CBCR_458e2db8e3044ffdbde5dc752cbddfad" localSheetId="3" hidden="1">Model!$AL$40</definedName>
    <definedName name="CBCR_475d05e97a2942efa88f81aee1d7ee20" localSheetId="3" hidden="1">Model!$I$14</definedName>
    <definedName name="CBCR_47d2d270917a4c1e97e81c6a2880af32" localSheetId="3" hidden="1">Model!$I$4</definedName>
    <definedName name="CBCR_4942e2c9d093407ba19c17f06c11f7f0" localSheetId="3" hidden="1">Model!$V$15</definedName>
    <definedName name="CBCR_49d40af7f0a54267ad9f4c2c65737da0" localSheetId="3" hidden="1">Model!$E$49</definedName>
    <definedName name="CBCR_49d9522858c84c119e357351b9a044a0" localSheetId="3" hidden="1">Model!$I$29</definedName>
    <definedName name="CBCR_4adaf23f88f643188df3ade6ea51dbf0" localSheetId="3" hidden="1">Model!$Q$19</definedName>
    <definedName name="CBCR_4b9f1e8d987e4b9e9951f76ffd7b4ced" localSheetId="3" hidden="1">Model!$X$4</definedName>
    <definedName name="CBCR_4bc2b8e6f194451eb02e493db8129807" localSheetId="3" hidden="1">Model!$V$45</definedName>
    <definedName name="CBCR_4f852850bced4b53bcd63c5aaf6d1225" localSheetId="3" hidden="1">Model!$Q$20</definedName>
    <definedName name="CBCR_4f9bd7ef2f57442584015f8a6b1110a3" localSheetId="0" hidden="1">CB_DATA_!$A$10006</definedName>
    <definedName name="CBCR_535d1ca904434c7f80adeaf3eaf3339d" localSheetId="3" hidden="1">Model!$X$25</definedName>
    <definedName name="CBCR_53f43f7160574a9383ba26883d52bdf3" localSheetId="3" hidden="1">Model!$AB$24</definedName>
    <definedName name="CBCR_541e35c1765c40329730ff1ca66c36a3" localSheetId="3" hidden="1">Model!$AL$14</definedName>
    <definedName name="CBCR_549fb08441b8401e9036f3b595c9eec1" localSheetId="3" hidden="1">Model!$M$29</definedName>
    <definedName name="CBCR_5571491b73f44266ba86b173911d8da6" localSheetId="3" hidden="1">Model!$I$44</definedName>
    <definedName name="CBCR_5638ed0fd12b47d28e3d95168418e9e0" localSheetId="3" hidden="1">Model!$V$44</definedName>
    <definedName name="CBCR_566db00cf3c646faa4b4dfea752a7b9d" localSheetId="3" hidden="1">Model!$AK$45</definedName>
    <definedName name="CBCR_56b830fc3143489e912089e31b0c2d8f" localSheetId="3" hidden="1">Model!$V$14</definedName>
    <definedName name="CBCR_57a1719af2db47be83d778560457b529" localSheetId="3" hidden="1">Model!$AL$34</definedName>
    <definedName name="CBCR_57ee614368e8405ba7d07f8e1bcaf536" localSheetId="3" hidden="1">Model!$AJ$34</definedName>
    <definedName name="CBCR_5ba5debe485f49c3b5b322298ec4fa64" localSheetId="3" hidden="1">Model!$Z$9</definedName>
    <definedName name="CBCR_5c5bc412e3fa409c8ff9020233d15e39" localSheetId="3" hidden="1">Model!$AJ$35</definedName>
    <definedName name="CBCR_5ce73b20381946aa9ca6e4aa69ebc807" localSheetId="3" hidden="1">Model!$E$10</definedName>
    <definedName name="CBCR_60e89e869cc6448ab93fde0fc18f3397" localSheetId="3" hidden="1">Model!$E$15</definedName>
    <definedName name="CBCR_61b900ee87f3426882cb2f9a5dc61eb5" localSheetId="3" hidden="1">Model!$X$34</definedName>
    <definedName name="CBCR_63c86e6ef23c4f818146f08d6f3d3d54" localSheetId="3" hidden="1">Model!$V$29</definedName>
    <definedName name="CBCR_6462bb2c8e6841b18351201d92c74d47" localSheetId="3" hidden="1">Model!$E$50</definedName>
    <definedName name="CBCR_64a56f7e4bba47909602334951829fc3" localSheetId="3" hidden="1">Model!$AL$50</definedName>
    <definedName name="CBCR_650ad531a7964879950ef374c4a60ba4" localSheetId="3" hidden="1">Model!$M$49</definedName>
    <definedName name="CBCR_653f2e4f60fb4968a7c560816b42cc27" localSheetId="3" hidden="1">Model!$E$5</definedName>
    <definedName name="CBCR_665ddffc02404727a9cc3172e4d5b24e" localSheetId="3" hidden="1">Model!$E$19</definedName>
    <definedName name="CBCR_672a1715f83d495c828824cfcd87b7df" localSheetId="3" hidden="1">Model!$AJ$44</definedName>
    <definedName name="CBCR_68d209072b274ac999ea26f948b7e60c" localSheetId="3" hidden="1">Model!$Z$19</definedName>
    <definedName name="CBCR_6b0963520a964754bd147420ec415536" localSheetId="3" hidden="1">Model!$E$14</definedName>
    <definedName name="CBCR_6f2ec322221b48e3a5215217e927b2fb" localSheetId="3" hidden="1">Model!$AJ$50</definedName>
    <definedName name="CBCR_6f5253808de64744bf09719af74f36e3" localSheetId="3" hidden="1">Model!$AB$35</definedName>
    <definedName name="CBCR_73b1631dee6c4ff8b7608d89abe02879" localSheetId="3" hidden="1">Model!$V$25</definedName>
    <definedName name="CBCR_7481d08bac50482fb090e05acf08284a" localSheetId="3" hidden="1">Model!$AB$20</definedName>
    <definedName name="CBCR_74886c2add534e088a8c54b5ba2c2612" localSheetId="3" hidden="1">Model!$AK$44</definedName>
    <definedName name="CBCR_75ccdde1f4c14bad909308d3dca6d1c0" localSheetId="3" hidden="1">Model!$Z$40</definedName>
    <definedName name="CBCR_780841f4e74946aeaf6ef8b83b6767b6" localSheetId="3" hidden="1">Model!$X$50</definedName>
    <definedName name="CBCR_78db434df59540d4a0459d6dfa6e148b" localSheetId="3" hidden="1">Model!$AB$25</definedName>
    <definedName name="CBCR_7a754448a8f14335b8b4cf960a9fdbbf" localSheetId="3" hidden="1">Model!$AJ$29</definedName>
    <definedName name="CBCR_7aaf54680ac44d1780a2e109cb4b5e62" localSheetId="3" hidden="1">Model!$I$9</definedName>
    <definedName name="CBCR_7cb6d065a43449589f9fd564fe80a9e3" localSheetId="3" hidden="1">Model!$I$20</definedName>
    <definedName name="CBCR_7cdf3bcb11e14daba2b34323b9bc563a" localSheetId="3" hidden="1">Model!$Z$34</definedName>
    <definedName name="CBCR_7d7f4ac475614b72a38918ffcbf7514d" localSheetId="3" hidden="1">Model!$V$4</definedName>
    <definedName name="CBCR_7dfd0576ccc3401eab9c25cf9d4cac42" localSheetId="3" hidden="1">Model!$E$34</definedName>
    <definedName name="CBCR_7e59cef8d2924d60a954161ccc6b1c5c" localSheetId="3" hidden="1">Model!$AL$29</definedName>
    <definedName name="CBCR_854debbe7f214388869c4758298ca878" localSheetId="3" hidden="1">Model!$E$29</definedName>
    <definedName name="CBCR_85a48f2d8d414e06b285f13f74067c38" localSheetId="3" hidden="1">Model!$V$40</definedName>
    <definedName name="CBCR_878d7bd548b648368308a7cc02f1ee30" localSheetId="3" hidden="1">Model!$AK$14</definedName>
    <definedName name="CBCR_89f52da3b4b74828ae2494589da2f671" localSheetId="3" hidden="1">Model!$AL$4</definedName>
    <definedName name="CBCR_8a34402c5e574c1292eccbf627416ff7" localSheetId="3" hidden="1">Model!$V$20</definedName>
    <definedName name="CBCR_8a5f0f3ac24a458eb3b677545059897e" localSheetId="3" hidden="1">Model!$M$5</definedName>
    <definedName name="CBCR_8a9668a6c75945089c7bebe6a4f91b97" localSheetId="3" hidden="1">Model!$AL$35</definedName>
    <definedName name="CBCR_8b3276266ccb42258665400c78a7c30a" localSheetId="3" hidden="1">Model!$AL$19</definedName>
    <definedName name="CBCR_8c1d7d6258fb4ecc9ff7f96356dd629c" localSheetId="3" hidden="1">Model!$Q$29</definedName>
    <definedName name="CBCR_8c52cc7a60114c6fbc3068559994cbd8" localSheetId="3" hidden="1">Model!$X$24</definedName>
    <definedName name="CBCR_8cc05ab58f5c44008f0456b2b36f6143" localSheetId="3" hidden="1">Model!$AK$35</definedName>
    <definedName name="CBCR_92302469f3574dd38a8aca6dc2cb9e36" localSheetId="3" hidden="1">Model!$Z$39</definedName>
    <definedName name="CBCR_95d3cddd37594115ac3b966199e67ecf" localSheetId="3" hidden="1">Model!$X$49</definedName>
    <definedName name="CBCR_967ac88352654bdeb263082025a324bd" localSheetId="3" hidden="1">Model!$I$40</definedName>
    <definedName name="CBCR_97d6061d76ab4d71981688c521e439fb" localSheetId="3" hidden="1">Model!$Z$29</definedName>
    <definedName name="CBCR_97e7bf70facb4e2caecdf65a76c510c2" localSheetId="3" hidden="1">Model!$AJ$9</definedName>
    <definedName name="CBCR_98c62c8b684740c29b9ac90a6ef6198c" localSheetId="3" hidden="1">Model!$Z$44</definedName>
    <definedName name="CBCR_98cb3fe41ad748bb868d0a88f2ec43df" localSheetId="3" hidden="1">Model!$Z$5</definedName>
    <definedName name="CBCR_991b8c12156f49a7a3686c5926c3a539" localSheetId="3" hidden="1">Model!$I$49</definedName>
    <definedName name="CBCR_992e508dde9b4a859a1af25deb8c03aa" localSheetId="3" hidden="1">Model!$X$15</definedName>
    <definedName name="CBCR_9a18f440500a4c76bedd40b9442bcff1" localSheetId="3" hidden="1">Model!$M$10</definedName>
    <definedName name="CBCR_9cb916302c194071aa75e5ae81ee538b" localSheetId="3" hidden="1">Model!$Z$20</definedName>
    <definedName name="CBCR_9e7fbc74102c49d9bf8131b5e54dd228" localSheetId="3" hidden="1">Model!$I$15</definedName>
    <definedName name="CBCR_9ee4db0f144541deacc79fcdbe262c3d" localSheetId="3" hidden="1">Model!$E$24</definedName>
    <definedName name="CBCR_a02f003e41e443258aaebd90e4fb587f" localSheetId="0" hidden="1">CB_DATA_!$A$10005</definedName>
    <definedName name="CBCR_a08057a353f044c6b86e726b17cea407" localSheetId="3" hidden="1">Model!$M$50</definedName>
    <definedName name="CBCR_a1d19158f332424983d278f1cdb9dc58" localSheetId="3" hidden="1">Model!$Z$10</definedName>
    <definedName name="CBCR_a4223e4c9f6f4b7a90f5a81ab96cc7f8" localSheetId="3" hidden="1">Model!$AJ$30</definedName>
    <definedName name="CBCR_a605a5c0e53c4c918ec469cdc8c9e50d" localSheetId="3" hidden="1">Model!$I$25</definedName>
    <definedName name="CBCR_a7e417b077154151b8e632783e1bbdb7" localSheetId="0" hidden="1">CB_DATA_!$A$10002</definedName>
    <definedName name="CBCR_aacd1bc7070544c1934455bcd5dc359a" localSheetId="3" hidden="1">Model!$M$30</definedName>
    <definedName name="CBCR_ab43fbdaa84b479c9b593fb2cdabcc7a" localSheetId="3" hidden="1">Model!$AJ$49</definedName>
    <definedName name="CBCR_ac1fd10adac242f28b48012c11e57898" localSheetId="3" hidden="1">Model!$Z$24</definedName>
    <definedName name="CBCR_b0ae9d5cde45424da563e314aefa55b4" localSheetId="3" hidden="1">Model!$I$35</definedName>
    <definedName name="CBCR_b2f04b77aa374e2b8eaca48f4f4b81dc" localSheetId="3" hidden="1">Model!$X$19</definedName>
    <definedName name="CBCR_b3295603f87e49c2993e58aa9b6995e1" localSheetId="3" hidden="1">Model!$V$9</definedName>
    <definedName name="CBCR_b5e0c05984e24e47913e964ca6480f60" localSheetId="3" hidden="1">Model!$M$39</definedName>
    <definedName name="CBCR_b95649ee306e4a82adf8cfc340f56565" localSheetId="3" hidden="1">Model!$E$39</definedName>
    <definedName name="CBCR_b9f27e6bf553466a96429be5d8d90f64" localSheetId="3" hidden="1">Model!$AL$9</definedName>
    <definedName name="CBCR_ba7eda233b3d4c1d9d877500b1c84003" localSheetId="3" hidden="1">Model!$AB$30</definedName>
    <definedName name="CBCR_bcbe6a820c0546949b5be4fff9c1a1d1" localSheetId="3" hidden="1">Model!$V$30</definedName>
    <definedName name="CBCR_be0eafe3f43a4731b647ea2db0e1ea32" localSheetId="3" hidden="1">Model!$X$20</definedName>
    <definedName name="CBCR_be25a58536794705959e42e94a57ce35" localSheetId="3" hidden="1">Model!$V$49</definedName>
    <definedName name="CBCR_bfc19708642a4ce8b2b675187335c87a" localSheetId="3" hidden="1">Model!$AK$50</definedName>
    <definedName name="CBCR_c1136919caf446cdaa128cb606e2725b" localSheetId="3" hidden="1">Model!$AJ$39</definedName>
    <definedName name="CBCR_c49b194e3bfe4fa4b6e5c4227d9377ed" localSheetId="3" hidden="1">Model!$I$24</definedName>
    <definedName name="CBCR_c529d43811eb40e1a76b53e6f60bc3b9" localSheetId="3" hidden="1">Model!$E$35</definedName>
    <definedName name="CBCR_c5367818d6034951a9b5c6badbe8e208" localSheetId="3" hidden="1">Model!$Z$50</definedName>
    <definedName name="CBCR_c60d22410cbf428285ff1406164d4512" localSheetId="3" hidden="1">Model!$AJ$45</definedName>
    <definedName name="CBCR_c69fccb2000f4f828bcd5aa62f73bba2" localSheetId="3" hidden="1">Model!$E$4</definedName>
    <definedName name="CBCR_c6d0280c9b6b4310996a37d44e36f153" localSheetId="3" hidden="1">Model!$Z$35</definedName>
    <definedName name="CBCR_c70cfd393097427e9b79c6706afd1afa" localSheetId="3" hidden="1">Model!$V$10</definedName>
    <definedName name="CBCR_c7534aa23306451388e9ca3f46730c24" localSheetId="3" hidden="1">Model!$V$39</definedName>
    <definedName name="CBCR_c88754f176764a7bb60bfef311ddc5c2" localSheetId="3" hidden="1">Model!$M$4</definedName>
    <definedName name="CBCR_ca30e4f6f6bd4df39998c993608997f7" localSheetId="3" hidden="1">Model!$Q$24</definedName>
    <definedName name="CBCR_cb622668fb5448a490468296efca8f1c" localSheetId="3" hidden="1">Model!$V$35</definedName>
    <definedName name="CBCR_cc552082e7e7478d9126a2f0070287cb" localSheetId="3" hidden="1">Model!$Z$45</definedName>
    <definedName name="CBCR_ce7d59a53a324670be96f8d34098bc80" localSheetId="3" hidden="1">Model!$AK$24</definedName>
    <definedName name="CBCR_ce9d394a91c34ddc92379a8c09fea10a" localSheetId="3" hidden="1">Model!$E$30</definedName>
    <definedName name="CBCR_cfa0749355a34831bc3096d22912e126" localSheetId="3" hidden="1">Model!$E$20</definedName>
    <definedName name="CBCR_d0fe3e844dbf419b95d5432f8c512d36" localSheetId="3" hidden="1">Model!$X$40</definedName>
    <definedName name="CBCR_d20cce1897c440adb0e829d0bdca4be6" localSheetId="3" hidden="1">Model!$Q$30</definedName>
    <definedName name="CBCR_d374db4a5b6543368244e2955b4e0e36" localSheetId="3" hidden="1">Model!$X$39</definedName>
    <definedName name="CBCR_d37a46e1423b49d7a079306d764f25d4" localSheetId="3" hidden="1">Model!$AK$40</definedName>
    <definedName name="CBCR_d42fa5d77de84faead5204cced2bf55f" localSheetId="3" hidden="1">Model!$X$30</definedName>
    <definedName name="CBCR_d77a84895d834613be8d5cc8e2112449" localSheetId="3" hidden="1">Model!$AJ$14</definedName>
    <definedName name="CBCR_d7dcfccbe20d499abede8ddf4a094864" localSheetId="3" hidden="1">Model!$AL$24</definedName>
    <definedName name="CBCR_d828564469204cb68fbb2c2e9cd5b6bb" localSheetId="3" hidden="1">Model!$X$5</definedName>
    <definedName name="CBCR_d95ac6063afd4e1387b6c6a53a81c166" localSheetId="3" hidden="1">Model!$M$45</definedName>
    <definedName name="CBCR_d979266d1f9e48938cef0e1befe7f123" localSheetId="3" hidden="1">Model!$X$29</definedName>
    <definedName name="CBCR_da6d117e500a4a6ebb999be5b968e631" localSheetId="3" hidden="1">Model!$AL$39</definedName>
    <definedName name="CBCR_db8250134f624257af54bcaac471c398" localSheetId="3" hidden="1">Model!$AJ$10</definedName>
    <definedName name="CBCR_dc776374d4934a318118a70fe37694cf" localSheetId="3" hidden="1">Model!$Q$35</definedName>
    <definedName name="CBCR_df3ad8780d65439da08494d20b620a84" localSheetId="3" hidden="1">Model!$Q$9</definedName>
    <definedName name="CBCR_df9c16a7ba714435b4edd94598b626d5" localSheetId="3" hidden="1">Model!$E$45</definedName>
    <definedName name="CBCR_e1075edc2fea45e1ae2339ba04a764eb" localSheetId="3" hidden="1">Model!$AK$39</definedName>
    <definedName name="CBCR_e5082c5de62a45abba999f136e50008b" localSheetId="3" hidden="1">Model!$AL$30</definedName>
    <definedName name="CBCR_ed716b74822e4a60b2f25ac25a443344" localSheetId="3" hidden="1">Model!$I$39</definedName>
    <definedName name="CBCR_eefb0923b3e64b2cabd755b5e8c3b025" localSheetId="3" hidden="1">Model!$AK$20</definedName>
    <definedName name="CBCR_ef675d4c2c0247b1980ca7ee0980aca3" localSheetId="3" hidden="1">Model!$AK$10</definedName>
    <definedName name="CBCR_eff3976518684255a75a99c16e7d6c00" localSheetId="3" hidden="1">Model!$X$35</definedName>
    <definedName name="CBCR_f20ff84e46634fadb7e92588c1e47dfa" localSheetId="3" hidden="1">Model!$Z$49</definedName>
    <definedName name="CBCR_f2145f17ca4247ef8f5167caca267030" localSheetId="3" hidden="1">Model!$AB$29</definedName>
    <definedName name="CBCR_f277f233de9a4c04b4d5d5cac4388314" localSheetId="3" hidden="1">Model!$AK$4</definedName>
    <definedName name="CBCR_f30132c467d44a4cb7ff1823a5ecc9df" localSheetId="3" hidden="1">Model!$I$10</definedName>
    <definedName name="CBCR_f41cbbdcdf0441fa969a90e1f3c8ceab" localSheetId="3" hidden="1">Model!$AJ$20</definedName>
    <definedName name="CBCR_f465d812307e4740a8ff6a0ce48a4fdb" localSheetId="3" hidden="1">Model!$AB$10</definedName>
    <definedName name="CBCR_f56cfc268ab44c4bb8dc5afefcfb7224" localSheetId="3" hidden="1">Model!$AJ$24</definedName>
    <definedName name="CBCR_f7ccec6d287f43daabb72109661f522a" localSheetId="3" hidden="1">Model!$I$34</definedName>
    <definedName name="CBCR_fbd0d75ffafc4097b857db5d916ce798" localSheetId="3" hidden="1">Model!$AK$19</definedName>
    <definedName name="CBCR_fc0e00fe540942f8a28a5ac3dacb9a06" localSheetId="3" hidden="1">Model!$A$58</definedName>
    <definedName name="CBCR_fe17cb1db5f44ed9b9c22d09f5a52460" localSheetId="3" hidden="1">Model!$I$45</definedName>
    <definedName name="CBCR_fe6ffe7a6f4a4f6d98a0fb637b1e0ba7" localSheetId="3" hidden="1">Model!$AB$34</definedName>
    <definedName name="CBCR_ff05c932faa74e0e82776bbec1989e7f" localSheetId="3" hidden="1">Model!$Q$25</definedName>
    <definedName name="CBCR_ff09c39f82e44bd9b66d483805ee3b4e" localSheetId="3" hidden="1">Model!$M$25</definedName>
    <definedName name="CBWorkbookPriority" localSheetId="0" hidden="1">-2114830799</definedName>
    <definedName name="CBx_3abb73100c774cb69e09a396aeb4141c" localSheetId="0" hidden="1">"'Process Description'!$A$1"</definedName>
    <definedName name="CBx_510b48b2cdb04093b02dd6442bad685f" localSheetId="0" hidden="1">"'Model'!$A$1"</definedName>
    <definedName name="CBx_9c70d9da314044128dde6f074c8d35e9" localSheetId="0" hidden="1">"'Units of measure'!$A$1"</definedName>
    <definedName name="CBx_c996936dc43c4f7a8860ec799da44364" localSheetId="0" hidden="1">"'CB_DATA_'!$A$1"</definedName>
    <definedName name="CBx_Sheet_Guid" localSheetId="0" hidden="1">"'c996936d-c43c-4f7a-8860-ec799da44364"</definedName>
    <definedName name="CBx_Sheet_Guid" localSheetId="3" hidden="1">"'510b48b2-cdb0-4093-b02d-d6442bad685f"</definedName>
    <definedName name="CBx_Sheet_Guid" localSheetId="2" hidden="1">"'3abb73100c774cb69e09a396aeb4141c"</definedName>
    <definedName name="CBx_Sheet_Guid" localSheetId="1" hidden="1">"'9c70d9da314044128dde6f074c8d35e9"</definedName>
    <definedName name="CBx_SheetRef" localSheetId="0" hidden="1">CB_DATA_!$A$14</definedName>
    <definedName name="CBx_SheetRef" localSheetId="3" hidden="1">CB_DATA_!$B$14</definedName>
    <definedName name="CBx_StorageType" localSheetId="0" hidden="1">2</definedName>
    <definedName name="CBx_StorageType" localSheetId="3" hidden="1">2</definedName>
    <definedName name="Code_Decision" localSheetId="2">'Process Description'!#REF!</definedName>
    <definedName name="Code_Decision" localSheetId="1">'Units of measure'!#REF!</definedName>
    <definedName name="Code_Decision">Model!$T$22</definedName>
    <definedName name="CR_Decision" localSheetId="2">'Process Description'!#REF!</definedName>
    <definedName name="CR_Decision" localSheetId="1">'Units of measure'!#REF!</definedName>
    <definedName name="CR_Decision">Model!$T$27</definedName>
    <definedName name="Design_Decision" localSheetId="2">'Process Description'!#REF!</definedName>
    <definedName name="Design_Decision" localSheetId="1">'Units of measure'!#REF!</definedName>
    <definedName name="Design_Decision">Model!$T$12</definedName>
    <definedName name="DR_Decision" localSheetId="2">'Process Description'!#REF!</definedName>
    <definedName name="DR_Decision" localSheetId="1">'Units of measure'!#REF!</definedName>
    <definedName name="DR_Decision">Model!$T$17</definedName>
    <definedName name="FP">Model!$R$55</definedName>
    <definedName name="IT_Decision" localSheetId="2">'Process Description'!#REF!</definedName>
    <definedName name="IT_Decision" localSheetId="1">'Units of measure'!#REF!</definedName>
    <definedName name="IT_Decision">Model!$T$37</definedName>
    <definedName name="_xlnm.Print_Titles" localSheetId="2">'Process Description'!$2:$2</definedName>
    <definedName name="RD_Decision" localSheetId="2">'Process Description'!#REF!</definedName>
    <definedName name="RD_Decision" localSheetId="1">'Units of measure'!#REF!</definedName>
    <definedName name="RD_Decision">Model!$T$2</definedName>
    <definedName name="RR_Decision" localSheetId="2">'Process Description'!#REF!</definedName>
    <definedName name="RR_Decision" localSheetId="1">'Units of measure'!#REF!</definedName>
    <definedName name="RR_Decision">Model!$T$7</definedName>
    <definedName name="ST_Decision" localSheetId="2">'Process Description'!#REF!</definedName>
    <definedName name="ST_Decision" localSheetId="1">'Units of measure'!#REF!</definedName>
    <definedName name="ST_Decision">Model!$T$42</definedName>
    <definedName name="UT_Decision" localSheetId="2">'Process Description'!#REF!</definedName>
    <definedName name="UT_Decision" localSheetId="1">'Units of measure'!#REF!</definedName>
    <definedName name="UT_Decision">Model!$T$32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10" i="1" l="1"/>
  <c r="AL20" i="1"/>
  <c r="AJ20" i="1"/>
  <c r="AJ10" i="1"/>
  <c r="AL50" i="1"/>
  <c r="AJ50" i="1"/>
  <c r="AL30" i="1"/>
  <c r="AJ30" i="1"/>
  <c r="AL35" i="1"/>
  <c r="AJ35" i="1"/>
  <c r="D60" i="1"/>
  <c r="D58" i="1"/>
  <c r="D56" i="1"/>
  <c r="Z50" i="1"/>
  <c r="X50" i="1"/>
  <c r="V50" i="1"/>
  <c r="Z49" i="1"/>
  <c r="X49" i="1"/>
  <c r="V49" i="1"/>
  <c r="AL45" i="1"/>
  <c r="AJ45" i="1"/>
  <c r="Z45" i="1"/>
  <c r="X45" i="1"/>
  <c r="V45" i="1"/>
  <c r="Z44" i="1"/>
  <c r="X44" i="1"/>
  <c r="V44" i="1"/>
  <c r="Z40" i="1"/>
  <c r="X40" i="1"/>
  <c r="V40" i="1"/>
  <c r="Z39" i="1"/>
  <c r="X39" i="1"/>
  <c r="V39" i="1"/>
  <c r="AB35" i="1"/>
  <c r="Z35" i="1"/>
  <c r="X35" i="1"/>
  <c r="V35" i="1"/>
  <c r="AB34" i="1"/>
  <c r="Z34" i="1"/>
  <c r="X34" i="1"/>
  <c r="V34" i="1"/>
  <c r="AB30" i="1"/>
  <c r="Z30" i="1"/>
  <c r="X30" i="1"/>
  <c r="V30" i="1"/>
  <c r="AB29" i="1"/>
  <c r="Z29" i="1"/>
  <c r="X29" i="1"/>
  <c r="V29" i="1"/>
  <c r="AB25" i="1"/>
  <c r="Z25" i="1"/>
  <c r="V25" i="1"/>
  <c r="I25" i="1"/>
  <c r="J25" i="1" s="1"/>
  <c r="AB24" i="1"/>
  <c r="Z24" i="1"/>
  <c r="V24" i="1"/>
  <c r="I24" i="1"/>
  <c r="J24" i="1" s="1"/>
  <c r="AB20" i="1"/>
  <c r="Z20" i="1"/>
  <c r="X20" i="1"/>
  <c r="V20" i="1"/>
  <c r="AB19" i="1"/>
  <c r="Z19" i="1"/>
  <c r="X19" i="1"/>
  <c r="V19" i="1"/>
  <c r="X15" i="1"/>
  <c r="V15" i="1"/>
  <c r="X14" i="1"/>
  <c r="V14" i="1"/>
  <c r="AB10" i="1"/>
  <c r="Z10" i="1"/>
  <c r="X10" i="1"/>
  <c r="V10" i="1"/>
  <c r="AB9" i="1"/>
  <c r="Z9" i="1"/>
  <c r="X9" i="1"/>
  <c r="V9" i="1"/>
  <c r="Z5" i="1"/>
  <c r="X5" i="1"/>
  <c r="V5" i="1"/>
  <c r="Z4" i="1"/>
  <c r="X4" i="1"/>
  <c r="V4" i="1"/>
  <c r="A10006" i="4"/>
  <c r="A10005" i="4"/>
  <c r="A10002" i="4"/>
  <c r="B11" i="4"/>
  <c r="A11" i="4"/>
  <c r="P2" i="4"/>
  <c r="H25" i="1" l="1"/>
  <c r="X25" i="1" s="1"/>
  <c r="U25" i="1"/>
  <c r="U24" i="1"/>
  <c r="U30" i="1"/>
  <c r="U45" i="1"/>
  <c r="U5" i="1"/>
  <c r="U9" i="1"/>
  <c r="U20" i="1"/>
  <c r="U29" i="1"/>
  <c r="U34" i="1"/>
  <c r="U4" i="1"/>
  <c r="U10" i="1"/>
  <c r="U15" i="1"/>
  <c r="U19" i="1"/>
  <c r="U40" i="1"/>
  <c r="U50" i="1"/>
  <c r="U14" i="1"/>
  <c r="U39" i="1"/>
  <c r="U44" i="1"/>
  <c r="U49" i="1"/>
  <c r="U35" i="1"/>
  <c r="H24" i="1"/>
  <c r="X24" i="1" s="1"/>
  <c r="AG10" i="1" l="1"/>
  <c r="AG30" i="1"/>
  <c r="AG20" i="1"/>
  <c r="AG52" i="1"/>
  <c r="U60" i="1"/>
  <c r="U66" i="1"/>
  <c r="AG40" i="1"/>
  <c r="U68" i="1"/>
  <c r="AG24" i="1"/>
  <c r="AG50" i="1"/>
  <c r="AG14" i="1"/>
  <c r="U70" i="1"/>
  <c r="U62" i="1"/>
  <c r="AG45" i="1"/>
  <c r="AG35" i="1"/>
  <c r="U72" i="1"/>
  <c r="U64" i="1"/>
  <c r="AG19" i="1"/>
  <c r="AG4" i="1"/>
  <c r="AG49" i="1"/>
  <c r="AG44" i="1"/>
  <c r="AG39" i="1"/>
  <c r="AG34" i="1"/>
  <c r="AG29" i="1"/>
  <c r="AG9" i="1"/>
  <c r="U74" i="1"/>
  <c r="U55" i="1" l="1"/>
  <c r="U53" i="1"/>
  <c r="U57" i="1" l="1"/>
</calcChain>
</file>

<file path=xl/sharedStrings.xml><?xml version="1.0" encoding="utf-8"?>
<sst xmlns="http://schemas.openxmlformats.org/spreadsheetml/2006/main" count="662" uniqueCount="223">
  <si>
    <t>Crystal Ball Data</t>
  </si>
  <si>
    <t>Workbook Variables</t>
  </si>
  <si>
    <t>Last Var Column</t>
  </si>
  <si>
    <t xml:space="preserve">    Name:</t>
  </si>
  <si>
    <t xml:space="preserve">    Value:</t>
  </si>
  <si>
    <t>Worksheet Data</t>
  </si>
  <si>
    <t>Last Data Column Used</t>
  </si>
  <si>
    <t>Sheet Ref</t>
  </si>
  <si>
    <t>Sheet Guid</t>
  </si>
  <si>
    <t>c996936d-c43c-4f7a-8860-ec799da44364</t>
  </si>
  <si>
    <t>510b48b2-cdb0-4093-b02d-d6442bad685f</t>
  </si>
  <si>
    <t>Deleted sheet count</t>
  </si>
  <si>
    <t>Last row used</t>
  </si>
  <si>
    <t>Data blocks</t>
  </si>
  <si>
    <t>CB_Block_7.4.0.0:1</t>
  </si>
  <si>
    <t>Decisioneering:7.4.0.0</t>
  </si>
  <si>
    <t>StartOptEquations</t>
  </si>
  <si>
    <t>Requirements Development</t>
  </si>
  <si>
    <t>Units of measure</t>
  </si>
  <si>
    <t>Unit Costs</t>
  </si>
  <si>
    <t>Effort</t>
  </si>
  <si>
    <t>Person days</t>
  </si>
  <si>
    <t>Dollars/Person  day</t>
  </si>
  <si>
    <t>Cycle Time</t>
  </si>
  <si>
    <t>Days</t>
  </si>
  <si>
    <t>--</t>
  </si>
  <si>
    <t>Quality</t>
  </si>
  <si>
    <t>The number of injected defects</t>
  </si>
  <si>
    <t>Reqts Review</t>
  </si>
  <si>
    <t>The percentage of defects removed</t>
  </si>
  <si>
    <t>Dollars/Defect to fix</t>
  </si>
  <si>
    <t>Design</t>
  </si>
  <si>
    <t>Design Review</t>
  </si>
  <si>
    <t>Code</t>
  </si>
  <si>
    <t>Code Review</t>
  </si>
  <si>
    <t>Unit Test</t>
  </si>
  <si>
    <t>Integration Test</t>
  </si>
  <si>
    <t>System Test</t>
  </si>
  <si>
    <t>Acceptance Test</t>
  </si>
  <si>
    <t>Customer</t>
  </si>
  <si>
    <t>Subprocess</t>
  </si>
  <si>
    <t>Description</t>
  </si>
  <si>
    <t>Traditional Spec Driven</t>
  </si>
  <si>
    <t>Requirements are developed using Traditional Specification Driven method.</t>
  </si>
  <si>
    <t>KJ Analysis &amp; QFD</t>
  </si>
  <si>
    <t>Requirements are developed using Intense interviewing and modeling.</t>
  </si>
  <si>
    <t>Prototyping</t>
  </si>
  <si>
    <t>Mockups are used for evaluation of requirements.</t>
  </si>
  <si>
    <t>Email Routing</t>
  </si>
  <si>
    <t>Reqts documents are emailed to reviewers. And each reviewer reviews them individually.</t>
  </si>
  <si>
    <t>Walkthrough</t>
  </si>
  <si>
    <t>Reqts are reviewed at informal meetings.</t>
  </si>
  <si>
    <t>Inspections</t>
  </si>
  <si>
    <t>All reqts are reviewed through Formal Fagan Inspections.</t>
  </si>
  <si>
    <t>Sampling Inspections</t>
  </si>
  <si>
    <t>Samples of reqts are reviewed through Formal Fagan Inspections.</t>
  </si>
  <si>
    <t>SA/SD</t>
  </si>
  <si>
    <t>Designs are developed using Structured analysis and structured design approach.</t>
  </si>
  <si>
    <t>OOD</t>
  </si>
  <si>
    <t>Designs are developed using Object Oriented Design approach.</t>
  </si>
  <si>
    <t>Design documents are emailed to reviewers. And each reviewer reviews them individually.</t>
  </si>
  <si>
    <t>Designs are reviewed at informal meetings.</t>
  </si>
  <si>
    <t>All designs are reviewed through Formal Fagan Inspections.</t>
  </si>
  <si>
    <t>Samples of designs are reviewed through Formal Fagan Inspections.</t>
  </si>
  <si>
    <t>Manual w/No Reuse</t>
  </si>
  <si>
    <t>Codes are developed manually without reuse.</t>
  </si>
  <si>
    <t>Manual w/Reuse</t>
  </si>
  <si>
    <t>Codes are developed manually with reuse.</t>
  </si>
  <si>
    <t>Code Generation w/No Reuse</t>
  </si>
  <si>
    <t>Codes are developed using Code Generation tool without reuse.</t>
  </si>
  <si>
    <t>Code Generation w/Reuse</t>
  </si>
  <si>
    <t>Codes are developed using Code Generation tool with reuse.</t>
  </si>
  <si>
    <t>Codes are emailed to reviewers. And each reviewer reviews them individually.</t>
  </si>
  <si>
    <t>Codes are reviewed at informal meetings.</t>
  </si>
  <si>
    <t>All codes are reviewed through Formal Fagan Inspections.</t>
  </si>
  <si>
    <t>Samples of codes are reviewed through Formal Fagan Inspections.</t>
  </si>
  <si>
    <t>Ad Hoc</t>
  </si>
  <si>
    <t>Unit test is conducted without plans.</t>
  </si>
  <si>
    <t>Path Testing Only</t>
  </si>
  <si>
    <t>Logical paths and decisions are tested.</t>
  </si>
  <si>
    <t>Data Flow Testing Only</t>
  </si>
  <si>
    <t>Different data states are tested.</t>
  </si>
  <si>
    <t xml:space="preserve">Both Path and Data Flow </t>
  </si>
  <si>
    <t>Logical paths and decisions, and different data states are tested.</t>
  </si>
  <si>
    <t>Bottom-Up</t>
  </si>
  <si>
    <t>Components are tested first with "drivers".</t>
  </si>
  <si>
    <t>Top-Down</t>
  </si>
  <si>
    <t>High level structures are tested with "stubs" for missing components.</t>
  </si>
  <si>
    <t>Hybrid</t>
  </si>
  <si>
    <t>Integration test is conducted using both bottom-up and top-down approach.</t>
  </si>
  <si>
    <t>On Breadboard</t>
  </si>
  <si>
    <t>Breadboards are used for system test. A breadboard is very immature and early prototype hardware. Breadboard has a lot of blue wires on circuits.</t>
  </si>
  <si>
    <t>On Brassboard</t>
  </si>
  <si>
    <t xml:space="preserve">Brassboards are used for system test. A brassboard is more mature hardware with very few blue wires, </t>
  </si>
  <si>
    <t>Production Hardware</t>
  </si>
  <si>
    <t>Real hardware with no blue wires is used for system test.</t>
  </si>
  <si>
    <t>Low Intensity</t>
  </si>
  <si>
    <t>Acceptance test has been conducted superficially for over several days.</t>
  </si>
  <si>
    <t>Medium Intensity</t>
  </si>
  <si>
    <t>Acceptance test has been conducted structurally for over one week.</t>
  </si>
  <si>
    <t>High Intensity</t>
  </si>
  <si>
    <t>Acceptance test has been conducted including stress test for over 1 month.</t>
  </si>
  <si>
    <t>RD Decision</t>
  </si>
  <si>
    <t>Value for Decision</t>
  </si>
  <si>
    <r>
      <rPr>
        <b/>
        <sz val="12"/>
        <rFont val="宋体"/>
        <family val="3"/>
        <charset val="134"/>
      </rPr>
      <t>需求开发</t>
    </r>
    <r>
      <rPr>
        <b/>
        <sz val="12"/>
        <rFont val="Arial"/>
        <family val="2"/>
      </rPr>
      <t>Requirements Development</t>
    </r>
  </si>
  <si>
    <r>
      <rPr>
        <b/>
        <sz val="10"/>
        <rFont val="宋体"/>
        <family val="3"/>
        <charset val="134"/>
      </rPr>
      <t>访谈</t>
    </r>
    <r>
      <rPr>
        <b/>
        <sz val="10"/>
        <rFont val="Arial"/>
        <family val="2"/>
      </rPr>
      <t>+</t>
    </r>
    <r>
      <rPr>
        <b/>
        <sz val="10"/>
        <rFont val="宋体"/>
        <family val="3"/>
        <charset val="134"/>
      </rPr>
      <t>问卷</t>
    </r>
  </si>
  <si>
    <t>展示现有相关产品</t>
  </si>
  <si>
    <t>Infosys  高保真原型</t>
  </si>
  <si>
    <t>1 Traditional Spec Driven</t>
  </si>
  <si>
    <t>2 KJ Analysis &amp; QFD</t>
  </si>
  <si>
    <t>3 Prototyping</t>
  </si>
  <si>
    <t>Costs</t>
  </si>
  <si>
    <t>Min</t>
  </si>
  <si>
    <t>Most Likely</t>
  </si>
  <si>
    <t>Max</t>
  </si>
  <si>
    <t>LL</t>
  </si>
  <si>
    <t>Avg</t>
  </si>
  <si>
    <t>UL</t>
  </si>
  <si>
    <t>std dev</t>
  </si>
  <si>
    <t>simulation</t>
  </si>
  <si>
    <r>
      <rPr>
        <b/>
        <sz val="10"/>
        <rFont val="宋体"/>
        <family val="3"/>
        <charset val="134"/>
      </rPr>
      <t>工时</t>
    </r>
    <r>
      <rPr>
        <b/>
        <sz val="10"/>
        <rFont val="Arial"/>
        <family val="2"/>
      </rPr>
      <t>Effort</t>
    </r>
  </si>
  <si>
    <r>
      <rPr>
        <b/>
        <sz val="10"/>
        <rFont val="宋体"/>
        <family val="3"/>
        <charset val="134"/>
      </rPr>
      <t>质量</t>
    </r>
    <r>
      <rPr>
        <b/>
        <sz val="10"/>
        <rFont val="Arial"/>
        <family val="2"/>
      </rPr>
      <t>Quality</t>
    </r>
  </si>
  <si>
    <t>RR Decision</t>
  </si>
  <si>
    <r>
      <rPr>
        <b/>
        <sz val="12"/>
        <rFont val="宋体"/>
        <family val="3"/>
        <charset val="134"/>
      </rPr>
      <t>需求评审</t>
    </r>
    <r>
      <rPr>
        <b/>
        <sz val="12"/>
        <rFont val="Arial"/>
        <family val="2"/>
      </rPr>
      <t>Reqts Review</t>
    </r>
  </si>
  <si>
    <r>
      <rPr>
        <b/>
        <sz val="10"/>
        <rFont val="宋体"/>
        <family val="3"/>
        <charset val="134"/>
      </rPr>
      <t>邮件评审</t>
    </r>
    <r>
      <rPr>
        <b/>
        <sz val="10"/>
        <rFont val="Arial"/>
        <family val="2"/>
      </rPr>
      <t xml:space="preserve"> Email Routing</t>
    </r>
  </si>
  <si>
    <r>
      <rPr>
        <b/>
        <sz val="10"/>
        <rFont val="宋体"/>
        <family val="3"/>
        <charset val="134"/>
      </rPr>
      <t>走查</t>
    </r>
    <r>
      <rPr>
        <b/>
        <sz val="10"/>
        <rFont val="Arial"/>
        <family val="2"/>
      </rPr>
      <t xml:space="preserve"> Walkthrough</t>
    </r>
  </si>
  <si>
    <r>
      <rPr>
        <b/>
        <sz val="10"/>
        <rFont val="宋体"/>
        <family val="3"/>
        <charset val="134"/>
      </rPr>
      <t>Infosys 会议审查</t>
    </r>
    <r>
      <rPr>
        <b/>
        <sz val="10"/>
        <rFont val="Arial"/>
        <family val="2"/>
      </rPr>
      <t xml:space="preserve"> Sampling Inspections</t>
    </r>
  </si>
  <si>
    <t>1 Email Routing</t>
  </si>
  <si>
    <t>2 Walkthrough</t>
  </si>
  <si>
    <t>3 Inspections</t>
  </si>
  <si>
    <t>4 Sampling Inspections</t>
  </si>
  <si>
    <t>Design Decision</t>
  </si>
  <si>
    <r>
      <rPr>
        <b/>
        <sz val="12"/>
        <rFont val="宋体"/>
        <family val="3"/>
        <charset val="134"/>
      </rPr>
      <t>设计</t>
    </r>
    <r>
      <rPr>
        <b/>
        <sz val="12"/>
        <rFont val="Arial"/>
        <family val="2"/>
      </rPr>
      <t>Design</t>
    </r>
  </si>
  <si>
    <t>合并概要与详细设计</t>
  </si>
  <si>
    <r>
      <rPr>
        <b/>
        <sz val="10"/>
        <rFont val="Arial"/>
        <family val="2"/>
      </rPr>
      <t xml:space="preserve">Infosys </t>
    </r>
    <r>
      <rPr>
        <b/>
        <sz val="10"/>
        <rFont val="宋体"/>
        <family val="3"/>
        <charset val="134"/>
      </rPr>
      <t>概要</t>
    </r>
    <r>
      <rPr>
        <b/>
        <sz val="10"/>
        <rFont val="Arial"/>
        <family val="2"/>
      </rPr>
      <t>+</t>
    </r>
    <r>
      <rPr>
        <b/>
        <sz val="10"/>
        <rFont val="宋体"/>
        <family val="3"/>
        <charset val="134"/>
      </rPr>
      <t>详细设计</t>
    </r>
  </si>
  <si>
    <t>1 SA/SD</t>
  </si>
  <si>
    <t>2 OOD</t>
  </si>
  <si>
    <t>DR Decision</t>
  </si>
  <si>
    <r>
      <rPr>
        <b/>
        <sz val="12"/>
        <rFont val="宋体"/>
        <family val="3"/>
        <charset val="134"/>
      </rPr>
      <t>设计评审</t>
    </r>
    <r>
      <rPr>
        <b/>
        <sz val="12"/>
        <rFont val="Arial"/>
        <family val="2"/>
      </rPr>
      <t>Design Review</t>
    </r>
  </si>
  <si>
    <t>Code Decision</t>
  </si>
  <si>
    <r>
      <rPr>
        <b/>
        <sz val="12"/>
        <rFont val="宋体"/>
        <family val="3"/>
        <charset val="134"/>
      </rPr>
      <t>代码</t>
    </r>
    <r>
      <rPr>
        <b/>
        <sz val="12"/>
        <rFont val="Arial"/>
        <family val="2"/>
      </rPr>
      <t>Code</t>
    </r>
  </si>
  <si>
    <r>
      <rPr>
        <b/>
        <sz val="10"/>
        <rFont val="宋体"/>
        <family val="3"/>
        <charset val="134"/>
      </rPr>
      <t>少量代码复用</t>
    </r>
    <r>
      <rPr>
        <b/>
        <sz val="10"/>
        <rFont val="Arial"/>
        <family val="2"/>
      </rPr>
      <t xml:space="preserve"> Manual w/No Reuse</t>
    </r>
  </si>
  <si>
    <r>
      <rPr>
        <b/>
        <sz val="10"/>
        <rFont val="宋体"/>
        <family val="3"/>
        <charset val="134"/>
      </rPr>
      <t>基于现有产品</t>
    </r>
    <r>
      <rPr>
        <b/>
        <sz val="10"/>
        <rFont val="Arial"/>
        <family val="2"/>
      </rPr>
      <t>/</t>
    </r>
    <r>
      <rPr>
        <b/>
        <sz val="10"/>
        <rFont val="宋体"/>
        <family val="3"/>
        <charset val="134"/>
      </rPr>
      <t>平台大量复用</t>
    </r>
    <r>
      <rPr>
        <b/>
        <sz val="10"/>
        <rFont val="Arial"/>
        <family val="2"/>
      </rPr>
      <t xml:space="preserve"> Manual w/Reuse</t>
    </r>
  </si>
  <si>
    <t>Infosys Code Generation w/Reuse</t>
  </si>
  <si>
    <t>1 Manual w/No Reuse</t>
  </si>
  <si>
    <t>2 Manual w/Reuse</t>
  </si>
  <si>
    <r>
      <rPr>
        <b/>
        <sz val="10"/>
        <rFont val="Arial"/>
        <family val="2"/>
      </rPr>
      <t xml:space="preserve">3 </t>
    </r>
    <r>
      <rPr>
        <b/>
        <sz val="8"/>
        <rFont val="Arial"/>
        <family val="2"/>
      </rPr>
      <t xml:space="preserve">Code Generation </t>
    </r>
    <r>
      <rPr>
        <b/>
        <sz val="10"/>
        <rFont val="Arial"/>
        <family val="2"/>
      </rPr>
      <t>w/No Reuse</t>
    </r>
  </si>
  <si>
    <r>
      <rPr>
        <b/>
        <sz val="10"/>
        <rFont val="Arial"/>
        <family val="2"/>
      </rPr>
      <t xml:space="preserve">4 </t>
    </r>
    <r>
      <rPr>
        <b/>
        <sz val="8"/>
        <rFont val="Arial"/>
        <family val="2"/>
      </rPr>
      <t>Code Generation w/Reuse</t>
    </r>
  </si>
  <si>
    <t>CR Decision</t>
  </si>
  <si>
    <r>
      <rPr>
        <b/>
        <sz val="12"/>
        <rFont val="宋体"/>
        <family val="3"/>
        <charset val="134"/>
      </rPr>
      <t>代码评审</t>
    </r>
    <r>
      <rPr>
        <b/>
        <sz val="12"/>
        <rFont val="Arial"/>
        <family val="2"/>
      </rPr>
      <t>Code Review</t>
    </r>
  </si>
  <si>
    <r>
      <rPr>
        <b/>
        <sz val="10"/>
        <rFont val="Arial"/>
        <family val="2"/>
      </rPr>
      <t xml:space="preserve">Infosys </t>
    </r>
    <r>
      <rPr>
        <b/>
        <sz val="10"/>
        <rFont val="宋体"/>
        <family val="3"/>
        <charset val="134"/>
      </rPr>
      <t>邮件评审</t>
    </r>
    <r>
      <rPr>
        <b/>
        <sz val="10"/>
        <rFont val="Arial"/>
        <family val="2"/>
      </rPr>
      <t xml:space="preserve"> Email Routing</t>
    </r>
  </si>
  <si>
    <r>
      <rPr>
        <b/>
        <sz val="10"/>
        <rFont val="宋体"/>
        <family val="3"/>
        <charset val="134"/>
      </rPr>
      <t>会议审查</t>
    </r>
    <r>
      <rPr>
        <b/>
        <sz val="10"/>
        <rFont val="Arial"/>
        <family val="2"/>
      </rPr>
      <t xml:space="preserve"> Sampling Inspections</t>
    </r>
  </si>
  <si>
    <t>UT Decision</t>
  </si>
  <si>
    <r>
      <rPr>
        <b/>
        <sz val="12"/>
        <rFont val="宋体"/>
        <family val="3"/>
        <charset val="134"/>
      </rPr>
      <t>单元测试</t>
    </r>
    <r>
      <rPr>
        <b/>
        <sz val="12"/>
        <rFont val="Arial"/>
        <family val="2"/>
      </rPr>
      <t>Unit Test</t>
    </r>
  </si>
  <si>
    <r>
      <rPr>
        <b/>
        <sz val="10"/>
        <rFont val="宋体"/>
        <family val="3"/>
        <charset val="134"/>
      </rPr>
      <t>临时</t>
    </r>
    <r>
      <rPr>
        <b/>
        <sz val="10"/>
        <rFont val="Arial"/>
        <family val="2"/>
      </rPr>
      <t>/</t>
    </r>
    <r>
      <rPr>
        <b/>
        <sz val="10"/>
        <rFont val="宋体"/>
        <family val="3"/>
        <charset val="134"/>
      </rPr>
      <t>手工</t>
    </r>
    <r>
      <rPr>
        <b/>
        <sz val="10"/>
        <rFont val="Arial"/>
        <family val="2"/>
      </rPr>
      <t xml:space="preserve"> Ad Hoc</t>
    </r>
  </si>
  <si>
    <t xml:space="preserve">Infosys UT </t>
  </si>
  <si>
    <t>1 Ad Hoc</t>
  </si>
  <si>
    <t>2 Path Testing Only</t>
  </si>
  <si>
    <t>3 Data Flow Testing Only</t>
  </si>
  <si>
    <t>4 Both Path and Data Flow</t>
  </si>
  <si>
    <t>IT Decision</t>
  </si>
  <si>
    <r>
      <rPr>
        <b/>
        <sz val="12"/>
        <rFont val="宋体"/>
        <family val="3"/>
        <charset val="134"/>
      </rPr>
      <t>综合测试</t>
    </r>
    <r>
      <rPr>
        <b/>
        <sz val="12"/>
        <rFont val="Arial"/>
        <family val="2"/>
      </rPr>
      <t>Integration Test</t>
    </r>
  </si>
  <si>
    <t>没做集成测试只有系统测试</t>
  </si>
  <si>
    <t>1 Bottom-Up</t>
  </si>
  <si>
    <t>2 Top-Down</t>
  </si>
  <si>
    <t>3 Hybrid</t>
  </si>
  <si>
    <t>ST Decision</t>
  </si>
  <si>
    <r>
      <rPr>
        <b/>
        <sz val="12"/>
        <rFont val="宋体"/>
        <family val="3"/>
        <charset val="134"/>
      </rPr>
      <t>系统测试</t>
    </r>
    <r>
      <rPr>
        <b/>
        <sz val="12"/>
        <rFont val="Arial"/>
        <family val="2"/>
      </rPr>
      <t>System Test</t>
    </r>
  </si>
  <si>
    <t>Infosys 两轮</t>
  </si>
  <si>
    <t>三轮</t>
  </si>
  <si>
    <t>四轮</t>
  </si>
  <si>
    <t>1 On Breadboard</t>
  </si>
  <si>
    <t>2 On Brassboard</t>
  </si>
  <si>
    <t>3 Production Hardware</t>
  </si>
  <si>
    <t>AT Decision</t>
  </si>
  <si>
    <r>
      <rPr>
        <b/>
        <sz val="12"/>
        <rFont val="宋体"/>
        <family val="3"/>
        <charset val="134"/>
      </rPr>
      <t>验收测试</t>
    </r>
    <r>
      <rPr>
        <b/>
        <sz val="12"/>
        <rFont val="Arial"/>
        <family val="2"/>
      </rPr>
      <t>Acceptance Test</t>
    </r>
  </si>
  <si>
    <t>两轮</t>
  </si>
  <si>
    <t>Infosys 四轮</t>
  </si>
  <si>
    <t>1 Low Intensity</t>
  </si>
  <si>
    <t>2 Medium Intensity</t>
  </si>
  <si>
    <t>3 High Intensity</t>
  </si>
  <si>
    <t>Total Effort</t>
  </si>
  <si>
    <t>Total Cycle Time</t>
  </si>
  <si>
    <t>Tests to Enforce e.g. exclude if 1</t>
  </si>
  <si>
    <t>功能点数</t>
  </si>
  <si>
    <t>FP</t>
  </si>
  <si>
    <t>Total Quality</t>
  </si>
  <si>
    <t>TEST01</t>
  </si>
  <si>
    <t>如果有分概要+详细设计，设计评审必须审查</t>
  </si>
  <si>
    <t>Total development costs</t>
  </si>
  <si>
    <t>TEST02</t>
  </si>
  <si>
    <t>手工编码便必须代码评审用审查方式</t>
  </si>
  <si>
    <t>TEST03</t>
  </si>
  <si>
    <t>如果手工编码没有复用，就必须用审查做代码评审</t>
  </si>
  <si>
    <r>
      <rPr>
        <sz val="10"/>
        <rFont val="Arial"/>
        <family val="2"/>
      </rPr>
      <t>F</t>
    </r>
    <r>
      <rPr>
        <sz val="10"/>
        <rFont val="Arial"/>
        <family val="2"/>
      </rPr>
      <t>ield Defects</t>
    </r>
  </si>
  <si>
    <r>
      <rPr>
        <sz val="10"/>
        <rFont val="Arial"/>
        <family val="2"/>
      </rPr>
      <t>Field</t>
    </r>
    <r>
      <rPr>
        <sz val="10"/>
        <rFont val="Arial"/>
        <family val="2"/>
      </rPr>
      <t xml:space="preserve"> </t>
    </r>
    <r>
      <rPr>
        <sz val="10"/>
        <rFont val="Arial"/>
        <family val="2"/>
      </rPr>
      <t>Reqts Review</t>
    </r>
  </si>
  <si>
    <r>
      <rPr>
        <sz val="10"/>
        <rFont val="Arial"/>
        <family val="2"/>
      </rPr>
      <t>Field</t>
    </r>
    <r>
      <rPr>
        <sz val="10"/>
        <rFont val="Arial"/>
        <family val="2"/>
      </rPr>
      <t xml:space="preserve"> </t>
    </r>
    <r>
      <rPr>
        <sz val="10"/>
        <rFont val="Arial"/>
        <family val="2"/>
      </rPr>
      <t>Design Review</t>
    </r>
  </si>
  <si>
    <r>
      <rPr>
        <sz val="10"/>
        <rFont val="Arial"/>
        <family val="2"/>
      </rPr>
      <t>Field</t>
    </r>
    <r>
      <rPr>
        <sz val="10"/>
        <rFont val="Arial"/>
        <family val="2"/>
      </rPr>
      <t xml:space="preserve"> </t>
    </r>
    <r>
      <rPr>
        <sz val="10"/>
        <rFont val="Arial"/>
        <family val="2"/>
      </rPr>
      <t>Code Review</t>
    </r>
  </si>
  <si>
    <r>
      <rPr>
        <sz val="10"/>
        <rFont val="Arial"/>
        <family val="2"/>
      </rPr>
      <t>Field</t>
    </r>
    <r>
      <rPr>
        <sz val="10"/>
        <rFont val="Arial"/>
        <family val="2"/>
      </rPr>
      <t xml:space="preserve"> </t>
    </r>
    <r>
      <rPr>
        <sz val="10"/>
        <rFont val="Arial"/>
        <family val="2"/>
      </rPr>
      <t>Unit Test</t>
    </r>
  </si>
  <si>
    <r>
      <rPr>
        <sz val="10"/>
        <rFont val="Arial"/>
        <family val="2"/>
      </rPr>
      <t>Field</t>
    </r>
    <r>
      <rPr>
        <sz val="10"/>
        <rFont val="Arial"/>
        <family val="2"/>
      </rPr>
      <t xml:space="preserve"> </t>
    </r>
    <r>
      <rPr>
        <sz val="10"/>
        <rFont val="Arial"/>
        <family val="2"/>
      </rPr>
      <t>Integration Test</t>
    </r>
  </si>
  <si>
    <r>
      <rPr>
        <sz val="10"/>
        <rFont val="Arial"/>
        <family val="2"/>
      </rPr>
      <t>Field</t>
    </r>
    <r>
      <rPr>
        <sz val="10"/>
        <rFont val="Arial"/>
        <family val="2"/>
      </rPr>
      <t xml:space="preserve"> </t>
    </r>
    <r>
      <rPr>
        <sz val="10"/>
        <rFont val="Arial"/>
        <family val="2"/>
      </rPr>
      <t>System Test</t>
    </r>
  </si>
  <si>
    <r>
      <rPr>
        <sz val="10"/>
        <rFont val="Arial"/>
        <family val="2"/>
      </rPr>
      <t>Field</t>
    </r>
    <r>
      <rPr>
        <sz val="10"/>
        <rFont val="Arial"/>
        <family val="2"/>
      </rPr>
      <t xml:space="preserve"> </t>
    </r>
    <r>
      <rPr>
        <sz val="10"/>
        <rFont val="Arial"/>
        <family val="2"/>
      </rPr>
      <t>Acceptance Test</t>
    </r>
  </si>
  <si>
    <r>
      <t xml:space="preserve">WAR </t>
    </r>
    <r>
      <rPr>
        <b/>
        <sz val="10"/>
        <rFont val="宋体"/>
        <family val="3"/>
        <charset val="134"/>
      </rPr>
      <t>审查</t>
    </r>
    <r>
      <rPr>
        <b/>
        <sz val="10"/>
        <rFont val="Arial"/>
        <family val="2"/>
      </rPr>
      <t xml:space="preserve"> Inspections</t>
    </r>
  </si>
  <si>
    <t>WAR 三轮</t>
  </si>
  <si>
    <r>
      <t xml:space="preserve">WAR </t>
    </r>
    <r>
      <rPr>
        <b/>
        <sz val="10"/>
        <rFont val="微软雅黑"/>
        <family val="3"/>
        <charset val="134"/>
      </rPr>
      <t>审查</t>
    </r>
    <r>
      <rPr>
        <b/>
        <sz val="10"/>
        <rFont val="Arial"/>
        <family val="3"/>
      </rPr>
      <t xml:space="preserve"> Inspections</t>
    </r>
    <phoneticPr fontId="10" type="noConversion"/>
  </si>
  <si>
    <t>Walkthrough</t>
    <phoneticPr fontId="10" type="noConversion"/>
  </si>
  <si>
    <r>
      <t xml:space="preserve">WAR </t>
    </r>
    <r>
      <rPr>
        <b/>
        <sz val="10"/>
        <rFont val="微软雅黑"/>
        <family val="2"/>
        <charset val="134"/>
      </rPr>
      <t>脚本自动化测试</t>
    </r>
    <phoneticPr fontId="10" type="noConversion"/>
  </si>
  <si>
    <t>Data flow test only</t>
    <phoneticPr fontId="10" type="noConversion"/>
  </si>
  <si>
    <t>CB_Block_0</t>
    <phoneticPr fontId="10" type="noConversion"/>
  </si>
  <si>
    <t>㜸〱敤㕣㙢㙣ㅣ搷㜵摥扢攴㉥㜷㤶㕣㜱㉤捡㤲攵㌸づㄳ㍦攲㠴挲㕡㤴慤挶㑡愰㉡㝣㔸㡦㤸ㄲ㘹㤱㤲攳㍣㐰つ㜷㘷挸戱㜶㘶愹㤹㔹㑡戴㥤搸㍦㡡ㄴ㉤㤲ㄴ〸搰㈶㜱㡣挴㜵㔳户〱㡡㍥搰搶㑤摡晥㈹㄰㈰㐱攰〴昹ㄱㄴ㘸㠰〲㙥㔰戴㍦㔲ㄴ〲晡愳昹ㄱ㈰晤扥㜳㘷㜶㘷㤷摣ㄱ扤戶㕢扡攰㤵昶攸捥戹㡦戹昷㥥㜳捦㌹昷㥣㍢捡愸㑣㈶昳㉢㈴晥换㌴挸捣㕤㡢㥢㐱㘸戹㤵㤹㐶扤㙥㔵㐳愷攱〵㤵㈹摦㌷㌷攷㥣㈰ㅣ㐰㠵晣戲㠳昲㈰户ㅣ㌸㑦㕢㠵攵つ换て㔰㈹㤷挹ㄴち㐶ㄶ攵散㠴扦㜲晣㘰戰搵挸㈰挰搲捣昴晣捡㔳攸㜵㌱㙣昸搶㤱昱换扡敤挹挹挹捡㘴攵搸㐳㈷㈶㉢㐷㡦㡣捦㌴敢㘱搳户㑥㝡㔶㌳昴捤晡㤱昱㠵收㑡摤愹㍥㘶㙤㉥㌵慥㕡摥㐹㙢攵攸㐳㉢收挳㡦㑣㍥㝣晣戸㝤攲挴㈳㈳㜸㜵收挲捣昴㠲㙦搹挱㕢搴㘷㡥㐳㝥㜸搶慡㍡㥣㥢㘵昹㡥户㕡㤹㤹挶摦挴昸昱昴愱捡攲㥡㘵㠵㝣戵攵㕢㕥搵ちっ㌴ㅣ㜶愷㠲愰改慥㜳昱っ昷㌴愶㕡㌵㠳㌰攷捥㔸昵扡攱挶扤ㄶ摣㜹慣㕤摤摣ㅣ㜱ㄷ㉤㉦㜰㐲㘷挳〹㌷昳敥ㄲ㍡慡㤵摣㑢㠱㜵搱昴㔶慤ぢ愶㙢攵摣㌳㑤愷㌶愸㔳㘶攰晤㜱ㄷ挹㠱挹昴㉢㔳㠱㍢戳㘶晡㌲愲㠰ぢ㤳㔲昷戴㕦敤慣㝢㑦敦㝥㌹㜴㜹〳晢扣慦㜷㍤㤴㕣㌶晤㔶捤㠹摥㌵愳挹㜷㡥攰挱摥昵ㄳ㙢搴搹收〳扤摢挸㔲㜶搶㔶挳ㄱ㝦换㡡㘲㌲㐶㥥㘰㠸愰㐰㐰〲ㅡ㐵㠲㘱㠲ㄱ〰㌵昸㕦搸㈵挹㠶㉣捡㉥㥢搹攵㤵散㜲㌵扢㕣换㉥㕢搹㘵㍢扢扣㥡㕤㕥换㉥㍢搹攵愷戲换㔷㔱㈷㑥㠵愱愱㙣㤴慥晤昴㉦㥦晣㥤㈹晦戱㉦㝣敦ㄳ昷晦昷㠷㝦㥥ㅢ搹㠷㑡㡦㐷㠳㥡昵捤敢㘰戵㌶ㄷㅦ慢ㅣ攵㥦㕢敦ち㙣ち晢戸晤㈱㝢㜲戲㜶晣愸昹㤰㤹攳戴㔲㠸摦挱㈸㘵搴ㅤ戱㥦㜰扣㕡攳扡搰敥慥㘹㌳戰摡ぢ㌷ㄱ㤵㑤㌷㥡㕥㉤㜸搷昶㠵㡢愱ㄹ㕡㜷㜶㤷戵㍢搹搲㙣ㄱ摢捡ち攴㝤㜷㜷㌷扢㙣搶㥢搶搴つ㐷ㄷ扦扢慢搸㕤昰ㅢ㉢扤㑢㑦晢搶戵㔶改㤶ㄱ㑤㐱愸㙤㐸摦㕢㘶愹㡢昴戸挶㘷搶ㅡ㠱攵挹昰㈶摣〵愷㝡搵昲ㄷ㉤㡡㐴慢㈶㔳扤㥤㐵搱慥㥦㤸昷㌰㔱散搶摡晢㤲㔸晢搱ㅢ㈱㌶戳㔵挳㜸搷㉤㍦摣㕣㌲㔷敡搶挱㡥㉡晡㥤㈸㌸摣㠱㍥摤愸㌶㠳㤹㠶ㄷ晡㡤㝡㘷挹㔴㙤挳㠴愴愹㥤㙦搴慣挱挱㡣〸〵〸摣㠱〱愵㌲ㅦ散扤ㄷ㠴㄰〹ㄲ㜳㈳摦搱挹㜶㤵㡢㤸ㅤ㘶㔱户挸㤳搹㝢㙦搱ㄹ挷㉢㌲㈶㘵〷㈶收㐴晤挱㤷㍥㜰㡢㙥㕢㤴㝢㝢㉢㘷戳㘳搱散ㅦ摤戰扣昰慣改搵敡㤶㥦慡晤ㄴ㐷㘴㡣〲攴㙥㐲㈰昴㕣㍤慡㍡㜵㐳㙤收慥㍢戵㜰㉤扦㘶㌹慢㙢㈱㜰搰㤰㠵〲㤷㜶㑢㌲㙥〳捡搸㑦㌰〶㔰㉣㘶昲〷㔸㈹㕦㐴捡攴㈸㥤㔲昶㜲㠷㈰㘷扢㡥扤㍣㘲㥦㜶敡愱愵㠵昲愸つ㡡㘸慤㈶攴㉢㤱㐵㝤戳慡ㄵ挶〱㝢〶㕣㙡㍡㕥戸搹摥户㕢㜶㠹㘶愲㍤㔹戰敢㘴〱㐵㐱愷㍣㐸搹㙢㘰㥡㉥㘹㤰㕥㌹挱㐴摣〶㈹㥡ㅤ㍤㜷㌲ㄹ敢愷挸〸搴㑦㌲㈱㙢ㅦ敤㉤㈳挸散㕢㤹㤴㡤㝡敥挷㍤㘹戶㥤㉤慦愵搹敤㔸㌸攳㈰挱㈱㠲㍢〸づ〳愸㝦㠳㠴愳㤴㐳扥㌳ㄹ敦挲戳㜱ㄷ挱扢〱㈰㥦っ捡㥣㐸㔴搱㠶摡㠹ㅤ挹㝡㈵搸挹㘲ㄴ㙢㔱㐴换戸㘵㘷㤶㕣㈱㜴㘴㜵敥づ㕤㍢㈸㍡昶晥摥扣㤹㥣づ㌹㌲愵㙡㜲慥户愸㥡㕣〸㔶敤㔳㙦扤〷㑤㡤㜱㠲昷〲㘸挵㐲㘳㜷㘷搶㍣捤挹㜷㠴㐹愴つ愱㍥㤵㝢挴挴㌴晦㔳〴摣㤶愳换㥥晤㑣㔳㜰挲㝥挷摢捦㐷㝡敦敤㠸攸㕤㍡㜳㑦攷搰㔷昴〶㉤攸昷㘱㝢愹㝦敥愹㕦敥㐵戱㜱ㅦ挱晤〰㕤晡㠵㈷敦㌷敡㈵㄰㤳搸㑤㔰㙥㍦㍤㉥㘲攱㉥㙤慥㕢愲㝤㐶散㈵搳㕦戵㐲㜸㉦捥捤挲づ㙥昸扥㔵挷㠱戶㈶〸㥥㕤づ㜵㈲㠳搳㝥挳㈵㝥捦㍥づ摥ㄱ㡡㘱㜰㌰㍢㤰改戲㡦㔳散捣㠴扦㈹挱㌹搴扦て昵ㄶㄲ㠹㐶㥤散挵㜶改㘷换㍤㐹搲㠷㈴㜹〰换㙡㝣〰〰㔲㐲晤㘳㑦㠹㌲挱㙡㐷愴㕡愷戵㑡敦㕥捡挹愴换㝦戸㐵㡥っ㙢㘷敤㌴㝣〷㐱挹㕤㜴摣㤶戰ㄸ㜶ㄷ㉣扦ち扦㠲㔳户㡡摡㈵㑢㔱戳㈷㉢摥㈱戲㘲㘰㘰换㔹㍡挵户㈶㝣搲㈵㈵㔲㜷㝢㙡㘱捡㌹扣捤㔴㜴㐱㔲愸愴戸㠵㕡ㄲ㠸㥣挷扡㝢㈲愶てㄱ㔳挱挲ㄹてㄲㅣ㈵㤸〴挸晤〸㤲㘶愷ぢ捦㔰搸搰〶摤搹换换㤹〲挹㈰敥挱ㅦ昶ㄴ㔶て昳㌵挷〹㝥つ愰换晣愱昳㌱㠵ㄱ㠵攴〹㐶愴戵㘴搸㤷ㅤ敢㍡㜹㘰㥦㡤愰搲㑣㌳〸ㅢ㉥愳㑡㈵㝢戶㜱愱ㄱ捥㍡挱㍡愲㔰㘳㜶㤴㜹㘲捤昲挰㕤㍥㙣㥦㉥㕣㘳㝤摤慡ㄹ昶㘲愳〹搱㜶㙥㜶㌷ㅣ捡㌱㍦搸㤲㜲㉥捦㉡愴晥捥挶攸㐲挹㠹ㄸ扥㔶㝡㘲㜷攴昹收愱㙦戴扤愲㑢㑥㔸户㠶㙤扤改㤸㉦搸㔸㐵㐴つ㙡㐳昶搲㥡㙦㔹戳㈵晢㡣敦搴敡㡥㘷㤱ㄸ戰㌱ㄹ愸㥢戳㔶ㄱ㈱㔸㘸㌰晥搷昰㑡昶㤲㙦㝡挱扡挹㘰攲收晥㡥㈷〹㠹攴散㘹挷ぢ昰ㅡ愱㈲昳愳昶攲㕡攳㍡愲戵㑤搷㍢㘳慥〷扢㠲㉡㘴㝡㥤㠴㌴㉡慢戲㔹㔵挸ㄶ晡愵てて攴㤹捣㌱晣〶〹㠴㔶㤹ㅣ晤攵㈹摡㥢㜶㝤ㄴ㥦愱㥤捥㌱㡤㈰㜲搴㐲づ愴㑡㘱敥㔴攳ㄱ戶㌹〱昰戱㌳㤷捥戵愳㜲㙦㉡㕥㥤愳㠷㍦㐵挶ぢ㕢戴㠲㈰昴捦敤搳慣㐲ㅣ㌹〷㍢㄰ㄴ攷㔳㌷晢ㄵ㙤愹㐳敥摢搷捥㥥㐶ㄴ㘹挴㥥㌳㔷慣㍡㘲搱慥ㄹ敥搳て㌴㘳㕤戳ㅥ㐴㘵㌳つ搷㌵挹㕡㘴换挵慡㐹づ㥥㙡㠶㡤昳㡥㘷搸〰挲㝦ㄱ捡扣〱㤴㜹㐳㔰㈳昶㐵㠶〵㈵捦扥ㅡ慢愶敦㠴㙢慥㔳㉤昰㠱愱扢㕤挱㤳搸攴㤴扣㜱㡡㘵挶㜸㤷㌵㝦〹㈶㕢㔰〱戹㉢㤰愳㕣㍡㤲ㅦ㥣㥢㔵㜹晣㔱㝤㍡㤶㈰㘰挴㑢㙡㝣〴扤攵攴㘶〴㐴㡥愴㥢昱晤㡢㥢捦〱愳晤㜲愴㝡ち㡢挰㈳㤸㄰昲㜴㙦攷敤㑢㥥ㄳ㠲㝡愴搸㘹㈷㥣つ㐰㜲〰㘴攵㜸㝢愷㔰㌵搱㘸愲愵ㄵ摥戳戵愸㐳㑤摣扤戵㍣愹㌷敥摤愶㔸㙢㤴㠴㈲戹㔵㈵搱㉣摢㡣㜱㌷愹ㅡ㈵㡡㍢搶㌶㉡捤㙤摡㕥㜷㑡㤱㌷愱㤸㠴㘷㌲挶㐹㘱ㄴ〴㜹挹ㅤ搰㔱昴搷愷戳㐷㈲㕡㐳ㅢ愰㐸㍤愵㜱愵㈸ㅣ㜸づ㔷㑥㙡㔶㌱㝡挲晥摥ㄷ㘵攷㥢㘱㐷㠹㜹㘳㉣㉡㤹慡搷攷㍤㔸〹㔵搳慦敤㤲㉤㡤戹㘹つ㈳扢戳㕦敤慦㤷㌷戱ㄱ愳㙤挸㤰㐸㡡ㅦㄸ摢㄰㥢㉢ㄱ㑤愵㜵㔶攲㔲户搰〵㍥㥤户㑣㑦㈸戰ㄸ搶㘶慤つ㌱挳摡㤶晣㤸㌴㘸㥤ㄶ㐵㡥ㅡ昶搴㑡〰㤵ㅥ㔲㡥㐷㌹搹攰㠶㝤㤱㙥㈹㕣㘰㠰搸㡤㜲ぢ搵㄰㘱摤㔶〷㍣ㄹ散ㅥ敡㘰㐵㜴搸㠴搶ㄹ㈵㘸㍥㠵㜱㍢㈷挱扤搳㈷㐵㈱㐸㙤㐹晦㜹㑡扤昰㔵愶㙦㥤捡挴㤹㘸ㄳ㌱搴㤵㘲㍤㠰戸挹愸㈴㜷搱㔸ㅣ㉣搷㤲㑤㠴搶㐸㡣愳㠹㔱愲挹攷㠷戸挱挳㌸搶㈸户㑤ㅤ㜷摣㐲〷摡戴扥戹捦㍥攷㔵敢捤㥡㈵慡㌸㤶搵愲㤱㜷〵扤攴晡㥦摥㑤㈹敢ㄲ㉤捡㌹ㅣ愵㌸㘵ㄲ愹㝦扢摢昸㜵㌴ㄷ㈱㠷㍥戴㙣㘳昰㌱挵㉤㈷挱戰㉤㜷ㄴ㘸ㅦ敥㙦㕦㕥㤰㡢㜳㄰㘹㕢㔰㤴㘵㜳戸㡢搷㡡㈰换㙥㑢㔴㥢㙢捣㌵㘸戳㈷㔰㘷ㅤ㡤摡ㄵ㌴挲㍣戵挰换攷㘱㡣昴戹㍢搸㐹收㘶ㄴ搹扤昹㥣㍣㘶㙥㥥㡡㡣て挵昸㉥㑦㐱㤹晣㐷〱㠶ㅥ㙦㥡㜵㕣㑣〴㤹戵〵㥥㙤㕢攰㡡㔱㘰㕡攱挶ㄴ㠰㘲㌸㤸挶㉤㙡㙡㘳㘷〶昹㔴㘳挷㤸㐵つ㙡㌴〶㈷㔳愲愵挹挰㉡㘳㤶㘳㜰攰㠳㠸搸㕤㍣㔸㉦㌵愰㤴挲〳㜲㐹㉣扥愷㌸攱攲㐸搴昰て㜶㈱ㄷ捣㄰㔷㘱扣挳㕤攸愹㕡㡤收㉦晣㜵扢㠲捡戸挶愱捤搳〳㕤ㄷ戴㘴㑥戴昷敥改㉡㠸㉥づㅥ㥢慤㥣㌵挳敡摡㘲戸愹㉦㜱昵换㈲戹扦㠳㝦㘲摢户搳㠶ㅥ昴㜸㈹㜵㠳㙢㕦扣敡㌵慥㝢㌲慥㕣挰ㅢ㠰攰ㄲ㕣愷ㅣ攲㈰㡢㤹㕦攱㡦愴㙣㈶昷户攸㜱㈷挳㘶〷㙤㠷〹晢㤱愴愵挳㌸昲㈹㝣〲㕢扥㜵㠳㠰㝣㜲愰㡢㑦㐴㌰散㌱㡡户晡㤶㌱㡡晡づ挸㑡㘶搱㐷㜴慣昹㉢搸晥敡摢挰㤰攰㜸㡥挴㑡敥扤挸愵㤰㑥〴㝢㜴摤㠳㤷㐳晥晦㔰㈹摥捤摢㙥愷晦㠵捤慣晥愶㥢㐴㜷㤳㐴慦㙥㈵ㄱ〳戳㙦㈸〴捥搱敦ㅤ㍤摦昶㙢扥晦㠷㐷捦㌹㔰㤸㐹慣㌳〴搹敥㐵㕥㡣〳散㜷㤵ㄵ㤷㕣搲㈰戸て挵㘲㄰㥣㘷ㅢ挶敦戵㐱㄰㜹㍦收㠱㐸㌵〸攴㜸换愸㕥㡡〹㤸〸戲㈶ㅣㅡ㍣㝢ㅤ㜴改ㄹ㍢㡢敢戶㔶㠰㐸㍥搴㔳㌰〳㕦搴愱慤攸〵搳㌷摤挳㠲㍦攳㕢㔰㕢晥ㄲ敥㙦㑢ㄳ戶戸㜳摢ㄲ㘹戴㡤㤷㈲昶慦敦㜹㔲㜶㜶㙢ㅤ㤴搲㐹㍢敥㔵㐱攵摦㠴㡦㐴昱挴㤰㜹收挰㥦㥥昹㤷愷㝦攳ㄴ敦愹㐵扣㥡㘳㘰戸㥦㘰㍤㉤〷㠴㜳ㄳ㔷㐴㙥攷攷㌸攷昱㘱㤲戳㕥户愶㑤㕦散㥤挰㜰攳慣㘶扣〴㘳㙡收摢つ挶㈴㙥㍣㘸㘳戲搲攵攸㤴捦㤹挴㌹㔸㐹っ㕣扣㜹㜱挰㔰昵㔴㔹㝤摡㤵戹㍦㠷搲㜹㠳〳改戴〷㜹摥㘴㔲敡捦扡戵摡㜱㙡㌵㌱ㄳㄵ〳晥戱㤴㐲攴㠱ㅣ㤲㤴㔲扣ち㈰㔲敡㈲㌲戹ち㐰㑡㑣慤㍢戸㑢㑦挰㥥㄰戰㕡搷晤晡晣㜴〵慢〸㉡挶㕥昸㝥捦戲戴㍡㘳搵昴㈰昳昸ㄹ㡢〰㜲㑣㈱㠲㔱㕢挱㉥㈱ㄳ愷摣㈴㜲㍢㜶㐴昱㈵㈵㔷㠷摣昴挶捥戹昴戲ㄵ摤㐷扤㈶敥㝣㐰捦攴㐵㘱㜸晢㠹挶搱㔳愲㜳扡㙡㔱愳〸㐷㜵戶搵㘸㌸㉡㠲捥昲づ攳晣㠹戰ㅦ扦て㘲昹㐴扢敢摢扢㑢愸攳扣㈱㑣㤰㍦搸㕦㜷愷㙣㙣扣㤵㍢〶ㄲ㜶㐷戵ち晡㔲昸㈵㌴ㄱ㝢㕥ㄹ敤㉣摦愵ㄴ愳搳昱捥ㅡ搸慡晦㡦愳㔸㜶搶㘵搶㘶〰扢㐳晦㝦ㅣ㠸㕢敡㝦挵愸㥢㤰散挹㈸挳㠷ㅣ㈳㈷户っ搶㜰㐵攰搳㐶搸㐶㡥挰㠶㘴ㄹ散搶戹㐵㝣戲慡㡢㐵㠲挳攳㌵搸㝤㈹愲搵㤶戶敤㜰㑦〱㜸㠲㐳㝡〵㈲愸㘷㝢づ㝡敢㌹㌶晦㐹愰て㥣㜷慡㝥㈳㘸搸攱昸㈲挲扤攳晣攲捣㠶捤㌳愵扥搹㉤搴敥挱㑡㡣㝣ㅡ㙤㉥捣㐳㘰㕦戰挲户㉡ち挹㤸挲捥㘲ㄸ晣晡愸㥣〸㉣㔱㍢〴户搹㤱㕦㘸ㅥ㕥捥㤰愸㕤愱散戴慦戹晢㙥〶㤷づ户戳ㅥ㠳攷挷慡㔷㄰ㄶ㤳㈹㝣昲搳㕣搷敥㌵攸慣ㅢ捤㉤㘰捤晥扣㙤挵摣换愰改捥摥搲挹㌲㝣㈷扦㐳㉥ㅡ换㠴昰㤲搱㕢扡㜳搷㉣㝢ㅢ〳㥦㐷㥦㜱搳攵㌵㔱㠷愳㙣〷㜱敦㉢㘸慡愶〸昰㌳捣㈸挳挱㈸晡昴戸ㄵ搵搷㌱㉤㙥〰攴㌳昹㉡㐰㙦慥㝥㜱㍢慥㔶戳散〵㍦挳㘲て搱㑦昱挰㐱摥㉣慡ㄷ搰㡡㙢愷搷㘰㤵㌸ㅣ㐰攴㘰㠱扣戱〶㄰㈷挵㠳㠵㡣敡换㘸搰ㅡ搵㔳挰昶ㅥ搵敦㙥㍢㉡㥡〴㌲慡㝡摣㌹晥㉤挷㉡挵㜰昱㘴㜸〴つ㠲㜵ㄶ挶㥡㘵㤴挲㤲ㄲ㈸慦㐳つ摦㌹㠵㍣搲㡦愳㝦㕦㍦昵挳搷㤸晥攳㤴ㄲ昱㠸㈲攳㥡搴搰㐰㔱㍣捡㉣扥㤸㥣㐵〰㙣敦㔹㝣㝥扢㔹㤴㈹㌹㜹㐱挵㘸〲㤴㐶ㄵ㌹㐸㘶戵ㄱ㘵昸愰慥挴搸敢挸挴愹㙣㈲㈷㙤㙦㈰㔳ㅡ㉤㤳㍣昲扣㠹㡣昱㌴挱㌳〴捦ㄲ㝣㠶攰戳〰愵愲㈲㠹攴㈵捦㐵ㄹ㍥㤴㐹㈷㌶㉦㤵换㕣㔲㥤捤㜱ㅤ㔳扥ㄳㄲ愳㡢昷㉡改ち捡㙢㕦㙥㕥慢摡㠲ㅢ㌹㜱㜷㠵挰㠹摣昱㍤昵㐴扥捦ぢ〳敡昹㤸慥㘷捦挶ㅦ㘱㘵愳㄰ㄶ昸㑡㥢戹攴㐳㉥愴㝡㉥慥晣ㄷ慦戶㍤慥㈸㐰〲昳改捡攴㔷愹晣搹戸昲㌱㝣攰㈵㜵㌲扣㤰挰昴㝡㕣㜹ㅤて㔲昹㌳㜱攵㥦ㅦ㍢摣慡ㅣ戳戱敥戹㑣ㅥ㡥挸㑡㜶㑢戱愵攵㜴㤱昸敥㝢ㄴ搵㜳㌶昵昳戰慤搱㤴捣ㄲ㤴慥㡢㠶ㅥ挱㌵ㄳㅦ㕦㕥捦攱搶ㄴ㉥㤷㐰㠸敢晦㠰攱ㅣ㙥㔳捤㥡愱㠹て慢㌷㄰挶昶つ㜹㘲攳扣㍤敦〳㌱㘴㥦ぢ㜰㘶慢敤㉡㙥㠱戹㌱愸㤷晡ㄶ敥晤ㄴ搳戴扤ㅥ㜱昸㉤换摢㈹晤㈹㈷〹搳っ慡㘷㘲㈲㘷㥥㙦戳㡦昱㌹㄰〷〲ㄷ㤰ㄹ攳㌷〱㜵㔸攷〰ㄱ㘵㑡ㄲち㍢攳户〰㑡〳㘵捡㄰捤〵㡡㠲㠳㥣㤰晦㙤㠰搱昸㍦挰ㄸ摦㄰㡦㑣㔶㌵攳搷㈵㜹捡昸㍣ㅢ㝣〱㘰〰慥㘰戸㤶㤰㜰攱挱昸㈲晥㑤扣㌶㐷㈱昴㤱摥ㄶ㉦て戴昱㐷昹〸㔵㜶㝣㝤晦㈸扥愶摦㘴挷〳昸捦㐴㜲㘲㥥て㘶㍦摣㕦㕦㘴㌵㕡搶昲㕢挷㠴摥㐴㍦㕣攲戶愵挸ㅥ㐵攵㈹㡡㕡㑥㔷㌵搰㍦摦㐱挳扢愸㈸㝣〵敤㐵攸㠳㠲愶㌸ㄶ戴ㅢ愱㜹㝢愱愸㈸愰〵㕤㡦搰昴慥ㄵㄵ㐵戶愰慦㐶㘸㍡㑢㡡㘵㑡㙥㈱敡敦㈱㔳ㅡ挸㤱〷㜶捣㡣㥣㐷㥦〶挷㤷搱㔴㤱挳搸㠷昱㤵㈸挳〷㐵昶㤲㤱慥㐶㈳㍤挵㉡㉦戰㠸㉣挳ㄱㅡ㕦攳ㄳ㌹㐵㥡扦㠸っ昵〶㝦㡡ㄳ㤱收搵㘴昳慦戳㐸㕥㡡㡣昱つ㠰㌸㤵昹㜲㔹㠲㤷㤰㈹つ㡣昲㑤㑦攰㤷扤愱慡㔷㙡㔷慥晣㘲㜴㜰晣捥挱㡦㝦㜴攴慢慦晦攰㘷㕦晡挹愷㑥晥晢㉦㕦㝣昱㈷晦晡愵搷㝥昹昷㉢㈷扦昷昲换摦晤搸㌷㕥晢搹㝥晢愵散慢扦㤸㝢改搹挹慢捦㕥戳㉦㝤昰捣戳㑦㍥昵昸攴挲㙤ㄳ〳〳㐳㐳敦ㅦ晢晥ㅤて㤴㥦扦昶㙤昵て晦㜴挸㔳㌲㜸扣挰昸㝤㠰㌸㤵㌹〹㙥㈷攳㘵㠲㍦㈰昸㈶挱ㅦㄲ扣㐲昰㐷〴㝦㑣昰㉤㠰㔲㘱㤴㤳㝡㍢㐷㕡收㍡㐵㕢晣㈵㘴㘵㔹㉦㐷换㍡つ㐴㐱㘵捡昱㈴ㄴ挷㉤㌵㉥㐵㌵㘴㌶㝦〲慣攲㙣愴㘸㌱㉡搲晣捥昹〹晡㘲㠴搶晣捥ㄹぢ晡昱〸慤昹㥤㙢㈰攸㠵〸㝤〸㠸愲攲慡〸㝡㍥㐲㙢㝥攷㍡〹晡㐲㠴ㄶ㝥㔷㕣㌹㐱㥦㡦搰搱㌴ㄴ挷㈹慣昵㔷挸㈸〱挸ㄸ㝦つ挰㐴〶㈹昳㐱㉦挷昰晦〰昵敦て〵</t>
    <phoneticPr fontId="10" type="noConversion"/>
  </si>
  <si>
    <t>Decisioneering:7.0.0.0</t>
    <phoneticPr fontId="10" type="noConversion"/>
  </si>
  <si>
    <t>㜸〱敤㕣㕤㙣ㅣ搷㜵摥扢摣㕤敥㉣戹㈲㉤捡㤲攵㌸づㄳ摢㠹ㄳち㙢㔱戶ㅡ慢㠱慡昰㐷㝦〹㈵搲㕡㑡㜶㤰〶慢攱敥っ㌹搶捥っ㌵㌳㑢㠹戶〳扢㠵㠳ㄶ㘹㡢〲㐱ㅡ挴慥摤戸㙥敡愲㝤攸㉦攰㈶㙤㕦ち〴㘸㔱㌸㐵ㅦ㠲〲㝤㈸攰〶㐵晢搰愲㄰搰㤷㍣〴㜰扦敦捣捣敥散㤲㍢愴搷㜶㑢ㄷ扣搲ㅥ摤㌹昷㘷敥扤攷摣㜳捥㍤攷㡥㌲㉡㤳挹扣㠳挴㝦㤹㜲捣摣㔷摤昴〳挳慥捣戹捤愶㔱て㉣搷昱㉢㌳㥥愷㙦㉥㔸㝥㌰㠴ち㠵㥡㠵㜲㍦㕦昳慤㘷㡣㘲㙤挳昰㝣㔴捡㘷㌲挵愲㤶㐵㌹㍢攱㙦㍣㝥搰搸㙡㌴〷戰㍣㌷扢戸昲㌴㝡慤〶慥㘷ㅣ㥢扣ㄶ戶㍤㍤㍤㕤㤹慥㥣㜸昴搴㜴攵昸戱挹戹㔶㌳㘸㜹挶㘹挷㘸〵㥥摥㍣㌶戹搴㕡㘹㕡昵㉦ㅡ㥢换敥つ挳㌹㙤慣ㅣ㝦㜴㐵㝦散昱改挷㑥㥥㌴㑦㥤㝡㝣ㄴ慦捥㕣㥥㥢㕤昲っ搳㝦㥦晡捣㜳挸㡦捤ㅢ㜵㡢㜳㌳っ捦㜲㔶㉢㜳戳昸㥢ㄸ㍦㥥㍥㕢愹慥ㄹ㐶挰㔷ㅢ㥥攱搴つ㕦㐳挳ㄱ㝢挶昷㕢昶㍡ㄷ㑦戳捦㘱慡㜵摤て昲昶㥣搱㙣㙡㜶摣㙢搱㕥挴摡㌵昵捤㔱扢㙡㌸扥ㄵ㔸ㅢ㔶戰㔹戰㤷搱㔱愳㙣㕦昵㡤㉢扡戳㙡㕣搶㙤㈳㙦㥦㙦㔹㡤㕣㤸㌲㐳㥦㡡扢㐸づ㑣愶㕦㤹昱敤戹㌵摤㤳ㄱ昹㕣㤸㤴扡攷扣㝡㜷摤〷晡昷换愱换ㅢ搸攷㐳晤敢愱攴㥡敥戵㙢㑥昵慦ㄹ㑤扥㝢〴㡦昴慦㥦㔸愳敥㌶㥦敥摦㐶㤶戲扢戶ㅡ㠹昸㕢㔶ㄴ㤳搱ち〴挳〴㐵〲ㄲ㔰㉢ㄱ㡣㄰㡣〲愸摣㝦㘳㤷㈴ㅢ戲㈸㕢搳戳戵㤵㙣慤㥥慤㌵戲㌵㈳㕢㌳戳戵搵㙣㙤㉤㕢戳戲戵愷戳戵ㅢ愸ㄳ愷攲昰㜰㌶㑡㐳㙦扥㥣㜹㌶愸㥥晤晡て摥昹收慢愳敥捤搱〳愸昴㐴㌴愸㜹㑦扦〵㔶敢㜰昱㠹捡㜱晥搹㜹㔷㘰㔳㤸㈷捤捦㥡搳搳㡤㤳挷昵㐷昵㍣愷㤵㐲晣㉥㐶ㄹ㐷摤㔱昳㐹换㘹戸户㠴㜶昷捤敡扥搱㔹戸愹愸㙣搶㙤㌹つ晦㈳摢ㄷ㔶〳㍤㌰敥敤㉤敢㜴戲愵㔹ㄵ摢捡昰攵㝤昷昷㌶扢愶㌷㕢挶捣㙤㉢㉣晥㘸㑦戱扤攴戹㉢晤㑢捦㜹挶捤㜶改㤶ㄱ捤㐰愸㙤㐸摦㕢㘶ㄹㄶ㠵攳㥡㥣㕢㜳㝤挳㤱攱㑤搹㑢㔶晤㠶攱㔵つ㡡㐴愳㈱㔳扤㥢㐵搱慥㥦㕡㜴㌰㔱散搶挶㈷㤲㔸昳散敤〰㥢搹㘸㘰扣敢㠶ㄷ㙣㉥敢㉢㑤攳㜰㔷㤵昰㥤㈸㌸摡㠵㍥攷搶㕢晥㥣敢〴㥥摢散㉥㤹㘹㙣攸㤰㌴㡤㑢㙥挳挸攵㌲㈲ㄴ㈰㜰㠷㠶㤴捡㝣愶晦㕥㄰㐲㈴㐸捣㡤㝣㑦㌷摢㔵慥㘰㜶㤸㐵搳㈰㑦㘶ㅦ摣愱㌳㡥㔷㘴㑣捡づ㑣捣㠹晡㠳㉦㝤㜸㠷㙥摢㤴晢㘰㉢㘷戳ㄳ搱散捦㙥ㄸ㑥㜰㐱㜷ㅡ㑤挳㑢搵㝥㡡㈳搲挶〰昲㜷㈰㄰晡慥ㅥ㔵㥤扡慤㌶昳户慣㐶戰㔶㔸㌳慣搵戵〰㌸㘸挸㘲㤱㑢扢㈵㘹㜷〱愵ㅤ㈴㤸〰㈸㤵㌲㠵㐳慣㔴㈸㈱㘵昲㤴㑥㈹㝢戹㑢㤰戳㕤搷㕥ㅥ㌵捦㔹捤挰〸㠵昲㤸〹㡡㠴㕡㑤挸㔷㈶㡢㝡㝡㍤㔴ㄸ㠷捣㌹㜰愹㙥㌹挱㘶㘷摦㙥搹㈵㈱ㄳ敤换㠲㍤㈷ぢ㈸ち扡攵㐱捡㕥〳搳昴㐸㠳昴捡〹㈶攲㌶㐸搱散攸戹㥢挹㔸㍦㐵㐶愰㝥㤲〹㔹晢㜸㝦ㄹ㐱㘶摦捡愴㙣搴㜷㍦敥㑢戳敤㙣昹㔰㥡摤㡤㠵搳づㄳㅣ㈱戸㠷攰㈸㠰晡㌷㐸㌸㑡㌹攴扢㤳昶ㄱ㍣㙢昷ㄱ㝣ㄴ〰昲㐹愳捣㠹㐴ㄵ㙤愸摤搸㤱慣㔷㠶㥤㉣㐶㜱㈸㡡㘸ㄹ户敤捣戲㉤㠴㡥慣捥扤愱㙢㜳愲㘳㍦搹㥦㌷㤳搳㈱㐷愶㔴㑤捥㜵㠷慡挹㠵㘰搵〱昵搶挷搰㔴㥢㈴昸㌸㐰愸㔸㘸散敥捥㥡愷㌹昹愱㌰㠹㐲㐳㘸㐰攵ㅥ㌱㌱捤晦ㄴ〱户攵攸戲㙦㍦搳ㄴ㥣㌲㍦昴昶昳戱晥㝢㍢㈲㝡㡦捥摣搷㌹昴ㄵ扤㑢ぢ晡ㄳ搸㕥敡㥦晢敡㤷〷㔱慣㍤㐴昰㐹㠰ㅥ晤挲㤳昷扢昵ㄲ㠸㐹㙣㈷㈸㜷㤰ㅥㄷ戱㜰㤷㌷搷つ搱㍥愳收戲敥慤ㅡ〱扣ㄷㄷ攷㘱〷扢㥥㘷㌴㜱愰㙤〸㠲㘷㤷㈳摤㐸晦㥣攷摡挴敦摢挷晥㠷㐲㌱攴㜲搹愱㑣㡦㝤㥣㘲㘷㈶晣㑤〹捥愱晥㝤戴扦㤰㐸㌴敡㘶㉦戶㑢㍦㕢敥㑢㤲〱㈴挹挳㔸㔶敤搳〰㤰ㄲ敡ㅦ晢㑡㤴㈹㔶㍢㈶搵扡慤㔵㝡昷㔲㑥㈶㍤晥挳㉤㜲㘴㈴㜴搶捥挲㜷攰㤷敤慡㘵户㠵挵㠸扤㘴㜸㜵昸ㄵ慣愶㔱ち㕤戲ㄴ㌵晢戲攲㐳㈲㉢㠶㠶戶㥣愵㔳㝣㙢挲㈷㍤㔲㈲㜵户愷ㄶ愶㥣挳㍢㑣㐵ㄷ㈴㠵㑡㡡㕢愸㉤㠱挸㜹慣扢㉦㘲〶㄰㌱ㄵ㉣㥣昶〸挱㜱㠲㘹㠰晣摦㐳搲散㜶攱ㄹちㅢ摥愰㍢扢㔶换ㄴ㐹〶㜱て晥戰慦戰㝡㡣慦㌹㐹昰㌳〰㍤收て㥤㡦㈹㡣㈸㈴㑦㌰㈲慤㈵捤扣㘶ㄹ户挸〳〷㑣〴㤵收㕡㝥攰摡㡣㉡㤵捤㜹昷戲ㅢ捣㕢晥㍡愲㔰ㄳ㘶㤴㜹㜲捤㜰挰㕤ㅥ㙣㥦ㅥ㥣扢扥㙥㌴㌴戳敡戶㈰摡㉥捥敦㠵㐳㌹收〷㕢㔲捥攵㔹㠵㌴搸搹ㄸ㕤㈸㌹ㄱ挳搷㑡㑦散慥㍣摦㍣昴㡤㜵㔶㜴搹ち㥡挶㠸ㄹ㙥㍡收㡢㈶㔶ㄱ㔱㠳挶戰戹扣收ㄹ挶㝣搹㍣敦㔹㡤愶攵ㄸ㈴〶㙣㑣〶敡ㄶ㡣㔵㐴〸㤶㕣挶晦㕣愷㙣㉥㝢扡攳慦敢っ㈶㙥ㅥ散㝡㤲㤰㐸摥㥣戵ㅣㅦ慦ㄱ㉡㌲㍦㘶㔶搷摣㕢㠸搶戶㙣攷扣扥敥敦〹慡㤰改挳㈴愴㔱㔹㤵捤慡㘲戶㌸㈸㝤㜸㈰捦㘴㑥攰㤷㈳㄰㕡㘵昲昴㤷愷㘸㙦摡昵㔱㝣㠶㜶㍡挷㌴㡡挸㔱ㅢ㌹㤴㉡㠵戹㔳戵挷搹收ㄴ挰ㄷ捥㕦扤搸㠹捡扤愷㜸㜵㥥ㅥ晥ㄴㄹ㉦㙣搱づ㠲搰㍦㜷㈰㘴ㄵ攲挸㌹搸㠱愰㌸㥦㝡搹慦㘴㑡ㅤ㜲摦㠱㑥昶ㅣ愲㐸愳收㠲扥㘲㌴ㄱ㡢戶昵攰㐰昸㐰㌳搶搶㥢㝥㔴㌶攷摡戶㑥搶㈲㕢㔶敢㍡㌹㜸愶ㄵ戸㤷㉣㐷㌳〱㠴晦㈲㤴㝥ㅢ㈸晤戶愰㐶捤㉢っぢ㑡㥥㝤戹慢扡㘷〵㙢戶㔵㉦昲㠱愱扢㍤挱㤳搸攴㤴扣㜱㡡㘵挶㘴㡦㌵㝦ㄵ㈶㥢㕦〱戹㉢㤰愳㕣㍡㤲ㅦ㥣㥢㔵〵晣㔱〳㍡㤶㈰㘰挴㑢慡㝤づ扤攵攵㘶〴㐴㡥愴㍢昱晤㡢㍢捦〳ㄳ晡攵㐸昵ㄴㄶ㠱㐷㌰㈱攴改摥㉥㤸㔷ㅤ㉢〰昵㐸戱㜳㔶㌰敦㠳攴〰挸捡昱昶㕥愱㙡愲搱㔴㕢㉢㝣㙣㙢㔱㤷㥡戸㝦㙢㜹㔲㙦㍣戸㑤㜱愸㔱ㄲ㡡㘴愷㑡愲㔹戶ㄹ攳㕥㔲㌵㑡ㄴ㜷慣㙤㔴㥡摢戴戳敥㤴㈲敦㐱㌱〹捦㘴戴搳挲㈸〸昲㤲㍢愰愳攸慦㑦㘷㡦㐴戴㠶㌶㐰㠹㝡㉡挴㤵愳㜰攰㐵㕣㌹㘹ㄸ愵攸〹晢晢㐰㤴㕤㙣〵㕤㈵晡敤㠹愸㘴愶搹㕣㜴㘰㈵搴㜵慦戱㐷戶㌴收ㄶ㙡ㄸ搹㥤㠳㙡晦㜰㜹ㄳㅢ㌱摡㠶っ㠹愴昸㠱戱つ戱戹ㄲ搱㔴㕡㘷㘵㉥㜵ㅢ㕤攴搳㈵㐳㜷㠴〲搵愰㌱㙦㙣㠸ㄹ搶戱攴㈷愴㐱晢戴㈸㜲㔴㌳㘷㔶㝣愸昴㠰㜲㍣捡挹〶搷捣㉢㜴㑢攱〲〳挴㙥㤴㕢慡〷〸敢戶㍢攰挹㘰敦㔰〷㉢ㄲ㠶㑤㘸㥤㔱㠲ㄶ㔲ㄸ户㝢ㄲ摣㍢〳㔲ㄴ㠲搴㤴昴㕦㘷搴换㉦㌱晤晥㤹㑣㥣㠹㌶ㄱ㐳㕤㈹搶〳㠸㥢㡣㑡㜲ㄷ㑤挴挱昲㔰戲㠹搰ㅡ㡤㜱㌴㌱捡㌴昹扣〰㌷㜸ㄸ挷ㅡ攳戶㘹攲㡥㕢㘰㐱㥢㌶㌷て㤸ㄷ㥤㝡戳搵㌰㐴ㄵ挷戲㕡㌴昲㥥愰㤷㕣晦ぢ㜷㔳捡扡㐴㡢㜲ㄱ㐷㈹㑥㤹㐴ㅡ摣敥搶㝥づ捤㐵挸愱㡦㔰戶㌱昸㤸攲㤶㤳㘰搸㤶㍢ち戴てて㜶㉥㉦挸挵㌹㠸戴㉤㈸捡戲〵摣挵㙢㐷㤰㘵户㈵慡㉤戸ぢ㉥㙤昶〴敡㠲ㄵ愲昶〴㡤㌰捦㔰攰ㄵち㌰㐶〶摣ㅤ散㈴㜳㈷㡡散摥㜹㕥ㅥ㌳㜷捥㐴挶㠷㘲㝣㤷愷愰㑣攱昳〰挳㑦戴昴㈶㉥㈶㠲捣愱〵㥥敤㔸攰㡡㔱㘰㕡攱摡っ㠰㘲㌸㤸挶㉤㙡㠶挶捥ㅣ昲愹挶㡥㌶㡦ㅡ搴㘸っ㑥愶㐴㑢㤳㠱㔵挶㉣㈷攰挰〷ㄱ戱扢㜸戰㕥㜶愱㤴㠲㐳㜲㐹㉣扥愷㌸㘵攳㐸攴㝡㠷㝢㤰㑢㝡㠰慢㌰捥搱ㅥ昴㑣愳㐱昳ㄷ晥扡㍤㐱㘵㕣攳〸捤搳㐳㍤ㄷ戴㘴㑥戴昷ㅥ攸㈹㠸㉥づ㥥㤸慦㕣搰㠳晡㕡㌵搸っ㉦㜱つ捡㈲昹扦㠴㝦㘲摢户搳㠶捥㌹扣㤴扡挱戵㉦摤㜰摣㕢㡥㡣㉢敦昳〶㈰戸〴搷㈹㠷㌹挸㔲收ㅤ晣㤱㤴捤攴晦〲㍤敥㘶搸散愰攳㌰㘱㍦㤲㐲改㌰㠹㝣ち㥦挰㤶㙦摦㈰㈰㥦ㅣ敡攱ㄳㄱっ晢㡣攲慣扥㙦㡣愲扥て戲㤲㔹挲㈳㍡搶晣つ㙣㝦昵㍤㘰㐸㜰㍣㐷㘲㈵晦㜱攴㔲㐸㈷㠲㍤扡敥挱换㈱晦㝦愸ㄴ敦收㙤户搳晦挲㘶㔶㝦摥㑢愲晢㐹愲㌷户㤲㠸㠱搹㜷ㄵ〲攷攸昷㡦㥥ㅦ昸㌵摦晦挳愳攷〲㈸捣㈴搶ㄹ㠲㙣て㈲㉦挶〱昶扢捡㡡㑢㉥㘹㄰㍣㠴㘲㌱〸㉥戱つ攳昷愱㐱㄰㜹㍦ㄶ㠱㐸㌵〸攴㜸换愸㕥㡡〹㤸〸戲㈶ㅣㅡ㍣㝢ㅤ戶改ㄹ扢㠰敢戶㠶㡦㐸㍥搴㤳㍦〷㕦搴㤱慤攸㈵摤搳敤愳㠲㍦敦ㄹ㔰㕢摥㌲敥㙦㑢ㄳ戶戸㜷摢ㄲ㘹戴㡤㤷㈲昶慦敦㝢㔲㜶㜷㙢ㅤ㤴ち㔳攸戸㔷㐵㔵㜸て㍥ㄲ挵ㄳ㐳收搹㐳㝦㜸晥㕦㥥㜹昱っ敦愹㐵扣㥡㘷㘰㜸㤰㘰㍤㉤〷㠴㜳ㄳ㔷㐴敥收攷㌸㤷昰㘱㤲戵摥㌴㘶㜵㑦散ㅤ㕦戳攳㙣挸㜸〹挶っ㤹㙦㉦ㄸ㤳戸昱㄰ㅡ㤳㤵ㅥ㐷愷㝣捥㈴捥挱㑡㘲攰攲捤㡢〳㠶慡慦捡ㅡ搰慥捣晦㌱㤴捥扢ㅣ㐸户㍤挸昳㈶㤳㔲㝦搴慢搵㑥㔲慢㠹㤹愸ㄸ昰㡦愵ㄴ㈲て攴㤰愴㤴攲㔵〰㤱㔲㔷㤰挹㔷〰㔲㘲㙡扤挱㕤㝡〲昶㠵㠰搱扥敥㌷攰愷㉢㔸㐵㔰㌱昶挲て㝡㤶愵搵ㄹ慢愶㐷㤸挷㑦慢〲挸㌱㠵〸㐶㙤〵扢㡣㑣㥣昲搳挸敤摡ㄱ挵㤷㤴敤㌰攴ㄶ㙥散扣㑤㉦㕢挹㍥敢戴㜰攷〳㝡愶㈰ち挳㌹㐸㌴㡥㥥ㄲ㥤ぢ慢㤶㐲ㄴ攱㔸㤸㙤㌷ㅡ㠹㡡愰戳㥣愳㌸㝦㈲散挷敦㠳㔸㍥搵改晡敥摥ㄲ敡㌸㘷ㄸㄳ攴て昶搷晤㈹ㅢㅢ㙦攵㡥㠱㠴摤㔵慤㘲㜸㈹晣㉡㥡㠸㍤慦戴㑥㤶敦㔲㡡搱改㜸㘷つ㙤搵晦㈷㔱㉣㍢敢ㅡ㙢㌳㠰摤愵晦㥦〲㘲㐷晤慦ㄸ㜵ㄳ㤲㝤㈹捡昰㈱捦挸挹㡥挱ㅡ慥〸㝣摡〸摢挸ㄱ㔸㤳㉣㠳摤㘱慥㡡㑦㔶挳㘲㤱攰昰㜸攵㝡㉦㐵戴摢搲戶ㅤ改㉢〰㑦㜱㐸㙦㐰〴昵㙤捦㐱㙦㍤挷ㄶ扥っ昴愱㑢㔶摤㜳㝤搷っ㈶慢〸昷㑥昲㡢㌳ㄳ㌶捦㡣晡㙥慦㔰㝢〰㉢㌱晡ㄵ戴戹扣〸㠱㝤搹〸摥慦㈸㈴㘳ち扢㡢㘱昰敢愳昱㐴㘰㠹摡挱扦换㡣晣㐲㡢昰㜲〶㐴敤〹㘵ㄷ晡㥡㝢敦㘶㜰改㜰㍢敢㡢昰晣ㄸ捤ち挲㘲㌲㠵㉦㝦㠵敢摡扢〶摤㜵愳戹昹慣㌹㤸户慤㤴㝦ㅤ㌴摤摤㕢扡㔹㠶敦攴㜷挸㈵慤㐶〸㉦ㄹ扤愵扢㜷捤戲户〹昰㜹昴ㄹ㌷㕤㕥㔳㑤㌸捡㜶㡥㝢㤷搴っ摡戲扤㜶㍤捡㠸㥦㤷晥㍣㙥㐳昵ㅤ㑣㠹捣㡦㝣愶戰〲搰㥦愳㕦㐵戵㉥晦〰㌹㕡捤戳ㄷ晣戴〶㝢㠸㝥㡡㠷つ昲㘵㐹晤㈶㕡㜱摤挲昹㘳㙦㜰晥㑡づㄵ挸㙢慢〰㜱㔲㍣㔴挸愸扥㡤〶敤㔱㔹挰昶ㅦ搵户戶ㅤㄵ捤〱ㄹ搵㡤戸㜳晣㍢ㅥ慢ㄳ慤㠹㈷捤㈶㜰〸㕣ㄶ挶㕡㘵㡣㠲㤲搲愷㄰㠶ㄹ扥㝦〶㜹愴㝦㠸晥㝤晢捣て摦㘲晡捦㌳㑡㐴㈳㡡戴㜵愹ㄱ〲㐵搱㈸戳昸昵攴㉣㍣㘰晢捦攲搷戶㥢挵㌸愵㈶㉦愷㘸〱㐰㜹㑣㤱㝢㘴㔶慤㈸挳㠷昱敢〴昸㘹ㅢ〰攵戱㜱ㄲ㐲㥥㙦ㄱ㜹㥢㘰㤳攰ㄹ㠲㘷〹㥥〳㈸㤷ㄴ㠹㈱摤㝤㌵捡㐸㜷愴〸㥢㤷挷挷戹㜸㘱㌶捦ㄵ㑢昹ㅡ㐸㑣㉢摥㥥愴挳愷㄰㝡㙣ぢ愱㐲㉤摡㤱慢㜶㑦㠸㤵挸改摥㔷ㅢㄴ〶扣ㄶ愰㝥㌱愶攰㠵ぢ昱愷㔶搹㈸㔰〵づち㡤㔹㜲ㅣㄷ㔲晤㐲㕣昹㑦摥散昸㔵㔱㠰〴㌶ぢ㉢㤳㌳愵昲ぢ㜱攵ㄳ昸㡣㑢敡㘴㜸敤㠰改敤戸㌲㌹㔸㉡㍦ㅦ㔷晥㡦ㄳ㐷摢㤵㘳㠶つ㝢ㅥ㕦㐷攵㠸慣㘴慣ㄴ㡢㔹捥㄰㠹慦扢挷㔰㍤㙦㔲ぢ㡦㤸㈱㥡昲㔷㐲捦㑤搱挳愳戸㑣攲攱晢敡〵摣㡤挲ㄵㄲ㠸敡昰扦㔹戸㠸㍢㔳昳㝡愰攳昳改つ〴慢㍤㑤㥥搸戸㘰㉥㝡㐰っ㥢ㄷ㝤㥣捣ㅡ㝢㡡㕢㘰㔴攴挲愵摥挱㠹㥦㘲㠰㜶搶㈳づ戲㘵㜹〷㘵㌰ㄵ㈴挱㤸㥣晡㙡㑣攴捣ぢㅤ昶搱㕥〴㜱㈰㕡〱㤹搱扥〶ㄸ〶㙦づㄱ㌱㑥㤹㐱戱愶晤ㄲ㐰㜹㐸㔱㕡㤰晣㠵㕦〶ㄸ㡢晦㙦㡢挹つ㜱戶㘴搵慤昸ㅤ㐹㐶搲扥捥〶扦〲㌰〴㉦㉦扣㐶㐸戸换愰晤㉡晥㑤扣㉢㑦挹昳戹晥挶㉣捦慡昱昷昶㠸㐲㜶㝤㔸㝦ㄶㅦ捡㙦戲攳㈱晣㍦㈱㜹戱扣㜳搹㥦ㅤ慣㉦昲ㄷ搵㥤晣㍣㑣攸㍤昴挳㜵敤ㄸ㠱散㔱㌴㥡愲㝣攵㜴搵㑤昴捦㜷搰愶㉥㈹㑡㕣㐱慦㐷攸挳㠲愶っㄶ戴ㅢ愱㡦〸㥡㔲㔹搰㑥㠴愶攳慣愴㈸愷〵㙤㐷㘸晡㐱㑡攳ㄴ搷㐲挹㙦㈲㔳ㅥ捡㤳昰扢收㐰捥㘳㌰㕢㐲晢つ㌴㔵㘴㉢昶愱㝤㉢捡昰㐱㤱愷㘴愴㔶㌴㔲㉡㑢敤摢㉣㈲换㜰㠴摡㑢㝣㈲愷㐸昳㤷㤱愱戲攰㑦㜱㈲搲摣㐸㌶㝦㠵㐵昲㔲㘴戴㔷〱攲㌴捥㤷换ㄲ晣ㄶ㌲攵愱㌱扥改㐹晣戲户㔵晤㝡攳晡昵㥦㡣攵㈶敦捤㍤昵昹搱㤷摥晥扢ㅦ㝦攳㐷㍦㝦晡摦㝦晡捡㉢㍦晡搷㙦扣昵搳扦㕡㌹晤㌷慦扦晥㠳㉦㝣攷慤ㅦㅦ㌴㕦换扥昹㤳㠵搷㥥㥢扥昱摣㑤昳敡㘷捥㍦昷愵愷㥦㤸㕥扡㙢㙡㘸㘸㜸昸㔳ㄳ㝦㝢捦挳攳㉦摣晣㥥晡敢㝦㍡攲㈸ㄹ㍣㕥搰㍤っ㑥㠲㤲㔴㝢㡤攰户〹㕥㈷昸ㅤ㠲敦ㄲ晣㉥挱ㅢ〴扦〷㔰㉥㡥㜱㔲ㅦ攴㐸挷攳㜵㔲㕣ㅡ㔹搴愷愲㐵㥤〵愲〸㤳敤戵戸攰挹愸㐰愶昰〷挰㉡㑥㐱摡㕣㡤㡡㐲㈶攷愴〴扤ㅣ愱㐳㈶攷㌴〵㕤㡤搰㈱㤳㜳攲㠲扥ㄲ愱㡦〰㔱㔲㕣ち㐱㍦ㄱ愱㐳㈶攷攲〸㝡㈹㐲ぢ㤳㉢㉥㤷愰ㄷ㈳㜴㍣㝡㡥昳㐵晣戴㍦〵㔰〲昸昴㘷〰㑣㌹晣挶昹㄰㙡戸㤱晦〱㤳㈹ぢ㈵</t>
    <phoneticPr fontId="10" type="noConversion"/>
  </si>
  <si>
    <t>CB_Block_7.0.0.0:5</t>
    <phoneticPr fontId="10" type="noConversion"/>
  </si>
  <si>
    <t>CB_Block_7.0.0.0:4</t>
    <phoneticPr fontId="10" type="noConversion"/>
  </si>
  <si>
    <t>CB_Block_7.0.0.0:3</t>
    <phoneticPr fontId="10" type="noConversion"/>
  </si>
  <si>
    <t>CB_Block_7.0.0.0:2</t>
    <phoneticPr fontId="10" type="noConversion"/>
  </si>
  <si>
    <t>CB_Block_7.0.0.0:1</t>
    <phoneticPr fontId="10" type="noConversion"/>
  </si>
  <si>
    <t>㜸〱攵㔸㙢㙣㈳㔷ㄵ昶昸㌱昶㜵㕥戳㠵攵愱㈲挸㐲ㄶ㔱㤲㜵敤挴㡥㤳戰愱敢㌸搹㑤㜶㌷㜱㌶挹㙥ㄷ㠴㌴㍢㘳㕦㈷㑥㘶㍣改捣㌸㑡㑡㤶㉥㉣敡〳㈱㔵愸㉦㡡挴㥦㉤㘲㕢㈴㔰㠵㤰愰㐲ㄵ㈰愱ㄵ㈰㈱挴ㅦ〴㍦昸㠷㐰㤵摡ㅦ㔵㠵挴㉦捡昹慥㘷ㅣ挷㜱扣㙤ㄵ㠱㉡㐶昲昱戹攷㥣㌹昷捣㜹摤㐷㐰ち〴〲㙦搳㠳㝦㍣㘱㈰ㅦ㕢摥㜱㕣㙥㈶昲㤶㘱昰愲㕢戱慡㑥㈲㘷摢摡捥挵㡡攳㠶㐸㐰㔶㉢挴㜷㈲慡㔳㜹㤸挷搴㉤㙥㍢㈴ㄴ〹〴㘲㌱ㄶ㈴㍥㘴昰㔳晣〱挳㠸㠵〱㐸㉡搰㉤ㄳ㔸挹㑦ㄵ昴㜵搲扦散㕡㌶ㅦ敡扦㔲搷㌲㤹㑡㈵㔲㠹攱㤱昱㔴㈲㌹搴㥦慦ㄹ㙥捤收㤳㔵㕥㜳㙤捤ㄸ敡㕦慣改㐶愵㜸㠱敦慣㔸ㅢ扣㍡挹昵攴㠸慥愵挷㔲改㑣愶㍣㍥㍥搶ㅤ㈵捤ぢ㠵晣㔴㘲㠱扢㐷愴㌳〲攳㔳搳扣㔸挱㔷㜲㙥㔷慡慢〹㥡㘱㥦晤㠹挲愶㥢㈸㉣㉦昱㠷㙡ㄵ㥢㥢扣敡挲㤲㙥㜵搱收㘵㙥昳㙡㤱㍢扤敡捣㜶㤱ㅢ㜹㙥ㄸ㑢扣散㜴愹攷㙣慢戶㌹㔷㉤昱敤戰㝡㐵戳㘳敡戹㕡愵㌴慦㙤昶㤸㤷ㅤ扥愴㔵㔷昹㠲㘶昲㠸〹㜲㌰ㅣ〸㠷〲愱扢㥡㤱㥦捡㈶昶㑤〳㔷挷晡㕢慣㠷㠳挸攰ぢ摣慥㜲㈳㐱㐶挳搸㜶㘱㥦搵㥣㌵㔷搳つ㉥㜵㜹㐹〱㘳愰㌳捥㘲〴昱㌰〶㄰㈷㈰㠵晦㐹戹搴㉣搹㐵搴愰慡〵㔵㍤愸ㄶ㠳㙡㈹愸昲愰㕡づ慡慢㐱㜵㉤愸㔶㠲敡㝡㔰摤㈰ㄹ晦㠹㐵愳㐱敦昹㔵晡㤱㙦昶扦㜶攷挲㑢㉦晥收收搴㑦㙥て㐵㤰㍥昷户㝣挸㈱㘱愸㈷㔶㘵㡢扦㝦㠲㐰㈶扦㤷㈰㜴㝢㥥㘳㍤㠴戰㕥〲㤲昴㈶〵〱㠱㈸㑦㥤昸晡攸捦扥㌳晢摣搵㝦㍦昶搶㙢㉦㘹ㄲ㙡て挹ㅣ㘷ち㐱㍣散ㄸ挰㍤〴㈴改つ敦戵昵扥㍢㍦㔷敦昹换昹㥢㑦㝣昴收㑦㜷㙥扤ㅡ㐱愰摦㝤攲愱昶㤹挸㕤慡㔶㈷㘲㥥戵㙣㈷ㄴ敡㤸㘴ㅤ㤹㐸㍡昶㐱㠰攳〴㈲㐸扡扢愶昵㠷㐸㐸搲㈴㍤㙡㔲戶捦慦摡ㄱ戳㕥㔱搳摣㈹㌲㤳㙡㑥㔴㥦㑣㤸㔱攳摤㘶摥慡扡㝣摢㥤搶㕣㉤㙡㉥㙡㔴戶㙥㉦扤㐸㜲㠳㥥㠲㙥㝦〸㍤㡤〱搴㈹㍥挷搷摡戳㐷㈰攵ㅦ昰㐷㑤㜳㌴㜴搷愷㘲㘲ㅥ㈸慥㘳搰摡㈳㘸扥捡戸㌷㈲㝤㡡㐰㥢㤴㜵〹㐲㕤ㄳ晡㌸㌵昲㔰搸晢慢て㘴昹㔳㉤搵戳扦つ㤰㠵攴㈲㈴㘱㑣敥ㄸ㠹㠱㜶㙡㡡晡㘵户㘲㌸〹㌲㐳昴㌵攸昹㙦捦㜷㔴㜶挳昶晡昳慦户晤晦戸㡣㘴㔲昶戵昸㠹昴㠴晣㘱〸㔰攵㜸㠲㤴㥥ㅦ㈱㐲㍣捥㈰捥挰㍤挸散挴ぢ愳㤱㜶㜴㍦慣㡢㕦戴戴搲㔹慤㐸㑢㘷搴㕢㌸㘳㜹换摣愴㥣戵ㄵ㌴敤扣㔵攲㡢戶戵㔵㈹㜱㍢〶挲㌲㉤搵㘱㔴愲㉣㤲摤愱昴〸〵㈲㤱慥㔸扢戹收㝣㕤〳㙤戶〲㜳〷昴扦㝥㘹散㠱㍥㔸ㄵ㐷扦㘷㥦〰攸㈷㈰愱㍢愱㝢戰ㄳ〰㥦㈴㄰㐱㥦敡㕣户搴〹晦㑦敢㌶散ㄷ散扥扡扤慦㕤戹㌵ㄶ敦挶㔲㜷戶㔶㐵㘶っ扥㌳改㤵㥤㑤敥晣㉦㙡昴晤摣ㄳ攲㤱扦㔲㌱扦ㅢて㘳㍢ㅤ摤挲敡愲慡㠱ㄸ晣㡤㘵㌱㉥て㄰散㉤㉣㌷㠲㌷㌱㍣㜱戰㔷㝣ㅡ愲㜱〶搹㐳㤸㥤㜸ㄲ㌶〳㘸㈶㉤搵㜹ち敡ㄲ〴㈴㙣〲㐴㜵摥て㔲ㄲ㈴戱ㅤ㈰愴晥㌴㜷扦ㄴ㤱㕡扡㕦㍢㥢㐷㐸㡣㙣㠶昴㐱㥢〵戳ㄳ㑦挲㑥挴户ㄹ㥤挲敢㈸ㄳ㔰昷㌹〲ㄲ㌶〰扥〰㥣敢〹㥣㠶挰㈴〴戰㌹㘸㈳昰㜹〸㍣〰〱搱㥥〹㠱㕢㔶㈰㕣㙦㕡㘷〸㘵㌹〲ち摡ㄷ㔴挷攰㥢㠰搲㑦〰㐳㌶〵攴〴㠱㌶敡昳㄰㤸㠶〰㥡㕣ㅢ㠱ㄹ〸㥣㠵㠰㠸㉡㈱㤸晦ㅡ晤㝢昳㥦㈳㤴捤ㄲ㔰㄰愰愶昹㐵愸挰㥣〳ㅤ愱㙡愳晥㍣〴㉥㐰〰㘱㙣㈳㜰ㄱ〲昳㄰㄰㐱㈰〴昳㘳㔲㙦晥〵〸ㄴ〸㈸㜰㜶搳晣挲敤㘰㉥㠲〹㐷㠳㈹㕦㈲㜰㌲㍦㤵㕦㔲搳攵㜱扤㤴攵攵攱㜲㈶㥢㑥て㘷挶搲挹㔴愶㍣愶㡤敡愹㔴㉡愹㡤㈸㈲㉥㈴捥㤶〸㈸㠸〴㌴戰㘵㡣㐴㐸㌰ㄲ扣㌳㠴㘱㤳㉡㕦㈶㜰㉣㍦愵搶ぢ㘴慥㐴㍢戱㡡扢㈳㕦㈱㜲㉦挸㥢敥㌲㥤戴㜰慣㤲ㅦ㈴㕡㑦㥤㤶㉢㙤㉤扢㥡㉢㕦㈵㔲㔴㥤㜹㠸ㄶ挰㑤昹ぢ㝢㝣㍡ㄸㄹ戵ㄲ㔷㜲㐴挲㌴散㡢〴敡㘱ㄶ挹㉡㝦㠹挶㑢挹搳㤳㕦摥㕤戲㉣㜷㤷戶慣扣愸㌹慥戳㡢昵搰㜲㉡㌸ぢ昷捦㙣㙢收愶挱㑦㕤慡㘹〶ㄹ㜵㡡㡣昹摢㉦㝥昴昷愷㕦挹㈶戶つ㘷㝢㜷㥥㤶㕥㘳㜷㌲㤷ㄹ㑤捣攷慥㕥㍦㍤㤹㡣㐹㠱㈸戲㐷㝣㌷ㅡ㐰愸昹㡣㈴扤㐰㑤〵晢㜵㙢㜴攸㜷挷㜷晥戱昰攲㥦㕦㕤晦挳㥢㥦摤㤶㙥㜹㡣ㅦ捦㜶㕤㝡昹昷㑦㥤㜹昹搴㥦愶〷㝦戸愶㉡㐸㌷ㄱ〵㤵㤰㝡ㄴ戴攴㜰㌹㤹ㅣ攱改ㄴ㑦愷㐷㈸ち㥡挶昵搲㜸㤲愷换㝡㘶㉣㕢㔶㐴㜶㤲㌸扢㐶㐰㐱㍥㡡㈸㘸ㄸ㠹挴㈴愴捥㐳㔶〸昷㈰ちっ㍥㘷㜰㌲㠳㕢ㄹ摣愹㈰㑦㠵挴ㅡ㈱捤づ㕣愷戱㜶〴摥㉢搰㥤㠲㘶ㄸ晤攷㉣捤㐸㉣捥㉣攵㘷ㄶ㔶收㉥捥㝣㈶㤹ㄸ捦摣㜷ㅤ晥㐴㌵ㅣ攲捦㘷㍣户㙤晣昱㤵㥥㤳㤵搹㠵摢户㝥昰换扥㠹敦㔷愵愷て昳攷㜹㑦㤷㙣ㄲ攲昹㌳㑢慥捣敡挹㙣㌶㤵㐹愷㌲㈹㝤㡣㡦㡥っ㘷挷㐶㜸㑡搷㑢㝡㔶ㄱ搵㐶攲慣㑡㐰㐱㝤〹㝦㕡ㄸ㠹㐲㙢昰㔰㕡㥤晤㠹扡ㄳㄲ㕢㠴挴攸昳㐸㉤戶㡥昲㌶㠱㈳㑢挸搱㘴㜳㐲愲㥣て㜱攰㘳㥥㥦摥戸㤱戸昳攴敡ぢ㠵攷摦扡㥤㍣㌶晡昱㜱改搱㐳ㅣㄸ㐱昵㈶㕢㜶ㅥ〷捥收慤㜷ㄳ㌲扤㜴摣㥣㜳攸㌶㠴敥㝥㔶慣㕣攳捥攳㤸搸愳ㄲ㝤搰㍦㐰㥥摣愳攴㜴挷㌲㙡㉥昷㕦㉢搸㡤昷攸戸㐴㑢慤㜸㡦㙡昷昸摥愸改愰㜴敦ㅥ㜵慥敡㜰摢攵㈵㕦愳㐳愷攰㜰㌰㈴㘵敥昶㈵㔴昲㜴搹㐳㄰㠷㉥晦㐲〷㥦㜳㙦㥢晤昲㔴挵ㄵ户㘷攰㑢っ㝤㔳摥㈵挰㈶〷㜲〳愹㘴㌲㌹ㅡ戹㐹㙥㝤㙦㜳㈲㔳昶昶ㄷ㤸〱㑦㥣㝤㠵愰㠴〶ぢ搵㈰㜵㍦㐲㠰捥㝢搳㤶愹㔵慡㐷㜵㌳㠶晥搹扡ㅤㄲ㘱慦㑦搳戸㈲昳ㅢ㌸㜲扣摢㉣ㄴ昵ㄵ㥢㡢换慤㤸ㄸ搰㕥戴挷㝣搰戲㌷㜴换摡挰〱戸㔷㡣㥣㌵捥㕤摣㌷㜵㤹昵㜵〰戸㈴㐹愱㝤敤戳戹㤵攲㈳攵ㅢ〴㝡㜲搴㍣㝣㡤㡥晣㔵㈲㠵攸㥡㑢晥ㅡ㈱㠳敦愸㤹㘷㐴㌳㤷慥㝢ㄹ㙦㍥昵散㙦㑦晦晡攱挲攳搷㕥摦昹敥昷昲㈵㘹搷㘳戴㕥㔳㐹搷㘸ち㤴㠳挴搰㥣攵㐷〹㌴㐲㥤㤱㜶攸㌵㍦㈶㜱昶㌸攴㌴〲㍥㐹㐲㐳㠵㔷搹つ〲昲㌷〸㠴攸摢ㄹ散㤶摣挳㙣㜱㍣挶㠱ぢㅦ戴愶扡㉤㘸㙣昲㤳〴ㅡ戶っ㑢㥢晢㙣昹ㄶ愶㐰昷㙡搸㠲㘶搴戰㠵挱㠷㜵㍢㌶づ戳㘳摤㘳戴摥㈰㠵㤱㡥㥤㑡〳㤷㔲㔱㔳搵㜰挹ㅣ㌳㔵㠳㔷㔷摤戵挶挵㌲㙤㥢㘳㜴戳晣ㅣ〹〵改㠷㐷㠲攷愰㤵㝤㥢㐰㠳㡡㙦㄰搴攷㥢愸㝤㜸ㄱ㠵ㄲ愳㕦愰て㉦散㡤㈰搸ㄸ㜵晤〷㕡攴㙣搷</t>
  </si>
  <si>
    <t>㜸〱敤㕣〹㜰㕣挵㤹㥥ㅥ㘹㥥愶㐷搷㌳收㍥㘵㤰㘳㘳㠳搰攸㤶挱戱㉥ㅦ〲㘱ㅢ换㌶㄰㐲㠹㌹摥㔸㠳攷㜰㘶㐶㐶攲㔸ㅣ㐲㤱㘳户㌶ㅣ㤵㄰㐳㌸㐲戲㈴㐰づ㜲㠷㑡搸㐰㡡㙣戲扢愴㌶㄰㤲㙣㉡戵扢挰㜲㈴㈱挹㐲㜶ㄳ挸挹㝥摦晦摥㥢㜹㜳㐸ㄶ挶搹昲㔶愵愵昹愷晢敦扦扢㕦晦摤晤昷晦晦摤㙦㝣捡攷昳扤㡥挰㙦㠶㝡㐶㑥㥣㥣换ㄷ慣㜴挷㘸㌶㤵戲㘲㠵㘴㌶㤳敦ㄸ捥攵㈲㜳ㄳ挹㝣愱づ〴挶㔴ㄲ昹昹挰㔴㍥㜹愵ㄵ㥣摡㙢攵昲㈰ち昸㝣挱愰昶㈳㍦攸㝣㑣㌷愱㔹㑡搷ㄳ㠰捡愷つ㠲〶〲㤲㙡㑤㄰〲㘸㙡〴搸㍥㍡戲㈵㝡㌹ㅡ㥥㉣㘴㜳搶ㄹ㙤㍢敤敡搷㠶挳ㅤ攱㡥慥敥挱㜰㐷攷ㄹ㙤愳㌳愹挲㑣捥㕡㥢戱㘶ち戹㐸敡㡣戶慤㌳搱㔴㌲㜶㥥㌵户㍤扢摢捡慣戵愲㥤摤搱㐸捦㐰戸愷户㌷㌱㌸㌸搰搴㠴㥡㌷㡦㡥㙣捤㔹㠹晣愱慡戳㤹㜵㙥ㄹㅤ改搸㙣ㄵづ㔵㥤㉤愸ㄳ㔵㡥㘵搳㤱㘴收㄰㔵ㅡ㈰晢㝢挷慣㔸㤲攳㘴㔹戹㘴㘶㔷〷ㅥ扢㡣搱㐸昵㜷っ攷昳㌳改㍤ㅣ昲㔱㉢㤵摡㘶㈵㘴㝣搲㘳昹挲搶㐸㉥㥤㙦㑡㤳㝦㔶捥捡挴慣㝣㑢㝡晤㙣捣㑡㌹㠴昹㘰㝡㘷㈴户㌹㤲戶敡ㄹ㘹㑤摢㘳㌸ㅥ户㌲㠵㘴㘱慥㌹扤㈳㙦㙤㡢㘴㜶㔹㈴〹愴㌷捥㈴攳慡扥ㅥ晦扥扡ㄵ戵㥥㑣〶ち捦㤳ㅥ㥤㡥攴ち㤲攲㄰㠶㙢搱㝡愶㡢昴愲散戹㌸愵摡㉡㑡㜱捣㈶㤳改昳慣㕣挶㑡戱ㄱ㡥攴敡ち㈲㘱㤰㍤づ㐵㑥戹摤攱㈸愹㐶㘷㥤戰㉦㙣挵㘸〵㌸㝡㜳㌶㤷挶㠴㍣摦㡡㘴搶昶㥣㌱㔹㠸㡦㔹㝢搷㠶戵㠹㍣扤㠴㔴㐷〰戴攴㤳改㤹㔴㠴㡣㕥ㄳ敥㕣愳㤷㌲昷㐸〰㔵晦ㄲ㤶㘳㘵捤晥愹㠸㝦㉡敡㥦㡡昹愷攲晥㈹换㍦㤵昰㑦敤昲㑦㑤晢愷㤲晥愹换晤㔳扢㔱搲つ挱㠶〶扦ㄳ㉥戴扥㜴㡣㙦㈰扤晥㐳㝦㜵昶攰扢摦扢晣挱〰㔷攰愲㌸〸㔶㘰㄰㍤㜳愰㠵攳㌷㍡㤳㉦㘴搳ㅣ挰㐳㍢ㄱ㝣捥㐴㔰换㙢つ㠱㍤ㄳ散㈷㝡㤳昳攰戴㡡晡㌹て戶散㈹㌸昳挰㙥攲㤰㑣〵愵㡦〶慢昵㌱〰挶戱〰㡤挳摢愷摣戶昵㜱捣㍡ㅥ㐰愹攷㌱搸ㅣ㜰昳愲㡦㥤晣昷㈷㝣㙡晣挶㜷㜷摦晤挸㌹捦散㔷ㄴ㤳ㅣ㉤愵㑦㈴昵㐹〰挶挹〰㡤摢挶㑡ㄵ㥤挲慣㌶〰愵晥挳愹攸㤹〷㕡ㅦ㝦㙡捦慤ㅢ㍦昱搸㐹慦敥扥㙡搵昷ㄴ㐵慤挸散㔳ㄱ㔹攵㥤㥣㥤ㅤ挵改搹搹搱搹摢㔹ㄶ挲晡㌴搰敢㜶〰㘳㌹㐰搹㠴敤㕡愳摦挲摣ㄵ〰㑡晤慢搳昴扥㙤て㕢㝢捤ㄷ㌷摤摤㤶敦晤㔰㘸搹㍦〴㈸攰扢摤㕥㉦㈴㜵㌶㐰捥挷㈲昹㠲㌳摦㔸敥搰㑥戰〳ぢ㥡つ戹搸㥦㕦搰愰㤱㐳㌲扢昴改攴晥㉡〰㘳㌵㜹戵〵㍢㜰㈴㤵㙡摢㤸㡤愴昴ㄹ捣㍢ㄳ㐰愹㈷㥤㤱搹晤挴㐳捤换㤳㥢㌶㝦晣㥥晢ㅦ㘹㕤㜳㙦㐶㔱慡换愴㌸ぢ㤱㤵摥㐹搱搳敢㡡慣敥㡥敥昲搰慢㍢㔹㜵ㄸ挰攸〲㘸昶挸戰敥㌵扡㥢㤹㍤〰㑡晤戳搳敥㤱㜳ㅦ㍤昶㤱〷㙥摤㜲攷㔷㥥㜸㜷晢攰㜵〱挵㡤摥㥥搵㝤愴敥〷㌰〶〰㥡㐷戳㜱慢㌴慦〷㤹戹〶㐰愹㙦㍡㔵㝤攵慣扦㌹敢攱㉢㡦搹昸㤹愶㙦㝣收㥢户捦晤慤愲扡㘰㔷㜵づ愹搷〲ㄸ㙦〵㘸㥣昴慣戴㜵捣ㅡ〲㔰敡敢㑥㐵㜷扣昶昸㤳扦昹挵㡢ㅢ㍥ㅤ㝤昴摢晢㥥晦捥敢㑤㈳挸扥挰㤱攴㘳戹挸ㄵ搸ㅢ㑢摢㙥㔷〷㤶挶㘲昴つ愸ㅢ㠹摥㐴㝦㈲ㅣ㡥昷㜶㐶扡㈳〱捡晢挵㙥㙣愴㙤㑡㕣㤸捣挴戳㔷㠸㠴㍢㜱㈴〲㘹㕢摣昸㔶㍢㜹㈳搹㤹㑣㍣㝦㐲敤捣挹㐲愴㘰ㅤ㕦㤹㔷慡愴慡搸㈴昴〰㉢㉦敤㥤㕣㔹㙣㘷㈴㌵㘳つ捦㈶敤散㤳㉡戲愱〵㘴愳昳攷㙥挸㔹敦㈸收㔶㍤搱㌰㌴捡扤㔲㜷㔵㉦敤㉣晢戹摡㐶愷戳㜹㉢㈳㡦户㍡扤㌵ㄹ摢㙤攵㈶㉤敡愳㔶㕣扡㝡ㄴ戳ㅣ㔵㘴昵㤶っ㍡ち攵㈲㝥慡ㄷ㥢㔸㍦㕢戰㌲㜱㉢㡥攷摤㘳攵ち㜳摢㈳搱㤴㜵㜴ㄹ㠹摤㈶㌲㡥㉢㐳㙦挸挶㘶昲愳搹㑣㈱㤷㑤㤵攷っ挷昷㐶愰晥挴捦挷㤴㠵昶㔲捦攰㔳扥扡㍡愵㝣慢㙡㐹㍢搶㥢敦㤰㠱昰っ㌱㤵㤹㘳换愷㕤挷㌶昴づ扤㐸㔹㥣㤳晥昶〳㔴㈶昵戲㥡搳攷㈷昴昴㠹捡㍢愹㔷捥㑦㉤捦㔸ㅣ戹㍦㉦戱摦扦搴改晤晡扤㔰ㄱ㌷㐵㌲昱㤴㤵㕢搰昴㔰㝣㈲㍤ち㄰昸ㅡ㔶昳扣摣ㄳ戱㌰慢收〲㔷㈴攳㠵㘹㘳摡㑡敥㥡㉥愰ㄴ捣㤳㘰㤰慣慤ち㝡㍤㔰㝡〳挱㐶㠰㔰挸㘷㙣㈲㤱ㄱ搲攳㜶㍡㐰搵㙤㔱慡㔳㤹昲改㐷㈹㉤捡㉥㉣㤳㝣㈰㡤㥤㉥㕦㔷㔷慢㤷㥢㈲昹改〲愷攷㠲㤹㔴㌳昵戹〴攷〱〴愸㌶ㅥ㔰户愵㔶㕡㑦ㄵ扥㌹㍤㘶㈵㈲㌰㥣㘴㜵慢㐸㐰㔴戹〰戰昹㤸愶搲㍥㡥戵㌲㙢㈰㠶挵摦㤴收散户㘶ぢ㘳㤱㐲愴㈱つ昵ㅦ愳愴㐱戴㕡㑡搹㌱㤶㙣ㄶ㥣㕢㍡攴愴㔰㠳㈹㔱㑦㉤㡤㠲戰㙢挲挲挱㝡昱搵㌹㜰攱㑥昰搹搱〹愳㜲愲㤷慢昱戰㉥攲ㅢ慤捣昶戹㍤㔶㥥攴㐱㘳㐱㔶㔶㉥㉦搱〵㘳搱ㅤ㠵㘴㉡摦㠱㈷摤㤸换捥散㌹㤴昵戰㉥㍤〱攰㠶挰攷㌱㡢ㄷ摦㈷㥡收つ㝢㌹㌶㔳㔳扥㈰㙢㈳挶搸っ㔰愶㥤挱㥣攰攴㐵摤慦攳㑢㠲摥㡡慦㤰㈶改㍣㜹〱ㅡㅦ㙦挴〲愲㠲摡㤴摥ㄲ㡢㙥捦㔹㘲搳〵㈵〱收㌷愷㉦捣收㜶㐷戳搹摤戴ㄴ㕡㈴㤵㥦戶慣㠲搸㐹㡥㕤㈸昶㥦㔲㜵㜵㘵愶㡥挷愰愲㠵㘵㙣〷㘸ㅥ㠶㘶攳搶㤸㌷㜶〰㔵〷㡢捤搸㠹㐸捦戲㘵愳搹昴㥥㙣㍥㐹㑢㙡㙡晤㙣㈴扤㈷㘵㥤㜹挱㑣㈴〵㥢昳㑣愸昶敢昳㉦㝥昵㕤捦㍤㜴昷搴捡扥捥挱搳㍢㘶㔳昹㔹㜵ㅦ㌸㐳愵晢㜳㥢ㅡ㉦㜸昰㍢户っ㍤㜸收て挶㔶㝦㙡㝡㑡㝤挲挹愸戲㥢愸捣㉦捥㌶愱扡晤晦㘲敢戲㌷慣㠳ㄴ挲㐶〸挱愷㘸摥㔰㉥敡㡢〹摥〶㄰愰㙤戳ㄸ㉢㡢㜴㉡愲愲㉡愶攲捡㙡㐸㘳愸捥摦㤵㝢攳ㄲ愹〵〵㐵慣搸ㄵ㌴戹㐹㌱㔲摤〴挵㤴改㈶㐰㉤㜲慥戹㠴挰㤲㕡敡愶㍣昲慡㔸昷愱ㄶ㝥攸㍢㐴戲㉤晦捡挴愰挱戰㌰晢昰㥣㘰搴愱㤴㑢晦搷敤ㅤ㉡戹㑣ㅥ搸攱㘵敡昹〸挱㈱昹㉡㝥扢㜸摦㔰挸戸〴㔹㘵㔶戸㙣昰㌶扤㐰㝤㈹扥㐲㈱㑤㐲ㄱ㤲㥥㍣㥦㥤戹㔰㥥愲㐱㑦㈱慡㈹戴っ㡢〰㥡ㄶ㘶㥢愶愴㔲晢攷ㄳ㍡ㅦ㜲㌲慡㕣〰㌴晣㈹㜸㥣挵㐶ㄷ㠰㉣戶㈴㈲晡㜲〰㐵晢㥦ぢ挹づ㙥㙦攷攳挲搳㕦て㘹扡㄰慡㜷㠰㌴戰攸昹〲㤹ぢ攵愹㌶ㄴ㉦昶㕣戳攷㜶㤷摦㍢㕦㤷摦攳㘴㔴㌹㉢攸㜳愰㌱愴攷〰搴つ㈰愳愲㠷㜸㜹搰㔷㈱慤慦㈶戸〶〰愲㐸晡〴㙤敤㕡㍢愹攸户㄰㘶敤㐳㐴扦ㄳ㐰搱㘳㈱㙥戶敢㄰㜱㠳扡〶昵㜳ㅢ㤶慤昴㝡愰换戶㔲㌸㍡慡戶搲ㅢ㐰ㄴ搲㈴㥤㈷㑦搱㉤㔲攲〷㌷㉣㥢ㅦ㜹戴㔳㜳摦挹㌹ㄹ㔵ㅥㄴ摡昹ぢㄸ㤱㘵㑥ぢ戶㔸㘶㐴㌶㈵㌶㈴㔳〵㉢㈷㜶㐲㙢〲㕦戶晦㔷搲捤戴㡤㜲㤱㤸敤㔹㍤㌲㌱ち昳〸づ攷挲㕣挹㘰慣㌲捦㙣敢攵㉦㐶攸㘱㘷㠴㡡〹㕡㘶㠸㉥㘰攴㘱搲㔴㤸愱ぢㄳ㝢㈶ㄱ敤慦㥡㍡愲㑣愹づ搴㕣㍥挹㐸㕦愹摦㡡㔷扤㐸敦㥤㠴愴敥㥣摦㌸攵㘴慦㥥愴㉣㌴慦㈱昸ㄷ㌳扡搶〹㥥㙤㐶扦ㅦ㡣搳㌷ㄲ摣㐴㜰㌳挱㉤〰㉡〵㘱㐴愹㑢㉢扡つ㥦摢攰㈸扣て㜶慣搲ㅦ㐰㑡㝦㤰攰㔶〰㡦搴摤㡦愴㜱ㅢ㐰慢敢挹㙤戳愷㔸㐸愹㔵㐰㡢㈴扥ㅤㄱ晤㘱㠰愶㍢〰㌶㙦戲㔲㜰挹ㅣ慡愳戸挰ㄹ愸㜳㘱㈳ㄲ昳㠷㈷㉦㐷愷㈷攷㌲戱改㕣㌶㠳戳㑢摡戶挳㌱㥣㘵攵㔵挴㐸㑦㘴㐷㘷ち㐶㝡㔳ㄲ㕦㑤改㙤搶ㅥ㉢㔲ㄸ㠵换つ㠶昳〴扣搳㘲ㄶ㡦挷㘷摦戸㤲㝡攸捣㘶㜱㜹挲㥢㔹戲㥣㔵攵敡戵つ㔸㠷扤ㅤ㘳㔹㥣㡢㕡㜲㝡㑢戶ㅢ〶㕣㈰㠷愱㕤散搳㜷攲改敥㝡攵晥戳㤷摦昱㤹搷㥤敦㙢㌱ぢ㈵ㄸ㜷㈱戳摣换㕤戵㉤㝦〴㈴㈱㑤挲敡㙤㔹昲搴㤹挸㉢㙥换挶扤㐸搵㘱㑥搸㕢昳㐵㘸愷收搶㝣愱㤳㔱攵㐲敦㐴㜹㔱㔵敥㐷㐴敤〰㔹㙤㔵攵㤳挸搶㥦㈲昸㌴㠰㘷搱㍣㘸㈷㔵ㄸ摦戲㐰㍥㑢愲捦〱㈸扡搲㐵㔵昹㍣㈲㙥㔰ㄳ㘸愳愸慡㝣ㄱ攸ち〷㝣ㄵ㑢扥っ㥡㤰㈶㘵㌵㑢㈴㑦昵㈰慦挸ㄲ㕤搲㔴㐶收㘳挷戰㤳㔱攵搹敦㐳㑤㔴㔶ㅢ㙣换戰ㅦ㔱改搴㈳㠸攸㐷〱搴㈰㐰戵戲晡㥡愳摤㤹㐳挸㐶㈸㈹戱㈱攳ㅢ㐸㔷㥣っ㔴㈹敤㡦㠱〶慡㉢㐹愵㤳昸㉥〶㉤㤹ぢ攵㈹ㅥ㌲㤴ㄸ㔰㔲㕤扢收㘳㐰搸挹愸㍡㡦攰㈹㠴㐷㕢㕦㡢愴㌰攰扢㠸攸㈷〰搴㍡㠰㙡〶㤴㍡㡣㙣〴㌷㑤㥢攵㐹愴换捥㌳慡扡晦ㄴ㈸搰㝤ㄲ㔶㜷㕦㌲ㄷ捡㔳㐳㈸㔷慢晢愷捥搷晤㘵㑥㐶攵㈹㑡㠰㕥搹㌷攰晤ㄶ㍦㘶㘲㘷搲扡㠲敥扡㤶㐴搹攱㜲㜳㘲㉣扢㌹㕢ㄸ㑢收昷愴㈲㜳㑢ㄳ㑥攴挲㘹㉢〳捦㝦づ〷〰ㄵ戸散㥥㍤㔶㕣㈷㈶戳㌳戹㤸㌵㍥㜶㌸㥣っ㠰ㅤㄸ㜲㌹ㄴ昰㉢㠴㠳㜳㜶㐳搲㉢㡣㉦㥤㉤㠱昵愸戰搲㘷改㔱愶㑡㝡㍢愵㔲㙢㠹愳摢㤳㠵㤴搵㤸㤰㝣㠹〷ㄳ攰㈲㡥㔳攲つ㠹敤搳㜰摥㡤㌵㈷㌶收㤲昱㔴㌲㘳㜱㌰㘰ぢ昰攰㘹挲摡㠵愳㤳慤㡥㙢慤㌹戱㍤ㄷ挹攴昷搰ぢㅣ㥢㍢愲㉣㈵晢㘲㈰㌱㤲捣攴搱㡣㕣ㄱ㘰扣㌵㌱㌹㥤扤〲㜷㠸㘶搲㤹㡤㤱㍤昹挳㘲㔴戰㜱㍡㐱㠶㐶昹㤵摦慦㠲晥攰挱㡥㡦昱㌴慡㕢㙡ㅦ愰戶㘱㥥ㄶ㜲挹攸っ㝤㤱搲㑡ㄷ㘰㍤㠱㡣愱㉦戰〱戱〵昴㘱㙡挵捥㠱ㄶて㙢昸慣㘵挷攰㌵捦つ㡡ㄷ戳愸〹敢㘷㔸收㔹㠰㜳㌷敥ㄸ㉦ㅤ㘳扥愹慢㔳〱ㅥ㠹㔴㙡ㄹ㤵㌳慦㜸㙡㜴ㄴ㠸㕢散㈹㐴ㅣ㘷ㄴ㔶㈶㘶〲㔳㤵搳㌲㤴㄰ㅡ捥搰㤶㔲㜴〳づㅥ㥡ㄲㄳ㤱愸㤵㠲㍥㤹㡥ㄴ㕡散〴㙤〳㕣慤挹㍢㜹昰晣愶㈳㥣㜲㥣慥㤳戱㐸捡ち㈶㠶㘷ち搹昳㤳ㄹ㥤〰㤰㜹改愰㈲戳㐰㐵㘶〵搵㤴搸挶㜳㔴㠹戳慥散慥㐸㉥㔹㤸㑥㈷㘳㐱㈶㜸搶㜹㔸捣㔵挸て敡攰㙥㜰㘵㐹愵㤶㙢敢㝢ㄸ敥づ攸摣㘴ㅤ㠷ㅦ㌳摡慦っ晣愹㠳昴昰㐲昲挸㠶愲㥦㐳㙤〱㍦〰㐵㤱㠴㤷摤摢㠲㉦㕦ぢ㡣扤摦昳㤴㡣搹晡㜹㈷挲㐴晤戹〰ぢ㥥挱昰愶㐷㘸㈲ㅢ㠹㙦㠰㈷㈲㥢㙢㜰慥晡〵改搴㠷愸挹㤹㍣ㄵ攳摤〰ㅣ攰敥㑤挶慤㕣㤰㠸㐹㘸敥昵㍣㑦㌳散㌱㠴㈲㔷攷ぢ〴ㅡ㠳戵摡ㅡ㜷敢㙡㜷づㄷ扣户ㅡ挷慢敡晦昹〵〳敢㘸戲㠴㐲戲㐵扤㠰愸㝥ㄱ㐰昱扣㡤晤愹㈰昸〹〹㝥ち㄰㤸〰愸ㅣ㥢昲〳㉡ㅣ㘳㘹㄰搵搳㌷㕤㑦㥦㜴搰昵㐵〷愴㈳㡤ㅥ摦戳㘱晢㥣㠳敥捤㍢㘳ㄲ戳摣㡡㠷㙣昹㑡扢㠵挳攱昷搷㘳愸㡤㑡ㄷ㔱㔵戳愸㉣㍤㘹挹㈱㥡愲摢搴昸ㄹ挰搱㕣㉣愸ㅦ户㌸换敥愲㔵敡㤱搰㉦㝥づ㜲㕦㐸㙤〵㜴㜹㌰㐶㡣捤愴㕦㈰慡㝦〹愰㉥昶㄰㈰敡ㄲ晣ㄷ愲晡㘵〰挵㌳〲户〶㐴㕤㠲㔷㄰搵扦〲㔰㤷〲戸〴敦㤴改㜵っ昳晥㥢攰㝦㐸㤰昴㄰㈰敡搶昰㙢㐴昵㙦〰搴攵〰㙥つ㠸扡〴慦㈲慡㕦〳㔰㘹〰㤷㠰㥡戶搳㡢摦㤲攰㜷㈴㤸〳愰㍥攳搹㝤ㄵ㍤㡥摣㠱㝤挶敦〱ㄶ㉢昱ㄵ㝤㤴㤴晡晡て〰敡ㅡ〰ち搳攲攲晡ㄳ攲〷㕥㕣搷戲〴㍥㥡扡㌲㈳昲搹㠷㠸摢㡤㔵㠸㍢摤㘰愶收摣㔰敦慣㑤攰㈷㐱ㅤ〹慥〳〱㘷慤挱㕢扦㌵㘷㐳つ晦㈷㘶㠳〱㜲捣㠶ㅢ㍣昵㝢㘶㐳〳敢て〲〴攸㘲㔸㘰摦㠰昱攵㜱㐴挹㜹㕦㘲㐷㈶㔹㠰㐸攷捣摣㤰㉣㘰㜲㌶㈵〰㄰ㄵ㡦搱昱㈲敡㍤㠵㔶ㄷ㔵挸㔳慡戳捡㜴捡㤳慢昳扤㑡㘶㝢㡤㙣㕢晤昴㘸㥤〷㈲ㄲ㌵戴挶㌳ㅥ㑥㝡愹戲㍤〸㡥㙡扡攰㠵换ㄲ摦愹㕡扣〹㉤搶戶㑣㜴㠸搳㐶攱て㔳愸ㄱ㜱㉡戵㌷ㅥ㜰㡡㜸摣㡦㤴挸㈱㉡戶㌶慥搹昱㙦㡦㘷昲搸ㅡ㐲㑥ちㅢ㝦㡢ㄳ摤㌲㔳㈸换㠹捣㉥㜵㜲㜰愴扣㈵〳㜵㉤ㄶ挹挵て㤳扤ㅥ㝤戳㔵㔲搹戶て搲㕣㐰㈵っ㥥ㅤㅡ㕣㈶㥦㙦〲昶㡤㜸㙥㜹㘷愴㤹慣㉥㍡㜴㠳㑣昱㔲戳㡣㠰㝤慤㔹散戶慤ㄶ㡣㉥摣昱㑥㔹㑢愵㐰㌱㈹㝢㥡㑥っ㐷昳戰〱ち㔴昰㥣㤸㉣㜲㥤搸㘶昱〲昴㕥ぢ晡㤸ㄳ摢ㅡ㉢攰㥣愲㔸〱慦㜹ㅤ㍥愳〳㡥搴㍢㈳愴㘴㡣㡣〵㘴㕢㜹㈷戸㝥づ㜲㐴戱㑥ㄲㄲ㝥戹㑥摤戶㥦攱扥㜵㍥㌷挲戱挵攰摥㡣敡ㄷ㌰㉢㈰㘷扤㙥㜶慥愲愵敥改㡦㉤摤㐴㜰㌵戹㌸摡ㅥ捤戴ㄱ㜳〵摣㠵攴㥤摣㔶㉥㥢ㄴ㤴戳㐲ㄲ㙡㜶㙡慥㈵㌱㥥㠹愵㘶攲㤶攸攸慥扣ㄶ㔵晤戰ㄸ㉦㜹㡢挵ㅥ慢〵昸攲㌰㘵ㅣ慦戲戸㜷攳づ摥㔰搷㑤ㄸ㈹ㄱ㜴愸㈳愴㕢ㅣ昹㜶ぢ㤸晤㠶捦㌴㐲㈸㜴㐴改㐴㑥摥㥡㠰㔸慢㐲㔱㥥搱㌱㕤㍣ㄶ㤱ㄵ攷㈱㥢挸㑥㘴㘹攸㝢㔰㥢㤲㌶敡戰ㄸ㈷昴搳ㄶ㝡戸昵㜰戰㉥㤲ㅢ㥥㜹昲愵㡢晦慥㝤昸㔴昳ぢ㙢扡ㅥ㔸㍤㕣㕣㉤戶攴㔳ㅦ㐰ㅢ愲戸㠹㙦㔸㜴㈷㕡攴晥㤲㔹慥㍥㠸戴㈸㘹㈶㐶㑤摤㡡㤴慤愴搹攳愹㡦〰㜶㐱㈵㑤㉦戵㐷㕢敤㐷㔱㐴昱㈶〷㡢㈰挲㡦攲挱㠷慢愸㈱㡡攷ㄲ搳攲㈸搰攸愳〱ㄴて㐵㙡㄰ㅣ㐳㠲㘳㔹ㄳ㝤攳㤵挲㘶㕥㌷㍦㡥㙢㝣戸搳〷ぢ㈱㤸愶愵㠴愵㙡攰㉥ㅦ㡥㌱㘰㙤ㄹ㡤㐱ㅥ〳攸攳㔰敤㜷ㅥ㝦㥣㕥㑡㥦晡〸㠰摢扥㐷㤱㍢㥥敤㥦〰愰敥〷㐱愵㐲晣㐹攰㙣㠵昸㐴㤰㉣㕡㈱愶㈷㕣㜸㝤ㄲ㉢愶㑢扣㑣㈱㍥〵搸〵㜹㑤㠱愷ㅥ㐴㌱㄰攲摤〷㔶攲㈴搴㘷ㄱ㜱扢戱ち㜱㠷捦换㐰愰㑦㈵攱攷㙡ㄳ㥣㐶㠲㜶ㄲ搰摤㉥ち昱㜲愴㡥慡㘱ㅥ攱㥡㝢つ敢㘸〵愸愱て㝦搹㔳扤㠷㡤㉢㔹晤改慣晥ㄱて〱愲敥〳慥㈲挱㙡ㄲ㍣㕡㥢攰っㄲ㥣㐹㠲挷㍣〴㝥ㄸ攵愱㤰㔸㐷ㅤ㈴㌸㡢〴摦昵㄰㈰敡㌶搱㐹㠲㌰〹攸㠹㜶㤹攴㈱攸㈲㐱㌷〹攸㌴㜶〹扥て㠴搳㐴て〹㝡㐹昰っ〸昰敤搳㝤㑣㌹㠹挰㜳㠸㔴㕡扦㔵㥥㠹㝡㄰㐱㑦㠳㡦㘲戲㌰㤷㠲㕦㠸㔱㕡挳㜶㡣戳搵捥㠶㡤㥥捤㐱㡡搷㔷ㅥ敤ㄶ换㡥愰慡挶㈳㉢敥㑦㑢㌱收㍣㡢㑦攰ㅦ晦㔴㝤㐷戸㔸㥥て㕥扡㑣挹㌲っ挶〰昰㐷㥥㥦㡣攵戲昹㙣愲搰㌶〹㥦㘷ㅢ敦愳㈷㈰挶㠷〳摦㐲㡤㌵摢㘴挷敡㌳攸㐸㘰㉦敦㘷㠶㜶㘷戲㔷㘴攴㘹〲㜹㕥换㘷㙢扡愱㠱捤㠴昰㤱㜰ㅡ㤸㘷㍥㡦愸㠹㡦㕥〳㤲收㔶昳〵挴晤昸ㄸ㘷㈳扤㝣㜴㘴㜴摢㔴戴扢㙢戰户て慦ㄷっ昴㕢㍤㠳戱慥挱挱㙥慢㜷㈰ㄲㄹ㡣昶つづ昶㕡㘱攳㥣㈲㘹㌸ㅡ戵㍡㝢挲攱㥥扥挱敥㥥扥捥扥㠱挱㠱扥㜸㑦㜷摣敡戱㘲〳摤㕤ㄱ昳㐵愷㝡扤ㄶ㘵昴㕢〱㑣㍡㌰搸愲㕥㐷搴㄰㔱㜴㘷〸慡㐸ㄵ昸㌹㔰㡢昵㌲㤰ㄹ敥挵扥晡㠶㠶㉡ㅢ愳捡㍢㔱扣戱㙢ㄸ㜴㑥〴ㅥ〶㥢㉢㙦㕢搶㉥㠴愷昵㡣㈲ぢ㔳晡改㌱㜶㘵㍤㐰挸晣㠵㠳㌳㌶㈰戹㘴㜴㘴慡晣戵㐴㘳㈳搰㑤㐰换搶戹つㄷ昵㡤㑤挰戴〰攳昱挶㥡㜴㙥㐸捤攳挸㤴户昸攴㝤㍥㤳㡥つ〶昳㘵晢摢㘷搲㤳挱㘰晥捡晥昶㤹㜴㕤㐰昲晡㡣〹㤴㌵㔱㜱㤹㕤㙡㥣て㙣昳㤴敤搶㤱㠷挸ㅢ㥢慢㥦挰搸㐲㌲㜹捥摣㜰㍣㥥挳㠹戵戱ㄵ愸ㅡ㍤扡〰攸昲ㅥ㙤〳愶㤱㙦搷挰摤㐴㕥㥢㜴愴昰㤱㠲㔴㔵攴搰㙡㍢㐸㝡㔶㕣㐲㕦㤹攳昱㙦慢㜹㤹㜶㐰㙥搰㕥捡㜷ㅦ㔲㉢㤶㙤敦改搷㍢㔰㔲摥㜳ぢ搲收昷㤹㜴挴㌰㤸㜴挶㌰㤸昴扣㌰㤸昴扥㌰㤸㜴戵ㄸ晣㕣㠸㈲搵㉣戹〸搸ち㤶㕣っ㔴㡤扥扥つ攸昲扥㕥〲㑣挵攸ㄹ㙦〷慥慣晦昴昲戰㝤改晦愵挸㤵昷敢攴㑤㍢扢ㄷ㑡摣㌵愰搰㤷㈱ㄷ晦昶㠷敥ㅡち㍡㜵ㄷ㘶㈸挵ぢ攲㍥㈳㡡晣㜹㘵㠶扡〳㘴㤴ㅢ攵敢㥥㈵㘵摤挷㔱ㄸ敢㥥昵换扡愷愸戰搷㝤慣扦㌳㤶㠸㜷て㜶㜷づ昶昷㜴昵㕢㠳搱晥挱㔸㕦㝦㘷㕦㈴ㄱて㐷ㄲㄱ㈳㔱㈴敤㡤㔹晤摤搱慥捥敥㠱昰㘰㑦ㅦ㐴㐳㉣搲㘷昵㐴㈲㝤㠳㔶㌴㌶搰搹㙦㡡慦㄰㑤敡㕤㈸愳愷〱㑣扡㠱㘴㤱㈷㠹扡㥣㈸㍡㠵〴㔵愴㠲㥤〳㡦㈷ち慡㕢搰〵慥㑢㔹〵ㄹㄶ挹〲㠴捣〶㐰挱㜱㝤㘹慥㈶捤〵㘴㜲㌲〸㍥㑦㔴㍢摢㍥つ㈰㐰㈷㐰攵摡昶㥣㈵㜸㥣㍤㥣愰愶挷ㄳ㈴㔲㘲㐹挲戹摢扤〵㈶㐹㠱愸挳㐱㤱慤户つ挳〳ち㐸改挲㈵㤷㔲㑥㔵昲愰㕣扥㌹㝤㤳搷ㄸづ捥㜰っ〵摥㠷搱㕡㕣㉢ㄸ㤲ㅡ㔲㌴愴慦㐰〶搵㉤㍡㙢㐸愳㘷〹㥤㄰愰挱戳㜸敢㡡㈵㤷㤶㕣敦㍣㘴㔹㥤㠲愱戹㠸㌳慤㌹㤴㔵㌴愸㔸㠷扥ㄲ㤰㤳㤴ㅦ㈵ち㍢戱㔷㌹搹㥣㜲㡡ち扢㉣搳敢挱㠲攲㌲扤〶搸昹㤷改㜵㈰慤㕡愶㡡㡡㍤晥㝤㥡㈷ㅤ㈲戱㤰㌰愹摤换攲摤㠷㠸愶㤷㕡㕦㐷昰㉥㠲敢〱㥡ㅢ㑤㙡昷っ㈶㌵㝣㠹㔰㥤㤷〸㔵㝡㠶㔶㉡攱ㄴぢ慣昸㤰〶㤳慡㝢慤㔵㐹㙤㕥昰敦㐱㐴㕥㈰㤵㔷㐹搵㐹㐸攲摦愷晦摡㠹㌰愱愸㡣ぢㅦぢㅥ㍥㙡慡㐸搴㠶㔴慥ㄶ换捣㌶㘴ぢ㜳摥㡦〸㈴ㅢ搵㙦㡥㤵㜱㈳㈲戶㘴敢敡改散敥敢ぢ㜷㜷㈷愲㄰㔷〳戱㘸挲敡㡥昶㕡昱㘸㌸㥣戰〶㍡晢㡣㥢㡡愴㝤扤摤㠹㉥慢㈷搱搷㤹㠸昶っ昶つ㐴晡㘳搰㠵〶挲㝤搱㥥慥㔸慣慢摦愴㘲㉦㌲敢㘶㐴昴㉤〰㈶昵㜹㐱㤵㌴㥡㜶ㄷ㔵愴㔲㉢㠰ㄲ挹㌶㡤㙥ㄴ㈵摢㝥㘰昵㙤〰㈱㜳㈵㘰㉤ㅥ㔲㤵ㄷ晣㥤愴つ愳㙢昲㕥慣㐹㌵㥥挱愴㉡㉦ㄱ敡敤ㄲ愱敥㉥ㄱ㉡敡㤴㙢㥡扡㠰收搶慦戹搹㙢敥敥㥡晢戹收敥慤戹㘱㥢㘷〱ㄴ㌷改㍥ㄴ㌲敥〳收㈰㌶改慥㉥㝤㍦㙢敤㐷ㅤ捥㈶摤㠹㌴㠳㐹㥢㐰㈲㕤㙥㠴㐶㠰㘰愸昱㉦昶㔹㘹ㄸㄴ㥦昵ㅣㄴ㌷扥〰捣㐱㍣㙢㑦㤷晥㈲㑡捡敢扣捥戳搲捣㤰〹昵㘵㐴㥡㕢〳㙢昰㜵昶晣搷㐴㍤㙡摢㙡㜸㜸捡㕥晦㕣㡦搷㌹攷㌸㌵敡㜰㝡㘸㥦戹搵晢搷ㅣ㕣㕤㤴攵㑤愸㡡㥦挰㈶捣愱㌷㔱て㝡攴ㄱ挰慣昱ㄴ㝣昴㐳挰〷愸㠳搷昴㈰㉤昴愳ㄷ㤴㈸㐷愵挷昳㔰㘸㜱挷㜲㝢㜶戸昸换ㅢ㑢㕣㐵㜷戵晢㔶攲昲ㄲ挶㜵搰扡挵戶攴㡡攵昰㤶ㅦっㅢ㘴慣收㍢㡣㐷㤵㔲㥥㌳换ㄳ㑡㔸昸攴攱㉤戴攲㙥㡤㜹ㅣ㜹搵晢敢慡㉥㉢捡搶敦晣挶〶て㈹㔹ㅢ摥戸ㅤ㡦昳㌸攸㠴ㅡ㈷戶㈳挹㠲摣㜸愰ぢ㐵㘹㕡㐹挶㔷㠵㑤敤㍢摢〷〳㘳ㄸ㠷㑡㐷挹扣㑤愰㤸㠷敢㙣㤰换㍡愴ㅦ㐶㠶愲㙤㐴搶㉢㑤昳捡昸㍡㐰㘰㙤晢晡昶㐱㌵㠴㌶搸づ攷㔱㐸㍦㑡ㅡちㅡ愲㔸㕥つ㌹〹收户搲ㄲ愱ㄳ愸㐲挴㤷㉥㜹㈱て㈱㌸㈴㕦㍥㜳愸㤵㘶㡢㤴戸㔴㉤扢㜹㌸昰昴戵㤵㤷㈲㕤㑡晢晢攵㜵㡡㌶㐹改ㄲ搷づ攰敤㍢㡤㘷攳㠹㙡摥㘹㕣攳㘴㔴扥收愶愸换㤷㙡戲㡡㌵昵捤㔷㔳慦㤳㔱昵敥捡愵昳搴ㄴ㥥慦愶㑥㈷愳昲㤵㄰昳㌲搴㈴换晦〹㐴㥡㕢昱戶㤸捦㐷ㄱ愰㍡㔰㠲敢㑥㤶捡昷㠸愱摡㙡㡦ㄹ戵㘸攳晢〴㙢㌱㉦挲㥤㙡ㄵ〸摤ㄱち改ㅦ㤲㝡扡㐸㑤㐵摡昸㤱㑤扤㥥搴㙦㜱愸敤㈱晥㌱愹愹㈵扢ㄵ㈸㙡换敥ㄴ㘸愵㌲晣挶㠶㤸㥡昳㠲㐳㙣晢昷㝦戴敥㜶挷攱慦昲㈸㔱ㅡ㤸搲㄰㉦挳㠳搶ㅣ攲㌶㈷愳昲㡤ㄲ㐵㥤づ晦戸㈹攴㐴㤸㌰㕤挵㑥捤戹搹捦ㄲ㡦㈰搹㔷〲捡ㄸ晣㈷㈲晡㌹㠰收ㄶ昳㉡ㄷ昹㍣搳慤收戵㙥晡〵㐴昴㡢〴㍦㈱昸㈹挱捦〸㕥〲㘸づ愹㝤昸㤲ㄱ㍣ㄲて挹ㄱ㍣ㄹ敤挰ㄴ㔳搴愴㈴㘳愹㤳挱㌵ㄹ㜴㤶捥㙢慦㉢㉡㔹㤲㝦㠴㤳捦㔳㉡㑦㍥昵㉦挹㕦攲攴㥦㔰㥥㝦扤㥢㙦㍡昹㌲㜵㕥〱㔶㔱ㅦ㉡㌱昸㕥㤴戳搷㔰㈳㈸㙢㌲㌸攴㘴㔴摥ぢ㌶愹㐱〹慦㕥㐵〴昳㤵㙡㤰㍣㔴搰摢攸㙦㠱㔵㔴㐶散昹㑡摤挸昸㍤〰㘴捣捥昶㕥㔵て㕡㜷戶㠵昴ㅦ㐹㑣搵挶㈶扥㠹挴慦摢挴敢㐱散㜳㠸敤搹慡昰搵扡㥦戹攸挴攲挵捥㙤㙥㠹〵挵捥扥つ㐳て摣捦㄰ㅡ㔲㔴㝦㑡㉣㉢捤挹摦晦㜱ㅥ㤶晤捥挹愸扡㍢㑣敤愴㔴㔳㐹散晣㘶扥㥡㝥敤㘴㔴㕤挲愵敥㔰慢愶㔷收慢改㘵㈷愳敡㍥㉢㤵㡤〳摤㘷昵晣㠰〶㘷㘲㈰㐱㔷㘶㘳挲㐶㔳㍦㤰㌳改㤴昸〱㥢㜰晤㉣㠷㥦戰㤸挰㉤㑢㕣㍡挳㡦㑦㌹㡥㈸摣扥愴慦摥扤攰愴㈵挵挲㐶㘲㑢づ㌷㥥ㅡㄲ攳㜹㜸㡣攲㐱扣㠲㕦挰摢㕣㤹挳挱攰㠵㘷戶㥥搳つ㕢㈶㝦昶挲㕦搳㈹㍡㠲散㥡㥢戱摣攵攸㈸昱挳㍤㝤昳昳搶摡挱㤹扢挶ㄲ㍣㡥㝢〸ㄱ昷摣挳慣㔷扦挴㄰摢㤶摤㍥ㅦ摤㉥〸㝥㥦㕥ち㝡攳㐸㠰㍡扣㑢㉥㔲づ㈰愴㡦〲挶扥昷㐶㍦扦㉦昰㄰㈷㔴㠵㤷㤹㙥敡つ愰昳㔵晣扥㐴㘳攳〸换㌸愱晥㘱ㄴ㕤㐸㠳愱戲搰㤰㥥㡡昰㠷昵㠲改愹㤴㤵搹㔵㤸㉥晥㤸ㅥ戴㘹扣愹愱㡦㐱㍢㙣㡡ㅦ㐵㕤㠳戵敡㘳扤㔸敥㡢㥣慤挶㜱挰搶㘶挱ぢ㌵㔹㜰〲攸㡤ㄳ〱捡㔹㜰ㄲ㌰ㅥㄶ㈸㙥慤㘴㠳ㅢ搴て㤱㤰挷㌸〵㤴昸户ㅦ㡥扢愴㘰摢㍣㔸㤳扢㑣㍤㐸昴㌲㘰㥢敢㑣㙥㉢㤴㡥捤愶攲㕥㈲㠲昱摦昱㜴摣〶攸㠸っ攲㝥〸昷ㄷ挹昸㌷㈷㠳㘷ㅣ挱㈰㙥㥥扦慥戸搷㐸㘷摢㔱㕦改㙤愳扤㔴㑥昳㝥昵㘳户愳㉦㜵ㅤ㔷ㅡ敢户㠰搶㔸〱挰昷㍤㈸ㅦ挱㑢㡣昵㑡挴扣ㅤ攵扥㈵敤晥挰㘹㔷搴㐱挵㥤㑣搰摦㜷搰㑢㔰㍥愴戸户〹晡㈹〷捤挷て㈹敥㜶㠲晥㥥㠳收挳㠷ㄴ昷㍦㐱㍦改愰㔷ち㥡㍢愲愰㥦㜰搰愷ぢ㥡㕢ㄲ㔹㝥摦扡㥦づ晤搵搰晢㠶搵慢㐸㐸户㍢昱捣戵挷昸㕦㔰㐳昵㌴敦〲扤搱つ㔰㍥挶㍤ㄵ㕤晦慤搳㈰㕡㤷愰晥〸㠴㡣㘶ㅦ㈸昱㙦㡦㌱㜹㈷搸㝥て㌶挰愵戴攸㜵㡥㝡て搶て㌴㠰㜶ㄴㄷ㈸敢搰㠳㥥㐷㘸攵㌲㈱㌶挸㈱㙢攵昲㈸愶ㄴ愷㌹ㅦ㔱慦㈱㥡戳㕢捡㥦㡤〸晥攵搳捡㤹㕣㉣搱摡收㑤㈹捥㕣ㄹ愳挷㥣㌱㕡挷收搷㤲㠶ㄳ㑢慡㝥㉢㔳㥣㑦㔲昵㍡㐴㠲㝣ㅡ㝣ㄴ㐷㐰㘸㠶㤸㑤挶ぢ捤㌰㈲昸户㥢㈷㤳㑢捤㤳戹挵㤴㤲㕥戳挵ㄱ㤲㍢挱㘴敦㐵换ㄸ㐵㐴㡦〱㌴户㈸改㈰㈸昴㝡㉦㈹㍢㉡愴㤴㔹㝡愳㤰戶昲昱㉦〴愹㝦㔶挵㉥㡢㕦㜶搹㙢慤昵㙤挷搷㕦㌴搴戴晦改㝦㝡昶收愷摥扥昶挵㍦㝣昸挳㑦㍤㜷昳攳㝦昸㕡㜴敤户敥戹攷戱㜳敦㝡晣搹㈳ㄲ㜷晢扦昴摡挴摤㔷㠷㜷㕦晤㡥挴㡥㔵ㅢ慦扥昸昲ぢ挲㕢㤷慣慥慢㙢㘸㔸戱昴摢挷慥㌴昷扤攳㉢敡搱ㅦㅤ㤳㔱挲ㄱ㍥换㈶戴挴戰ㄳㅦ㤳㥣㤱㘷ㄹ㐷㐴㥦㑢㜰ㅥ挱〴挱昹〴㥢〹戶㄰㙣〵㘸づ㉡㘱ㅢ捡敡ぢ㤰㜶㠳㐹昶㐹㐵摢㐸㍡㐹搲ㄶ㤳ㅣ㈲ㄲ挲㠵㙣㤱㐱晢愴㌳㘸㐲扣〳㔸㐵㘶㐹搶晤㑥搶〸㡡㐰敥㤸攴㥡㔳㥣慣ㄲ㥡晢扣挵㉦〲㔶㤱㠱㤲昵昱㡡攲散愸㔳㥣扤ㄳ㥡㝢扤挵㉦㘱㜱昶㔹戲㍥收㘴搹㐲㠶㕣㄰昴㐷ㅤ戴㉤㘴挸ㄷ㐱摦攳愰㙤㈱㐳㑥〹晡㈳づ摡ㄶ㌲攴㥤愰敦㜶搰戶㤰㈱㌷〵㝤㤷㠳戶㠵っ昹㉢攸㍢ㅤ昴㠸挳〷㌲摡改〸戹㉢㌴㜷㌸㌴㈵㌶㤲攷㤲㜵㝢㜹㜱㐵㈶㜳挲㠷ㄴ昹㘵挷搸㜵挶㜴〲㐰〹㐰㘳㝡ㄷ㔲㙥㌰㤹戰㥢㙤晣㕦摤㠶扣挱</t>
    <phoneticPr fontId="10" type="noConversion"/>
  </si>
  <si>
    <t>㜸〱敤㝤〷㤸ㄴ㔵搶昶摣㘱愶㤸摢㌰㑣〳㠲㘲〴〴〱挱戱攳㜴て㉥㤲㐱㤴愰㠰㘹つ㘳㠷㙡ㄸ㤹愰㌳〳㠲扡收㌵愷㔵搷ㅣ㌰慣㈲收昰㈹㙢捥ㄱ㜵㔷㕤搳户㙢㕡㔷搱㔵搷戴㡡昹㝦摦㔳愱慢扢慢〷㜰摤晦昱㝦㥥扦㤸㍥搴㍤攷㍤攷摥㍡㌷搶慤搳搵ㄵ慡愲愲攲㐷ㅣ晣㥦㐷ㄵ㑦㌶㥦户慣戳换㙣慤㥦摣摥搲㘲㘶扡㥡摢摢㍡敢㈷㜶㜴愴㤶捤㙣敥散敡〱㠰搱搴っ㜹㘷㜵㔳㘷昳愱㘶㑤搳ㄲ戳愳ㄳ愰敡㡡㡡㥡ㅡ㕤〹昹㈰晢ㄳ㜴ㄲ㥡㕡扡㡡〴愸ち㙤㤰昴㈴愹㈱搱㈴〱㤲㕥㈴扤㐹㙡㐹晡㤰搴㤱〴㐹晡㤲昴㈳改㑦戲ㄱ挹〰㤲㠱㈴ㅢ㤳㙣㐲挲晣昵愶㈴㥢㠱昴摥ㅣ㘴晥攴㐹㜳搲〷攲㙡收㜵戵㜷㤸㘳〶敦㘱㤵㜹㕣㌸㕣ㅦ慥㡦㐴ㅢ挳昵愱㌱㠳㈷㉦㙥改㕡摣㘱㡥㙢㌳ㄷ㜷㜵愴㕡挶っ摥㜵㜱扡愵㌹戳㡢戹㙣㝥晢㈲戳㙤㥣㤹づ㐵搳愹㔸㌲ㅣ㡢挷㜳㡤㡤挹摥㕢挰昲散挹㤳㜶敤㌰㜳㥤㍦㤷捤㉤㘹㜳捥攴㐹昵戳捤慥㥦换收㔶戰〹㤳㔳摡㕢㔳捤㙤㍦㤳搱㙡搶㘹㝣㡡㤹㘹㘶攵㥢㘶㐷㜳摢㠲㝡ㄴ扢挰搱㐸㈵敡㈷㜶㜶㉥㙥㍤㠸敤㘸戲搹搲㌲搷捣㐹愵户㑥改散摡㌵搵搱摡搹扢㤵晥㌳㍢捣戶㡣搹搹愷㜵敡搲㡣搹㘲〳㍢㙢㕡昷㐸㜵捣㑥戵㥡㔵㍣愹㙢戵敡㜰㐶搶㙣敢㙡敥㕡㔶摢扡㝢愷㌹㌷搵戶挰㈴愴扡㜵晡攲收慣慡慡挲㕦㐵㡦ㄱ㝥㈵㤳㡡㐲㜹㕡㈷㉦㑣㜵㜴㐹㡡㔵ㄸ昶挳㝡㥡㡢㕣㐵㐱戹搸愴〶ㄷ㘹戱捥收㌵户敥㘲㜶戴㤹㉤捣㠴㌵㌹扡〸㈴づ戲敡挱昵㤴㜳㌹慣㈵搵换敥㝣扣ㄶ收㘲っ〶ㄹ㌵扢扤愳ㄵつ㜲㤶㤹㙡ㅢㄷづ㠵挶捣敢捡㑥㌱㤷㡣㡢搶㐷ぢ㡦戸ㅥ〲戸ㅥ㑡挵慤㐱晡㜴㌶户㉥㙥㐹搱昷㘳㈳昱戱㝡ㄸ愵挳㐱㔴搵㙢攸昶摥捣搸昵㉡㥢㔲㤵㑤改捡愶㑣㘵㔳戶戲挹慣㙣捡㔵㌶㉤愸㙣㕡㔸搹搴㕣搹㜴㘰㘵搳㈲㘰㥣愳愶㘷捦㑡晢搸㙢搱慥㠷㙦ㅥ㔸戲搳晦っ㝥敤搲㍤㡦㍤昸㈴挵㥥㉥〳挵〸㥣ㄴㄴ㍥ㄲ㜷ぢㅦ㙥愸㙦㈸㌸㤲㝡㈴攰㝡ㄴ㠸戱㉤㐸㐱攱挳㘳昵㘸㑡挷㠰㈸昵〲ち捦ぢ搸㙣攰㠱㘳扥ㅥ㌸㜳攲〵㜷づ㍡晣慤㈳㥥扤㐷㜱㜸㤱㥣敢㜱㌲㝡㝥㐷㌳㕡〷ㅣ搰㌱㘶㔶㜳摢戸㘸っ慥㥢搹扣挸㙣㘹㌶㍢扢挶㈱ㄵㅡ㌳㉢戵㜴㕣慣㈱ㄴ搲摢搳㝡〸挴〸㠳㔴㑤摣㈹ㅣ搲ㄱ昲愲㈰㑡慤戶㜳㍣㙤攵㜳〷晥㌵㕡㌹攳㥣敢摥晢扥扡㘹挴㌶㡡㘳㤹攴ㄸ挷挹ㄸ㙦㐵㠵敡愳㜱愷愶㐲昵愱㜰挱挵㌶㈴愲扡㠱收ㄳ㈰㐶ㄲ挴㝢戹戱攴㔸摤㐸改㔸㄰愵ㅥ戵㌳㍦敡搳㙦〶㘷敥扣㜸昲昵㈳㡥晥晤挳㥢扣㍡㑤㜱っ㤵捣㝦㠵㤳㡤扤㤹㠷昳㝥搶攳㘸㘹㐷㄰㘳㍣㐸慤愷㑤㈴挶敡〹ㄴ㑥〴㔱敡㍥㍢㥢慢捦ㅦ㍡敡て慢敥㥢㜱捡㐷摦扣㝢攰㌳挷摤㕦捤づ扢㕥㥤〴慤ㅤ晤搴搳捤晢戰㡢㑥㕥摣搹搵摥捡㍥晡昳昶昵ち扢慦慢攱㝥扤捣敡散㔶㠹晥挳慥扥㜵㤱㝤㜶昵㌹〷㜵搹㕤摤捡攲㘷改敤㑡㑦㘶㜵㑣〱㌱愶㠲昴摡㝤㝥㤳㤳户㥥㐶搱㜴㄰愵㔶搹㌵昵㝥挷搲㐷㍥㍡㙦搰攴ㅢ㍥晢㜶㝣㜴挶㡢㡤㡡㔳愹㌴㠸ㄹ㌸ㄹ㔵搴晥ㄳ〵捤㍦㘹户㝥㡣㈷㈱扤㌳㙤敦〲㘲捣〴㘱敢㙦搰戳挸㥢つ愲搴㉤㜶㝥㘳㜳㐶㜸敢慢㈶㑤㍢㉥㍣㘲捦㘵㑦ㅣ慢ㄴ㘷㙤挹㙦㔷㥣㙣㐰㝥扢搱昶㕣㄰㘳ㅥ㉤㑣摣㈹愶攷㤳戵㍢㠸㔲㉢敤散㕥搸敡㤴㡡摤慡搵愴ㄵ晦㜸昰愶捤晦㜴搷扤慡ㄷ挱昸ㄸ㝢㠲㡣昴戶昷㝣㔷昳ㄹㄴ昷〲㕡敦㑤扤㕦㠳〴昲ㅤ㐰敦㐳挹扥㈰㑡㕤㘹㘷摡愷㍤㌱昱挴㈱搱搹户扣扢晣㤲㐱晦㝡晢㙦搵㕣㡦㐴㥤㕡攸㙥愲㥢㠶愵㐵㈶搵搹㘵户㝦㜶捥㥦户挱慦㝢㙥㥢搶㤱昹敦捦㙤挸攴㘷㘹敤㝡㝦㝡扦〹挴㌸〰愴㙡摣挴㜸㠳㑥㤱㤷〶㔱敡ㄲ扢㐶摡ㅢ挶㍣㌵㘰搹㝢戳㔷扣㜲敦㠱捦㝤扡敤㔲挵挵愱慣ㄲ戳〴㥢㈰㐶づ〴〶ㅡ㐲㝡〱㜹ぢ㐱㤴㍡捦㌶昰搱㔱昵㡦㥤戱攰捡㌹ㄷ㝣㝥㑤愸㙦挳㤶㡤㡡ぢ㑢㘹㐷〷攲㘴㔰㐱㍢㐲慦戰㘷搷㜸㐸㉦愲慤ㄶ㄰愳ㄵ挴㍢㐲㠷ㅢ挷敡㌶㑡摢㐱㤴㍡搳捥改敥㡢㉦昸搵㤲昴㔵㍢㉤摦㝡㝡挵敦捦㍢㜰戸攲敡㔵㜲㍡ㄸ㈷〵㉤㌶攲㘶ㄴ㉥㥡〸ㅢㄲ扡㠳愶㍢㐱㡣㉥㄰㙦挶戱搰㔸扤㤸搲㈵㈰㑡㥤㘴㘷扣攳㘱㍤㠷摣扡摢㤱搳㔶㝤㜸挶㝢ㅦ扥摣昰慣攲㡡㤹攳戶搲㑢㠹㕥〶㘲ㅣち搲㙢敥摣晣㤰㜲ㄸ㐵㠷㠳㈸㜵慣㙤攸搴㤷㝡㕤慤㐲㥦捥戹散㥡㔱挳㜷㍣扥捦㜷㡡慢㙥戹㠲㈳㜰㔲㜰〵㌱㜷㝡昳改㜳㐷搲昴㔱㈰挶搱㈰摥㐹㈷㌶㔶ㅦ㐳攱戱㈰㑡ㅤ㙥攷㝢挴㘶ㄷ㝣晥挵〵㘷㑤㍤敦攱愱㠱㘱㈷晥攱〶挵㠵扥攴晢㕢㥣㙣搰㔴㝥㍣慤㥦〰㘲㥣〸㠲挱㉣ㄲ搳㈷㤱㜷㌲㠸㔲㡢敤ㅣ㈷晥愰攷戶㝦㌷㝥愷愳愷ㅥ㌳㜰捤挰㙦㜷㔰扣慢㤰㘶㜵㉡挱愷㠱ㄸ愷㠳戰㕤㈶昵ㄹ攴㥤〹愲㔴扢㙤㘰㤳昸㠳㤱㝢ㄷ昴㥥㜹搳㙢㤳㍥扥昶㜲扤㑣昱㡥㐴㡡㝣ㄶ㑥㡡搶〲㜱搷㔹愵㙢㠱㠶愸㍥㥢收捦〱㌱㝥て㔲㔰攱㤱戱晡㕣㑡捦〳㔱㙡愱㥤昹㠹ぢㅥ扢昳挱慦㉦摦昹㠲㤱㍢㉣ㅦ昰挸㥡㙤搴〰㠸慤ち扦㠰攸ぢ㐱㡣㡢㐰敡愶㤸㥤捤ぢ摡昲㤵㝥㌱挵㤷㠰㈸㤵戶㡤摤戴摢て㥢㝦晤扦㕦㑥㍡㝦昰愵㥢敦㌴攸慥㐷ㄴ敦愸㉣㘳㤷ㄱ扤ㅣ挴戸ㅣ愴搷ㄴ㑦敢戹㠲愲㉢㐱㤴摡搷㌶昴昸ㅤ㉤挷㙦搲㜰晢戴扢慦㔸戵昶慢昳㐷㕥愰㜸㔷㈶㉥昹〳㑥㐶㝢㝢㕡愸㍥搱㡤㑢㤲晡㙡㕡扦〶挴㔸〱攲昵㐸ㄲ㡢挱㙢㈹㕤〹愲搴敥㜶摥ㄷ晦㙢户㘳戶㝢晦摢㥤慦摣愲搷愱ㅦ㙥昹攴晢㡡㌷㠳搶㐵㕣㑦昴つ㈰挶㡤㈰扤㈶㝢㉥攲㈶㡡㙥〶㔱㙡㡥㙤攸㠹㔹㜷摤㥥扣攲挷㌹慢戶㙢ㅣ㔵昵挲戹㘷慢㐱㄰㑢挳戸㤵攰摢㐰㡣摢㐱㙡愷㌵㥢㉤㔹摣〷攴㜰㘳搹愹晦㠷挲㍢㐰㤴㥡㘱㕢㝡㈰晢晣㐱〷㑣晥搷戴昳㙥㍤㜱换晥改戵ㄷ慡㑤㈱ㄶ㜷慣挲㐹㤱㍢㤲㐹㘷攴㈹㙤㈱㐹晤㐷㕡扦ぢ挴戸ㅢ挴敢㡥㘸㜴慣扥㠷搲㝢㐱㤴㥡㘴攷扤㙢敦㉢㐳㑦昶攸扦昳㜱㕢㉦挸摤昴攳〹攷愹捤㈰㤶扣敦挷㐹㐱㐷敥㜶昲㝣〰㘸晤㈰㠸昱㄰㠸㌷攳㌰敥㈸ㅥ愶昴ㄱ㄰愵㜶戰㌳晥㝣昶挵ㅤつ㙢㥦㥡㜹晡戴愳㈷搴晦收愱攷㝢㍦〶昱㙥昶㝤捤㤴㡥搴㈱戸㔳捣摦㠴㐶敡㜱戵敢㜳昷㡤㥢敦㕣㍣㤷挸㠵挳搹㜸㈸ㄵ㑤㔵て㠱搹昵扤捤攳㘸搸㍢户㘷㜳㕢戶晤㄰㔹っ㙥㍥㈹㠵㠵愹㝢ㅢ㌸摡㤶㑤㙡㕦摣㤶敤摣捣㕦㌸慦㉢搵㘵㙥㕡㉣换ㅢ㈹㔱㥢㠷扢㘲戳㔳昲摢戲㔸㙤㡦㔴换㘲㜳攲搲㘶㑢扣㐵㤱ㄸ昷挴敤改昲搲㘹ㅤ收挱慥戴愴㐴ㄳ戱㘹戳㐴㙣㤷㕣愵㈵戲捡㌵㜸昲挲昶㑥戳㑤㡡㌷扡㜵搷收捣㈲戳㘳㥥挹㉤ㅦ㌳㉢㤷㍡㠰㈲晢挶㝣昴㥣㌶㕣㈸㙥戵戳㐳扤摣摣搴愵㕤㘶㕢搶捣愲扣〷㤹ㅤ㕤换收愷搲㉤收挰〲㠸㤵㈷〴㠳ち搸搳摡㌳㡢㍢㈷户户㜵㜵戴户ㄴ㑡㈶㘶㤷愴戰ㄹ㤰㥤搵㥥㌵㜱㉦㕦挵愳㐲㔵昴攸愱㔴挵戶㝥ぢ㌱摡敤慣㤷㡡昰㔴㌱㙦敤㌷㈹㙣㜶昵㜳㜱㜵戸㡡ㄶ㤳㙤戲㜲搸㍡㡣㠹㕤㥡ㄹ㔵ㅥ攸戹㈶敥㡦ㄱ㍤戲㍣㕡捡攸搶摣㝦ㄷ㕣㔹搹摦扥晡愹㑢戰㘱戲㔳慡㉤摢㘲㜶㜴扢扢愷㔸㈲晤㌸㐸㜵ㄲ扤戹慣昷㜸㠳慦㤶慡㘵搵㠷㌴㘷扢ㄶㅡぢ捤收〵ぢ戹㔰挱づ㘰㑤つ㕤㕢㜲攸㈷挱搲㑦㤱㍣つㄲ〸㔴ㄸ慢〹㌲〲晡ㄹ㉢㕤㍤ㄴ晦慦搷㕤㘶挱㔶㑣㈵戴戴㙣晤㘰㥦慥戳扡ㄵ㡢昰捥ㅥ㍤晣慥㜲愷㔴攷挲㉥㌶捦敥㠵戴昷㉣挹㜳㈰搵挳㐰搶戹搳挳㐵㕥ㄵ㌷戴㙡㕢㌱ㄹ愴戰㡤㈸扤㕢愵慡攵慥户ㅡ摣捥㡣收ㄶ搶っ昴㤵愵〶捥搰昹㝢户戲昵㥢㑢扢愶愴扡㔲㍤㕢戱ㄹ㠶㕡搲〰㡤ㄶ㉤敢㡣㥡戵挲㜳戴〳㜶ちㄶ㠲㜲敡戱搲㑢ㄸ㤶㈵㜴ㅣ昴㤷㡡ㅥ㌶敤晥㈲㔰㜶㉥改㡤攲㠶㕥戸愹㠵扤戶散㜴戳㙤晥戲㠳捣㑥挲㙢㡣㙥㕤㔹摣扤攴戶㌹㤳摥扤慢戹愵戳ㅥ㈵㥤摥搱扥昸愰㥦搳づ㙤改㍦㠱㌸㐷昵昶㘸挵敢㝦㑤㜰㔷㐵捦㈵慣㥢愶愶㡡ㅡ㕡㈳挷㜸ㅥ挴㍢敦㜱㈷㡤㡤ㄷ戶㝦挴㝦㜲攸ㄷ昱㕦㐰ㄳ㕡㐶㔶㍤ㅣ戲つ搹て慣〶扥㜷敢㥣㑣㝡㝥㠷㈹㍢㥣㌵㤲㠰昳㙢㕢昷㙣敦㔸㤴㙥㙦㕦挴㑤㤵㍥㤲敡㕣㘸㥡㕤摣㌵散㘵敦㤲捡㙥愸㔲㍤㝡ㄴ散昲㜹戶ㄷ户㠲㝤攳ㄵ㤰摡㠹㉤㉤㠳ㅤ㡢㥤挶慢㘰昵挰晥愵昱ㅡ㑥㘲㐳㠶㑣㙥㙦㍤愸扤戳㤹㥢㠸㑤㔳㤷愶㕡て㙡㌱户摢㙤㜱慡〵㍢戰摢㘱ㄷ㘴㙡攷㝢㜷ㅦ晢捥ㅦ㤷㌷㡤㙣〸㌵㡥慡㕦摡搲戹㔴つ㠷㘷戸㍦㜷敢㑥扤㜶扢昹㤹戳㈷摣扣摤㑢㔳㐶摦戰戰㐹つ戳〵㈵㕢㠶㈳㤱ㄷ㈷㜴晤㌷㄰㌵ㄴ㌰づ㐰㌸㉦㍣昴ㅢ㐸敢㌷㐹摥〲挱㌰㈲摥挶㈸昲㜷㉢愹㐶攱㝦㡥㈴晡ㅤ㤲㝦㠰愸搱㈰散挷晡㕤㄰攷㔰㠳㘰㥦捤㐳慡㜸つ搸〵㔵㡣㈵㘶㐹ㄵ㝦〰㔰㐰ㄳ㕡㐶愶挶㐰挶㙡搶㜴慢愶㈳㌵㥤愸敡㤰㡦慦㍦晡搸㠲㤲㡤捣敤愱㈶晥昸㥣晡扤〱昳昷挷扦㤹挷㤷㈴㕦㠱㜸晣昱戵㤵㔴㈱晣㉦晥昸㠶愰㙦㐱㔴〴㐴晣昱ㅤ㑥㥣㐳昵㐰ㅥ㡥㍦㌴昷㐰㑢㉦㤲摤㈱搰㥤㑣㐵愱攷攷㠰慦㝦㈸攳㠰戵戶愰㘴㕦戵〱㤶挴〱ㅡ㤹慡㉦〱昳㜷㐰㉦㠸㜵㙦㤲㕡㄰㡦〳敡慣愴㑡挰㤰㌸㈰㐸㔰㕦㄰搵〸㤶㌸愰ㅦ㔲捥愱㍥㐲ㅥ㡥〳㡣㡤㈰昱㌶〸敥挸㤶㌴㠸㠱〰〵㌴愱㘵㘴㙡㉣慣晢昹攳敦攵晣昱戶㉤㈸搹敡ㅤ〷㑢㐳昰搱㕢㈱㍢昵㘶㔹㝦っ㘱㘹㠶㤲㙣つ攲昱挷㜰㉢愹㜶㠴ㄱ昱挷㌶〴㡤〰㔱ㄳ挰ㄲ㝦㡣㐴捡㌹搴换㕥㝦㙣ぢ㠹昷㈶ㅥ㍢挷㈵敥ㄸ〳㑣㐰ㄳ㔹㐶愶㈶挲戸㥦㍢㥥㈹攷㡥搵戶愰㘴㑢㝡㌲㉤㤵㕦㘷㐱㠲〹㐶搶㙦〶㤰晦㑦㉣㜵慤〵敥㑦㕣戴ㄹ〱ㅣㄵ㙡ち㉥㔶㉡㌷捥㕡㘸〰愹㥥〶搶晡㙣㘰て〲㑥愵㔴㕡㘵㔴㔶㤹㍤㕢㌱戴捦㕡搰戱攱㉢㤸㍥㔰㤴㘵㠸㘵愰户㤳㤴晤㝦㈷挱㘵㑤搰㐹〰㉤敢愲摡㍣〳㔳㜰㝦㈷攵㔹摦戸戶㝦敥挵ㄲ慥ㅤ㑢㌸〵㝦昵挰㈶慢晣㘷㔱㠳㐷昷敥㐳㌹攱愸㥦㜳ㅤ昳㝦㍢扦㥦㙢ㅤ㐷ㅦ㔸挷㈷攳敤㤳〹搶晦㌵昶晦づ晦捤晢〳㝡㉡㐴愵〳㐵㈳㥣ㅦ攸㔶搸㥤愲㥡づ愳敥〸㘳㑣㠴㌱挳ㅡぢ慣㠹昸摥㜲〳捤㍤戶愰攴㠹捡捥㌰㌸㠴㈵㥤ち㕢敡㉥挰晣攷愱改㄰敢㥤㐸㘶㠰㜸挶摤㕤慣愴摡〵㐶愴㙢捥㈴㘸ㄶ㠸㥡〵㤶㡣扢戳㤱㜲づ㜵ぢ昲㜰攷愱㕤㈱攱攳㤸㔸愹愷收㐲ㄴ搰〴㤴㤱愹搹戰改㍡挳戳ㅣ戹愶㥣ㄷ慥戶〵㈵捦㜹昸扣㘶〸㍥㝡ㅦ㘴愷慥㉡敢㠵晤㔸㥡晤㐹㥡㐰㍣㕥㐸㔹㐹㌵ㄷ㐶挴ぢ㘹㠲㌲㈰㙡㍥㔸攲㠵㉣㔲捥愱㉥昲㝡㈱〷㠹㍣㈴㉡㤹㜳ㄶ㐲ㄲ搰㤴㤷㍡㐱㘴㙡㜷㤸昴㜳挲敦捡㌹攱㑣㕢㔰昲昴㘹㉦㔸ㅡ㠲㡦㍥ㄸ搹愹搳换㍡愱㤳愵改㈲㔹っ攲㜱挲㈱㔶㔲敤つ㈳攲㠴愵〴㉤〳㔱晢㠰㈵㑥㌸ㄴ㈹攷㔰扦昵㍡攱㜰㙡㝢㥥㕤㤵昸攲〸〲㌴㘱愵扥㄰㤹摡ㄷ㤶晤㝣㜱㔸㌹㕦ㅣ㙡ぢ㑡ㅥ㡡敤て㑢摤㙣扥ㄵ㍣㠷摡〸搸㠲捤户摥戹㘹捤㉤㕤愶㌵㍦搷攵㌰㑤㕢㔱㈴㌲㕦搷㜲㑦愹㈳㤵戱攲㌳㌶捡㑤挶戶ㄲ挲㔶扡㤶攵㌷摡㑡戶戵慣㕤㥦晦扦㜹昷㡢摢扣㤳慤扢㠲つ扣㙥㌶挷搰㘸㡡戶敦扡〷㝢ㅡㄱ昷慤㝣敦慤愵㐹搵挳㜲㘱㈳㈳扥㜸㕦㐰㘲㜳㕣扣户ㄱㄲㅤ㉡扦搸㘴㘳㉦㙤愴㔴㉡扢㠱挶㍤戲晦扦晤㔸ㅣ㕣㘸㙤㍦㥥挰〱散㐴㤲㤳㐸㑥㈶㌹〵㐴㜵㤵ㅤ㜱㑦㈳收㜴㤲㌳㐰㍣㈳敥敦㤰㌴捥〲愹㜳ㅥ捥て戶㥡㔸㐰愹㈶搴㠱㡣挲㘷㔳昱ㅣ㤰摥扦〷㤹扤㤳搹㠲慤散㥦㉢愰慦㍡㠵㙣扡摦㝣㐳晢改〷搰挰搶㜹换摡㌲ぢ㍢摡摢㄰㔶挹㍤挱㠹ㄹ㐴挴㜵慡㤴搱㍡戳㝤昲攲㉥愳㜵愷㘶晣搷扢㜵慥㜹㤰㤹敡㥡㡣㐷ㄵ搸㜰㥣㠹㠰〳搹㑥㥣㤱㕤扡攱㡢昵㥦㙦扢戱愲ち㤷㔰愱攰㐰㘷挷㔱ㄵ昷㕥㙢攳捦㜶㙦晤㤴㜶㐴㔷㥡ㄲ㔸㑡户ㅢ〶戶㡥㝦㠱晢㠹ㄵ晡㕣㤴敥戲㑦㔷敥㌰晣㤲㥢㝥戴晦㍦ㄲ㝢㈵㜲攸〳㜰搱愵戳敤〵㔰〹㜴㈷㔳㘹攸戹㌳戱㜱㈹摤㠶㘶㘰㉤㔲て㈸㌷ㅢ㌷搹㠲㤲㠰㠸㉣慣㜱㐶搶㔷挰㤰扥㤲攴㉡㤲㍦㤰㕣つ愲昶㉥摢㜷㔶㄰㜳㉤挹㑡㄰㑦摦戹ㅥ㐹攳〶㄰㥦扥㘳㈲㌳改㍢㌷㔲昱㈶㄰戵〰慣ㄴ㍥㜸㥡㡡㘴㔹㠷攵㠸㈸㔹扡摣〶ㄵ㉣攳捡换搴㐲挸㕣㠷㘹㍡捣㜲搶戴㜲捥㥡㙡ぢ㑡㠲㍦ㄸ搴㌱㠴㌹摤〳㈳㙡㜲㔹挷摣挷㍣敥㈷㜹〰挴攳㤸㠷慣愴㙡㠱ㄱ㜱挲挳〴㍤〲愲摡挰㤲㘵摣愳㐸㌹㠷ㅡ㡢㍣摣ㄵ晤攳㤰㜸㜷㤶ㄸ㐹㔲攲㡦㈷〱ち㘸㐲换挸㔴㍢慣攷晤昱㉡㔲㤶㍦㐲攵晣戱扤㉤㈸〹㔱改㠰敥㄰敡㍦㡦散搴㜶㘵晤昱㈲㑢昳ㄷ㤲㤷㐰㍣晥㜸挵㑡慡㑥ㄸㄱ㝦扣㑡搰㙢㈰㙡㌱㔸攲㡦晦㐵捡㌹搴㌰慦㍦晥〶㠹搷ㅦっ㜰㈹昱挷ㅢ〰〵㌴愱㘵㘴㙡〹慣晢昹㘳搳㜲晥ㄸ㘴ぢ㑡㈲㘷㤶挲ㄲ户㤷散㉤㤵㘵㌸㤵慢㕡挳摣摦〷㔱㠷㠱挵㙤ㄵ敢㜰敥㘹搷摡摢搵挵昷扡㌵ㄳ〲挶〷㔰㉢㠸扣攱ㄵ㝡て晤㈱㄰戸敦㈵㔰㉥戱㔴搸㥤㑣ㅤづ㝣晥昲㈷搲㡡散㍣〷捡㕤扥戶〵㈵昱㍥㐷挲搲㄰㝣昴㕡ㄸ㔱㍤〱昳扦攱晤㠶㜹㝣㑢昲ㅤ㠸愷㌹晣㘰㈵搵㔱㌰㈲㡥晢㤱愰㡡㑡㔸㍢〶㉣㘹づち㈹攷㔰㍦㝣敦改ㅥ㍤㈰昱㙥㌴㈲㕡愸愴㌵㔴〳ㄳ搰㐴㤶㤱愹㘳㘱㍣敦㡥㝣敦昸〲㔹昹㙥挴㝦㙥ぢ㑡挲㤰㡥㠷愵㈱昸攸㍥挸㑥㝤ち㤸扦㍢昸㘵〷摤㤷愴ㅦ㠸挷ㅤㅢ㔹㐹㜵〲㡣っ愵愱〱〴つ〴㔱っ㑡ㄲ㜷㙣㡣㤴㜳愸㌵㕥㜷っ㠲㠴ㄱ㑣愱搲㉢摤っ愲㠰㈶愰㡣㑣㥤っ㥢㝥㕥㜸扤㥣ㄷ晥㘶ぢ㑡㐲愳㑥㠵㈵㤹㘰㠶㌱扢攱㈴摢㤰㡣㈰ㄹ〹愲㕥㉥敢㤹㙤㠹ㄹ㑤㌲〶挴攳㤹㝡昲戸㌸挳㘲㡣搱㔶㐳昱搱㈱㌲挳㈰敡っ㈴㔳昸㔴攸〸㤲㘵㈷㤴搳㠹㈸㘹㈲㜱愸〴㜴㌷㌲㜵㈶昴昲捥挹㑦㈸㡦㤴㜳捥挳戶愰㈴散敢㙣㔸㤲㈶戲㈳㡢晤㘰㔹㐷㑣㠰㔸㑦㈴㤹挴搲攵㥦㕤㑤戱㤲敡ㅣㄸㅡ捡换㤹㑡搰㌴㄰㜵㉥㤲搲㐴愶㈳攵ㅣ㙡ㄵ昲㜰㈷㤴ㄹ㤰ㄴっ愰〸ㄸ㉢昱挷㉥〰〵㌴愱㘵㘴㡡攱㘵㜹㝦攴扢捣㡤攵晣㜱㠳㉤㈸㠹㐴扢〰㤶㌸㠰昶戴昶愴㉦挴改㔰㝣昴㝣收扥㍢㠸扡ㄸ挹昲〳㘸挵〴㠸㜱㌸〳㉢㌷ぢ㉦㐲扡戴攴㝢挱ㄸ〶捤㙥㠴摤挹搴㈵㌰㥡扦攴晣愰㜹㘹戹㑢扥挴ㄶ㤴挴换㕤〶㑢㥥㌹㘳㌹㤲㐳昱搱㔹ㄴ㔰㥢㈰敡ち㈴换㕦戲摦㥣㤱㠳㕡㐱扣ㅤ㉢搵㝢攸㠵㐰攰昲〹ㄴ摦㤴ち扢㤳愹㉢㠱昷扢晣搳换㕤晥㘹戶愰㈴捡敦㙡㔸㤲ㅥ搰㠵愲愸㔳〰昳ㅦ㈴㤷戰愴㠷㤰㉣〵昱昴㠰㐳慤愴扡〶㠶㠶攲愳て㈳攸㜰㄰挵㐸㍦改〱扦㐱捡㌹搴㌱挸挳敤〱㐷㐲攲敤〱っ㄰㉣改〱㐷〳ㄴ搰㠴㤶㤱愹㤵戰㥥昷㐷扥〷㉣㉤攷㡦㐳㙣㐱㐹攴攱昵戰攴㘹づ㡣㍣ㅣ㡡㡦㍥㤹戹㥦〲愲㙥㐲戲戴㌹㌸㉤摥慦㌹㥣ち戵㠲挸挵㤲收㜰㍡㄰㘸づ〴㤶㌶〷ㄱ㜶㈷㔳㌷愳㐸昹换捦昷㠶㠵攵㉥㝦㠱㉤㈸㠹㤷扣ㄵ㤶㘴戶戸㤰㐵戹㠸攴㘲㤲㑢㐸㉥〵㔱㈹愸戲㠹㔴〳戹ㅦ㍥㡢㝢㔴㔴戴㔰愰㤷ㄳ㜳㌹挹ㄵ㈰㥥㈶㜲ㄵ㤲挶ㅦ㐰㝣㙥㐷㙥㠳㠹愱昸攸慢㈱搷搷㠰㈸㐶㘳㕡戳挷ち㈴换捥ㅥ户㔳慢愴慤㕣〷㤵㠰敥㐶愶敥㠰㕥摥㔹昹搹㘳㜶㌹㘷捤戲〵㈵㈱愱㝦㠴㈵改㍢户戳搸扢搸㡥〱戳昰搰㜷㐰慣敦㈴㔹挵搲攵㘷㡦扢慣愴扡ぢち㐳昱搱㜷ㄳ㜴て㠸扡〷㐹改㍢昷㈲攵ㅣ㙡ㄲ昲㜰晢捥晤㤰㜸晢づ愳㐹㑢晣昱㈰㐰〱㑤㘸ㄹ㤹扡ㄷ搶昳晥挸昷㥤㘴㌹㝦㈴㙣㐱㐹㤸敡〳戰㈴晥㜸ち搹愹㜸㔹㝦慣㘶㘹㥥㈱㜹ㄶ挴攳㡦㍦㔹㐹昵㈰っつ挵㐷晦㤹愰攷㐱搴挳㐸㡡㍦㕥㐰捡㌹搴ㄸ慦㍦晥〲㠹搷ㅦっ㜲㉤昱挷换〰〵㌴愱㘵㘴敡ㄱ㔸昷昳挷搰㜲晥ㄸ㘲ぢ㡡愳㘷慢ㅦ㠷愵つ㠸㝡散〵戸捥敤搱㙣ㅥ挲㌰慤㍥戹㠲敦㕦搵收愶戴捦㙥敦㥡搲摣㜹㔰㑢㙡㔹晦㥣㝤戲攷㐲戳つㄱ㥦ㅤ〸晣㉣攲戵ㅦ㜴㤰㤹搵戹㜹敤㡢㍢㌲收㡣㈹扦㠴㠸㔰愹㌶㠴㌵㈹㔵㔱愹㜰晣戴㈰挷ち㘸愲搱昰愱㜹㌵㐳ㄳ㡢㘳搵㍣㥢挱昹攷づ㐱〰敢昲ㅥ㥤摦摣搵㘲昶捡㠹㕣捥㙢㜲昰㈲挲㘸戳㍤㜳昳ㄷ㈲㘸㙢㑡㙤㙥㝡㐷㜳戶愵戹捤㘴㘵攰㔹〶〳㡥㘷㥡ぢ㄰㌲扢慢ㅤ㔲㔵㥢㥢摦㤱㙡敢㍣㠸搱㝦㤹㘵晤ち㔲戲慦㔷㥤㥢搴摣搶㠹㙣攴㕢㜴㍣慦换捤㕢搸㝥〸扥㥥扤戸戵㙤㝡敡愰捥㕦㐴慤㈸愹ㄷㄲ愹ㅡ㔵愹㉡㉢㔵㑤㘵捤㑦慤ㅦ攳㑤昴慥晥搶ㄷ〶〶愳㥤㜶㜵㌴愷ㄷ㌳〶㑤昲㠹㠰㔶㤱㐸ㅤ㔶㔴㍦㠵戳㙥昶昳戹慢㙦〷㌲㌳㐸㤷㘵㉤昸㘶㤶㙦扣愸晢㥤㜷敥攴敢户㔰㥣摥㙦㠳散㍣㝤昷ㄹ昹昰昵晦攸ぢ攴搵㑦挳㜲昱㉥㘹㜱换㜳愳㠵〷〰摣挷㙡㐲攴戱㐵愱㘷愲㈵㌰㔵摣㉣〳㌹挱戰㠵昶挹㥦㑥㐳挰㘹敦摣捣㔴摡㙣挱㝥㜸㙢慡慢㡦㤵攰戳つ㝣挱戸搳㤶㈱攲慦㌵挵㈶挷收㍡㉦㤳㙡㌱㙢㜲ㄳㄷ㜷戵攳㑢戴㍡〷㈲敤搲㘶愵㤶㠲㤵㕡㉡慣摥戹戹㡣㥦㤷㜳摡㙡㕦㤰敡㘸敥㕡搸摡㥣愹㘱㠲㌱敥扦㠸戶㡡㤹愰ち捥㜴づ㘷㉣㈹摥愵户昶慢㔱摤昵㜸㘶㐰搷戱晡搱愲㉢㤵㠱㝦敡㈷㐶敡㘰攴㤱㐹㐳扦〳㙢搵昸挸㔰㈴㘵昹㠴㍢㈵㍣㍥㌹ㄲ㈷搶摤ㄳ愳愳挹搵晦〰㤴㈷晣㔴㍤ぢ搲㙤散㙤㑦〰〲㌳摢㔳搹㘹㜸㤲摡摥搱搳㝥攱㐱つ㠳㌹㌱搴㜴〴ㄹつ㍤ㄹ〱昶〸摣㕦搲㥣㌵㍢㙡挸㤸㠷㈷て㔵㡣愳㌶慣㍡㘴㘷慥愸慥敥㔵攳㤷搷っ挷搶㌰㍢愸搴晢挲㠸ㄹ㈵昶㍦摣㉤㌹㝥㕢㤶㉡㈰㔳搴扢戸ㅣ晤ㅥ慦改㌹㌰㜹㍤㐵㠰㌵〴扣て㔲晤㈷〸㡢敢愶㌰㌰ㄹ攱换ㅡ愰㉡挶ㄸ㔵㌱戶愸挶㠹㈹慡㤶ぢ改攵㠹㈱㌲慣搸愱ㅡ攷晤〳挶㍣戴㜲㌳ㅢ戰挶㔷㍥㜷挱捣㔰㔱㔹㔹㠵慡㌶㡡ㅦ㜱㤷㘴ぢ㘳慤昳㑣〹㥥㔶㕢愲〸挶〷㈸昱㐰㜶ㄶ搸挷ぢ㌲ち扥㝥㕦扣㡥挰㘲晤㐳挰戱晦昱㈲愸攳㠳㈹攴㔸㑥晡㠸㍥昸ㄸ㐴晤つ㑣慥〴㍣昳㤶㝡〳㐹捥㕤〸㠸愵ㄵㅥ㐵攳愲㝡ㄳ㍣㡥㡤晡ㄳㅡ㜹ぢ㘷ㅣ㜲摣㈶昸ㄹ戸敢㙥㠲㝦愷〶㍥晡㜳ㅡ戱ㄳ敡ㅤ㥣㌸㐵昶搴敢ㄷ挰攸㝦ㄳ昸て㝦挰㤷〴㝣㐵挰扢〰戰㙥㡤戵㐸昹晡捣攷㍥づ㍥晢〶㜰昸散〳㡦㝤㡦捦扥愵晤敦㘸晦㜳〰挴㘷戸㕥改㑤〸㤰晢㌷㜸攲㌳攳㝢㐰㌶捥㝦㐳㝡㥤㜳㡣晡ㄲ慡攲换ㅦ㘸㥣攱戶〵扥攴㜷慢搶敤换慦愱㈶扥㔴㠰扢扥晣〶㕣挷㤷㈱㥣摢搵㕦〹㡣㐶て慣㔰摦晡〳慡〸攰㥢㌸搴㜷〰㠸㉦つ愴㝡㍢敤て㠱㐳㤱㤲ㄵ㉡㍣㔸〳㄰㍣挸〲㌸搹㝡㍣挸搷戵攸〰慤㙡〰㡡㕢ㅤ〳㙥㉤て昶〲㘴㝤㘷㘸搵ㅢ㙡攲扤摥㌴捣㔸摤〲敦昵〱㜷摤摥㘳㑣㉦晥昰㔲ㄸㅡ挱㠹㝣ㄸ搸敢㕣㠶愷㈵〶㠱搱㝤〹㘴搰慦て愰ㅦ〱晤〹攸〷㠰㜸㙦㈳愴晣㕡愲㕦昸㉦晣㌸㄰㜰昸㤱㜱挰㡥㝤㡦ㅦ㌷愶晤㑤㘸㝦㉢〰㡡晤㌸〴㍣换㡦㠳〰㔹㙦㍦㌲戴㔷晣戸㈹つ㙦㡤㔴㠱ㅦ㌷〷㜷摤㝥㘴㉣㌰晥㉡昴ㄶ㌴攲昸㜱ㅢ㥣㌹㤷攱昱攳㤶挰攸慤〸ㅣ攱てㄸ㑣挰㄰〲㐶〲㈰㝥ㅣ㡡搴〰愷ㄵ㝡㐶㐱㥦戰㘱戸㜱ㄸ搰㜰攳ㄸ㡦㜹㡦ㅢ㠷搳晣㌶㌴ㅦ昷〰愰攱㜴㤳ㄱ〴㡣㈴㠰〱慦捥ㄵ㜸〰愳〸搸㤶〰㐶ㄷ㍡㠰㥤㜱ㅥ〸㙣っ㥣ㅥ㑤挰ㄸ〲ㄸ攵㔷㍣㘶㑣〷捦慡愹敤〰搹愰㌱㘳㈷愸㑡㙤搵搳昸っ愴ち㙡㉢〴敥扡㙢㡢ㄱ㠴昸挳戶㌸㡤攰㐴㍥㌳㐱㥤㑢昱㡣ㄹㄱ㘰㜴㤴㐰㠶ㄸ晡〰㘲〴挴〹㘰搴愱搴㔶〳㔲摥㌱愳挱㙦捣㐸〲㠴㑡㥡敢戱敡愹愴㐶㕡ㅤ㑢慢㡣㄰㉣昶㈰挳〲㉤て敥〰挸〶㜹㜰㝦愸㡡〷㝦㐵攳㑤㐸ㄵ㜸㜰㐷㜰搷敤挱ㄴ搴昰㔷愱挷搳㠸攳㐱㠶㈰㍡づㅡ挶㡢戳㈶摤〹挰攸㠹〴㘶晣〱㤳〸㤸㑣〰㈳ㄶ挵㠳㔳㤰敡攵戴㜷扥捤挲㘷慡㥦〶っㅣ戸搰㘳搴攳挰改㌴扡ㄳ㡤㌲扡戰㜸戰㘰㐸愱攵挰ㄹ㠰慣昷㘰挱㍢ㅤ㜱摥捥㌴扣ㄸ愹〲攷捤〴㜷摤捥㘳搴㈲晥㄰戳㑡㈳㡥昳ㄸ扡攸㌸捦㌳㔸捣〶㐶捦㈱㤰㘱㡤㍥㠰㕤〹搸㡤〰㐶㍡㡡昳收㈲搵捦㜱㕥㝥戰昰昳攱㝣㐰攱挳㈳㍣戶㍤㍥摣㥤戶昷〰愹㍥〱㠰㙥㙥慣㄰㙡攱㠹㌴敢〳㥢㐶㙥昷戶收㉥摣昳戰ㅣ搳㥡扢戰㝡敢㥤〳挱愹㠴㠴㙤㉡昷㐲ㅥ愵搱敥ㅥ换㔶愵愲㠲㑤㤷㉤㑢攵摥㕤㤸㘱㍥㘲㙢㝦挶戳㉤戳㉥㤰散搳昸㤴昱㤷戴㜱愳慣㄰愱ち㙢敦愶摢㤷昶攴晤捥㝢敦晦㘰㥢㐷摡㔰㠵摥㡢捤挶戳攳㜳攲㍡㥢㠷㈷戶戰ㄷ㥢ㅣ㜷㝤㉣㕥慤ㅤ扣㍡愳慤ㄳ昷㑤〱㍢㠵扢攲㍥昶改㥣挵㕤〵㤲搴搲晥戶〴摦戳㥢搳㠶扤㡣㑣慡㈳晢ぢ戹ㄱ挶戵㔹晢㌵㜲㑦晢ㄳ昷搲㘰㠴㠷攷昶ㄵ㘳㈹㜷搶㑥㠲㥦㌷㈴㉣戳づ㔶㙡改㙡㌷㕡戳㠶㈹扥昷㑣㙡挰㝡㌳㡢㙣㙡敥㙡㘲㐷ㄲ慦㠱㙢㌱晢㡢㠲㥢㤴ㅢ㍥㥤㥢㤸敥挴〶㔹ㄷ㜷㍦散㌳改攰㍡㌷搷攴ぢ搱㤶㤸搸慣戰捦㜶捤㜴㈱〸搹㌵挰敦扥晦㜲㙡〷ㅥ愹戲㙢㐸㐹ㅤㄹ摤㡣㙢㠵ㄷ挱扥昳ㄳ㙢ㄴ昵㤶㤳攳攳昱敡挲ぢ㜸㕣㍢扥挲㌹㘱摤愲㜲㑦〶愸㥢㍤㌷㡣戱摥ㄸ㕡昶愲晥㑥㘸户㌵戲挹愰搵摢攱㜱㘳慥㤶ㅢ愸ㅤ㕤㜸㐱〴摦愱㔴挷㙥搳㠲㥤㡢慥㘶散㐱戵㉣敢㤳㥢搱㤶㘹㔹㥣㌵㘵〳换ㄹ慢㘵ㅦ敢ㄷ㔱㕦㔵㜰㠸摤㥢扡昱㡢敤㤴ㄹ㜸㠵愶昳挲㠰㥦扥㡢慤昷收㤴挷挵〶㙣〴昴㍥㐸戱㙡ㄸ㉥扢挱〱换〱㔸改㤷て户㤷ㄷ㉢㘲㔸㉢㘱㜱㍣㘳搴愹ㅢ昳㉣㍤捥〳㥢搹㍥戳㥤扢攰ㅥ搶㑥捤ㄶ敢ㄷ㔱㑦戸㑥慢㥡昰搵慥㥦晣晣㠰㐶㌰攲挹㝦搸慦戳晦ㅦ㑦晦愳〶ㄴ㈳㤲慤〵摢扥愸㤳㥥昶昷愵㔱㑤搶ㅥ㑤㘵㝥敦㕡㌱㙥㔹ㄶ㘹晢〱愹ㄸ挰㙣㉤搲慣㝡搵㑤攰㜶扢㐸搳〷㔸戵慥ㄸ散㡣扦ち㥤〲愳ち㈷晣㈸㐶㌷㍢敢戰㝥㘰搸慢摣㌴㌰㍡〳愲ㄸ昹散〳挸ㄲ㘰㠲㔴㌳〰戶㜸搰㈹ㅢ换ぢ㠵ち扣昰〰摢㘸㌵慤摣㑥㐴㤷㌵昰愲〳挴㉡昷挴㉡慢㔷つ㘳㝤㜵づ愸㘷㔶慦ㅥ〷㙣㠵㘲戰慣㤳扦㘷㌱户㠰昹㉦〴㔱っ㙡攵㠲捥㥥捣て㘴ㄶ昹挹㕣㕤〹ㄱ㈷㜴攷㈸㤹㠶ㄴ㘳㘱㌹ㄵ搱㍢敢ㅡ搶ㄴ㘳㘶㌹戴㔵攸㐵㉣㠱摢户㕡㤱㘲捤㌲㥣㤶晤换㍡捡户㠰ㄵ挰㔸㉤愰つ㥡摤戶㠰㙢〱㤵ㄶ搰づ愴㕡㠹㔴㐱ぢ㌸ㄸ摣敥㕢㐰㠷㕤戶敢愱㡡㍦扣㍡っっ户〵㌰㐶搷㜱戰愷〵昰㕤扥㥡て摥ㄵ攳㜷㝤〰㑢〸㌸㠴〰㐶昴戲ㄵ攸愵㐸戹ㄵ挷愰㕤㐷捤㔳㜱换愸㜶㈸搵ㄸ㘰㕢㝣㈷㜳ㅦ㜸攲㤶昲㥢㤶昷〳㈲敥㌸㥣㐶ㅥ㐰捡㜲㠷扤㙦㝥〴戸摤扡㐳㍡㈰㠳㜴昱㔷愱㡦愴ㄱ㥣挸攷㘱㔰愷挸摢㠲㘹㜷㠶愳㠰搱㐷ㄳ挸㈸㕥ㅦ挰㌱〴ㅣ㑢〰〳㝢攵慥攵㌸愴晣戶㡡晣攲㜹戱挷㜱㍣攰戸㜳㜹搲㘳摦攳戳ㄳ㘸晦㐴摡㘷㄰㙥戱捦ㄸ㜹㙢㌵愵㤳〰㔹敦扢㍦挶敡㡡ㅦ㑦愶攱㤷㤰㉡昰攳愹攰慥摢㡦っ敥挵ㅦ摥㠷㐶㈳㡥ㅦㄹ攱敢攳愶搳㠱搱㘷㄰挸攸㕦ㅦ挰㤹〴晣㡥〰〶〴㡢ㅦ捦㐲捡捦㡦㝥㜱挰昰攳㌹㠰挳㡦㙦㜸散㝢晣昸㝢摡㍦㤷昶搷㜸〰搰㜰㙡晡㍣〲捥㈷攰㝤㝦挰〵〴㕣㐸挰㠷ㅥ㐰㙦㙣昹摡㝢㐵ㄷㄱ㜰㌱〱っ㤰㉤慥㉡㐶挵㕡㔵㜵〹㈰敢㕤㔵㡣愳㤵慡扡㤴㠶ㄹ㔰㕢㔰㔵换挱㕤㜷㔵晤〰㌵晣㈱㝣㠶㐶㜰㈲㥦ㅦ㐱㝤㙡攲ち㘰昴㤵〲挴戵昹〰慥㈲攰て〴㈸〰愴慡慥㐶捡㙦㔷捦㈷㐶ㄷ㌵戵〲㘸搴ㄴ换敤㤸昷搴搴戵㌴扦㤲收晢〰㈰㙥㐴㑥㜰戲昴㕥㐶搳㕡㙥扣づ㤰つ摡㌰㘲っ慥戸昲㝡ㅡ㘷㌰㙥㠱㉢㙦〴㜷摤慥摣〸㙡攲捡㥢㘸挴㜱攵〰㜰㥤㑢〹昱攲慣つ愳㥢㠱搱户㄰挸愸㕥ㅦ挰慤〴摣㐶挰挶〰㠸㉢㙦㐷捡戳攵㠶㌷ㄴ晡散ㄸ摤〱㄰㍣戸㤹挷慡挷㠳㜷搲敡㉡㕡ㅤ〶㠰㘷㠲扣㡢㙡㥥〹㜲㌸挴摤㑦㤰摢〰戱摥ㄳ㈴㘳㝥慤〹昲㙥㤶挰㥤㈰敦㐵㡡ㄳ㈴挳㠱搷㘷㠲㘴㕣戰㌵ㄳ㜰㠹㠴ㄲ㤷㉥㡤ㄸ㌵㉣㜵㜹㍦㄰㙡っ㔲㔶㕤慥昷搲攸㈱扢㑣昵㔰㤵晡㝣ㄸ㡣㉡㘴挶㡦㘲慣戱㔳㕤㥥㠹昱ㄱ㘰昴愳捣㤱㜱挸㍥㠰挷〸㜸㥣〰㐶㈶换挴昸〴㔲敥挴ㄸ昷愸㜹㉡散㐹慡㍤㐵㌵〶ちㄷ㡦ㅣ㡣づ戶摣挱攷㉡㜲㜰㤱攸㠹㜲㔰ㄳ〱ㄱ㜷慣愶ㄱ〶ㄱㄷ㌴敤㘷挱㕤㜷搳㥥〲㌵㜱挵㜳㌴㠲ㅣ攴㌳ㄵ㕣攷㑡户〵搳㙥摡㝦〲㐶晦㤹挰㘹晥㠰攷〹㜸㠱〰〶㈸㑢搳㝥ㄱ㈹摦〱摤㈷㉥ㄹ挳挴㑢㠰愳㤱㌳㐰搹㈹㠰挷㘷㉦搳晥㉢戴㍦摦〳㠰㠶㔳挲㔷〹㜸㡤㠰摤晤〱晦㑢挰㕦〹㘰戴戰㤳挵㠱戸㙡㝢㐰晦ㅢ〱慦ㄳ㤰昵〰㍣㔹扣㐱挰㥢〴㤸晥㠰户〸㜸㥢〰㐶攴㍡㔹晣㍢㥦挵摦〹㜸㠷㠰㉥〰㡡㙢㥥㔱戱搶㘰昷て㐰搶㝢捥㌸〴㙡搲ㅡ摥愵㘱〶搴ㄶ戴㠶㌵攰慥扢㌵㌰昰㤶つ㐰扦㑦㈳㌸㤱捦㘱攰㍡㤷攱㘹つㅦ〰愳晦㐹㈰㈳㜳㝤〰ㅦㄲ昰ㄱ〱っ搶㤵搶昰㌱㔲㝥慤挱㉦㐶ㄷ慤攱ㄳ挰搱ㅡ㡥昶搸昷戴㠶㑦㘹晦㌳摡㘷㈴慤㔳〰㑦㔵㝤㑥挰ㄷ〴㌰捡搶〷昰㙦〲扥㈴攰㜴て愰〶攷㜶㙢昸㡡㠰戵〴㌰㜸搵㌳慡㝥〳ㅥ扣挳㈹㑡㝦㡢㜳づ㜵ㄷ〱㔲㜶㘴搵摦搹㈸挶扥慥昷攸捡ㄸ㔹㙢㜴晤ㅥ敡昹搱昵㐷摢ㄸ挳㘷㌹扡ㅥ昷攴昷㕢㙥戲昴扣昱㕦散㔱昵搵挱慦㕥㍦摥戹慦㘱挱㔸㌴挶搱㕡挳〹挳㔸㔹㜲〹づ昰摥㜸㕥づ㠸㌴㈰㐶挳㈸㠶摢ㄶ㡣慥㍤挰敤戶〱㘹扣㤶㔱摣㜰ㄵ㔴搹㙥㜴㌵つ㔹㤹攱㐶〹㕣㥦ㅡ㌰㠰搱㍤〹㘴㥣慥て愰㠶〰晥㕡㠸㕡〱㠰㡣慥〱愴摣搱㤵挱戹㡥摡㔰㘴㘶て㔵扤愸搶㥢㙡户〳㔰摣挷ㄸ㍤㙢戹愳㙣慣挴㥤㠰㠸㍢晡搰〸㠳㙣ぢ晡㔳㄰摣㙥摤㈱㙥㘷㌰慥戸愲㉦㡤㌸慥戸ㅢ㕣愷挸㥥晥搴てㄸ摤㥦㐰㐶敢晡〰㌶㈲㘰〰〱っ攰㤵晥㌴㄰㈹扦晥攴ㄷ户㡢㤶扡〹攰攸㑦て㝡散㑦挹晢㙣㄰愴㝡㔳㄰挵㘰摢㘲㥦㌱挲搶ㅡ㤷㌶〳㘴扤挷㈵挶攴㡡ㅦ㌷愷攱㘷㤱㉡昰攳㤶攰慥摢㡦っ攲ㄵ㍦㙥㐵㈳㡥ㅦㄹ挹敢攳愶挱挰攸㈱〴㌲捡搷〷㌰㤴㠰慤〹㘰攰慦昸㜱ㄸ㔲㝥㝥昴㡢昷㠵ㅦ户〱ㅣ㝥㝣搹㘳㝦㑡摥㡦㈳㈰搵㈳㐱搴㕢〰㐸戹㐷㌱㘵㤷扢晡ㅤ㜰㡢㈳㤸㑡愲换愰㠰攷っ㡣㌳㥢搷戵慣〵戱㝤㍣㘵㐴㤳㜵挶捤ㄴ㑢㡣㌸慢昶づ㙣㌶㔶ㄵ扦㕥挰搵㝤っ愶㝡㙤㔴昴敥㔳㔱愳㠴㘱㙣搵㉦㝤㕢晡㝥㑦㔷㥦〵捦扦〸㤱㍡㍣㡣搱㈸攲㐶戳㥡㌳ㅤ敤㥤敤戹慥挱昳㄰户㍡㤸敦㤲捤㘱户㜱㘲昵㡢戰攸㥢㈷㉦慣慡つㄷ㔲扤㠴敦㔶っ㉣㙡㙢㍦愴㑤㑡㔳摤挹㔷敡㡡扦㝡昶㘴㌶〱收挳㘳㙢㌸㉦昸てㄴ㌴㠸㠴摥づ㈶㙡敢㠲㡣ㄹ挳㕦㠵㔱㡦昴昰挹㤳昰ㅥ攷㐴㌶㤷つ挵ㄳつ㤹㑣〶㍦敦ㄱ㌶㔳改挶㑣㈴㥥挹㌵㘶㘳㤹㔴㈶ㄶ㌱戶㜷愱搱㙣㉥㥥〹㈵ㄳ昱㕣㍡ㄲぢ㈷ㅡ㔲㡤つ挹㔸㍣㤲㑡㠴捤㐸愸㈱㥢っ㌲ㅡ㡤收㜵〸㍡㍡っㄲ㕣攳戰㈲㘴㐵挹㘲㐸㥡愰〸㄰㘸㌵㠳戸搶㌷㔲っ㑡ㄵ捥㑢戶慡㝡昶㉣㜹っ㔶ㄲ㘱收扥㙤搳㌰ㄸ㘰㔶晤ㄴ摣㕣晣收㌳㝦愵挲㕡愴㌲收㄰晣攲〸换㥤〴〹〴ㄹ㕦㐶㥥搱㠸㘴摦挹㤳㥡ち㝦㘰挷ㄸぢ㜶㙦戰㘵㠷㜷㉥㕥戲㙢散〰㑥ㅦ㜰㍣ㄱ戵挱㡦㙤㉢晡㔷㄰敡愱捣㘳〸㠸㤲㤸㌳愶挶㠳捦挲挸㠷㌱㘷散て敡〱㕣〸㕢㈱〴㠸挰〰㠴慤㐸摤〷づ㕢㔲㘱㑢㘰攴㤹戴㠴挹挰愱㈵㝣㠱㌴晥昰㜲㈷愴敤㤶㄰㑤㠷ㅢ愲攱慣㘹㌶㘴㘲戹㕣㌲㥤㘸〸㈵戳挹㐶〴扢㠶㈲挹㐴愳㌱搵㠵㠶ㄲ搹㘴挸㑣㈷㤳㤱㜸㌲㤶捥㠵搳愱㜴㌸㤶㙤㐸攵戲戱㔴㈲ㅥ㌳㠳㡣㕦愳㜹㍤つ㍡㝡㍡㐸㤰㘱㙢挲捡户㠴慦ㅣ㤶㡢㔲っ㑤㘳㙢㔰户攳ㄲ㔸㔳攲昱㔹戴㌲ㅢ㈴㄰晣ㄶ㐲攱搱攳㥡晥搵㜴㘹㤰〱㙢挲㥦㑢搶㈸收捤㔷㘲㉡㠹㌵㘳㙡㜷昰㕤ㅦㄲ㉡㍥㕣㠹㉣ㅣㅦㅡ㝢〲㔲戶㝢慡ㄵ㠰㤶㍡㔶挱㤲㌸㜶㙦㈸挳戱㤵㐸戳ㅣ挶慦㤱戶ㅣ㙢收ㅡㄲ㜱㜴愷㐸㈶ㄴ㠹㈵搲攱挶㘴㈸㤳㑡㤸㘶〸㈷愹㑣㉡㙡散攳㐲戳㘹戸㌴ㄴ㡥挶㜲つ㤱㔸㈴㥥㐸攵攲戱㜴㈶㠵㡥㤸〸㘷愲㡤㐹㘳㕦ㄷㅡ㑤㈷挳㤱㜰愴㈱摣ㄸ㌷㘳愱㔸㉥搹㄰㐲㍥㤹㜸扣㌱㥡㌰㈳挹㔴戰㠷㕤ㄲ扤ㅦ㜴昴晥㈴㑤㈰挱㉡㠷㝦〰㔹㈹㤲㌴昹搵づ㥦愸扣㤲慡〱㕦慡攴㐲扢㑡攰改ち扤㠰愰㠵㈰㠱愰㜶ㄴ㡢慡㈴攰昰㕢㠸つ㔱㙢㝢㄰搵ㅢ㝣搶㠴㙥〷摦慤㤲㍥攰㑡㤵㥣改慤㤲㠳〱㈹㕦㈵愷晢㔶㐹ㅤ㉣㐹㤵㜴㐲ㄹ㔵ㄲ㐴㥡㘵㌶扡㤰戶慡㈴ㅡ换攲㈵攸㠹㜴㉥㤹㡣挵搲改㜴㌲ㅤ㐱㠳㑥㐴戳㘸挷㔱〸㡣挵㉥㌴ㅢ㡢攴㔲昱㙣㈲㤱㌵㤳戱㕣捡㑣㘵攳㤱㔰㉣㠳搷㙢㐷搲㌹晣㡥㔹戰慦㙤㕥㉦㠱㡥㍥〴㈴搸捦㘱㉤㈵㙢ㄹ㔹晤ㅤㄶ〱〲㔵〳挱ㄲ挷ㅥ㘷㍢ㄶ改ち晤ㅢ捡㡦〰〹〴㌷〶㠳㍣攳㐸㈴㝤㐶㤷愳挰㉥ㅣ㕤㡥〶愷㜸㜴搹挴戶愲㡦㠱㔰㝥㉥㐹㝥㌸㐹㙤ち扥㔴挳㙦挱㜷慢㘱㜳㜰愵ㅡづ昵㔶挳〹㠰㤴慦㠶愵扥搵戰〵㉣㐹㌵㥣〴㘵㔴挳㤶㐸㑢㌵㥣㡣戴㕤つつ搹㔸搴捣愶ㅡ搳搹挶㔸㌶㤵㑤㘷㌲戹㙣㌲㥥㌶㜳㠹㔴㘳㌲ㄳ㌲㑥㜱愱㠹ㄴ晢㐲〳㝢㑣㉣㤶つ㈷㜰ㄲ㌱挳愱挶㑣㍡㤶㡥㥢つ㤱攰㔶戶㜹㝤㉡㜴昴㘹㈰挱挱づ敢㜴戲捥㈰㙢㠸挳㜲㔱㙡ㄸ㔸㔲つ㙤摥㙡㌸㥢㉡攷㠰〴㠲挳〱挰ㅦ㜶挲挹愳搳㌵晤ㅣ摣挶攱㥦㑦搶㡥㐴昰㠱㑣㜰〴挱㍣ㄹ改㥣㡣㜲㑥戶㜵㑥㐶攳愴㈷㌰挶㐵戴㠴昹愰㈰攲挵戸ㄸ摣摡㈶㉢愲㕡收㡥㑥攳ㄲ戰㡡慡搶戸㤴㌰㤹㕥㍡㈶㘶戳ㅤ㜸搹㡤㜱ㄹ㔸㍥㑤㘵㌹搸㠵㑤攵㜲㜰㝡昱㐷㉤㄰改捤㈹㌲㌸挶㉥㔲つㅦ㠴㑥㘶搹慥〴㈴㌶㘲ㅦ捦晢㡢〷晢扥扦㌸㈹㉦㉤摥㡦慦㥢㙦ㄹ㌱㘴㝥㌴愲慦㠲愶㥥〲ㅢ㌵㌵搲戲敡㘱㕢摡摡搵㄰戸㙤㉤〴慥戴戵扤扤㙤㙤〵㈰攵摢摡㥥扥㙤㉤っ㑢搲搶㔶㐲ㄹ㙤㉤㠲㌴晥㉡㡣敢㤰戶摡ㅡ㝡㜰㉡ㄹ㑢㌶挶戳挹㘸慣㈱ㅣ㑤㥢挹㙣㍣㤳㐹㥡㤱㜰㌸ㄲ㡢㌵ㅡ搷扢搰㘴㈲㤹㑤愴戳昱㔸㌲摤㄰㑢㐶ㅢ㤲搱㔰㌲㤵挸㘰昸捥㠵㑤㌳ㅡ㌲㙥㜰愱昱㔸搸㡣挶㌳㔸つ挵㌳戱㔰㌴搲㤸㠸㠶㜲戹㜰㈶搵搰㤰㠹㌶愴愲挱愸㕤ㄲ㝤㈳㜴昴㑤㈴㌷㠳〴㘳づ晦ㄶ戲㙥㈵戹㡤晣戸挳㈷捡挲㔳㔳㈵挱㤷㔶㍡挳㙥愵㌲ち慦㈲攸㡦㈰㠱㘰愳慤㘸摣㠵愴㑦ぢ戸ㅢ散挲ㄶ㜰て㌸㐵㉤㉡㌸搶挹晥㕥〸攵〷慤攴愷慤搴慦挰㤷ち㝣〰㝣㥥㈰㡤㙤㌸㔰愹挰昱摥ち㝣〸㤰昲ㄵ㌸捥户〲挷挳㤲㔴攰㈳㔰㐶〵㑥㐰㥡㔹ㄸ㡦㈲㙤㔵㘰㉥㤲㐸攴㈲搱㘸搶㙣㑣挵㌲愱㔸㍡㤶㡤愳〶㌱ㅥ㐴㤳挹㘸㌸㘶㍣收㐲㤳㡤戹㜸㈴㥢㡡㘲㙣㐸挴㤲㤸っ捤㐸慣㌱ㄶ㑦㌶㘶㔳ㄱ㑣㤲㘱攳㜱ㄷㅡ㡤挶挲改㙣㈶㤱㡥㤹愱ㄸ㔶戸ㄸ㔰㐲戱㜰㈸㤱〹㐷捣㔴㈶㤳つ㑥戴㑢愲㥦㠰㡥㝥㤲攴㈹㤰攰㈴㠷晦㌴㔹慢㐹㥥㈱㝦戲挳ㄷ愸㈸ㄱ慦愶㠱㉦ㄵ戸扤户〲㥦愷摥ぢ㈰㠱攰㜴㐷戱㘸ㅡ摤挹攱扦㑣散㕣㌸㐵昳㙤㤲㙡㘷昰愵㑡㕥愳㜹㜲昸㤹〹慥㔴挹㜰㙦㤵晣ㄵ㤰昲㔵戲戵㙦㤵㌰㕡㔱慡攴㜵㈸愳㑡㘶㈳㉤攳昷ㅢ㐸㕢㔵㤲挸㈶㜲㌱㉥㑥攲つ㘱戸㍡㤲㡡㈶ㅢ挳挹㕣㉥㤳捥㈵攲㔸ㄱㅡ㙦扡搰㑣㐳㘳㉥㤳㐹㐷昰㘳㘹㌹㉣㔶㈲挹㜴㈶ㅢ㑦愵ㅡ㈲戹㐴㌴㥤㑥㐵㠲㜳㙣昳晡㉤攸攸户㐱㠲扢㍡慣扦㤳昵づ㔹扢㌹㉣ㄷ愵收㠳㈵㡥ㅤ㘴㍢ㄶ改ち扤㠶㉡敦㠳〴㠲扢㠳㐱㥥昱〱㤲㍥㍤攳㥦㘰ㄷ昶㡣て挱㈹敥ㄹ㝢搸㔶昴㐷㄰捡㡦愱㘹扥捦戲㝡㉦昰㡢㙦㈷㍣㕦㐱昳㠴㐰㜲扣て㝡攲㈳攵挶愴㙦捥づ㙤㤸㠳㘰㥤㉥戲㝥〹㈱ㅥ㔵㔶挸搴㍡敦挹攴ㄲ昶搹㡦户㐶挵㍥㈸扣愵戲慦㑤㝥昵攰愷㠵㔴〵慡㠳愸摦昵换㠵㍤㈱㝦晢敤摣戸〵昴愷愸㍡散敤㔵敦㡤㍡㕢晦〸㈳㕡敢㥦晦㙥ㄶ扦㠵㌷扡〵挱㔶敢昱愵挷捦㤰愱摡〷戹搱㠶晥ㅣ㈹昶㈰㝥搴㝥づ昷ぢ㘲挰㐱ㅡ昱搹愰搲㝤㝢㜹扢敦㤷㠰㤴敦扥摡慦晢慡〳ㅣ晢㙢愱㙣挰㌶㍦挱ㄴ戸搲愹扦〶㔷㝦㐳昲㉤挹㜷㈰戵扤㠳㘹㕢挹昸ㅥ㘹慢㡦㠷㌰收收愲攸捥搱㈸㙥㐹挲愹㜴㉣ㄴ挱敡っ㔳㘶〲扢〱つ昱㘰挶挹攸〷攸〴戳㑥敡㐷愶㑣㈷㐵㔹㕤づ㈹摥㤶戲㈴㍦敢ㄱ㕣〰换昸慢搰㐵㘳攷㐲㠷㕦㔵つ㘱ㄳㄱ晢㠳愸〳挱㘷挷つ愸慦扦昹昱㐷㌶㉣㙡攳㝢㍤㠰㜱昳㜷ㄱ㤲㙣㈴㥡扦户慣ㄸ戹㈲ㄵㄸ㐰捡慤挰㜶㠷摢㡢ㄸ愸㈳㡤攰㜳㔰愹挰㉦㘰搸扤戳慣〵愴㝣〵㝥〶㘸挹㥤愵敡㜰散搷㐱搹慤挰㑥㜰愵〲㠳攰敡扥㈴晤㐸晡㠳愰〲扢㙣㈵㘳㈳愴敤ち捣㤸攱㐴㌶㡥㥢㤸㄰㙦㙥搲改〶慣㑦㈲攱㜴㈲㤹捥㐵攳搱㐸㜰戱㤳搱〰攸〴㤷㌸愹㠱㑣ㅤ攲愴㈸慢㕢㡡搴㝦愷〲㤷挱㌲晥㑡搶搸㠷㍡晣捤㤰扦晣㔲愱捥搲捤㠷㠳㉦㔵戲㈵昸㍣㤱捦ㄱ攰㡡昳摦昲㌸㍦扦㌵昲㠶㥦㥦㠳㐷㐲㐹㍣㍡ㄴ愶㌰捦ㅤ㠵戴捣㜳㕢㈳㙤戹戰搱㌴㘳搹㜴㈸ㄷ㡥挵戰攰换㜲㘱㤰挰㜴㤶㑤㥢㤱㠶㐸㈶㥡㌵㠶戹搰㜰捥っ挷ㅡㄲ愹㐸愸㌱ㅡ㡢收ㅡ㔲改㘴㐳㉥ㄳ挵㠶㕡㈶㤹挳㑤㝣昰㘸摢扣ㅥづㅤ扤つ㐸昰ㄸ㠷ㄵ㐱㉦戱㌶挹㡥㜵㔸〴〸㔴ㅤて㤶捣㜳㝦挱㘵戸㕢㈳㘳㈸摦づ㈴㄰㍣〱〰晣㤵㜴㠲ㄳㅤ㝥㤸搸ㄶ㈲ㄶ搱㘳㈷㠳㉦㍥㡣㠱敦晡昰㔴㜰挵㠷㑦晢晡昰㐹㕦ㅦ㌲戶㐵㝣㤸㠴㈹昸昰㜴愴挵㠷㡤㐸㕢㍥㑣㐷㜲㔸戳㘱ㄱ㥥㡡㈶㘲㘶㈴㥤㠴ㄷ昱㕢攰㔸っ挴戰㤳㤱捤ㄸ㘳㕤㘸㌴㤱㑥㘰昵㤶挲戶〹㌶ㅡ戱换搸㠰晢昲㘸㈴㠷㝤ㄳ摣ㅡ愶㤳挱㌳㙣昳㝡〷攸攸㕦㠱〴捦㜴㔸攳挸摡㤱慣摦㌹㉣ㄷ愵捥〱㑢㝣㜸扦搷㠷㤳愸㌲ㄹ㈴㄰晣㍤〰昸㉢昱攱戹づ㝦㍡戱㝣㔱㥦晣挴㘴昰㍣㠲㜱〴捦㜷㑥㉥㜰㑥㉥㜴㑥㉥挲㠹摣敢敤捣㔲㤵摣敢敤〲㙥搱扤摥㑣戰㡡搶ㅦ挶㉣挲ち敦昵㘶㠳攵戳㥥㤹〳㜶攱㝡㘶㔷㜰ち敥昵㉥戶㡢㈴昷㝡㝣㕦㥦㌱ㄷ㤰攸㠶摦敢㈵昴㍣㈸捡慦㘳摡户㝡㤷挲戴戴慡摤㈱㜰㕢搵㜲㜰愵㔵慤昴戴㉡㘳㑦㐰捡て㡢㉢㝣㥢摡攵戰㈴㑤㙤㙦㈸愳愹㕤㠱戴㌴戵㕦㈳㙤㌵戵㔸扡ㄱ㌷㙡挹㙣㘳㌲㘱攲摣㙣㙣㡣㠷㜳㠹㠶㕣づ㜷㜵㌱㙣摣ㄸ晢攴愱㠹㙣㈴ㅢ㐹㠴ㅡ挳〹摣㔴㠴捤挶㠴㤹っ㘷ㅡ㔲㤱㈴㌶ㄸ㜲ㄸㅣ慦戴捤敢㝤愱愳昷〳〹㕥攵戰昶㈷慢㠹慣㍦㌸㉣ㄷ愵㔶㠰㈵㑤敤㔲㙦㔳换㔰㈵ぢㄲ〸㕥ぢ〰晥㑡㥡摡㑡㠷扦㤰搸愳㠸㘰㜴慣扡ㅥ㝣㜱散㈲昰㕤挷摥〸慥㌸昶ㅣ㡦㘳㌵㜷㌲㘵㌷昸㉣㕦ㅦ摥〴㈵昱㘱㍢㑣挱㠷㌷摢㔹ㅡ〷㈱㙤昹㌰ㄲ㙥㠸㐴戲昱㜰㐳㍡ㅥ挵㈶㍦敥戶㜲挹っ㍢㘴㌸搹ㄸ㠳换㡣㠳㕤㘸㉥ㄶ捥愴搳搹㑣ㄶㅤ㍣ㄶ捥攱戱㐰㘳慡㌱㘴㠶㜳搱㑣㌲㠳〷ち㐶㠷ぢ㌵搱㝤㐳㡤㤱㘸㍡㙡㌶挴搲㤱㑣㉡㥤㑤挴攳搸挰㐹㘶愲改㔰㈴ㅥ扣挵㉥㠹敥㠴㡥敥㈲㔹っㄲ扣搵攱ㅦ挰㈱㌲㐵㈲㥢㤶户㌹㝣挱ㄳ㉡㑡敡づ昰挵晢挷搹摥㘷ㄳ搱扦愱晣〸㤰㐰昰㑥㐷戱㘸挵戰捡攱ㅦ㐳散〹搴㍡ㅥ㐴摤〵扥戵㘲㌸っㄶ昳㉢㠶攳㘹つ㉢㠶扢㈱㤷ㄵ挳〹㘰愸㝢㤱㤲扡㍡ㄱ㈹㘶捤㡦扡摦攱㥥㐴っ㌸㐸㔷愸㠷ㅣ敥挹攰扡昳晣挳攰㑡ㄵ㥤〲慥㍥㤵攴㌴㤲搳㐱㌰捦㍦㘲㉢ㄹ㘷㈰㙤搵㔸㉥ㄳ㌲㜱㜳㘵挶㘳㈱搴㔰㉥㠹㌶㥣㡡愷㌰㍢愵㌲改挶㔴愸㈱昸愸㤳搱㤹搰〹㍥收愴㝥挷搴攳㑥㡡戲扡㈷㤰晡敦捣昳㑦挲㌲晥㑡ㅡ晤㔳づ晦㕣攴㉦㍦ㅤ慢㑦愵㜳㔶㠳㉦㡥扣〰㝣户搱㍦ぢ慥㌴晡㥣户搱㜳慦㔸ㅡ㝤搶户搱㍦〷㈵昱攸㈵㌰㠵㐶晦㈷愴㘵攰戸ㄴ㘹换㠵㠹㑣扡㈱㡢㌵㙤㉡ㄶ挵㡥㄰昶ぢ㜲㡤戹㙣扣㈱㤶㌳㌱ㅡ㌴㥡㔱攳㌲ㄷ㡡㠷㈲㘶㉡㘷㐶㜳戱㘸㉡㤶㠸㠶戱㔳㤴㌰㔳ㄱ慣ㄲ㑣㍣㐴挳挰昱㘷摢扣㕥づㅤ㝤㌹㐸昰㜹㠷㤵摦ㄶ㝥挱㘱ㄱ㈰㔰昵ㄲ㔸搲㜴㝦㙤㌷㕤愴昱㑥㉥捡㔷㠰〴㠲㉦㠳㈱扣愲晤挸㔷ㅣ晥昵挴㥥㐳㉤扥㔹㌱昸㉡挱㍣㜹捤㌹昹㕦攷攴慦捥挹摦㜰挲㌹㑡㜳㍦㔲㜳晢㔱㜳挳㔱㜳㠷㔱㜳㑦㔱㜳〷㔱㜳搳㌰昸扡㡤㤵挹攳〲㈸ㄹ㜷㈲挳㥦戰㔱㠸敦搶慦㘲㔱昹㠲㐳㙢昶〸扥攱ㄴ攸㑤攷攴㉤攷攴㙤攷攴敦㌸㤱戲㜲㍥搵㥣㍥㌵㈷㑣捤ㄹ㔲㜳㑥搴㥣〱㌵㈷扤攰㍢㌶㔶捡㝡ㄹ换晡㄰搸㍦愵慣〹晤㌰慤㉥㜷换慡摥㠵㙤㘹㥢㡦㐲攰戶捤㌵攰㑡摢ㅣ敢㘹㥢挶攳㠰㤴㥦改㤲扥つ昶㝤㔸㤲〶晢㈴㤴搱㘰㍦㐰㕡ㅡ散㔳㐸㕢つㄶ捦摤㌰㐸愷挳愹㐶捣㙣㜱戴㔸㍣㌳挲㡡㉡搲㠸㔱ㅢ㍦愵㥥㌲㥥㜶愱戸㕢换㘴戳ㄸ㤵㌱捤挵搲愹㙣㈳ㄶ愸㜸扥ㄷ捤㘲慦㌲ㅢ捥㠴㠲㡣㑢愲㜹扤ㅡ㍡晡ㄹ㤰攰㠷づ敢㔹戲㥥㈳㡢挱㐹㠲㈲㐰愰敡ㄳ戰愴挱搶㝢ㅢ散ぢ㤴扦〸ㄲ〸㝥ち〰晥㉡㡣扦㈰改戳㘰㜹〹散挲〵换换攰ㄴ㉤㠰㠲㥦搹㔶昴㉢㄰捡てㅢ换㑦ㅣ〷㍦愷㘹ㅣ挱㉦㥣㤳㝦㍢㈷㕦㍡㈷㕦攱㘴㝤㥢捣㕡ㅢ㉢㑤收㝡ㄸ㌶晥㡥っ㝦㐲㤳㠹㈴昴㍢㉣㉡摦㕥㘸㉦㡥扥㠱㙤㙢ㄶ搹ㄴ扥捡捦㈲敦〱挷㔹攴㕢挸愵㐹慤〱挳㌹搴㜷扥摣敦挱㤵ㄹ攷㝤㘰ㄵ㙦㘰㑢㌵ㄵ晡慢㜰晦㐹っっ〲㠵敦㡦㠲㉢㑤㜴㈳㙦ㄳ晤〸㤰昲㑤戴㥦㕦ㄳ㔵㔵㡥晤㝦㐱搹㥤扢ㄸ挵㠴㍦扣㌴〵摣摡ㅥ㐱㠳〹ㅣ挱㥥捥㐹㡤㜳愲敤㤳扡〰㑥晥㍢㔳㑥㉦㔸收㘵ㅢ㥦愲㌴㍥慤敦㌳戰ぢ㕢摦攷攰ㄴ户扥摥戶ㄵ晤〵㠴昲ㄳ搶晡㔶ㄸ㔵㝤挰ㄷて㝦〵㍥㑦攴挳㔸㈷昱㜰㡤挷挳昹ㅢ㔱挳捦㤹挱扥㔰㤲晥晥㉤㑣愱扦昷㐳㕡晡晢㜷㐸㕢晤㥤晢搳攱㠶㔴㈲㡤愰㡢ㄸ㙦收㘳㘶ㄶ㡦捥攲㡤㜸㔲ㄱ㘹挸挶㡤敦㕤㈸㥥ㅢ昳㈶ぢ㌷晢㡤戸㙢つ㥢㔸㕥㤹戱㐶㍣攱挴㘳㘳㍣㜸㑥〴晢摢收昵て搰搱㝣㤳㘴㤰攱㔲搲戹昳㌷愲っ㥥ㄲㄶ〱〲㔵㥢㠰㈵晤晤扢慦㍤㌷愲搵愸㝥㙤㠰〴㠲㠳〰愰挷㡢㜷㘳㌶㜵昸〱㘲昹扡㐵昹㔵㙥戵㌹昸攲挳㕡昰㕤ㅦ㙥〹慥昸昰㌳㘴攳散愴㘸㍥㠹㤴㐹晥ㄳ㜰㑢㌶㑤㠲㕢㐱㉣㍥散ぢ㔳昰攱㘰愴挵㠷晤㤰戶㝣搸㄰㌲㤳㡤㘶戲愱㌱㤳㘹㠸挵㤲〸㜸㠹收戲㘶㈸㤷挱捥㜵㌴摡㤸㌰晡扢㔰㍣㌴㠸㤸㤱㑣㘳㤶㌷昳㜸㕣㥣ち挳晤㠹㕣愸㈱ㄳ挶つ㐵㉥ㄴㅣ㘲㥢搷ㅢ㐱㐷て〰〹づ㜵㔸〳挹摡㤸慣慤ㅤㄶ〱〲㔵摢㠰㈵㍥㝣搷敢挳捤㈸摦ㅣ㈴㄰ㅣ〱㠰昸戰㘸㤲ㅦ改昰〷ㄳ晢㈰㝤昸〰㐸㜰ㄴ昸㜲攱㕢㠳㕦㕢㔷扤ㅤ搲㍢㤴晦挹ㄵ㑦昸挹㘸㝣愱戲攰㈷愸愷攲㈷愵㤷搱㘹㍤昰㈶㉢敢晤㑦㔵㤵㘳㝦㥡㉤㙥㄰昳㙢戴晣㔴晦ㄵ搷晡ㅦ搸㘱换挸敦敡搲攲㔶昸攸攱戸攰㙡㐶ㅣ昹㝥㘱搳ち挸㤹㠷㔷㜸㤹昵㤳㈷㈵敡扤扦㝤っ挵㡡〱慤㌳㍡ㄱ㤸㠳摦㉢㤹摦㍥㔱扥戲挹㠸戱扥㑥挰捥㘸攷㤷㤱㠷攷㌹捥昷愱ㅤ戵㌹ㅤ慥ㅥ㝥㘹ㄸ〱㕡㄰㡣收敦㈸て挸愷㍣敦捦摡㉣捦挵㔷攰昱攵㕣㌳敢㔸散挴户づ慡㉡㝢㤴晣昰㠷㍣㑦㤸搲摥㡡㥦㜱慡攷ぢ戳㘸つ扦晡㍤㈳㑢〷㙣收昳昶戰㐹捤㕤昲昶扤捤㈱㔷扡ㅥ捥㌱㐶攰㙡㡤㜱挳愶づ㡢挶慡㕦㐱㐵ㄴ㝦㈱戱㙣ㅥ㠵㙥㘷㡥㙣ㅢ〱㍤ち〶㔵㤸㝥挷㐷㘹挶㠹ㄹ愳慤㑣昶㐰㈶敡㐵㘴挲㡣搸㡡〳㝡㍢愲㌹慣㌸㉣ㄵ戵ㄳ戴㔶㤷㐰〲〳㡣捣㈱昸捦㌹㥣昷昹㔶㑣戰㌸㌵昶晦挱〹㜵㐹㐷㘳㍦㌵攴慣㠹搵㙦ㅥ㔹晣㡡㕡㑢㘳敦〹搷慤攴ㄱ㤸愰㝥〵㡤攱攰ㄶ晦戸散㜳㈸攴㙢㜸㤷㙥挹㡦敤㍥㙢ぢ㡡㝦㙣㌷㌸ㅥ㤶愴戳㐵㜱㔵戵㜵㙡㌲搲散㜰㙡㌵㌴搸捡愵㘱挶㜹挹搳挰戶ㅣ㌴〵㘷㐶挲㜱㔰㈴慥㥥〰搰昱㐶㐰㌷ㄲ㍤摤㐵㌳搸捡搸挱㐲㑦ㅤ〶昴㈳㌶摡㜲晥㌸㐸敡㘶〱戳㘱㑥㥢敤㘸㜴敢戴〹敤戶搳㐲ㄳ搴㕣㘸昸㌹敤㝥ㄴ挷搷㘹昷搹㠲攲㕦攴つ㌲〰㑢㥣㌶ㄹ㘵㠷搳昶㐶㕡㥣㜶て㌴㕣愷㑤愵ㅢ昶㠳挸㜲摡慦㜱㘶㑣〷慦攷戸㘱ㄳ㜷ㄹㄶづ愹㔵戶ㅦ慣㘶㌵㠳昰晤㕤昸㍥㠴敦㘲挳㜷㈶晣㜶ㅢ㙥戹㙤ㄶ攱㑤㉥㝣㕦挲攷搸昰㤹㠴摦㙣挳㈱㐰愳摤㡤㜰敥㌸戰㥡挸㔲摣㜹㜰敡㑣㜱〷㠲〹㘹挱ぢ㤰〰㝣晤㕢㌰戰㌸㌶㥡㔰户搰搱散戶㔲捥㕣㌹㐱ㄴ㈶摣㘴晤扦昶㤶〹慡〵㥡㝥㤵㜳ㅤち攵㕢㌹㉢㙤㐱昱慦〵〷ㄹ㡡㈵㤵戳㈷慥〱㤵搳㠹戴㔴捥ち㘸戸㤵戳㌷晤挱㌰㈷慢㜲ㄸ㑦㘵散〳ㅥ挶㤵ㄹ挳愲㈱㜵ㄵ挰㡥㐳〲㝡㍦愲ㄹ敥㘴愱ㄹ㔲㘵㌴㔹攸扤㠸㕥㙥愳慤㥡㑣ㄱ捤ㅢ㘳搷扤换散㠴戸昷㌷㐸㙣㔸㕢㍦挲搱㈸攷㔶㉢攲晦愵昱晤晢昲昸摤㜸㜵っ㌴晣摣㜹㤱敤戵㤲〱攲㐲㕢㔰晣㘳挳㐱㠶㔴㠹㍢ㄷ攰慡攰捥㤳㤰ㄶ㜷㥥てつ搷㥤捤扣攴㔳㈱戲ㅣ㜴㌲捥㡣㐵攰㔵㡦ㅢ戶搷戰㐶㜵㑥㠱㝦㕡〹㍥捤〵㥦㐲㜰扢〵㥥〱昰㤹㌶搸㙡攷〷ㄳ㝣㍡㈰慥㌳ㄹ晤攴㔴㑤摤搹㐸㙣㤸㌳ㄹ〹㈵ㅡ攵㥣㈹㙤戳㘲㤸搵㌶昱换〳敡㝣㘸昸㌹昳ㄴ摢㘷㈵捥㍣搹ㄶㄴ晦㔴戱扡慡挰搲㐴捣㐷搶㑦戳ㅣ㕦捥搲㙦㙤㐱昱㙦㤱〶慦㠶㈵愹㤶挳攱ㅦ㔴换㑡愴愵㕡㡥㠵㠶㕢㉤㐷搰㜹㌷㐲㘴㔵换㜵㌸㌳㡥〲㡦㐳㄰挶㤴㤸㍡ㄲ㘸挷㤷〱㝤っ攱っ散戱攰搷ㄳ㝥㥣つ挷㠸ㄵ㔳㠷搹㜰慢㥤ㅦ㑦昸捤㉥晣〶挲㑦戴攱ㄸ㠲㘲敡㄰ㅢづ〱㠶愰㤳〹扦〵攷捣㤰㉣㜵慢㥤愰㌹㜵㥢㥤㤰㍥戲ち〹挰㝦挲㄰昴㐷㐷戳摢敡㝤昳户ㄳ㘰ㅤ挷㐹ㄳ攴扦〹㘷㑣㔰昷㐲搳慦㥡㍢㔰㕣摦㈱攸㘰㕢㔰晣ㄳ愹挱〷㘰㐹㉡攷㑣㕣〳㉡攷ㄱ愴愵㜲摡愱攱㔶捥㔹昴挷ㄳ㄰㔹摥㘶㜸㤰㜱づ㜸ㄸ㠲㌰㍦挴搴㈲㠰㥤㐶ㅦ搰攷ㄲ晤愴㡢㝥㡣攸昳㙤昴㑣愰ㄷ搸㘸昰攱敢ぢ㠹㝥捡㐵㍦㑥昴挵㌶㝡㘷愰㌳㌶摡敡㘳㤷ㄲ晤㌴㌰㙥捤慣戶ㄳ㔲㌳捦搸〹愹㤹攷㘹ち㜹昰攳㌹捡㉦㙦㉣㄰㈶㠷ㄷㅣ捤つ慥ㄹ㠶ぢ昹搵捣晥戸ち摦㥡搹捦ㄶㄴ晦㙥㙢㤰〱㐶㔲㌳㔷愱晣愸㤹搷㤱㤶㥡搹〷ㅡ㙥捤㕣㑤㝦扣〵㤱㔵㌳㙦攰捣㔸〱ㅥ㐶戳㍤攰扣㍤㙤攷㔹扤㘰㈵挱㙦扢攰㌷〹扥摥〲㑦〵㜸㥥つ戶㍣㝤㈳挱㡣〱㜲㉡㔶扤㘳㈷挴戹㙢㤰㤰戱挹攳㔹㥣㤶㜷㙥摤晢㡥㐶户㑥㍤㙡㘲㝥敤昸ㄱ㌴晣㥣㌹摢昶㔹挹㘸㌶换ㄶㄴ晦昰慢晡ㄴ㤶戸愴搶户昳慡㜰㈲㥦捦ㅣ敥晦㠰换㠳摣攰攷攰㡡攳敦〰㔷摦〹㔲摢㈷挸㜸ㄱ㘱慥㘲扡㉥戸搶㐹晦㤱愰扢㐸敥㈶戹㠷攴㕥㤲晢㐰㙡ㄱ敡〰愰㔴摢㐴㤴㡤搵挶挰ㄸ散㜲㈹㠶㠱㠸㘰㠲㉤攸㐳〱㤴㜸慣晤㔱㌱㐲㐴攴攳㙤㌹㕦㌳攵㤱㝦攷挸㜷戴攵㥢ㄵ捡㝦㠰摣㙡ㄴ摦攳捣㜸〴㤶搹㕤㠷挵ㅢ慡㜷㠰㠶敦换昹敤扢ㅤ扣〴挹戹㕤㥡摡戶戸㤵㕥挹摦〲㜲㤵捤㈳愰ㅦ㠳㐹挵攱㤱昶挸㔲っ昸挸㔷搸愵㔰戴㈶㡤〶〰㝣㕢㝦摣ㄶ㤴晣㌶㘰つ㉣㌱㕦扤㥡㤹搰㌶㍦ㄲㄸ㐲敥㌳戶㥦挸つ〶㠰㤵扡㜹ㄶ㕣晤ㅣ〸㉡慣㤷挳晣ㄳ搳㜵挱㍡㈷晤㘷㠲㥥㈷㜹㠱攴㐵㤲扦㤰扣〴㠲ちぢ〲㈸㝥ㅦ㠵戲㜹㉢慣慦㈳ㄸ㘹ぢ㡡㉡㡣ㄱ㈱愲㌸挲㤶ㄷ㔵㔸㝦㐷扥㡤㉤㉦慡戰〱㤰㕢ㄵ戶ㄱ捥㡣扦愲㌸㔲㘱つ㈱戵㌵㌴ㅣ㈷〷昴敢㤰㈸〶㡡㌸㉣戵ㄹㄲ挳改㤷㔷㐸昲㝥摦ㄲ㝡扥㝥摦挲ㄶㄴ晦捣㘰㜰㑢㔸ㄲ㕦扥㐳㙦搴㈹㠶㘷挸㐵㙤㘶ㄷ㕡㙥戲摥㘵〹ㄸ㑡㘱㤵㜷㙢㥣ㄹ㙢慣昲攲戶㈹愶㌶〶㤸挳㠶㌵㤲㝣㐰㌴㐳㉡㉣㌴挳㌶㡣て㉤昴ㅥ㐴昷户搱搶㈰昵㌱㈴㜵㘳㠰挱摦晡て摤㜵摢㌹ㅡ摤㡥㉥て㜴㑣㠰㔵ㅣ㌳㈶愸㌰㌴㠶攳戴昸捥戴て㡡攳敢戴㕡㕢㔰晣㕢㠴挱ㄸ㉣㠹搳扥㐰搹攱㌴挶㘳㠸搳㝡㐱挳ㅤ慡扦愴ㅢㄸㄵ㘱戹㠱㐱ㅡ挶㕡换つ㝢つぢ㌷慡㥥〵㙥昸㠶㘸〶㔹㔸㘸挶㘹ㄸ摦㔹攸ㄹ㐴昷戰搱㤶㡢㝦㈰㝡ㅣ㌰敥㘰扤愳㥤㤰挱㥡戱ㄶ昸摢〰㜷㑥㜶㌴扡㜵㘷㐵捣ㅥ慣扦ㄹ慦愶㐳㘳戸㡦㍢㝦㔸㕢挶㥤摦摢㠲㤲㥦㌲㥣㔷㘰㈹扦昴晣扡㥣愵戵戶愰昸㔷〱㠳扢挳㤲㔴㡣挶㜳〸㔴っ愳ㄷ愴㘲扥㠴㠶㕢㌱扤㈰㔴㡣㈱戰㕣捤㤰〶愳ㄶ㍣戹㈳㠸愹捦㠰㜵摣ㅡ搰㜵〴敦攷㠲ㄹ搴㘰昴戵挰㌳㌰㠷㝥㙣㠳慤㙡改㑦昰晥㠰㌸晡㡡㠱ぢ㑥捦愸换㈰㠱扦つ愸ㄶ〶㌱㠸㐶户搵㜲搴戴晣ㅣ扡㄰昰攱㍥搵昲扥敤戳㤲㌹㜴㡤㉤㈸晥㑤挱攰㈲㔸ㄲ㘷づ挲㔵挱㤹敤㐸㡢㌳摦㠵㠶敢捣捤㜸挹㥤㄰㔹捥㍣〸㘷挶ㄶ攰㜱ㅤ㍦㜳㔸㈴愴摥戶㍤㠴㜹〳㜳挸㔶㠴㜷戹昰㠳〹ㅦ㘲挳㜷㈶晣㜵ㅢ㙥㌹㜴㙢挲ㄹ㜰㘰㔹㘷㡣㠳㌱摣㠶敦㐲昸㙢㌶摣ㅡ㑢㐶㐰㔴昷ㅢ㠲㌶挴换挰攲挰㌲昰〸㐷戳㕢㙦晢敤ㄱ㌰㡥㘱㌸㡣ㄴ㡦㉤㝦㐱昱㝣挷㤶ㄷ㙤㐱挹㙦ㄸ㌲搴㐱㈶挲敤㜸改㌰㈹㥦ㄳㅣ㙥㍤戸㍣㘴㈲㍣ㄱ㕣愹愱敤挱搵㈱㄰㑣㠴っ㝢㄰㘶㤸改扡㈰〳ㅥ㈴ㅤ㈱㈸㑡ㄲ㈳㠹㤳㌴㤰㈴㐰㌰ㄱ㥥〲愰搴敦ㄳ㈸㥢㜷㈲㍣搵ㄱ㍣㙥ぢ㡡㈶挲搳ㅣ昹㘳戶扣㘸㈲㘴㌴㠵ㄸ㝥搴㤶ㄷ㑤㠴㘷㐲㙥搵敦ㄹ㌸㌳挶愱㌸搶捡㈵愹ㅥ㠲㠶㌳敢〵昴㜸㐸搴敦㠰㜱㔸㡡㠱っ挳攱㡥攲㠹昰㕥攸昹晡晤ㅥ㕢戰㐹晣挱挸扤ぢ㝡捦扣改戵㐹ㅦ㕦㝢戹㕥ㄶ㘴攸㠳戸㘹㉡扤㔱愷㉥㐱㕡ち㝤㤷㕤㘸㤹〸愷戳〴换㈱戲捡㝢㈹捥㡣ㄹ㔶㜹㘷戰㌹摥〱戰搳摤〳㝡ㄷ愲㉦㜷搱㡣㙢㌰㘶㔹攸扤㠸扥搵㐶㕢㡤㜷づ㈴㜵搷〰㠳扦つㄸ㈲㔶㌸ㅡ攵ㅡ慤昵㐲捣户挶〷㥤ㅤ㤸敢愱㌱摣㜵㕡晥㔷戰㙥戰㝤㔳㌲㐴㕣㙦ぢ㑡㝥㐳㤱㠱〵㜹㑢昹㤱㝢㐵㌹㑢搷搸㠲㤲㥦㈶㝣戸㡣愵㉢换㔹扡挲ㄶㄴ晦捡㕦㤰㜱〲㔲㤱㑤昰㈷㉡㤲捦昵愵㈲㤷㐳挳ㅤ戶㔲慣ㅡ㍥㠳户㉡㤲て晢㡤㡣㔵㌵戳㠶挵㐲敡㘲㠰昳ㄵ㘹ㄲ捤㘷昱ㄶ晡㘹愲ㄷ㔸攸㕦ㄳ㝤扥㡤戶㉡戲㤹㘸㍥捣㜷㘷㠱攷散㠴㑣捥㉦㈰㠱扦つ愸攲ㄷㅤ㡤㜲㔵っ㙢㌸搶㡣ㅦ攰㔴㌱㥦摥て〷慢㜸㍣㍡摢昶㕡㐹ㄵ㥦㘵ぢ㑡㝥㈴㤰て搷昳㤶昲㔵㝣㝡㌹㑢愷搹㠲㤲摦摢攳攳㜷ㄹ搹昸㡥㐵㘷㘴ぢ慥〱㤷㠷㤲〷散㌸搱㉥〷㠹攰㍦㈱收捣愱㤷㐰〹㑦戹晦㠵㜴つ搳㠷㈰慤㤷㤲㉣㈳㌹㤴攴㌰㤲挳㐱㙡㉢ㄵ㥦㡡㑢戵ㅦ㡢昲戸搵㝥〴㠴敡ぢ㠸㠶搳㐶搱敡昹㠸㜲㤷昴ㅢ㕢㔰晣慢㜸㐱㍥㡥㤶戶㜶ㅣ㌳慤㔳㝣愶㉣㤹ㅥ收捤昴㜸㘶晡〳㐴㔶敢攱㠳㘶攳㐴昰㌰挸攱㌶㍣慥づ〱㌸摦搶㑥㈶㥡捦㠱㉤昴昷㐴㥦㙡愱㜱㠷ㅦ㔷㥤㌶摡㙡㙢愷㐳㔲挷愷挲㠰㙤㐰㡢㌲ㅣ㡤㜲㉤㙡搴扥㘷㍣昴敦㤱ㅦ收㕢ㄴ㥦㈶て㜷㥤㤶ㅦ㌴摡㙣摦㤴戴愸㔶㕢㔰晣搳㜹挱㕡㔸ㄲ愷㥤㠳戲挳㘹㝣㠸㉣㑥㕢〴つ户愶捥愵ㅢ㌶㠲挸㜲〳㥦㉣ㅢ攷㕢㙥㤸㍡㉣ㅣ㔷ぢ㙣㌷㔸敢㠴ぢ㠹收㠳㕦ぢ捤㠷换挶挵ㄶ㝡て愲㌳㌶摡㜲摡愵㐴て〴挶敤愰㝣㠲散㔴㐱ㅤㅦ㄰㙦㤸㍢㌷㜷㌴捡戹ㄳ㡥慢愸昰㙥㜵っ㠶㠶㥦㍢昷户扤㔶攲捥晤㙣㐱挹㉦敦昱㔱戴敦捤扤扣ㄱ扥㕥摥摢捥搷㕦㤸㥤挲攰摣㕣㥤攳攳搷㕥㌹㡢捤愷挷昲㠲昰ㄶ㜹摢㐵㙦晣㔰㔶挷㈲戳㘳㈶㝥てづ㍦㡦㌵慦戹搵㝥摤〲㝥㈷㡥㉦㑣㜵㝥㡡㐹㑢㡡捡㐶㙥㑥〷㝥㥢愹㘷㙥㐶㈷扥㘰㥢慤㘹摤㌵搵搵㘵㜶戴晤ㄲ扥㘳㠵昷㡦㔴戱㠹攰㌹扢晣ㄶ㥦敦慢㍦ㅥ㠳搸昷㐹慤攵挲扣㍦㥣㔷㈱㔷昲昷戵㝥摡㌷慣㡣慢搰昸㥣户搴㘴㍤扦ㄸ㔷愵昶㐱ㄵ㕢挱ㄶ㐷㔵挸晥ちㅦ〲敢慢搹㡣慦〱改㌱戱戳㔵挶㑤㄰扣户㄰ㅣ㜹敦㤲㤰㡡㙡㍥愰㉦扥㌸扥㡣㠵㙦㐴慢愸㍥愴㌹摢戵搰㔸㘸㌶㉦㔸搸㠵㈸昵㕥扣㘲攷愸攲㌳收敥㥥㙦戳搳昴㙣㙤㑡㜵㜴愴㤶搵戴㌶戵㤸㙤ぢ扡ㄶ搶㌴㉤挱攳㝣晣搲ㅤ捡㔱㔳㔳愳㔷攲㝦㘶挵㡦摡づㄶ㘹㔵㕦攷攵昲㌹㉥㕢慢愶ぢ慡搴㍣摦换扤ㄱ㌲捤换捤㕦敡捤㘴慤〶挷扡㔴挵㐷扥扣㕣攷㔰㝣慡㉢搹摤ち愴㕢〸㍥扤ㄵ敥㙤㕥㉥㥦㡢戲㄰挶敤攰㝡㕦搹㔸㔸ㄷ扢昸ㄶ敥づ攸ㄸ㜷㠲ㄴ搶挵㉡㜰扣〵攴攳搵㠲〲捥㜰㡡㜲ㄷ㤰㙥〱㘷㌹摣扢扤㕣㍥づ㤵㘲摦攳攵昲㠹愱ㄴ晢㕥㜰晤㥢捦㈴摦㈲摦て扣昱〰㐸㘱㤱ㅦ〴挷㕢㘴㍥㜴㉣㈸㌲㥦㉢㑡㌱ㅥ〶搲㉤㌲㥦ㅦち昷ㄱ㉦㤷捦摦愴㜰㡦㠲敢㕦戸戱扥㠵㝢ㅣ㜸攳〹㤰挲挲㍤〹㡥户㜰捤挵㠵㙢㜵㡡昱㌴㤰㙥攱昸㍣㑥ち户摡换㍤摣㈹摣㌳攰㤶慦昰㠸㙦〱㥦㠳㡥昱㈷㤰挲〲晥ㄹㅣ㙦〱㡦㈸㉥㈰ㅦ㔷㐹㔱㕥〰搲㉤攰昱づ昷㐵㉦㤷て㥦〴晢ㄷ㉦㤷捦㘷挴愷㉦㠱㕢扥搸愳㝣㡢晤ち㜴㡣㔷㐱ち㡢晤ㅡ㌸摥㘲昳㌱㑦㐱愵㥦敢ㄴ攵慦㐰扡挵收ㄳㅢ㈹攰摦扣摣㑢ㅤ敥敢㕥㉥ㅦ㕥㐸戱摦〰搷扦㈹っ昶㉤昲㕢挰ㅢ㙦㠳ㄴㄶ昹敦攰㜸㡢㝣㌵散ㄷㄴ㤹捦㌸愴㜰晦〰搲㉤㌲ㅦ㘶〸昷㕤て㌷挸㠷〱戲㤸㝣て㕣㉣㈶昹ㄸ㠰㉢㤱摡愰扡〳愷戲〸搹〴愵攳㈲㘴㈰昸㜸慤㠲攲昳〰ㄱ㙣㙣ぢ昸㔳㑣㌵㌵㠸㘴昹㔱昱搹㠰㕣散〷戰㤷晦挱攷㈵っ㑦敡慣㔴〳㥣ぢ晤㘷㘴㔰㝥㍣晦㄰㔸攳㈳㤰ㅥ搸㜶㔷㉣㌱㡥㠰晥ㄸㅣ敦㠵昲㌹㠳攴ㅢ戴昳㤵愵㡢攲㤳〷㘱搷搹散扥搴㔶㝣ㄶ㈱散㍥㌶㥢挵て愸㝢ㅣ㜶慤捤㘶攱〳㡡捦㉢〴摤摢㘶昳㈵㍥〱㜵㥦挳敥㘵戳昹㠲㥦㠰㝡っ㙣昱攵㤷㈸愲攳攱㈰昷改挵㤷㕦㠱ぢ㕦㍥㠳戴敤㑢㙥换㡢昹ㅡ㑦㘱攸㑢㙥搵㡢愰愷愷㌸戶㉦戹㙤㉦扥晣〶昶㑡㝤㔹つつ㤹ㅢぢ㝣昹ㅤ戰挶昷㈰㠵扥晣〱ㅣ慦㉦昹〸㐰昲挵㜳ㄶ愹㕣换㤷㝣㈸㈰散ㅦ扦戲搸㤶㉦昹㤸㐰搸㍦搸㙣换㤷㝣㜰㈰散敦㙤戶攵㑢㍥㑡㄰昶㜷㌶摢昲攵㑢づ晢㕢㥢㙤昹昲㜵戰挵㤷〶㙥㘲ㅣ㕦㉡敥扤昳摡敤㠹㜱㉤㔴㑡搷〱ㅡㅡ㐵ㄳ㘳㉦戲㍣ㄳ攳扢戰㔱搰㌹戸ㄳ㉦搹搵㝡戳攳㡥扢㜰晢㜸戹摣换㤶ち愸〳搷扦攷㝥攲㕢戰扥挰ㅢ晤㐰ち㝢㙥㝦㜰扣㠵晢戲戸㜰摣昱㤶㘲っ〰搲昵挵てづ㜷愰㤷换晤㕣㈹摣挶攰晡ㄷ㙥㡤㙦攱〶〱㙦㙣ち㔲㔸戸捤挰昱ㄶ㡥㕢挲〵㥥攳戶慦ㄴ㙥ぢ㈰摤挲㜱㝦㔷戸㕢㝡戹摣ㅦ㤵挲㙤〵㙥昹愱晡㑤摦〲づ㠱㡥㌱ㄴ愴戰㠰㕢㠳攳㉤㈰户㔹ぢち戸㤵㔳㤴攱㐰扡〵攴㝥愹ㄴ㜰ㅢ㉦㜷㠴挳ㅤ攱攱〶戹挱㈸㍤㜸㈴戸攸挱昵㐸摢㍤㤸晢㠹搲愸㕦㐶㤹扤愳㈱昷ㄸ㐵昰㤲㉤昰㡣㠶摣㙦㤴㔶捣搱戰㔲扤攸㕣㙥㐱㡦摤づ㜹ㄹ昵㈰㠵㍤㜶㝢㜰扣㤷换扤㑡挹攷㌹㍢ㅦ慢挷㜲昷㔲搸捦摡㙣慢挷挶ㅣ昶㌳㌶摢敡戱摣攱ㄴ昴㙡㥢㙤昵搸〶㠷晤戴捤ㅥ㈹挳ㅣ㜷㐱〵晤㤴捤戶㝡散㜸戰挵愳〹ㄴ搱昵㌳㌷〹攵㕡戹ㅣ慢㔲㡦㐳愵戴挷㡥攵㐵㜱改㤵㕦捡晥慡攸㍡愷㐳㕡㔰慤摣㌲㤴散㜶昴㘶挷慤㐱攱㡥昷㜲㥢挰㤵㜶㌷〱㕣晦㑥㜱扦㙦挱㈶〱㙦㑣〶㈹㙣㜳㔳挰昱㔶〲昷挸ちち挷㙤㌰㈹挶㌴㈰㕤㕦㜰扢㑢戸搳㍤摣㘰ㄷ戸搲扡㜶〲户戶㠷㕡㠲戴ㄴ㜶〶搲愵攳晢ㅤ㑥㐱ぢ㕡换㉥挰ㅡ㌳㐱昲慤㠵昷㍥戳挰昱ㄶ㤴㝢㐱㔲㜵户搸㔵㘷戵ㄶ敥づ〹晢㘶㥢㙤戵ㄶ敥ㄷ〹晢㈶㥢㙤戵㤶㐳ㅤ昶㡤㌶摢㙡㉤摣㔳ㄲ昴つ㌶㝢愴戴㤶挳ㅤ昶昵㌶摢㙡㉤摣㕦愲换慥ㅤ晦晥㠴㈳㈶㥣㍣㔱㜱㘳㐸ㅡ㡡㜵捦戳ㄲ攸搲㠶戲㈷慦攷ㅡ㈰昳つ㘵敦愲㑢攴ㅥ㔲㐱㕤㜰㥢㐸扣扥て㤰㙥㕤㥣敥㜰昷昵㜲捦〱㔷㝣扦ㅦ戸晥つ攵ち摦㠲㌵〱㙦ㅣ〰㔲搸㔰㔲攰㜸晤㝦㙥㜱攱㉥㜴㡡㤱〱搲㉤ㅣ户㕤愴挸㔹て户㥡昷户敢㝤昳捤㙤挳㥦昸㤶㄰ㄳ㤹㉡摥㌵换ㅥ㘴捥㔳㠴㍡摥扢㤲㕢挳㜶㔳挷㝢㔶㌷愵㜸㍦捡㈲敡〵搴攷慤愸攸㉦昴敡昳戶搳搵愸攳敤愶㥢㔲㜷㈰㈵晡捤搴攷㥤愲攸ㅦ攸搵扦换慢㔱挷扢㐱㔷扦㡥㜷㠱㙥㑡摤㡦㤴㔸㕢㐴㙢扣㠹ㄳ㙢㉤㕥㙢扣㘱㜳㌵敡㜸愳收愶搴攳㡥㝥㉢昵㜹㥦㈵晡㙤㕥㝤摥㔳戹ㅡ㜵扣㤷㜲㔳㡡昷㐳㤲㝦㍢昵㜹ㅢ㈴晡〷㜹昵㜹换攳㙡搴昱㔶㈷㥦攲㉤㡥㥢㔲扣㑤ㄱ㙢〷搳摡㙢戶㑣㜷㌰㘵㜷㠶㍡摥㠹戸ㅡ㜵扣〳挹愷㜸攷攱愶ㄴ敦㈰挴㕡㈷昵㜹攳㐰㤹敥昲㤶㡤㌷〹慥㐶摤扢摥㤴㝡て㈹改改愷搸㕤㝡㍣搵㤷搰ㄸ搷散㘲晡㄰愶戸㔴ㄷ搳㑢扤愶扦㉣㌰挶㔵戱ㄸ㍢挱㙢散㔰慡㜳搱㉡挶づ㘳㡡㙢㔵㌱㜶戸搷ㄸ㤷㠷㙥㌹ㄵ㤷㝥愲昱ㅢ戲戹敡ㄳ㡤㈳㜰攲㜴慥㍡慥昰㕣㡤㍡慥散摣㤴攲ち㑤昴㡦㈴㥢ぢ㌳搱㍦ち㈷慥㍥ㄷ㘱慥㐶ㅤㄷ㕦㙥㑡㜱ㄱ㈵晡㐷㤳捤戵㤳攸ㅦ㠳ㄳ㔷㥦敢㈴㔷愳㡥敢㈳㌷愵戸挶ㄱ晤㘳挹收搲㐶昴㡦挳㠹慢捦㘵㡣慢㔱挷攵㑢㍥挵㘵㡢㥢㔲㕣慥㠸㙢て昳扡昶㜸㘲戸扡㤰㡣㑥㘰㡡㡢ち挹攸㐴㥣戸ㄹ㜱ㅥ捦ㅢ攳ㅣ㉤ㅡ㈷㤱捤改㔹㌴㑥挶㠹慢挱愹搸搵愸攳ㄴ散愶ㄴ愷㔲搱㍦㠵㙣捥愰愲㝦㉡㑥㕣晤㘹㌶搷ㅡ㕥㌸㑢收昵㌹㍢捡挵㜴㝡㉦收㜴㘲㌸昹㠹改㌳㤸攲㥣㈷愶捦挴〹晥攴愳㌸㜳〸收㜷ㄴ㜳搲㄰捣㔹㌸㜱戳攷〴攱㘶㔸挷㠹挱㑤㈹づ昰愲㝦㌶搹ㅣ搷㐵晦ㅣ㥣戸晡ㅣ挳㕤㡤㍡㡥摤㙥㑡挹愰捡㙥昲㝢戰㥤㈳㤸㐳㐲㜶昸捦挵㠹㍥て愴戶㡦㤲昱戳〴捡㜱㔴愰ㄷ㄰㝡愱〵㤵愱㤲搰㡢㤰㜶㡥㈰㠷㑣㠱㕥㑣攸㈵ㄶ㔴挶㐱㐲㉦昵㐲㌹ㅥち昴㌲㐲㤷㕢㔰ㄹ昲〸扤摣ぢ攵搰㈷搰㉢〸扤搲㠲捡攸㐶攸㔵㕥㈸㐷㌹㠱晥㠱搰慢㉤愸っ㕤㠴㕥攳㠵㜲〸㤳搵捦ち愲㝡㈸ㄹ㤲㠸扡搶㡢攲搰㈴〶㔷攲㐴㕦㐷㘸㥦㍡づ㌸㝢〲㕡戹㔴㘵づ挸ㅥ㜰挰摡扡慡挱㥢㔶敤㌵愱昷〵㙦㍥昵昶㔹㉦敥㍢敥扤敦㉥扥昸挵㜷捥㕡晤摤㍤改㜱㡦㕦㜱挵㈳㍢㕦戶晡敤㝥戹攵㤵㜷慣㥤戹晣昰昰愲挳て捥敤扥敤昴挳昷㍥㜰户昰慥㝤㐷昷攸搱戳攷㠸晥㑦㙣㌲㌲㜸搴挱慢搴㠳慦㙥摣愶㘴っ㘳㔹慥㐷㑥㍣㔸搰㈰挷㌲㈹昱つ㌸搱㌷㠲搴㔶搶㜱扣晡慦㤶㐵㠶㐰㘴慦㙦㐲㑥㍣愴㉣ㅣち愵㉣㌷攳㐴摦〲㠲〷㝡㌲昶〱㔱搸搴㌸〶㡡ぢ㙦㈳昴㜶㐲晢㈸ㄹ收㑡愰ㅣ敥〴㝡〷愱㜷㕡㔰ㄹ搱〸㕤㠵戴㜳〴㌹戲〹昴㡦㠴摥㘵㐱㘵昰㈲戴愰慤㜳㄰ㄳ攸㍤㠴摥㉢搰㍡づ㐶晦㔵扦挹昸挶戲摣㠷㥣㜸㠸摦㌸捥㠹摦敥挷㠹㝥〰〴㝥㤳㠱つ㠸挲ㅥ挲〱㑥㡡晤㄰愱てㄳ摡㐷挹ㄸ㐶攸㈳㐸㍢㐷㤰㘳㤹㐰ㅦ㈵昴㌱㠱搶㜱㠴晡慦㕥愱っ㝡㉣换攳挸㠹㐷〸㥦愰㌳昸改㈷㔸㤶㈷㐹㥥㈲㜹㥡㘴㌵挹㌳㈴捦㤲㍣〷愲㘴㕣㠴㘶㘱愵㜱㝣㤴㑢晡㌳㠱捦㠳攰敡㘵〸㈴戴㘰㈸攱㔰㈸搰ㄷ〹晤㡢㐰㠳㑥ぢ㔰ㅣ攰㘴昸摥搶ㅥ扥〵晡㌲戸㡡挳㥥㠸㐶摡愲㐹戰捤㕤㌰㡥㜴㈲ㄸ㔱愲挳昱㑦㐴摢ㄴ敡〴㌹㄰搲㌴㜶㉡㌹晡〹㘶戸㔷晤慦攰㉡㡥㠹㈲摡扡㐸摤戹㈲挵昱㔰㄰㐳扤捡㙦㔰㤹愳愴㠸〶ㄷ㈹㜳戸戴昳收ㄸ㈹㤸慤扣敡㙦㔳㥤㈳愷㠸戶㈸㔲㜷㠶㔰挵㔱㔳㄰㥢㝢㤵晦㐱㘵㡥愵㈲摡戴㐸㤹㠳慡㥤㌷㐷㔲挱っ㉡挲㌸㐳慡攲㈸㉡㠸㑤扣ㄹ扣て慥攲搸㉡愲㠱㐵捡ㅣ〳搹㘵㙡慢ㄴ〷㍥挱っ㈸挴㈸づ㠶㈲搸挸㙢昷㈳㜰㠳ㅣ戶㙣㜵㡥㔵㠲敡㔷愴捥昱㑢〴㝤扤敡㥦㠰慢㌸㘸㠹愸捥㉢㤲收挳愱㑣㐴戵㐵收㌸㝡㠹愰户㔷攷摦㌴挷㌱㑤㐴㠱㐲㥤㈰〷㌷摢㡤ㅣ搱〴愳扤敡㙢愹捥㜱㑥㐴㍤ぢ搵ㄵ㠷㌶ㄱㄸ㕥ㅤ㘹㜲ㅣ昰㐴㔴㔵愸ㄳ攴挰㘴㝢㠶愳㤱㘰㝡ㄴ㘲ㄴ㐷㈸ㄱ㔴㝡敤晥〸慥攲戰㈴愲ち慦㐸ㅡ㉡〷㉢ㄱ晤昰愵戵㌹㘵㜷慣愰㌳㙡㈹づ㔴㠲昸摥㐶昰摡㜵㤵㠶㕤づ㕦㈲晡戶㐸㤹挳㡣㕤㕥㡥㉤㠲昹挶慢摥㤳敡ㅣ㜱㐴戴搶ㄶ㔹㍢つㅣ㠳㠴晤㤵捤戶㜶ㅡ㌸㉡〹晢㑢㥢㙤敤㌴㜰㥣ㄲ昶扦㙤昶挶㈸㕥㐰㜱攴ㄲ昶ㄷ㌶㝢愴戰㌹㤶〹晢㜳㥢㙤敤㌴㜰㜴ㄳ昶㘷㌶摢ㄹ㕥㌸愴㠹攰㔳㕢㈰ㄷ㉦㙤㡡〳㥤㠸晥㔵愴挳戱㑤〴ㅦ㝢㜵晡昳㡡㌹攲㠹攸挳㈲ㅤ㕡攴搲㌱愰搸㄰慣㌳搶㡦㜵挶㌱挱㍡㘳〷户捥搸ㄳ慤㌳昶ㅤ㥥改〱捣㠲㕤㐱㔲〳㤹㘲㑢戶㔰㙣㤴搶ㄹ㥢㠴㈰㌶㈶㠲ㄵ㘹昱㔹㈷挲摦㠴㝣㤶搷攲㡢㔹搶昹㈰戰㥣㐳㠹昹ㄲ慥㤸㉣攱㡡㐱㜲㌷戵㉤戰㙤〴ㅤ㜳㐱㜲慤づ搵敢晦〰戵ㅡ㌴㐰</t>
    <phoneticPr fontId="10" type="noConversion"/>
  </si>
  <si>
    <t>㜸〱敤扤㜷㥣ㅣ挵戵㍤扥戵摡㙤㙤㡦挲㡥㈴㐴㐶㐸㐲〲〹㠹㘵㜲㄰〸㘹愵㔵㐴㌹㤱㔹㑤攸㤱ㄶ㙤㄰扢慢㘴㤲挸挱攴㘰㑣㌰搱㘴㤳㙤㠲挱〴㘳㑣捥㍣ㅥ挹捦〲㘳ㄳ㙤挰㌶〶ㄳ㝦攷摣づ㕢㌳搳愳挰昳晢晣昸攳㍢㥡戹敡扡昷摣㕢搵愷慡慢慢扢敦捥㔴愹慡慡慡敦昰攲晦㝣搵㜰㘳挷㠵敢扡扡慤戶㠶挹ㅤ慤慤㔶慥扢愵愳扤慢愱戱戳㌳戳㙥㔶㑢㔷㜷㉦〰㡣收ㄶ搸扢㙡㥢扢㕡㝥㘴搵㌵慦戶㍡扢〰慡慤慡慡慢㌳慢㘱摦捥昹〴摤㠲㐹㉦戳㠶〲愸㉡搳愰攸㑤㔱㐷㘱㔲〴㈸晡㔰昴愵攸㐷搱㥦愲㥥㈲㐸㌱㠰㘲㈰挵㈰㡡慤㈸〶㔳㙣㑤戱つ挵戶ㄴ慣摦摣㥥㘲〷㠸扥㍢㐲㉣㥡㍣㘹㙥昶㌰散捤挲敥㡥㑥㙢散搰㈵㜶㥢挷㠷挳つ攱㠶㐸㌴ㅤ㙥〸㡤ㅤ㍡㜹㔵㙢昷慡㑥㙢㝣扢戵慡扢㌳搳㍡㜶攸扣㔵搹搶㤶摣扥搶扡㐵ㅤ㉢慣昶昱㔶㌶ㄴ捤㘶㘲愹㜰㉣ㅥ㉦愴搳愹扥㍢㈱昲㥣挹㤳收㜵㕡㠵慥晦㔴捣㈱㡣㌹㜷昲愴㠶㌹㔶昷㝦㉡收捥㠸㠹㤰㑤ㅤ㙤㤹㤶昶晦㔰搰㕡昶㘹扣挹捡戵戰昳㉤慢戳愵㝤㔹〳㥡㕤㐴㌴㑡挹㠶挶慥慥㔵㙤㉢㌹㡥㈶㕢慤慤ぢ慣㠲㜴㝡㕢㔳㔷昷扣㑣㘷㕢㔷摦㌶昲㘷㜵㕡敤㌹慢慢㝦摢㤴戵㌹慢搵〱㜶搵戵㉤挹㜴捥挹戴㔹㌵摣愸㙦戳晢㜰㐶摥㙡敦㙥改㕥搷慦㙤㜱㤷戵㈰搳扥捣㈲愴戶㙤摡慡㤶扣慡愹挱扢慡搷㙥㝥㉤㤳㡥㐲㝢摡㈶㉦捦㜴㜶㑢㠹㕤ㄸ昶挳㙡挳㐵昶愲愸㕤ㅣ㔲㐳㑢扣搸㘷ぢ㕢摡昶戵㍡摢慤㔶㔶挲㥥ㅣ㔳〲ㄲ㠲散㝥昰㤸㜲㜷㠷扤愴晡㌸〷ㅦ昷㠵戵ㄸ㐳㈱挶捥改攸㙣挳㠰㥣㙤㘵摡挷㠷ㅡ攲昱戱ぢ扢昳㑤搶㙡㙣㠷挲㠹攲㔷搴ㅣ〶て㜳㌸㝤㜷㠱攸搷搵搲戶慡㌵㐳晡挷愵挷㤹㈳㘸ㅣ〹愱㙡㕥挷㠱慦㔷挷㠳慦扡㌹㔳摤㥣慤㙥捥㔵㌷攷慢㥢慤敡收㐲㜵昳戲敡收攵搵捤㉤搵捤㠷㔵㌷慦〰挶㝤搵昵敥㕤敤扣ㄶ㕦扤挷づ户㍣㌳㘷捥昱攳敥㍡㘹挸㕢㈳㕦㔵㍣搶㘵慡搸つㅢ愳昴收㠷挳㈱户昵㠹㠶攲愶㈷捤㔱㐰㥢愳㈱㡣摤㈱晡㙢㑤㑦㐶挶㤹㘳㘸ㅤぢ愱搴㑢㘸㍢摢㍦昵㠰㤷㙦摡昷搲ㄷ㈷㕦㜶晥〳㐷ㅥ㌴晦㡤㠷ㄵ攷ㄷ愹戸〱ㅢ㐵ㄵ挷扤㝡愳つ搱攲㔷摣摣㤳愱㐳㄰㐶ㄸ㐲慦㌸㡥㡡㈳戴㐶㈱㤴㝡摡愹昸㤸㜹㙦ㄸ收戱㠵搹扦昹㙣挶ㅥ攱ㄷㅢ户㔷㥣搳愴攲㌸㌶㡡㉡㡥㜸ㄵ㠷㑢㜶㌸㤱㌴ㄳっ㥤㠴㌰㔲㄰㝡挵㔱昴㔶㥡搶㜱㄰㑡㍤敡㔴晣挸ㄳ㘷㜶㍥㜹捡慢㌳㉦㍣晣愷㐷㍤㜷搸摦㘲戵㥣㐷愳㝥挳慣㜴〴㑦挵捣㤷换㜴㜵㍢〷ㄷ晤晥戳挷摥愶て扤愹㥤戹晦晢㐳て㤵晣㐷づ㍤㜳㙦戲㍦ㅥ挲搸〷愲昷晣㔵㤹㔶捣㍡收〴慡㈷㐲㈸昵愰搳㈹摦㉥㝢搶㝡晡ㅦ昷捤戹㜶挳慥㉤㤷摦晣挸㐸挵㈹㑥㐶挳㈴㙣㤴ㅣ扥攱㤴㝢〰昸ㅣ扥〹㜳㌲㍣捣㈶〸㘳ち㠴㍥㈲㈲戱㜱收㔴㕡愷㐱㈸㜵㡦㔳昹㠱扢散昴昹ㅦ晥㜸昳㥣㕦晦㘲攵攸㡦づ扤晦㘴挵昳愹㔴㍥〳ㅢ愳ㄷ㜵戶㘰㡡挴ㄴ搰㌹㜶㜶㑢晢昸㘴㈸㌴㜶㔶换ち慢戵挵敡敡ㅥ㥦㐲㘹㜶㘶敤昸㜰㈸ㄴ㌲㘷㌲昶扥㄰挶㉣㠸㥡挶改攱㤰㌹㥢扡㌹㄰㑡摤敥搴户昵㠱㥦㉦㝤㜴挳扣挶㕦扤㍥收㠴改昵㉤㑦㈹㥥扡愵扥㜹搸搸㐶㍦搸愳㍤㐳摦㥣捦㐸ぢ㈰㡣㠵㄰晡戴㤴ㄸ㘷㉥愲㜱㌱㠴㔲㌷㍡搵扣戹敦摥㝢捦㌳敡㥡㙥㝢敥攵㤳搷㥣扤收㈵搵〷㘶愹㘶㍦㙣ㄴㅤ㘱㔱㙦㐲昴㌹戴昷㘷攸〳㈰㡣〳㈱㜴㍥㤳搱㜱收㐱戴ㅥっ愱搴搵㑥挵㜷㡥㥥昱㔴挷㥢户㑥扤攷攵㑢挷㕦㘱昴敤慤戸㈰㤱㡡て挵挶ㅥ晡晥㠵ㅡ搲㘹慤㌳㑢㈷攳㔴搸㙣㘶晣愵㄰㐶〶㐲慦㍤㤵ㅣ㘷㘶㘹捤㐱㈸㜵愹㔳晢㘵ㄳ晡㉥摣改搳〷㈷㕤昸㙣㘱敤㙦㑦て㍤愶戸ㄲ㤲摡㉤㙣㡣㈹慥摤摢㙦㡣愴攲㈹㉤ㅡ㐹㤸〵㐶㕦〶㘱㉣㠷搰敢㡥愰敥ㄶ㕡て㠳㔰敡〲愷敥㈹㡦昷扡㝢挸㐱㍢捦㕣摦搸戰愴㜱扦㍥㈷㉡㉥挰愴敥㔶㙣㤴搴㥤搰㜶扣晣㈴搴挶攸敤㄰㐶〷㠴㕥㜷ㅣ愳㜸㈵慤㠷㐳㈸㜵愶㔳㜷搷攵敢㜷㘹㍤敥㤷㔳㉥扡㝤捦扥攳㔶㌷㙥愷戸敥㤳扡扢戰戱㥤扥摦㌱慤敡戸搹捤㔸慢㈰㡣搵㄰㝡㑤改昰㌸㜳つ慤㙢㈱㤴㍡搹愹改敥愶昷㝥㝡搹〳つ㜳慥晢晤摥晦昸散敤㡦㙥㔰㕣㕣㑡㑤㍦挲挶㙥㝡㑤㤱㔸搲摤换ㄴ㤶㠹摡㉢㘶ㅥ挱挸㐷㐲ㄸ㐷㐱攸昵挶㌰慥㡥愶昵ㄸ〸愵搶㍢昵㙥昵昰ㅦ㍥晡㜶摢㠳㈷㕥㜸捤㡢敢㐷慣敡摦慥戸㥥㤵㝡㡦挵挶ㄶㅣ愷挷㌱昶昱㄰挶〹㄰㌸㑥㈳ㄱ昳㐴敡㑥㠲㔰㙡㥤㔳摦㡥㍢扥摦晣㜴昸慤㠹㈷晤昵㘹敢㡤〳搷昵㔷㕣㍡㑢㝤愷㘰㘳㜷㝤㍦㐳つ㌱㜷㍦㌱㤲攲㤸っ戴㔷搸㍣㤵挱㑦㠳㌰㝥っ愱敦㙡㌸㌵捥㍣㥤搶㌳㈰㤴敡㜴慡㉥挴敥㕣戰晦㉥ぢ㈶摦㌰㜱捥攷㈷㙦㔳㝦扥攲㠲㕤慡㍥ぢㅢつ挵㔵㠷㐲晡㌰㉥㍤㠶ㄲ㈹昳㙣㔶㜰づ㠴㜱㉥㠴㕥㝤〴搵㥦㐷敢昹㄰㑡慤㜰慡慦扦愵攳㥣搳晥㝣攷扥㜷㕦㝢㝡㜸扢㘵㝤㑤挵㑢〵愹晥㈷搸ㄸ慤㔷ㅦ摥攸戲攰㐲挶晥㈹㠴㜱ㄱ㠴㕥㜳ち换㠲㡢㘹扤〴㐲愹扣㔳昳戵〳㈶摣㝢散搵昷㌵㕤昵捣晤㌷㑤晢挷攷て㉡㕥㥦㐸捤㍦挳㐶搱愴ㄵ㡥戸㤴㐷捡搷㈳㤷㌱昴攵㄰挶ㄵ㄰㝡挵ㄱ㔴㝣㈵慤㔷㐱㈸㜵㠸㔳昱摥㝤㑦ㄹ昰收ㄷ㠹㔹㜷昶ㅤ昸攲㤱㘷㑦昹㐲昱㥡㐸㉡晥㌹㌶㡡㉡摥攸㝡攴ㅡ㠶扥ㄶ挲戸づ㐲慦㌸㡡攳昶㝡㕡㙦㠰㔰㙡㠹㔳昱慢戱㜷晡敥㜱晡㜳搳㑦晥晢ㄳ挷ㅣ昴㘱攴㑢戵つ捣㔲昱㑤搸㈸㌹昵愵昴㥥㉥㥦㌴㝥挱昰㌷㐳ㄸ户㐰攸㤵愷㔰昹慤戴摥〶愱搴㕣愷昲㌳摥㥡㜵搲扤㜷㥣㍢敤晣搷收慦ㄹ扦昵搸ㅢ搵戶㌰㑢攵㜷㘰愳戸愳搳摥戹㈸㔱挲㜷㉡㘶摥挹搸扦㠴㌰㝥〵愱搷ㅣ㡢㡦㌳敦愲昵㙥〸愵愶㍢㌵㈷慢㘷晦晥攰挸晥㡤㈷㡣摣㜳㑡晣愸摢㜷㔰扣攸㤴㥡敦挵㐶ㄱ摦㈹慦㘲㥦昵摦慦ㄹ晡㍥〸攳㝥〸扤攲㈸㘶慦摦搰晡〰㠴㔲㡤㑥挵挱挷㕥搹攱㡢㠷㕢攷摣㍡攳挱㐱㐷捤㘹㌹㔷㙤て㌳搷㜲收㐳ㄴて㐳ㄸ扦愵㤸㔲㈸㜴㜴㜶㥢㡦㔰晢㍢〸愵昶㜲㐲ㄴ愶晥㘴晤〱㈷㍤㌴晤戸㌹㠷〷昷㌸敥㥡㌵㙡〷㤸愵敤扦挷㐶㔱摢ㄳ㕥摢㝤捥慣㡦㌱昴攳㄰挶ㄳ㄰㝡摢挳㤸〱㥦愴昵㈹〸愵㘲㑥挵㡦㙦昵昲戳愷慣㝤愸改戸㡢晢摤戰㝢摢戹ぢ晢㍥〳昳㝣攷㡡愷愹㌳戳〶搷㤰㍤㤷愷㤱〶捣㐵㥢㜳㕤㡥换昲㐲扣㤰㉣㠴挳昹㜸㈸ㄳ捤搴づ㐳搸捤扤〰攴攴摦户戰㕦㑢㝢扥㘳㡤㕣ㄱ敥㌸㈹搳㘵昵慣㔲挷㌸戶㐹ㅤ慢摡昳㕤㍢昸ㅢㄷ㜶㘷扡慤敤㑢㙤㍤㐱捡摣ㄶ攲㝡搹敡㤲晡㠶㤴扡㉤挹戴慥戲ㅡ搷戶搸收㥤㑡捣戸㕡敥挸㔶戶㑥敤戴づ昷慣㘵㉤㙡挴敤㥣搵ㄲ扢㙣㉦㙤㤳摤慥愱㤳㤷㜷㜴㔹敤搲扣㌱㙤昳㕡㜲㉢慣捥㠵ㄶ㙦〶㔹㜹搹搵挱㌴㌹㤷散㘳收戶㘳㐷㜱ㄱ㥥ㅦ慥㙢ぢ㔳搶㜶㕢敤㜹㉢㡦昶慥戴㍡扢搷㉤捡㘴㕢慤慤㡢㈰㜶㥤㌰㙣㔷愴㥥摡㤱㕢搵㌵戹愳扤扢戳愳戵搸搲㤸㕦㥤挱㙤㠲晣散㡥扣㠵慢晣ㅡ扥慡㔴㔵慦㕥㑡㔵敤敥㜷つ挴戸㕤つ搲ㄱ㕡ㄷ敦㠴㍥摦戶㜸搸㌵㉣挰摥㘱㉦㕡㉤㡥挹敡ㄱ㥢〸㈶㜱ㄹ㘶㜴㘵愰戶㑦扣㜳㐶昴愸捡㘸㘹愳搷㜳晦户攰敡敡㐱捥摥㑦㔹㡤㕢㈹搳㌳敤昹㔶慢㜳愳昷晤ㄴ㕢㘴㍥ぢ㔱ㅢ挶搱㕣㤱扤ㅡ㈰搴㕡戵慥㜶㑤㑢扥㝢戹戱摣㙡㔹戶㥣㉢㌴摣ㅢ慣慢㈳戵㘵㉦昳㜹愸捣ㄷ㈸㕥㠴〸〴慡㡣㤷〸㌲〲收换㜶戹㜶㌸晥摦昲㥢㌴搵昰㌲攵愶㄰敥攰㜵搵戶攱晡户慢㔷㉦扦扤㥣㥥改㕡摥捤攱戹㜱㈳攳晤ㄷ挵㉢㄰戵㈳㈰㌶㜹て㠸㡢搸ㅡ摥敡敡搷搶㘴ㄵ㌲戸挱㈸㐷户捡搴戶搹昷慣㥡慣慥㥣挹㥢㕢㌳㜰慣慣㌵戰㠵㠳扦㙦ㅢ㐷扦戵戶扢㈹搳㥤改摤㠶摢㘴攸㈵ㄳ愰㌱攲㘵㙦搱戳㥦攸㕣敦㠰㔳㐲㠴愰㙣㙡㔱晡㠸挲㡥㠴〳〷挷㑢㔵㉦㐷㙥㝣㈷搰昶㈱搸〹愳㜴愰ㄷ摦敥挲㕤戸晣㌴慢㝤搱扡㤵㔶ㄷ攱㜵挶㐶愹㉣㍤扣ㄸ㙣㙥㉥扢戸扢愵戵慢〱㉤㥤搶搹戱㙡攵㝦㌲づ㘳㤹晦つ攱扥㙡㐷㘱ㄴ㙦晥㍥㠱慥慡摥慢搹㌷捤捤㔵㜵㡣㐶㡤昱ㅡ㠴㝥㈵㡢㕢㌶ㅣ扢〸晤ㅤ晥㤳㤷昹〶晥ぢ㤸㐴㔶戰搵㡥㠴㙤㑢㙥ㄴ搶〲摦户つ㝣㉤敡戴攴搶㘷㥤ㄴ挰㝤扦戶晤㍡㍡㔷㘴㍢㍡㔶㜰㜴昵㤷㔲搷㜲换敡收敤挴㍥捥敤㔳戹㑤慡㔴慦㕥㐵㌷晦戴晢㡥㍢㈳扥昱㐷㠸㝥㡤慤慤㐳摤㠸㕤挶〶愸㝡攱挶愶昱ㄶ㌶㘲挳㠶㑤敥㘸㕢搹搱搵挲㕢㡢捤㔳搶㘶摡㔶戶㕡㝢㌸㌷㐹昶㤸扢戲㝢㑡搷扢昷ㅤ晦捥扤㔷㌴㡦㑡㠴搲愳ㅢ搶戶㜶慤㔵㐳挰っ敦摢摤㌱扤捦晣摢㥥㌹㙦攲㙤㝢扣搲㌴收收攵捤㙡㈷挷㔰㜶㈷㜱ㄴ敡ㅡ㠶㡦昹づ㠴摡〱㌰捥㍦搸㉥㝥㤹㝦㐱搹㝣㤷攲㍤〸捣㈲挲㌶㈶㤱て散愲ㅡ㡤晦㌹㤱㤸ㅦ㔲㝣〴愱挶㐰昰㌰㌶晦ち攱扥搴㐰挴攷攸㤰ㅥ晥ㄸ㙡㝤㘵挳晢㤰㘵㕤晣㈹㐰〱㤳搰ち㌶㌵ㄶ㌶㜶戳㐹㕡捤つㄴ㈴㔱搵愱ㅥ㕦㍥㝡㍢㠶戲ㅢ㥣㝢挲㑤昸昸㤲晥戵㠰昹昳昱㌵敢昸㠶攲㕢〸㡤て㡥㕣ㄴ㔵〸㙡攱㠳㜳㠱㔹つ愱㈲㔰〹ㅦ扤㔰㜲㕦敡敢㙦㌵㍥㙡㘱搱昹攰敤搱㌲㍥㝡〳ㄴ㌰〹慤㘰㔳㔱㐴昷攳攳敦愸换㤷㡦㑦ㅤ㐳搹㝤搷〴㈲つ挳挷っ愲㍡昵㌱㘰晥㝣っ㘴㙢〶㔱㙣〵愱昱戱戵㕤㔴㐹〴ㄱ㍥戶㈱㘸㕢〸㤵㠶㑡昸搸づ㈵昷愵晥愲昳戱〳㉣㍡ㅦ扣㙢㕢挶挷㑥〰〵㑣㐲㉢搸搴㌸㐴昷攳攳捤㑡㝣扣攱ㄸ捡㙥〷敦㡤㐸ㅢ㔹晢ㄶ摤㠱攵㘵㜱搱摡户㙦㘱㙡㑢㙢户搵㈹换㥢晡〲晥戳ㅦ敦㐸戹ㅦ㤷㜴㥤㤹㥣晤攰㘴慢挲㘴慣敡昰㍣愹㝢㕤捦㍡户㙣㔵㘹㉦扡晥摦摡昹〷户㜶㤶㤵㜳搱晡㜹㈳㙢㔳っ㥡㤲搵昳挶挱摡㈰攲戲搱昷摣㈶㐳慡〱㤱㡢〷ㄹ昱愵愷㘵㜹㘸收攱昵㐱㐸㜴愸昲㥡㥡㠳扤㝣㤰搲愹攲晡昵晦慤晥晤㥥晡摢慢晦㕤㌹㠱敤㐶㌱㡡㘲㌴挵敥㄰敡扦㥣㔹㤷㜷㝣㈶攱㤳挴捤㠴㔴㌵㌶捣戱挴散㐱搱〰愱捤扡㈱ㄴ㡤㌰㜵㌲㝢っ攵捡㌱愰搴㜸㌸挹㈴ㅣ愱㑦ㄴ愲㙦っ㘲捥㜴慢ㄵㄷ㤱晦愹㠷散戵ㄳ㔰捤挶㤷扤ㄸ㍡〳〱摡扡㙤攱扡昶摣昲捥㡥㜶愴㍡㜰㌵摥㤸挳㔳敡㉥㤵㌱摡㘶㜵㑣㕥搵㙤戴㑤㙦挱㝦㝤摢ㄶ㔸㉢慤㑣昷㘴摣㈴挰㔲㝦ㄶ㥥戲挹㐲㝥㐶㝥敤晦㥦ぢ晤慡ㅡ散㐲ㄵ捦敦敥㕡㕦㤵ㅥ戸昶㤲摢愱户愱愹〳ㄹて㤶㈴㝢㤰㜶挳挰㐵摢て㜰㈵㕦㘵挶搱扡换㍦扤㜱慦㤱㍦扢昵㍢攷晦㘳戰ㄴ㤲㤷㤱㠰搱㝢㕡㔷㜶㌲㑥挱ㅡ㌰㠹㈹㍦ㄹ㡢㑤㑤〴㘹摥挹搸ㄸて㘴㉦っ〷㝢挱昶㜰愵ㄳ昲㐳㡥愱散㔱攰㘴㐴ㅢ㠶㡦搹㠸㐰敡〱攷㔰㠱愲昸㘵㑥㘶㡢㥡㈸愶㐰㘸㠷捡㌴扢愸㥡攰㈰挷挶㜴㠲㘶㐰愸愹㔰挹〲㘵㈶㑡敥㑢晤ち㜵㜸ぢ搸㔹戰攸ぢㄴ㍥㐴㉣攳㘴づ㐰〱㤳搰ち㌶㌵つ搱㍤㑥戴〵散㑤㤵昸戸搱㌱㤴㍤㥤㥣㠹㐸挳昰㌱昷㐳㜵敡晡㡡㝣ㅣ挰搶ㅣ㐸㜱㄰㠴挶挷㈱㈸ㅡ㠷㔲搸㈷㈵慣㘵昷㐵㍣愱愶㤹昸愵㄰㙡㌶㔴㐲㑤〶㈵昷愵㉥搳愹挹挱搲慢㜱㝡扡㝣㥦㉤㔸〲㈶敤ㄵ㙣㙡づ㐲晡昱㜱㝥㈵㍥捥㜳っ㘵㑦㑦攷㈳搲㌰㝣捣㜶㔴愷捥愹挸挷㑡戶收㜰㡡㑥〸㡤㡦㙥扢愸ㄶ㈰㠸㤰戰㡡愰搵㄰㙡ㄱ㔴㐲挲ㅡ㤴摣㤷㍡㐵㈷㘱ㅤ㉣晡㈵㉣ㅥ挶㤶つ㡦㈳㠰〹㤸㐴㔶戰愹挵〸敥㐷挷搱㤵攸㌸捡㌱㤴㍤攵攵攳摡㘱昸㤸㈷愰㍡㜵㐴㐵㍡㑥㘲㙢㑥愶㌸〵㐲愳攳㌴扢愸づ㐰㄰愱攳挷〴㥤づ愱づ㠲㑡攸㌸〳㈵昷愵㍡㜵㍡捥㠲㐵㍦㕣昸㡣戸㡣㡦㜳〰ち㤸㠴㔶戰愹㠳ㄱ摤㡦㡦攵㤵昸㔸收ㄸ捡ㅥ㍥㌷㈳搲㌰㝣捣㡢㔱㥤戲㉡昲㜱㈹㕢昳㌳㡡换㈰㌴㍥慥戰㡢㙡㈹㠲〸ㅦ㔷ㄲ㜴ㄵ㠴捡㐲㈵㝣㕣㡤㤲晢㔲〷敢㝣㕣〳㡢捥〷㥦㕡㤷昱㜱ㅤ㐰〱㤳搰ち㌶㤵㐳㜴㍦㍥ㄶ㔴攲㘳扥㘳㈸㝢ㅣ㕥㐰愴㘱昸㤸户愱㍡㌵户㈲ㅦ㜷戰㌵㜷㔲晣ㄲ㐲攳攳㉥扢愸㤶㈱㠸昰㜱㌷㐱昷㐰愸ㄶ愸㠴㡦㝢㔱㜲㕦㙡慡捥挷㝤戰攸㝣昰㐹㝡ㄹㅦ扦〱㈸㘰ㄲ㕡挱愶づ㐳㜴㍦㍥昶慥挴挷㕥㡥愱散ㄱ㝤ㅢ㈲つ挳挷晣㍤慡㔳改㡡㝣㍣捥搶㍣㐱昱㈴㠴挶挷搳㜶㔱戵㈳㠸昰昱っ㐱捦㐲愸㤵㔰〹ㅦ捦愱攴扥㔴㐸攷攳〵㔸㜴㍥昸㜴扦㡣㡦㤷〰ち㤸㠴㔶戰愹挳ㄱ摤㡦㡦㕤㉢昱㌱搲㌱㤴愵つ昰㘶昳㌰㝣捣㌷㔱㥤摡愵㈲ㅦ晦挳搶晣㤱㘲〳㠴挶挷摢㜶㔱慤㐲㄰攱攳㑦〴扤〳愱搶㐰㈵㝣晣ㄹ㈵昷愵戶搷昹㜸ㄷㄶ㥤て收㈰㤴昱昱㍥㐰〱㤳搰ち㌶挵㡣〵㍦㍥㠲㤵昸愸㜷っ㘵挹つ㐷㈰搲㌰㝣捣扦愳㍡搵慦㈲ㅦ晦㘴㙢㍥愳昸ㄷ㠴挶挷ㄷ㜶㔱ㅤ㠹㈰挲挷扦〹晡ㄲ㐲ㅤつ㤵昰昱ㄵ㑡敥㑢搵攸㝣㝣〳㡢捥〷㜳㈳捡昸攰慤戶㠰㐹㘸〵㥢㍡〶搱晤昸昸昲㥢ち昷㡢晥敤ㄸ捡㤲㉥㡥㐳愴㘱昸㤸㜵搵搸㠳捦〱昳扦㕦ㄴ㠰搹散㐳搱ㄷ㐲攳愳扦㕤㔴挷㈳挸㜰〶慡㈷㠸戹捥敡㐴ㄴ㠵㡦〱㈸戹㉦昵㌷搴攱㉤挷〶挱挲捣㉡㥦㐵挷㘰㤸〲㈶〱攵㉣㠸㑤㥤㠴㤸㝥㉣扣㔳㠹㠵㍦㌹㠶戲㔴㤰㔳ㄱ㐹㔸ㄸ㠲敡搴㕢ㄵ㔹ㄸ捡搶っ愳ㄸづ愱戱㌰挲㉥慡搳㄰㘸㌸㍥收㐸㠲㜶㠵㔰捣〷ㄱㄶ㜶㐳挹㝤愹㔷㜵ㄶ㐶挳愲㡦ち愶㤱㤴㡤㡡㌱〰〵㑣㐲㉢搸搴ㄹ㠸敥挷挷戳㤵昸㜸挶㌱㤴攵愷㥣㡤㐸挲㐷っ搵愹愷㉡昲㤱㘰㙢㤲ㄴ扣扥搵昸ㄸ㘷ㄷ搵㌹〸㌴ㅣㅦ㜳㉦㠲昶㠶㔰攷愱㈸㝣㡣㐷挹㝤愹摦敡㝣㑣㠰㐵攷㠳㜹㉤㘵㝣㌴〲ㄴ㌰〹慤㘰㔳攷㈳扡ㅦㅦ昷㔴攲攳㙥挷㔰㕦㥡㌰㜳㈱㈲〹ㅦ㌳㔱㥤晡㔵㐵㍥㘶戱㌵戳㈹收㐰㘸㝣捣戳㡢㡡挹㌳挳昱㌱攷ㄳ戴〰㐲㕤㡣愲昰戱㄰㈵昷愵㝥愱昳戱ㄸㄶ㥤て㘶摢㤴昱戱ㅦ㐰〱㤳搰ち㌶㜵〹愲晢昱㜱㔵㈵㍥慥㜴っ㘵㘹㍣㤷㈱㤲昰戱ㄴ搵愹换㉢昲㤱㘵㙢㜲ㄴ㜹〸㡤㡦㠲㕤㔴㤷㈳搰㜰㝣捣㘵〴㉤㠷㔰㔷愲㈸㝣戴愰攴扥搴㑦㜴㍥㔶挰愲昳挱㈴愰㌲㍥摡〰ち㤸㠴㔶戰愹慢㄰摤㡦㡦搳㉢昱昱㘳挷㔰㤶㕤㜴つ㈲〹ㅦ慢㔱㥤㍡戵㈲ㅦ㙢搹㥡㜵ㄴ㍦㠲搰昸㌸搲㉥慡㙢ㄱ㘸㌸㍥收㔱〴ㅤつ愱㤸㘴㈴㝣ㅣ㠳㤲晢㔲敢㜵㍥㡥㠵㐵攷㠳戹㐹㘵㝣ㅣて㔰挰㈴戴㠲㑤摤㠰攸㝥㝣慣慥挴挷㉡挷㔰㤶昴挴捣㈵攱攳㜴㔴愷扡㉡昲㜱㈶㕢㜳ㄶ挵搹㄰ㅡㅦ攷摡㐵㜵㌳〲つ挷挷㍣㡦愰昳㈱搴慤㈸ちㅦㄷ愰攴扥搴㘱㍡ㅦㄷ挲愲昳挱㜴愹㌲㍥㉥〲㈸㘰ㄲ㕡挱愶㙥㐳㜴㍦㍥㤶㔶攲愳搹㌱㤴攵㘱摤㠹㐸挲挷㔵愸㑥ㅤ㔲㤱㡦㥦戳㌵搷㔰㕣ぢ愱昱㜱扤㕤㔴扦㐴愰攱昸㤸㌷㄰㜴㈳㠴㘲㌶㤶昰㜱ㄳ㑡敥㑢㉤搲昹戸ㄹㄶ㥤て㈶㜱㤵昱㜱㉢㐰〱㤳搰ち㌶㜵㌷愲晢昱㌱戳ㄲㅦ㌳ㅣ㐳㔹㜶搸慦ㄱ㐹昸戸〷搵愹㘹ㄵ昹昸㌵㕢㜳ㅦ挵晤㄰ㅡㅦて搸㐵㜵ㅦ〲つ挷挷㝣㤰愰㠷㈰搴㙦㔰ㄴ㍥ㅥ㐶挹㝤愹㝤㜴㍥ㅥ㠱㐵攷㠳戹㘵㘵㝣㍣ち㔰挰㈴戴㠲㑤㍤㠰攸㝥㝣挴㉡昱ㄱ㜵っ㘵㐹㙢て㈱ㄲ㥦㔴㤹捦戲扡攷㈸㥥愷㜸㠱攲㐵〸戵㠷挳搱㐷ち搹扦㐰戲户摥挳㜶㤵昹㌲㌱晦㐵昱ち㠴挶搱慢㈸ㅡ慦㐱搴扢㝦敡㌰搴戹㐳愴搴挳昰ㅣ㑥敦搷㘱㌷摦㠰㔰㡦愰挸ㅢ挱戸㔴㐰戱攲摤挴㍦挰攸㈶搳㤵㜱昶㐷ㄸ〳㈶㈱攵㥣㠹㑤晤づㄵ昴㜰㌶ㅥ㝢㘰摦㐸摣扥ㄲ㘷摢㌹㠶戲㉣㍤愶摢つ㘳㜳摦㐳㜵㙡ㅢ㠷ㅦ㈸㡡㕦收〷㙣捤㠷ㄴㅦ㐱㘸晣晣捤㉥㉡愶散つ挷挷晣㤸愰㑦㈰搴㤳㈸捡ㄸ晡ㄴ㈵昷愵晡愳づ㙦攵晡て㔸昴㌱挴ㅣ扦㌲㍥㍥〳㈸㘰ㄲ㕡挱愶㥥㐲昴ㅥ㍥㌶愰㘴昳㔱㔳㠹㡦㕥㡥愱㌴㜹戰昶㔹昸㙥㐱搲㔷ㅦ㔶㔵㔸搲㘲慤攱戳㠶晥〵晣敤搸攴㔵㕤摤ㅤ㤲㔲搳慦搰搴㌱愷愳扢愹愵㙢㘵㙢㘶摤愰㠲戳戱摦㜲慢ㅤ〹㙦㥤挸㝢㉢搱㜵慣㕣㘹攵捤挲挲㡥㔵㥤㌹㙢㐶搳て㈱㈱づ晢㠷㥥㤴㕣戸㙡㠵搷昷换昱慡㠲㈷〶つ㕥㔵戵捦㈳㘰㘹慡㡥昶㌰慥攷戹㙦㄰挰晡ㅥ㐶ㄷ戵㜴户㕡㝤ち㘲㤷敤扡〲㔸㐴ㄶ㘱扥㜷㘱搱㜲㈴慤㌴昵㉢㑣敢㙣挹户戶戴㕢散っ㍣㑢收ㅦ攴捤戲㤶㈱㘳㜰㥥㤳㔲搲慦戰愸㌳搳摥戵㤲挹㑦戹㜵〳㡢㑡昲㜰愵戶㌰愹愵扤ぢ搵㐸㉦㜲扢扥戰㜰㜹挷ㅡ晣摤敡慡戶昶㘹㤹㤵㕤㍦㠸㕥攱㥣㘵扦愴㙢㔴戵慡慥㔶㜵搵㜵摦户㝦㡣㙦㜱㜴つ戲㜳搸㠷㘲㥣㜶㜷戶㘴㔷㌱〷㐷㉡㘱ち㐷つ㠵昴㘱㔵敤ぢ搸摡挸昳㔴㍥㔵㜵昲㌸㤹愳挸戶ㄶ晤㑤㤸㙦扡㥣昷挷挰㝣㤲㙡㝥㠷收昴㘵晡昰捣㘹㡢㘷昴㘴敦晥慦晥戲戶昶㐵㐴㉥㝤㔴㔵㍡昲扣㘴挹挱〰昷户㠷㄰㜵ㅣ㔱㌸㌲㌱ㄲ㔸㉡ㅤ㤶㠱㠲㘰㌸㐲晢昷㙣㑥㐵扥㕤摦挲慣㑣搶㙡挵戹愳㉤搳摤摦㉥昰搹㌲晥昲戲换戱㈱攳愹㉤挳㈱挷攱扡㌰㤷㘹戵敡ち㡤慢扡㍢昰㠷㔵㘶〱㐲挶愵愳捡慣㠵㉡戳㔶㔴㝤ぢぢ㤸㍥㉣摢㡣搵戱㉣搳搹搲扤扣慤㈵㔷挷〲㔳㝣㝦㄰㘳ㄵ昳㐷つ挸㜴㕦敥㕣㔲晡愸搴㝥㘸㠸敥㙥挰昹㤵搴戱晢㌱愲慢㤵㠱㝦敡㝢㘶㤷㘲收㤱㤳㠶㔹㡤㘸戵ㄸ㔵㌲ㄵ㐹㕢㍥㤱㘴㉣㙣㝥㜲っ㠶愸㑣㑥敡㘵〲昰㌱㝢〱捥つ㝥㙡㤸㥦戹搱搴挳摥〰〴㘶㜵㘴昲㔳㤱挹搲搱搹摢昹㑢昰㍡㈶戳㘱慡改っ㌲ㄹ㜴㌲昲㡢㤱户扣扡㈵㙦㜵搶㔱戱㄰㡦㝦㙢㤸㐶㙡搸㝤㠸〷㐷扤慡㙡㙢晢搴昹搵㌵挳㡤㌵挲㐹慡搳晦㤲㝥㐶㔹晣㡦收愷㈶散捥㔶〵攴ㄴ㔵㠳摤㌱昹搷搵㡡㘹愶摣㥦ㄲ㠰㐱㐰㙦㠸摡晦㠶戱戴㙦㡡昳㌲㤱扤㘹〲㔴㈳㝦㐳捤㡣搱㍡㘴㔷㑡慡㘹慤散㐸ㅦ㉤㐵搴戰戳㐳敢摣㍦捣㌶ㄶ㘲㤴㕢昹㠰㍤扦昲攱㌷捥っ㔵搵搵㌵攸㙡愳㌴挵愸慣㕡〴㙢㕢㘸㐹敥愸ㅡ㠲㈶ㄸ㜵㘸昱㘰ㅥ㉣㠸㡦㙦づ搰晦㈸戹㜴ㄹㄱ〸㤸〱愰慢〲敡つ㐸㤷㠲㈶㙡㙣㡥晡㤰㠲扥㄰敡ㅤ㈸戹㄰搰㑥㕢敡㉦㈸昲搴㔵㘵昴〳㘴㜳愷㑡昵㉥㍣㌸㕤㥡晤ㄹ㤸㔹㠴㥣㠵扣㔱ㄹ㠴㜶搳愳昲〳㝡攰㘳づ㘰㄰愷愰㍥挴㠶扢ㅢ㕡㔷て〴挶ㅣ㐴㈰搳ㄱ㝤〰㕢ㄱ㌰㤸㠰扦〲挰敥㌶戶㐶㘹㙢ㅦㅡ晤ㄲㄳ挱攳戶㠰㠳挷㑦戵昸ㅡ㡦摢㌱晥昶㡣捦㙣挲㔲ㅥ扦㠶捥收㜱〷㐰㌶㥢挷㙦攰㈶㍣敥挸挰摦愲㔴挴攳㄰㘸㌷捤㈳戹ㄳㅥ㜷㘶㄰挴㤰て〷愰て㑤㐳㠱㌱㠷ㄱ挸㌴㐶ㅦ挰㜰〲㜶㈱愰ㄷ〰挲攳〸㤴晣㜸昴㑢㘸〴㡦扢〲づㅥ㝢㙢昱㌵ㅥ㜷㘳晣㔱㡣捦㉣挴㔲ㅥ〷㐲㘷昳㌸ㅡ㤰捤收㤱挹㡡挲攳敥っ扣ㄵ㑡㐵㍣㡥㠵㜶搳㍣㙥つ㌷扣㤱㠴挳㈰㉥㡦㑣㜱昴愱愹〱ㄸ㜳㑦〲户昵〷㠴〸〸ㄳ戰ㅤ〰挲㘳〴㈵㍦ㅥ晤ㄲ㈱挱㘳っ㜰昰戸㤳ㄶ㕦攳㌱捥昸〹㠸㕡收ㅡ㙤㘴〱㠰㝣っ㉤㈳慤㍦㘲ㅡ㠵挵敤㉤摤㌸㌷昳搸㤸摡搲㡤㔹愶㙦〱〲㥢㤲㍡戶扤㥣戳㌵愷㌱摥戵挰捥攵愶愲㡢㠳㈱攵㜶晤㙡㘱㠴㡦搹扥㡥搰㉥ㅦ㌶〵㤲敢〹㥦㌶晥㤰㉥㌰㤴㥤㑦攴㕣㘳愸㤱㤵ㄳ敦㌴摥戹㐶晣㕦㕣㡥挸㡡〰㜷摢㌹㙣ㄴ晥㘱〸愵戱捤慢㤳摤㌶㌹㐴戴㍣㐴㥥㕡〳扣㐲戱㜵晤㥣㐴搷ㄹ敤㕤㌸挷〷㥣ㄲ㔶㜰晤㥤捤戹慢扡㡢㉣㤹戵㠳ㅣぢ㜲攲攷戶㘳摤㥤换㜴收㝦㈰㡢㌶散㥢㝤㙤㈱敢慦敦㜹摤㠷㈰㝣㘹㑢㉤戰㑣㥥㐷㠱攷㉤㐹攱慣㐷㤴㝥愴摡换散慣㘳㠹㕦㕥㈲㍤㘰㝦㜷㠹㕣㠰捦戳㜰昵㡣敦㜲㘹戵〶㠹㠳㔷㤴挵㠹㔹㘸捣㜶攱㘲慥㥢㉢㜵㘷㑢づ㜲戳戰挰攲㔷㥡慣戶戰戰㜶戶收攵扡㤱戰散〵攰㥦愹晤㜰㝡〷㡣搴㌸㍤愴愴㡦㡣㡤捣㙤挵㍢挱攳攷㝢昶㈸晡慤㈰慦扦㑤㔰ㄷ㕦挴搷つㄳ慡摣つ昶㉤㍡㤷㐹㥣ㅢ戹㍥挴㍣慢攷摢昲㈸ㅡ攴愶㠱摢戳㥢㑣㕣㝤㕤ㅤ㉦㈲晢昱㘲扦戳ㅢ㝦换挹㙦ㅡ愹攷㘱搳㡡㔵㜶㜷ぢ慥㤷㕡搷昵㉦捣㘸捦戵慥捡㕢㜲戱攵捥搷㜲捤昵㠳攸慦ㅡ㄰攲ㅣ㑤ㅢ攱挵㈱㘵〶扥〷换晤摢扥敦㝦挷挵ㅣ挷搳ㅥㄷ挱㠸ㄱ㌰昷㜶收㌷愶搶㙥㜱㜲㜳〰㔱〶昶愴收换户㈳㘱㕡㉢㔳㜱㍥㘳㥡慡㤷ㅦ㉤㐷㥣〶㥢搵㌱慢㠳㜷㙣㌴搵昴ㄶ㕢昵㠳攸㈷散愷摤㑤㠶㠱㑢捥敦㜷㠴摣㜳挰㉤挷晥㈸㌴戰㜱搷㠱㝢晣昲㜷㤱㙤ㅡ摤愳㠵攷ㄷㅣㅣ㙡㉣㝡㐰ㄶ㙥㤲㉥捡ㄳ㔰㔵〴搵㔶㔳㌸㄰收㌶换㈲㙤ㅦ昴㥡㙡㐰挹㕥愴搹晤㘹㑥㠴㜶搳㡢㌴㈶㐳攳㕤㘵㌶ㄲ㡥つ㝥㔴〴㉡㜷㤱㠶㌲㉡㤴敢挳㐹挰㤸㤳㔹ㅢ搳愳㝤〰㑤〴㑣㘱㈴㘶挹㤶㑥㌴ㄵㄳ㝥攱㔰㔵摢挶换扣扡㌶㕥敥攲㌰㌵昰㜷㠸㐸㘸挶㈵戳搱愷㉥㠶㘰收㔴愰㥥㜹晡改昱㙣㡦㘲戶慣㕢扦戶㠸㥢挶晡愷㐳愸㐶〰㑡ㄷ挳㤳愱戳ㄷ挳㌳〰搹散挵㜰ㄳ摣㠴攷㤹っ㍣〵愵愲挵昰㉣㘸㌷捤昳㌴戸攱㡤㈷搶っ挲㕤攰㘷㍡愴扢ㅢ摡挵搹ㅣ㘰捣戹〴㌲搵搶〷㌰㡦㠰昹〴㌰晢㔶ㄶ挳ぢ㔰昲㕢っ晢㈵摤㘲㈵戳〸㜰㉣㠶攷㘸昱㌵ㅥㄷ㌳晥ㄲ挶㘷愶慣昰㠸〹㐲挶ㅤ挶收〱搰搹㍣敥〷挸㌶㍤摦昲戳挹㝢㠲㡡㐹戵挲攵晥っ㝥㄰㑡㐵㕣ㅥ〸敤愶戹㍣〴㙥㜸㈳㍢㤷㐱㕣㉥㥢戱攵㔲ㄵ攲捥搹㘳昶㘰㘰捣㐳〸㕣敡て㌸㤴㠰㘶〲㌲〰〸㤷㑢㔱敡敢㕥攸捡㜷ㄱ昹摣㈶挸〲〴〶㉤㉤慡挶㘰㡥㔱昳㡣摡づ㐰改㐸㘴㐲慤捤愰〵挸㘶㡦㐴愶攰ち㝢〵〶敥㐴愹㠸扤攵搰㙥㥡㍤摥㘹挵扢捡㙣㘱㄰㤷㍤㈶敥扡散㘹㈳昱㌰㘰捣ㄵ〴㌲愹搷〷搰㑡㐰ㅢ〱捣昳ㄵ昶摡㔱昲扢摢攲㤳摥㡢㠱戸ㄲ㘸搰㜸㠴ㄶ㕥愳昱㜰㠶敦㘴昸ㄳ〰㈸愵㤱㠹戸㌶㡤㕤㠰㙣㌶㡤㈷挳㑤㘸攴㔷㑡慡㔳㔰㉡愲㜱㌵戴㥢愶㤱戹扥㜸㔷㤹㙢ㄸ挴愵㤱〹扦㍥㉣慤〵挶㕣㐷㈰㤳㠱㝤〰㍦㈲攰〸〲㤸ㅦ㉣㌴ㅥ㠹㤲摦〱敤㤷ㄶっㅥ㡦〶ㅣ㍣㌲㍦搸㡤慦昱㜸っ攳慦㘷㝣收昲㤶昲挸〴㕥㥢挷㘳〱搹㙣ㅥ㝦〶㌷攱昱㌸〶㘶敥㙦ㄱ㡦㈷㐰扢㘹ㅥ慦㠰ㅢ摥㔵收㠹っ攲昲㜸㈵戶摣摤搰㠶攳㐹挰㤸㈷ㄳ挸㈴㘲ㅦ挰㈹〴㥣㑡〰昳㡡㠵挷搳㔰昲攳搱㉦㥤ㄸ㍣㥥づ㌸㜸扣㑥㡢慦昱㜸〶攳㥦挹昸捣〱㉥攵昱づ攸㙣ㅥ捦〲㘴戳㜹㘴慡戰昰㜸㌶〳晦ㄲ愵㈲ㅥ捦㠵㜶搳㍣㌲户ㄸ敦㉡昳㍣〶㜱㜹㘴㠲戱て㑤攷〳㘳㕥㐰㈰㤳㡦㝤〰㍦㈱攰㐲〲㤸㡦㉣㍣晥ㄴ㈵㍦ㅥ晤搲㤰挱攳挵㠰㠳挷摦㘸昱㌵ㅥ㉦㘱晣㑢ㄹ㥦戹挳愵㍣㍥づ㥤捤攳捦〰搹㙣ㅥ㤹㘲㉣㍣㕥挶挰捣㌵㉥攲昱ち㘸㌷捤㈳㜳㤲昱慥㌲慦㘴㄰㤷㐷㈶㈶晢搰㜴ㄵ㌰收搵〴㍥敢て昸㌹〱搷㄰挰㍣㘶攱昱㕡㤴晣㜸昴㑢㕦〶㡦搷〳づㅥ㤹挷散㌶㐰攳昱〶挶扦㤱昱㤹㜳㕣捡㈳ㄳ㡤㙤ㅥ㙦〲㘴戳㜹晣㈳摣㠴挷㕦㌰昰〶㤴㡡㜸扣〵摡㑤昳挸㕣㘶扣慢捣㕢ㄹ挴攵㤱〹捤敥㙥㘸挷昵㙤挰㤸户ㄳ昸㡥㍦攰づ〲敥㈴㠰昹捦挲攳㉦㔱昲攳搱㉦敤ㄹ㍣摥〵㌸㜸㘴晥戳摢〰㡤挷扢ㄹ晦ㅥ挶晦㍢〰愵㍣晥ㄳ㍡㥢挷㝢〱搹㙣ㅥ㤹搲㉣㍣晥㥡㠱㤹摢㕣挴攳晤搰㙥㥡㐷收㐰攳㕤㘵晥㠶㐱㕣ㅥ㤹〸敤敥㠶挶攳〳挰㤸てㄲ挸㈴㘹ㅦ挰㐳〴㍣㑣〰昳愶㠵挷摦愲攴挷愳㕦扡㌴㜸晣ㅤ攰攰㤱㑦挵摣昸ㅡ㡦㡦㌲晥敦ㄹ㥦㌹捥挲愳戶㜰㘴㘲戳捤攳㘳㠰㙣搱挲戱て㕣㠵换挷ㄹ㥣㜹搱㐵㕣㍥〹敤愶戹散て㌷戴ㅢ摦つ挵㈰㉥㤷昵搰扡扢ㄲ攲捥搹ぢ挷愷㠱㌱㥦㈱㌰攸て㜸㤶㠰攷〸㘰捥戵㜰昹㍣㑡摡挲ㄱ㕦㡥攷戳㜰㝣ㄱ㈰㌰㌸㔸㡢慡㌱昸ㄲ愳扥捣愸捣㡦㉥ㅤ㠹㑣㡡ㄶ〶㑤㕥挲挸㉢〲愹㍤㜶㔷挳〰ㄱ愶㕥㘱㄰收㑥ㄷ㌱昵㉡戴㥢㘶㡡㌹搶挲搴㙢っ㠲ㅡ攴㌳ㄲ㕡㤷㈹㙤搴扤づ㡣昹〶㠱㑣挲昶〱扣㐹挰ㅦ〸㘰㕥戶㌰昵㍦㈸昹㡤㍡扦㜴㙣㡣扡つ㠰㠳戳㌱㕡㝣㡤戳户ㄸ晦㙤挶㘷づ㜵㈹㘷㑣㥣戶㐷摤㥦〰搹散愳㤷愹搶挲攳㍢っ捣㥣敢㈲ㅥ晦〲敤愶㜹㘴㙥戶昰昸㉥㠳戸㍣㌲㐱摢㠷愶昷㠰㌱摦㈷㤰挹摢㍥㠰て〸昸㤰〰收㜳ぢ㡦ㅦ愱攴挷愳㕦ㅡ㌷㜸晣ㅢ攰攰戱㔱㡢慦昱昸㌱攳㝦挲昸捣扤㉥攵㤱〹搷昶搸攳㉡㔱㕥愵㘳㡦改搸挲搹摦ㄹ㘴づ㑡㐵㥣晤ㄳ摡㑤㜳㌶て㙥挲搹㘷っ㠲㝡攴挳㈴㙥ㅦ㑡晥〵㡣昹㌹㠱㑣昰昶〱㝣㐱挰扦〹㘰捥户㜰昶㈵㑡㝥㥣昹愵㝡㠳戳慦〱〷㘷捣昹㜶攳㙢㥣㝤挳昸摦㌲晥㔲〰㑡㌹㘳㔲戶捤ㄹ㔷㠴昲㉡攵㡣㈹摢挲ㄹㅦ㜱㈸收㙥ㄷ㜱㠶㘷摥㥢挱ㄹ㜳扣㠵戳㕥っ㠲㝡攴挳㐴㙦户挹摡昱㡡㉦㉥挳㘳㝥〲㤹〴敥〳㌰〸攸㑤〰昳挲㠵戳㍡㤴晣㌸昳㑢〷〷㘷〱挰挱ㄹ昳挲摤昸㑤搴㌸捦搰㘱㌵晢㐲㈸收㜰㤷㜲挶挴敤㑤㜰挶戴㙥攱慣㍦㠳㌰扦扢㠸戳㈰戴㥢ㅥ㘷捣〳ㄷ捥〶㌰㠸换ㄹ㤳挱摤㈶㙢㥣つ〴挶ㅣ㐴㈰ㄳ挵㝤〰㕢ㄱ㌰㤸㠰㘳〰㄰捥戶㐶挹㡦㌳扦㤴㜱㜰戶㉤攰攰㡣戹攳㙥晣愶ㅥ捥戶㠳搵摣ㅥ㐲㌱捦扢㤴戳㌳愱戳㌹敢㔷㘹㥣㥤〵㠸㜰戶㈳㠳㥣㡤㔲ㄱ㘷㐳愰摤㌴㘷捣ㄵㄷ捥㜶㘶㄰㤷㌳㈶㡣扢㑤搶㌸ㅢち㡣㌹㡣㐰㈶㤳晢〰㠶ㄳ戰ぢ〱捣㉦ㄷ捥㐶愰攴挷㤹㕦㕡㌹㌸摢ㄵ㜰㜰挶晣㜲㌷㝥㔳て㘷扢挱㙡㡥㠲㔰捣〵㉦攵㡣〹攰㌶㘷㕣搵挹慢昴搸扣〶㄰攱㙣㜷〶㘱㥥㜸ㄱ㘷㘳愱摤㌴㘷捣㈷ㄷ捥昶㘰㄰搴㈳ㅦ㈶㤵扢㑤搶㌸㙢〰挶摣㤳㐰㈶㥣晢〰㐲〴㠴〹㘰づ扡㜰ㄶ㐱挹㡦㌳扦搴㜳㜰ㄶ〳ㅣ㥣㌱慢搹㡤摦㐴㡤㝤㙣挶㘱㌵ㄳ㄰㡡昹攲愵㥣㌱㐹㝣ㄳ挷㈶㔳挸㠵戳ㄴ㠳㌰㤷扣㠸戳㜱搰㙥㥡㌳收㥣ぢ㘷㝢㌱㠸换搹㠳搰扡㑤搶㌸摢ㅢㄸ㜳㍣㠱て昹〳昶㈱㘰〲〱て〳㈰㥣㑤㐴挹㡦㌳扦昴㜴㜰㌶〹㜰㜰昶愸ㄶ扦愹㠷戳挹戰㥡㑤㄰敡㔹〰㤸㍦攰㍣㍢㥥㑡㌷攷搹昱㌴㙣昳捥晥㜳㠰昰昹戱晢㉡㝢敡愹㥥〷㠲㑦㍥戹攳敥㜳㠱㑡㑦搱ㄴ搳搶昹㈴つ昷扤搹ち敦㔱捥㑣愷㍡㘶戴昳㜱㡥晢晡敢㍢㜷㙤昸昳ㅢ㐳扤〷づ昶㕤摤㉡挵搴㜶扢㘷㤹㔲㉥㜵昳㘸搰ㅦ㌸㌰昱㕤㝡㜶ㄶ㘲㉢㘶挰摢㍤敢㍣㜰㤸〳敤㐶㝢搶㥣敢戴㠹搹昲搲攴㜹㜴㐱㉤昲搰㠱改昱㙥敦戲〵捥㠰㥣て㡣戹〰㐲㌱㜵摥〷戰㤰㠰㐵〴㌰㤹㥥てㅥ捣挵㈸㜹捦ち㤸っ敦扡㌵昵挴㕤㐲户晤攸挶愴昶搲㠱捥㑣㜶愱挳搸ㅦ㤰捤㕥㌴㌲昷㕤㈸㍡㠰㠱㤹〴㕦㌴昸て㠲㜶愳ㄴ挹戳㥦扦挱㑤攸㌹㤸㐱搰㘲昹㝣っ慤扢ㅢ摡攰㍦〴ㄸ昳㔰〲㍦昱〷㌴ㄳ戰㤴〰㈶搸换攰捦愰攴㌷昸晤昲敡㌱昸㜳㠰㘳昰㌳挱摥㙤㐰㔳て㡦㜹㔸㑤ぢ㐲㌱ㅤ㔷摡㕤㘰挹㘹㜷㙤㌵㈶搷搲㑣挱戲㉣㑥㌸㈰㐷㠲昹㥣ぢ扢搷戵㈲㠷㤶㥢捣ㅣ戴户昸㔰挸㌶㈳㥦戱愳ㄳて㑡㙢㑡扦㐶挹昳㝤〶愱晡㙣㔵昲ㄵ慢攲㐶㑢ㄵ㕡㔳㝢搱㔷攵㕦㈳敡昹戳攱㍤摦户㈸㍥搰ㄸ换搱挴慤㘶户攴㍡㍢扡㍡ち摤㐳ㄷ㈲㍦㝣㈸扦戲ㄶ㕦ち㄰㙡慣扤㄰ㄱ㝤敢攴㡥搵戴昳㌷㘲㔶昳㉢ㅣ〳㉢摡㍢搶戴㑢㙢㙡扢昸捤扤挲㔷敦摥慣㈶㠰㡦扣㜶〱㜹挱㕥㘸㘸㄰㐵昳㌰㠴攸㔷ㅦ慣㐱ㄹ晣㔶ㄹ㉢㔰ㅥ㌹㜹搲攴〵捤㠵㘸㈸ㅣ㡤攴㘲㠹㘴㍥ㄶ换挴㜲搹㘴愱㄰㑥㐵愲㤹戸㤵换愵昳〵愳搵㠳㐶攲㔶㌲㤱捡㐶慣㔴㌲ㅥ㉢挴戲㤹㕣㉥㥣㡣收戲搹㑣㈱㥥捦㠴ㄳ挱㕡㈷扣搹〶ㅦ戳ㅤ㈲㘸戸慡づ慡㔶㔲搵摢㔵ㄱ㈰搰摡〰㔴㥢㥢㤱〹㈷㝣昳㠳捡愹扣戲㙡㝡昷㉥㑢攳㈹换攴㘴㍥戵㝣愹愷㘱㌰㤱戳昶っ搰㕣㥡晢攳敦㔴摣㡢㜴㐶㍢慢捣㙥戶㝢ㄵ㐴㈰搸〷ち敡㡣搵㈸づ㤸㍣愹戹昸ㄷ㝥㡣㌵㔰昷㠵㕡㥥㑥㉦挰㜷昹ㅡ㙢愱改て㡤㤶戹ㅥ散敢㐴㌱搷挱㘸づ㘷ㅤ挳㈰㔴㝦攸愵㙦㡦㠴㥥ㅢ昲〹㐲换攳㐱ㅤ㡦ㅤ攱㈸㠴愱捡㌸ㅡ㤰㡡㐳㑢ㅤぢㄸ㠷㔷昱昰ㄸ㠰㈸㌲㍣搶挳ㄹ挳㘳㈰㈳㌳搸戱㈸㍢挳愳㄰㑡攷愲改㐲㉡㘲挵㘲搹㝣㍡㥢㐸攴㘳愹㘸㉡ㄴ户慣㘸㌶㘶ㄹ挷㜹搰戰㤵㡤㐶愲搹㝣㌴ㅦ〷ㄶ㈳㈹ㄶ㡢㠶搳搹㕣〶晥昱㜸㌲ㅤㅣ攴㠴㌷㡦㠷㡦㜹〲㐴㜰㉢㔷㜵㈲㔵㈷㔱㌵搸㔵ㄱ㈰㔰戵㉤㔴ㅣ㈲㙡つ㜶㠱摤㠷㙤㝣愱㍦敤㍦㠶〸〴户㠳㠲㍡攳㜴ㄴ㝤扡攱っ愸㡢扢攱㑣㘸㑡扢㘱㝢㈷㡡㜹ㄶ㡣昲㌳㍥昲㠳㍥㙡㐷攸愵ㅢ捥㠵摥敢㠶㈱搰㑡㌷戴愱㐱㕥㌷㥣て㐸攵㙥㔸〱㘸㜹㌷散㡣㐸搲つ㍦㠱㌳扡㘱㈸㈳㜳㙦㉥㐴搹敥㠶㝣㌴ㄹ换㘷㘳㤹㜸㌶ㄱ㡦㐵愳㠹㔴㈴ㄶ戳㈲愰ㄵ㕤㄰戲愲〹攳愷ㅥ搴捡㈷挳㠹㙣㌲㤶㡡愰换㌲㠹㔰㌶㔲㠸挴㌳㌹㝣搰ㅦ搱㔸㉣㌸捣〹㙦㕥〴ㅦ昳㘲㠸攰㜰㔷㜵〹㔵㤷㔲戵㡢慢昲㔰㙡㔷愸愴ㅢ㌲㝡㌷㕣㐱㤷㉢㈱〲挱摤〰挰扢捡戸ち㐵㥦㙥戸ㅡ敡攲㙥昸㌹㌴愵摤㌰捡㠹㘲㕥〳愳晣愸㤱晣扣㤱摡ㅤ㝡改㠶敢愱昷扡㘱㉣戴搲つ晢改摤㜰㈳㈰㤵扢㘱戱㙦㌷散㠱㐸搲つ扦㠰㌳扡愱㠱㤱戹㌷㌷愳㙣㜷㐳摡㑡ㄶ戲戹㘴㉣ㅣ挲㡣㤹挶搱㔰㐸㠵愳攱㙣摣㡡挷昲昹㐸㈴㘵摣搲〳㑤㐷慣㜸㈸㤵捦㕢㘹昴㕢㉡㥥捥㠴㌳攸㠸扣㤵㑤攵㐲搱㑣㈶戸愷ㄳ摥扣ㄵ㍥收㙤㄰挱㤰慢扡㥤慡㍢愸ち扢㉡〲〴慡㘲㔰㐹㌷散慢㜷挳㕤戴摦つㄱ〸挶〱挰ㅢ摦愱㐴ㅤ愷㈰㤳戳㑥㌰攱敡敦愳㉡㐹〴扦㝤戴㌶〵㝤改㠴愸晤戱㡡㤶っ挹㍦㍥〸㙡ㄹ慡㌲戵づ㈸㌸㕦㥡㍢ㄷ愹㔲摤㔴晤㄰ㄲ㙣㙡散㠴戵㑤㥥㔵㘴ㄷづ㍡㠴㤳㝢㈹〷挵㈷〵㘷摦攴㑣昲晤搲㜵〲戵㤳搰㘳㥢㔷ぢ挷㜷捦〲挲㍤昵〴捣〷搱㜵扣〰㐸愳捦攴㘰㜸〸ち昷㔵㍢づ摡捤捦晡愲晦愰㥥扦敤攰㕦昱㡣㘹㐵〲摣㘶晣搱搴挳愸㔵敤敤戶攱户㈸昱㐸攱㐷敤攳㙡ㅦ㈱〶㥡㍡㙡㈷㐲㉢㠷改摥晡㘱晡㈸㈰㤵て搳㜱扥㠷㘹㈳㈲挹㘱晡ㄸ㥣捤挷㈹㥥愰㜸㤲攲㈹㠸㝥㝤㠲㤳㠰攱㉢㌸搹摤㘸㜲㌷愶㌸ㅢ昵㔳戱挱搳愱㈱挸晦愰〸㑥㐳㘴搶㘲昲㙣㘴昲摣㘳昲㜴ㄳ㥣敥敡㥦愳㡡㌹㐸昲ㄳ㕤㙡㈶昴搲㤷㉦㐲捦つ昹捣㠲㔶ㄸ摢㐳㘷散㘵㐰㉡㌳㌶挶㤷戱搹㠸㈴㡣扤〲㘷㑣㙣㜳ㄸㄹ搵ㄸ晦㡤戲㍤戱攵慣㜴㍥㥡㡥㘵搲攱㕣ㄴ㔳㔹㉥ㅤ㠹㈶搳ㄹ捣㔴改㠲㤵〹㠷㌲挶慢ㅥ㌴㥢换㕡㠹㑣㉡ㄲ捡㠵攲戱㐴㍡㤶捥挶戳㔶っ㤷㤸改㕣㌸ㄳ捥㠷㠳㜳㥤昰收㙢昰㌱㕦㠷〸捥㜳㔵㙦㔰昵㈶㔵昳㕤ㄵ〱〲㔵㡢愰㤲㠹㙤ㄸ㜶挳㍢捤㙦愰晤㉤㠸㐰㜰㌱〰㜸㤷㑤㙣㑢㕣晤㥦㠹㙤㈲㘲㌲㘹摣ㅦ㝡㈱昶㍤攸㍤㘲て㠴㔶㠸摤㐶㈷昶〳㐰㉡ㄳ㍢搸㤷㔸愶づ〹戱ㅦ挱ㄹ挴ㅥ㡣㌲摥㔵挶㕦㔱戶㠹つ㠷攲昱㔴愸㄰㠹㐵㜰攲捥愶ㄳ愹戸㤵捡挵挳戱㑣㈸ㄹつ愷ㄲ㘱攳㙦ㅥ㌴㥢㉥㐴㤲㔶㈲㕢㠸挷愳戱㐴㈲㤳㑥挴㈲改慣ㄵ捦愷昲改㔰㈱ㄱ㌳㍥昶愰改愴㤵捣ㄶ㤲愱㐲〶慢㉣㉢㤲换㔸戹㝣㈱ㄱ捦㈴ㄳ㠸ㅤ捡㐵㠲㠷㌸㉤㌱㍦㠱㡦昹㈹挵摦㈱㠲㠷扡晡㝦㔰昵㑦㡡捦愸㙦㜶昵〲ㄵ㈷攲㔵ㄶ㝡改㤲摥㑥㤷㜰摣㤸㕦搲敦㉢㠸㐰㌰攷㌸ㅡ㕦愳攸㜳捡晦〶敡攲㔳晥户搰㤴㥥昲昳㙥昵摦挱㈸㍦攱㈶㍦收愶ち搰㑢〷㔶攳攲摥敢挰攵搰㑡〷㝥昳愵戶昲慡〱愴㜲〷㝥〵㘸昹捡慢〵㤱愴〳つ㌸愳〳て㘳㘴㜶㘰㙦㤴敤づっ㠵ㄲ搱㜰㉥ㄲ㤶㈳㈳㤹㐸愷㜲㔹㉣㘷㤳㈹ぢぢ㠰㔰㌸㥢㌷敡㍣㘸㍥ㄵ㐹挵ㄳ㌱ㅣㄴ㤱㄰㤶扦㠹㔴㈱㥢㡤攴㈲㔶㍡㤷挷扡㉤㥢つ慥㜰挲㥢晣ㄹ㔹㌳〰ㄱ㙣㜵㔵㝤愸敡㑢㔵㥢慢㈲㐰愰㙡㈵㔴搲つ㥦㘲㌷扣㈳㈳㐸晢〰㠸㐰昰㜰〰昰㉥㍢㌲㍡㕤晤㘰㘲ㄷ㄰㌱ㅦ㐲㜵㐳㉦挴㙥ぢ扤㐷散㙡㘸㠵搸㜷㜵㘲户〷愴㌲戱㝦昶㈵㤶昹㑣㐲散㡥㜰〶戱㙢ㄹ㤹挴敥㠴戲㑤㙣㍣㤶㉥㘴㐳愹㔸㉣㥣㑤挵㐲㘱㉢ㅤ㡡㈶ち搱㙣㍣ㅤ捦愵㉤㉢ㄷ㌶㠶㜸搰㜴㌲㥦〸㈵挲昹㘴㈲㤳㡤㘱㜹㥢㑥㠵ㄳ㈹ㅣ㐶㤱戰ㄵ挳戵㐹㌶戸捥〹㙦敥っㅦ㜳㈸㐴昰㐷慥㙡ㄸ㔵挳愹㘲㙡㤴㡣㕦〲〴慡㡥㠶㑡㠸㝤㐳㈷㜶㔷摡㜷㠳〸〴㡦〱〰敦戲戹㝣扤慢ㅦ㐳㉣扦慢搱攴㌷㍦慡攳愰ㄷ㘲ㅢ愰昷㠸㍤〱㕡㈱昶〵㥤搸㄰㈰㤵㠹㝤捥㤷搸ㄳㄱ㐹㠸㡤挰ㄹ挴㥥挴挸㈴㌶㡡戲㑤㙣㈶㠴慢戳㘴㈶ㅡ㡦ㄶ㐲戸っ㑢㘴㔳〹㉢ㄹ㐹㘴挳挹㥣㤵㠹㠵㤲㐶捣㠳收攲搱㐴㌲ㄵ㑥㠱摥㘸㉣ㅤて㘷㌰㤹挳㈱㤳捦㕡㈹㉢ㄲ㑡〵㑦㜶挲㥢㜱昸㤸〹㠸攰㈹慥㉡㐹㔵㡡慡㔳㕤ㄵ〱〲㔵愷㐳㈵挴㍥慡ㄳ扢㌷敤攳㈱〲挱㌳〰挰ㅢ摦攴挸㐳㥥㔷〶㈶㉦〶㠲㘷扡晡㐶㘲㤷ㄲ搱っ愱捥㠶㕥㠸㙤㠲摥㈳昶㕣㘸㠵搸晢㌴㘲㑤慥晥㜹㐷㐵摤敢换㈱㤳㥢㠴挳改〸〵づ捦㘷㄰㌸ㄸ㌳㔰戶㌹挴搸㑡攷㘳搱㔴ㄸㄷ戵戱㤰ㄵ挶捣㥡㡤㐷慤㐴〱搷㔳戹㘸㌶㙤捣散㠱㘶ㄳ㤱㐸㠲〷㝢㍣ㄶ㑢㘵㌰㉢挴㜰㜹㤶㑥㔸㠵㕣㈶㔵〸攷㠲ㄷ㌸攱捤㝤攱㘳捥㠲〸晥挴㔵捤愶㙡づ㔵捣㤳㤲挱㐹㠰㐰搵挵㔰〹㠷户敡ㅣ㉥愰㝤㈱㐴㈰挸〴㈸扣换㡥晡㑢㕤晤㝥挴㉥㈳〲㜷㤸㤰㕤〷扤㜰㜸㈰昴ㅥ㠷㔷㐰㉢ㅣ㕥愳㜱㘸ㅣっ㐸攵挱㜹戵㉦戱㔷㈲㤲㄰㝢㈸㥣㐱散㔵㡣㑣㘲㥢㔱戶㠹㑤㈷㤲㤹㕣㉡ㄵ㡤换昹㄰㔷㐳㤱㐴㌴㠴挵〴㉥㑦愳ㄱ摣㘰㌰㤶㝡搰㝣愸㘰㐵㉤㑣㄰昹㙣㈱㠶ㅢ〹改㜸ㅥ搷扥㤱〲捦㥦㤱㝣㌴ㄱ扣摡〹㙦㘶攰㘳㘶㈱㠲㍦㜷㔵㌹慡昲㔴㕤攳慡〸㄰愸扡ㅥ㉡㈱昶㈲㥤搸攵戴户㐰〴㠲㌷〰㠰㜷㤵㜱ㄸ㡡㍥㘷戵ㄵ㔰ㄷ㥦搵㕡愱㈹㍤慢摤攸㐴㌱摢㘰㤴ㅦ㤳㌴摢搸つ扦㠰㕥扡㘱㈵昴㕥㌷摣〲慤㜴挳㔹㝡㌷㜴〲㔲戹ㅢ捥昰敤㠶㕢ㄱ㐹扡愱ㅢ捥攸㠶摢ㄸ㤹㝢戳ち㘵扢ㅢ㘲㤹㍣慥㐶愳㠵㔴ちぢぢ㉣㐴㔲昹㐲㌴㤳户ㄲ㔶㈶ㅥ〶摤㈱㘳戵〷㡤㘴ぢ㤹っ㑥㜷㌹㥣〱㘳㤹㘸㍥ㄳ㡡㈷搲攱㐲扡㔰攰㑦㠹㈷ㄳ挱摢㥤昰收ㅡ昸㤸㙢㈱㠲㜷戸慡㜵㔴晤㠸㉡收㕤挹昸㈶㐰愰敡㉥愸愴ㅢ㡥搷扢攱㘸摡㡦㠱〸〴㤹㔰㠵㜷搹攴㝢㡦慢㍦㥥搸㔵㐴昰㙢㌳搵慦愱ㄷ㘲㑦㠲摥㈳昶㝥㘸㠵搸㜵㍡戱愷〰㔲㤹搸㌵扥挴㌲㝢㑡㠸㍤つ捥㈰昶〱㐶㈶戱㍦㐶搹㤹㌸戰ㅥづ愷㘳戸㌷㔶挰愲㌸ㄳ换㈶慣㜸㉥ㄶ㠹㈴昳改㘸㌲㘹攵㡤搳㍤㈸㑦㘰戹㕣ㄲ户㘸挲㘱㑣搳戸戱㄰つ㘱㝤ㄸ㑦愷搳㔸㍤攴㔳挱〷㥤昰收ㄹ昰㌱捦㠴〸㍥攴慡捥愲敡㙣慡ㅥ㜶㔵〴〸㔴晤づ㉡㈱戶㑤㈷昶㝣摡㉦㠰〸〴ㅦ〵〰敦戲㠹攳昷慥晥㈲㘲昹㡤㤹昲㌳愱敡㜱攸㠵搸㑢愱昷㠸㝤ㄲ㕡㈱㌶愷ㄳ㝢ㄹ㈰㤵㠹捤昸ㄲ晢ㄴ㈲〹戱㔷挰ㄹ挴㍥敤戴挳戸ㄲ㘵㥢㔸慣愱昱ぢ㜹㌸㠱㈵昳愱㔸㌲ㅣ捤㠰攳㔴扣㄰挹㈴㤳㤱㑣㌶ㅣ㌷慥昲愰㠵㙣㍥㤴㑦挶㌱㐰ぢ戹㔸㈸㥤捣愶攲挹㝣㌶㥥㑦㠷ㄳ㌹㉢㤹㑥ㄹ㔷㝢搰ㄴ㙥㔹㈶ㄳ㤸扥㜳㔸㐸㐷㈲昱㔴〲换昴㔰㈸㤷㑣㘵㤲攸㡥㑣昰ㄹ愷㈵收捦攱㘳㕥㐳㜱㉤㐴昰㔹㔷㝦ㅤ㔵搷㔳摣㐰晤㜳慥㥥㈸ㅢ㑦㑦昵㈲昴搲㈵ぢ㥤㉥㤱㘳攱ㄶ㠲㙥㠵〸〴㤹戲㠵㜷㤵㜱ㅢ㡡㍥㔳捥敤㔰ㄷ㑦㌹㜷㐰㔳㍡攵扣散㔶㝦㈷㡣收昱散挰攳㈰搴㉢搰㑢〷摥〵扤搷㠱慦㐲㉢ㅤ㌸㐳敢㐰㤳㤷㤸㜲昶㥣收摢㔷慦挱㐹晡敡搷〸㠵扥㝡㥤㐱攰㘰摣㠷戲㜳㄰ㄴ㜰㜹ㄳ㑢㐷攳㤸搴㜱戳㌸捣㤱㥤㑥攰〶㔹㍡ㅣ戱挲㤱㠴㜱扦〷㑤〱ㄱ挳摤㌴摣㐲㑢挶㜲攱〸敥㥡愱㉢ち㠹〸㙥戲㈵ち㠵㘴㤰㈹㘱挲搵㙦攰㘳㍥〰ㄱ㝣搳㔵昵㕣㑤㌲㉦㑣㔰〴㤸㠴慡つ㔰〹攳攳ㅤ挶㔱挶㉦㐹搲晥㈸㐴㈰昸ㄶㄴ愲㉢戹㑤昶戶慢㝦㠲搸搳攸挵慦ㅢ㔵敦㐰㉦ㅣ㍥捤昰搴昰昳ㄷ㘸㠵挳愸㉦㠷㘱㕦づ摦㠵㤳㜰昸㍣㐲㠱挳昷ㄸ〴搱㡣ㄷ㔰戶㌹挴改㉥ㄱ挳㐲ㄸ㜳〲㙥攳愶㈲㤹㍣㑥㝣〵㕣㥤㠷ち昱〴晥ㄹ㉦㝡搰㕣ㄲㄷ㡣㤹っ㝥摦㌷㤴㠸挵挳搱㔴ち㤷ㅣ㤹㘸〱捦㜴愲戸ㄸ㡣〵㤹づ㈶散扣〴ㅦ昳㘵㠸攰〷慥慡㠷挳て㕤ㄵ〱㈶愱敡㙦㔰〹㠷扢改ㅣ扥㑥晢ㅢ㄰㠱攰挷〰攰㕤㌶㤱㝣攲敡晦㐸散㌹㐴㥣㑤戶晥づ扤㜰昸㌶挳㔳挳捦㍦愱ㄵづ㜷搲㌹っ〱㈲攳㜰〷㕦づ㍦㠳㤳㜰昸ㄷ攰挰攱扦ㄸ〴づ挶扢㈸摢ㅣ攲㘲㉤ㄱ挹愵㜰㈵ㄶ㑢挶挰〴搶㄰㤹㕣㍡㤴挱摡㉣㠱㡢㠸㥣昱㥥〷つ㘵㘲〹㍣挲ち昱㔴ㄷ㑢攱㐴ㄷ攷㠸挴扤㕢摣昲㡤㐷慣㙣㤰改㘱挲攱晢昰㌱㍦㠰〸㝥攱慡㝡㔶挲晦㜶㔵ㅥ㑡㝤つ㤵㜰㌸㐰攷昰ㄳ㐶昹ㄴ㈲㄰㘴昲ㄷ摥㘵㉢攱㙦㕤晤㘷挴昲㡢㐸捤ぢ㈱攴慦搸㠵挳㉦愰昷㌸慣挶㔱㉢ㅣ昶搶㌹昴㔶挲戵扥ㅣ昶攲㡡㥢㠱扦㐶㈸㜰㔸挳㈰㈸ㅢ摦愰㙣㜳㤸挲慤㙤㉢㥢挵㡤敦㐸ㄸぢ攲㔴㉡㤱捥挵㤲㜱慣㜰㔳㔸摦㈶㔳挶户ㅥ㌴ㄱ捤攱㔲〳攴㐶愲戹ㄸ敥㡣愷挲戱㐴〱户挰㜱㔹挷㠷㐲戱㘰慤ㄳ摥晣づ㍥㈶敦扣〵つ㔷搵戳ㄲ㘶捥㤸㌰㑤㠰㐰㔵〰㉡攱昰慢㝦㙢搷扦〶敤扤㈱昰ㅣづ〰攱戰攴㔸敥敢敡晢㄰换㉦㉦㌵㉦㈳㠷晤愱ㄷづ晢㐳敦㜱ㄸ㠴㔶㌸晣ㄴ搵戸㡦㜴㝡慥㈶㍥㠶戶晣ㅥ挲〰㌸〹㠷〳ㄱちㅣづ㘴㄰㜲㌸〸㘵攷㔸戶戰扣㡤愷㜸戱㤵㡥㈵㐳戸挴㑤㕢㌱摣ㄷ挰㈸挳㌵㔹㌴㙥㙣攵㐱昱㔴㈱ㄶ捡攰挷㘰㐳㤹㌸敥ㄹ㈵㌳昹㜴㈱㤶㡢攴ㄲ昱㘴㌴㠹戵㔷㤰改㘳挲捥㘰昸㤸㕢㐳〴户㜲㔵㍤ㅣづ㜶㔵ㅥ㑡㙤ぢ㤵㜰昸㘷㥤挳ㅤㄹ㘵㈷〸㍣㐴〳挰㡦挳敤㕤晤㌰㘲慦㈵㠷搷㤰挳ㅤ愱ㄷづ㐷㐰敦㜱㌸〴㕡攱昰つ㥤㐳㍥㥤㤴㘳昹㌵㕦づ㜷㠶㔹㌸ㅣ㠵㔰攰㜰㈸㠳挰挱ㄸ㡤戲捤㘱㉥ㄷ㡦攳㡡㌴㘲攱搶㔷㉣㠹㕢㘲㌸㡦㘴㈲㠵㔰㈸ㄹ㡡愴㤲戹慣戱扢〷捤愷昱扣ぢ㌷っ愲㤹㐲㍥㘶㘱㍥㑣㘶ㄳ戹㐴㈶ㅥ捤愴挲㌹晣㙡㜳㜰㤸ㄳ摥ㅣ〳ㅦ㜳㉣㐴㜰戸慢㍡ㄱㅢ昶㠳挸㕤㕣㤵㠷㔲扢㐲㈵ㅣ㍥愷㜳ㄸ㘱㤴㈸〴㥥㠰〱㈰ㅣ㤶摣晡ㅤ攵敡㤳挴摥㡣㕤㌳昹㤵慢㙡㜷攸㠵挳㜱搰㝢ㅣ㡥㠵㔶㌸㝣㔴攷㤰㉢㔶攱昰ㄱ㕦づ昷㠰㤳㜰戸て㐲㠱挳〶〶㠱㠳㌱〱㘵㥢挳㜸㌴㥥て攷㌲戸㐲㡤㐵㘳戹㘴㈱ㄵ挲㥡㍦㔳㠸昲ㄳ㡤愶昳挶㐴て㡡㔵㈹㠶㙣㉥㘴挵㜱㉣㘳改捦晢㕤㌸昲昳戹ㄴ敥捥挴㐳昹攰㥥㑥㜸戳ㄱ㍥收㈴㠸㘰挸㔵昵㉣㑥挳慥捡㐳愹ㄸ㔴挲攱扤㍡㠷搳ㄹ㘵〶〴ㅥ㕦〱攰㌷づㄳ慥㝥㌶戱晣㘲㔵昹搹㙢㤵㠲㕥㌸㥣〷扤挷攱㌸㘸㠵挳㕢㜵づ扤昹昰㘶㕦づ昷㠲㤳㜰戸〸愱挰攱摥っ㐲づㄷ愳散㜰㤸㠸愶㉣㕣㥡收挳㤱㉣搶愲㤱㤴ㄵ挵㜸挳晤愸ㄸ㌸㑡㕢㈱㘳㠹〷つ㠷㜰摢㈵ㄳ㡡㘴ㄲ戸㉤㄰㑡㘲㌱ㄴ捥攴㤲㐸慤挸愴㜱ぢ㌱ㄵづ㌲摤㑣㡥攵晤攰㘳敥てㄱ摣挷㔵昵ㅣ换ㄳ㕣㤵㠷㔲㤳愰ㄲづ慦搶㌹㍣㤴㔱㥡㈱〲挱挹〰昸㜱搸攴敡㜳挴昲换㔸㑤㝥戵慢㥡ち㝤ちづ〱㜵㌱㈲昲㌱ㄵ扤〳收㌲㐶挳攳㈶收㥤〹挷晡攳㈶㌵ㅤ摡㜱〰㥡㉤㠰愹㤹㉥收㌰㤴戸㕢晣愸㔹慥㜶〵㌱搰㌰戰㥡〳慤昴捥昹㝡敦昰㜱㤰㡣昰㜳晤㝡㐷捤㜵㐳㜵㈰ㄴ摥昲〹捥㠳㔶晡㙣㈵㔴收攱ㄴ㥤ㄴ㕤ㄴ摤㄰㜸ㅥ㌴㕦〲〳户挰摤㘰扥ㄷ㕦挱㐵捥㐶晤㘲㙣晣摦㍣て㕡㠲挸摣敢搲攷㐱晢戹晡戵㙣敡挳㐴㍣〴愱づ㠰㕥挸㍥〲㝡㙥挸攷㈰㘸㠵戲ㄳ㌴捡㡣愳〰愹㝣戵㜵㥣ㅦ㡦挱㠳ㄱ㐹ㄸ㍢㠶散搴〷㤹晤㈵愳㝣㍤捡敥㈸捦愶愲㈱㉣㌷㜱捥㡦愵搲ㄶ㘶摢㄰晥挳㔲ㅥ换愸㝣慡㘰ㅣ敢㐱ㄳ㔹慣敤㜱㍦㈷挴〷ㄶ㐸っ捡收挳㔸㙤㐵㐲㤸㌰挲㜸㤲㤱〸ㅥ敡㠴㌷㡦㠳㡦㜹㍣㐴戰搹㔵㥤㐰搵㠹㔴㉤㜵㔵ㅥ㑡攵愰㤲㔱扥ㄶ扢攱摤昵㍥㤵㉥愷㐱〴㠲㜹〰㠴㔸㕥㌳㤹扣㐲㌲㜹㔱ㄴ戴㕣晤㤹挴昲敢㘲捤挷㈰㠲〵攸㘵挷捦㠱扥㕦㝤敤㘱㈸敦㔵昹㕢㠰戴ㄴ㥤㌱昸挲㡣愲㕦〳㥦㠲㕦昷㘶〲㜹㔵㉦㝣慢㥥晤㕤㜴㌵搵攳扥㕦㉣㍥㠲收搷愴昰㔳摢㡥㝤晤㕦挴攱㔰改㜹㙥捣㠸㍢攳㘳㥥㠷ㅤ慥㙤挳敥晡㝥㈱㠷㥤戴戴㄰㕦㈷㘸㌵㑣㥥㤴㙣㤸戲㌶㘷戵昲换㑦㤰戱〴挷慡挱㙤㌳扡戰㠹ㅦ戰㕢搴搱㈸㕦挹挱慣扡〱㙥㔲搳ㄸ昷㐷慡㐷昶㘸摣敦扢㜱摤收㜶㝡㝥昸搱㘷㈴戱挱㌰㠶㍦㘹㍤戸愷愴㝤㤷摦づ㍤㕡㝣挵ㄱ扥㝣挵捡扢ㄱ扢昰户㘰㌵搵扤㔴改ㄷ㐳㐸挶㐲㔳㐷ㅢ㝥搲戳㘱ㅥ扥扣㡦搱昰〳散㌳昲㈴㘰〷㥦㙦㌲㥣搴搲㉤摦〴扡㈳散捡㕣〱㜲㡣ぢ戰户挶昸ㄱ㌳㐶㠴㐳戵㠷愱㈳㌶扢㡥㘲摡㔹㈳挷〶扥慤ㅣ〱㔵㍢㐲㤳㝢㘵戶戲㤲㡢散㑡昶㐷㈵慡㠰㑡㔸ㄱ㐷㜱挰扣㠴攸づ㘰㕣㤵㕡改ㄴㄸ慤扥ㅢ〵慥〱㠰搲㕦㥦㑣㜰㑡ㄳ敤晦敢㥣晦㠳ㄳ敢㔷戹ㅥ㠷愸㘱攷㌶搶㙥㌸愶昴㕢愲敤㙦搳㜹㙢㐲㜰〰㕦攷㑣㔰敢攰㌱ㄲ㜱㑡㝦攸㌷㠳㐶扥㡥㥦愷㉢晢攱攳愵㡥愱昴㠷㡦㠳㐷㈲㤲ㅣ㙣㔷愲扤晤敡搵㝡㤴㜹挰愹㐳攱挱㔱㉥〳昳㙡敥昲昱㔰摢〴ㅤ㡢㉤攳ㅡ攸搰ぢ戳㐷㐴攲敡㐰〰挹㠶㑤攷㜵㐴㥦攰愱㡦㈳晡〶ㅢ㝤㈰搱㑢ㅣ戴㑤攷㑤㐴㜳㍤攷搱㜹㤲㔳㄰㍡㑦㐳㘱换攸晣戱敢㔱㠹㑥改㠰昵〷㑤扣改㐶扥戶㥦愸捥㠲㠷ㅦ㥤昳搱㔰㕦㍡攷㌹㠶搲摦㑤づ㥥㡢㐸㐲攷敤搸㉢搰昹ㄳ㤴㠵捥㌹昰昰攸扣㤳扢㝣ㄱ㑣㌶㥤ㄷ㘲换昸㤵㑤搰晥㈳愲㘹㌵戳㠸愰扢㠹扥搸㐳晦㤴攸㝢㙤昴っ愲愷㍡㘸㥢晣晢㠸扥〴ㄸ㡦捥㑢㥤㠲搰㜹〵ち㕢㐶攷㤵慥挷㐶改慣㥡攱搰ㄹ㤸愸慥㠱㠷ㅦ㥤㡤づ㙢㘵愳㜳愲㘳㈸晤搹攵攰昵㠸㈴㜴㍥㡣扤〲㥤扦㐰㔹攸摣〷ㅥㅥ㥤㡦㜰㤷㙦㠵挹愶昳㘶㙣ㄹ㡦扡〴㠵攳㙡㕣ㄱ㐱㡦ㄱ㝤㥢㠷扥㠵攸㈷㙣㌴づ昶戸㑡㌸㘸㝢㜴㍥㐵昴敤挰㜸㜴摥攱ㄴ㠴捥扢㔰搸㌲㍡敦㜶㍤㌶㑥㘷捣愱昳换〹敡㍥㜸昸搱ㄹ㜶㔸㉢愳㌳攴ㄸ㑡㝦戵㔹㍤㠸㐸㥣〳捤ㄷ戸㔷搸攰㈷攸㉥ㄶ搵挳慥昹㐵㤸昹ㄲ昳㙦愱㤵㍥㜸〹㕡昳㘵㠸㝥晤㠳㡦戸捡晦㘲戹㕥㌱换㐷㍡㘶㜷搴捤㡥㘱㉥㔴ㅤ扥㘸敡㜱搷㌰摡㌱昴愷挱㠹晦挵㜷㡡㐹㐱攲㌸捡戱昳㝢摤㌴晢㤳慥㝤㌷挷扥㐳戱晤㈹搷扥慢㘳㤷昹敡つ㔴愰㥥㠳愹㠷户昱搸ㄹ昳㉤㌸慢㘱㐰晡ㅥ搵㐳ㅤ㐳改㡦㙢〶㕦㐴㈴愱攰㉤㝢㙦㕦㜱㉢ㅤ愲㔷晡㈷㔶晡ㅡ㑣昶㌰㘴摡㡥昱㘷攸㌰㐹㑥ㄹㄱつ愹敤〱收㈸戲㡦搳㜷㠹㝥摤㐳㌳㜳挷㜸摦㐶㉦㈱㝡㙢〷㙤て挳て㠹㝥〳ㄸ㙦ㄸ扥改ㄴ㘴ㄸ㙥㐰㘱换㠶攱㕢慥㐷愵㘱ㄸ昸敦慢㔷㡥て㍣㌶㐱㑥㌹㍣攷晣ㄹㅥ㍤㜴㙥〰㤳㌶㥤〳搰㔰㕦㍡㠳㡥愱昴户㌹㠳敦㈱㤲搰昹㈹昶ち㠳攷㈳㤴㘵っ昴㠷㠷㜷㔴晦㠳扢晣〹㑣㌶㥤㝦挵㤶昱㤹㑤㔰攳扥㈳搲㉡㔰㐴搰攷㐴㝦敡愱晦㐶昴扦ㅤ昴㉣愰つ〷つ㍤㑥攱㕦ㄱ晤㜷て晤㌱搱摦㌸攸㤹㐰㔷㍢㘸扢慢扥㈳㥡愹㌸㈴㥦〱搴㍦㥤〲㍢㐷㝤收ㄴ愴㈷扥㐴〱昰捤㍦晢〳㡢搷㔶ㄳ敢扦㜲㍤㉢昵㠸〰㌷㥣㌸㔱晥慦㍡搵晥㝦攲㔹ㄳㄵ摢攴搷㌳摦㝣㔱愱㘷扥㜶っ愵扦ㄲㅡ慣挶㈰㤲㥥愹㐵づ㈹㝡挶㐰㔹㝡收㑢㜸㜸㍤搳ㅢ㐶㘵挲㘴昷っ戳㜰っㄳ扡㕡慥挹攲敡㕦挰昶㡣昳㍥〴〷㍣㜰ㅤ挱晤㙣昰晥〰晦摤〱摢挳扣㥥攰㍥㠰㜸挳扣慦㔳㄰㜲㠳㈸攰扤昹攴搶て㜰㍤㌶㑡㙡搵㍥づ愹㥦㑣㔰㠳攱㌱ㄲ㜵㤴㉥慤晥敡㜰㔶㌶摢㝥攴ㄸ㑡㝦㘳㌴戸㉤㈲〹㤹㠳戱㔷㈰㜳㐷㤴㠵捣て攰攱㤱戹つ㜷㜹㘷㤸㙣㌲㜷挲㤶戱ㅤ㜴昶搲㉡慤晥攲㄰㘴て挵ㅤ㠸ㅥ敡愱㠷㄰扤㤳㡤挶搲㉡慤摥㜶搰㌶㥤㍢ㄳ㍤っㄸ㡦捥攱㑥㐱攸摣ㄵ〵扣户㠰㑥㘶摢㠸挷㐶改㕣摦搸戳ㄶㄸ〳昸㐸ㅦ㍡晦攰戰㔶㐶攷㥢㡥愱昴㈷㑡㠳つ㠸㈴㜴㡥挴㕥㠱捥〸捡㐲攷敢昰昰攸摣㡤扢ㅣ㠷挹愶㌳㡡㉤㘳戴㑤搰散ㄱ昱㤰㝡挵㈱挸愶㜳っ搱㑣㠷戱搱㌱愲昷戰搱〷ㄲ晤愲㠳戶改摣㤳㘸㍥㐵昰攸㑣㌹〵愱㜳㙦ㄴ昰摥〲㍡挷扢ㅥ㤵攸扣㘵摡㕢㍦摡敡㤶㡦㈷㉣摥攱扤㕦ㅥ㍢攷愰〹慡ㄱㅥ㈳㝤攸㝣挶㘱慤㡣捥愷ㅤ㐳改㉦㥣〶㥢㄰㐹攸㡣㘳慦㐰攷㜴㤴㠵捥㈷攱攱搱㤹攴㉥敦ぢ㤳㑤搰っ㙣ㄹ㘹㥢㈰㥣搳攲敡昷づ㐱㌶㥤㝢ㄱ㍤换㐳捦㈴㝡扣㡤挶㌹㉤慥㝥敢愰㙤㍡㈷㄰捤ㅢ㘸ㅥ㥤㜳㥣㠲搰戹〰〵扣户㠰捥㠵慥㐷㈵㍡ㄱつ慦つ捥㜵搴㤵ㄳㄴ㌳㙦㐶㐲㔵㝡戰晦挶㘱慤㡣捥晢ㅤ㐳改て愴〶㤹慢㈳㜴㑥挱㕥㠱捥㐳㔱ㄶ㍡㝦つて㡦捥㘹摣攵っ㑣㌶㥤捤搸㌲㘶搸〴捤ㄸㄱぢ愹扢ㅣ㠲㙣㍡昷㈵㍡敢愱㤷ㄲ㍤摢㐶敦㑦昴ㅤづ摡愶㜳㉥搱㑣愸昱攸捣㍢〵愱㜳㌹ち㜸㙦〱㥤㉤慥㐷㈵㍡㜱㌷ㅡ慦㍦昵㕣㤶戶挱㘳愴て㥤㌷㍢慣㤵搱昹ぢ挷㔰晡晢慡挱㤵㠸㈴㜴㉥挶㕥㠱捥㙥㤴㠵捥ㅢ攱攱搱戹ㅦ㜷㤹昹㉣㌶㥤慢戰㘵ㅣ㘰ㄳ㌴㝦㐴㌸慤慥㜵〸戲改㍣㠸㘸收戵搸㘸收捥ㄸ㠷㐰搷㝢晣㠸挶㐹㠴㕦攵挰㙤㍥㥢〹㘷㘶㡣挷㈷㌳㘴㔸㄰㍥㡦㐶〱敦㉤攰昳ㄸ搷愳ㄲ㥦㠸㠶搷戴㠹昲ㅦ㠶愹㘲攲捣㐸㤴㑡㠷攷捦ㅣ摡捡昸扣搴㌱㤴晥㍥㙢昰㈴㐴ㄲ㍥㉤散ㄵ昸㘴㙡㡣昰㜹㌱㍣㍣㍥㤷㜱㤷捦㠰挹㘶㠸昹㌲㐶ぢ㜴㜲戳㈵ㄲ㔳㍦㜱〸戲昹㕣㐱㌴搳㔹㙣昴改㐴户搹攸晤㐷〰㝤慥㠳戶改散㈰㥡㡦ㅣ㍣㍡捦㜶ち㐲攷昹㈸攰扤〵㜴㕥攰㝡㙣㤴捥つ敤ㄳ㡦㔸挳搷搰㠹㡡改㌲㈳㝤攸㍣挳㘱慤㡣捥搳ㅤ㐳改捦扢〶㉦㐵㈴愱㜳ㄵ昶ち㜴㕥㠱戲搰㜹ㅡ㍣㍣㍡搷㜰㤷㤹㔷㘲ㄳ㜴㈵戶㡣㜵搰㜱挰捤攴㠰㍢挹㘱挸收昳〸挲㤹扢㘲挳慦㈲晣㈸〷扥㉦攱挷㌹㜰㥢搰㘳〸扦搶㠳㌳㕢挶㌸搶㠱捦㈲晣㘸〷㡥搵㈱㤶扣挷ㄳ捥㌴ㄸ昲㑦㤵扡摥㈹㌰㥣扡挱㈹㐸㘷㌰攱攵晢㉤㘲㤹㈵㈳㥥ㅢ敦㤴ㄳ㈷愲㑥扣戴㐵散㥤昰ㅣ〹㔵改㔸㕦㠷扤昰扤扣㔸敢ㄸ㑡㝦㜵㌶挸攴ㄹ改㥣㔳戱换攸ㅣ㘶挰㐸攷慣㠶㠷搷㌹㍦㈶ㅦ㑣㐱戱搹㘶㕡㡣㜱〶㜴㜲戵ㄶ〹愹㑥㠷㍤扢㙦捥㈲晡〱て㝤㍦搱攷搸攸㈵㈳㠰㙥㜷搰㜶搷㥣〷㑢㍤㜳㔸昰摥㠲ㄱ捤㠴ㄷ昱愸㐴㥥㝤ㅦ昰戵〹㤷㌸㕦戳慤㥥〰㝣愴て㘹㉤づ㌷㘵㈳㝡戹㘳㈸晤㘹摡攰搳㠸㈴愴㕤㠴戶㠳戴攷㔱ㄶ搲ち昰昰㐸扢㠴㌴㌰攷挴㈶㡤㜹㌰挶捦㙣ㅡ戰ㅣ㐸慢慣㐳㠳㑤摡攵㐴㌳㑤挵㐶㌳ㄵ挶戸搲㐶㘳㌹㤰㔶㠷㍡㘸㥢戴慢㘱愹㘷搲ち摥㕢㐰ㅡ㌳㕣挴愳ㄲ㘹㐷㙣挵㔵㔴昷㠴戹敥ㅡ敡㡦㠰㡦昴㈱敤〰㠷㥢㌲搲昶㜷っ愵扦㕦ㅢ㝣ㅢ㤱㠴戴ㅢ搰㜶㤰昶ㄷ㤴㠵戴㈵昰昰㐸扢㠹㌴扣て㤳㑤〳ㄳ㕦㡣㥢㙤ㅡづㅣㄱ㡢愹〵㐵㌴摣㑡㌴ㄳ㔷㙣昴㝢㐴摦㙥愳㘷ㄳ㍤挷㐱摢ㄴ摦〹㑢晤㈷挰攰扤〵愴㌱愵㐵㍣㉡㤱㠶㘸㔵㔵て㘵㝢搶昱㥦〱㍥ㄲ扡搲挳㜳㠶挳㑤ㄹ㘹搳ㅤ㐳改㡦摣〶㤹て㈳愴摤㡢戶㠳戴慦㔱ㄶ搲愶挲挳㈳敤㍥搲昰ㅤ㑣㌶つ捣㜴㌱㝥㘳搳㌰㠵ㄷ㍡㤳㡡㘸㜸㤰㘸敥扦㡤晥㤶攸㠷㙤㌴づ捦戴摡挷㐱摢㈳敤ㄱ㔸敡㤹㤶〲搸ㄶ㤰搶摢昵搸㈸㘹㔵愳ㅣ搲慡㈷慡㍥昰ㄸ改㐳㕡摡攱愶㡣戴㤴㘳㈸晤㈵摣㈰ㄳ㘰㠴戴㈷搰㜶㤰挶㉣ㄶ㈱㉤〱て㡦戴愷㐸挳㘰㤸㙣ㅡ〶㘱换㜸挶愵㈱㤶㔶㤱㈲ㅡ㥥㈳㥡愹㈹㌶㥡搹㉤挶ぢ㌶㝡捡〸愰ㅢㅣ戴㍤搲㕥㠲愵㥥㜹㈸㕢㐶ㅡ㤳㔶挴㘳攳愴㘹户㍢㠷挱挳㡦戴搱づ㌷㘵愴㡤㜲っ愵㍦㤷ㅢ㘴挶㡢㤰昶ㅡ摡づ搲㤸戶㈲愴敤ちて㡦戴㌷㐸挳ㄸ㤸㙣ㅡ㐶㘳换昸㠳㑤〳づ捦戸ㅡ敥搰㘰㡦㥤㍦ㄲ捤㕣ㄴㅢ捤㜴ㄶ攳㉤ㅢ㡤挳㌳慥㠶㌸㘸㥢戴㍦挱㔲捦挴㤳㉤㈳㉤敡㝡㔴㈲捤㕥㜹㝦搸戳昲㑥挲挳㡦戴敤ㅣ㙥捡㐸摢搶㌱㤴晥愶㙥㤰㈹㉥㐲摡晢㘸㍢㐸㘳㥥㡡㤰戶㌵㍣㍣搲㍥㈴つ㡤㌰搹㌴㌰㜹挵昸慢㑤〳搶㝥㜱㌵搰愱挱㈶敤㘳愲㤹㝣㘲愳㈷ㄲ晤愹㡤㥥㐱㜴㝦〷㙤㤳昶て㔸敡㤹㘹戲㘵愴捤㜰㍤㉡㤱㠶〳ㄱ㜳摡戲㠹〷㉤收㙢扢㠹㡡ㄹ㉡㝥愴㤹づ㌷㘵愴搵㌹㠶搲ㅦ摥つ㌲愷㐵㐸晢㌷摡づ搲㤸㤸㈲愴ㄹ昰昰㐸晢㡡㌴散〷㤳㑤挳㘲㙣ㄹ摦搸㌴㉣攱搴㕥敤搰㘰㤳昶ㅤ搱捣㌶戱搱㑣㔸㌱ㄴ晥㑡㔷ㄶ㈸㐰㝦晢戹㝥㥢慤ㄷ㉣昵㑣㉤搹㌲搲㤸㠷㈲ㅥㅢ㈵慤㙡㔱捦搳㠸ㅣ㍣晣㐸晢㌷㥡攳扢㑥晢挲㌱㤴晤㍡敦㌲㐴攲ㄳ〶搳㐴摢戹㈱㥦ㄶ㔷ㅢ㠰㤶㉦㙡㠳㑣㔶ㄱ㠲晢㐰㙢昶㠵挰㐳㠸ㄵ慥戲ㅦ换昵㐱㈶㥣〸愸㍦㐱昵ㄴ㐱㡡〱ㄴ〳㈹〶㐱昴ぢ㈸收愰㐸昷㝣㠴戶戱㝢摣愷ㄵ㠷扢㠶てㅤ㐳挹搳ち愶慣㠸攳〷㡥扤攴㘹㐵㤷㙢㝦摦戱㤷㍣慤㘰愲㡢昸扦攷搸攵㘹挵㜶㘸㤵㘲㜶㐹て慦㍤㑦㉢晥〴愴㉦慦㙦㍢㠶搲㕦昰つㅥ㠱㐸㐲挳捥摣摢㝡挵晣ㄱ愹㜴㠳㕥改㌰㔶捡㉣づ㝢㜸慤挷㤶戱ぢ㜴ㄸ㕥㑢㐶㠴㘳敡㑤㠰摤㑢戵㠰㌹㤲攸攳㍤昴戱㐴敦㘶愳愷㄰晤慡㠳戶㡦攰搱㐴㌳㘹挴つ愰㤸㍣挲〲敤昵愷愲戰㘵挳㤴㠹㈴㥢㌱㑣攷昴慣㔷㤸㔳搲㐳攷〶㔴㙢㍦慤㜸挹㘱慤散搸㝥搱㌱㤴晤〰昰㌹㠸戴愹ㅦ〰收户〳㔹㕤捣㐴改攲㠸愸㉤㌰昳愲㑦挱㔶㌳㜱㐴㝥晢愹㔵扥っ愸㉦㝥慦戳㜳㠵搵㌹ぢ㍦㑢㡢㕦改㕣搸搲收㝣ㅢつ㝥慥㤶扦㡢攱晥㈲愴㈹㈵㍡ㅢ㠵戹㥤昸㠹挸摥㠵ㄹ㕤昸㠵愳㝣㕤摢扣㑣㜷户搵搹晥㐳昸〲〷攴㌹搷戰㔳㤱㘲搳ぢ㍦ㅢ㔱敤晢捤㐸晣捡㈳摦㈴つ㘱慣愱㠷て昷㔷㙥慡昹㌳㥦摦敦敢ㅢ㡣㍤㌱昸摣㉦昱捡㙢㍦㕣㕢愳㥥㐷ㄷ摢㤹挱敢慢扥㤳㌶㈳晦挳っ㜳ㄸ㐷㈰㝡㌵㜶戵挹㙣〳ㄱ㌰愳搰挸㔷慣搹摦敦㔶㝢ㅥ㠶㐱改捥昱扢慡愶㜲敦㙢搷戴攴扢㤷ㅢ换慤㤶㘵换昱㌷㑥㝤晡㜰㡦摤㔷捤㠵㜰摤㔸㙡ぢ攷晢摥㙤捤㤹捥捥捣扡扡戶收㔶慢㝤㔹昷昲扡收搵挸攴挱て敥攲㌴㔰㔷㔷㘷挶搱ㅥ㔶挵㡦扡〴ㄱㄹ搵㑣攸摡㉢愱攱㘸㌵㤲搰晡㔳昰戸㉦〵㘹攰㡤㜱㄰挵ㄴ散〵㡤㐶㠱扡ㅡ戱㐹㠳晢㔲搷愱㈰捤ㄸて愴搷戸㥢㕣敤㍥扡昶㜶㘸愵㜱ㄳ愰昵㙦摣㐳扥㡤㙢〴摥㤸〴㔱摣戸挹搰攸㡤扢ㄳ昱㡢ㅡ㜷户摢㡣㈹㐰㝡㡤扢捦搵㑥搵戵て扢㡤㥢〶慤㝦攳敥昱㙤摣っ攰㡤㤹㄰挵㡤摢ㄷㅡ扤㜱㡦㤴㌶敥㌱户ㄹ戳㠱昴ㅡ昷㤴慢㥤愳㘹㠳㉦㐰换ㅢ㌶收㕣㘸晢昵ち昲改㍣攷昷㝥㐱昵ㄲ㌶㘵㙡扦つ慤攳㠹㙣㙢攸敢昰㉤㠴㝣㑣㉦㠶㕢ㅤ挳㌶㌴搴㈱㌵攸㍢挵㐷昶搲ㄳぢ㄰慦攷㐷散㔷㌳摦慢慢㕡摤散敥攸㠷㤱敤㝡㡥㤲㐵挰ㅡ㡢㈱㝡攱挷扡ㄴ㕢㉣㐷挹ㄲ㘸昴ㅤ㝤〳戱搹ぢ㌷㑣㜸㝦攲搱ㄳ㑦㙢㔴㙦戹㤵敤て愴㍦戳搷戹ㄵ㔶改㠷攵㠱慣昰㈰㔶㔸㜴㔸ㅥ㕣㔲攱㥦㥣ち搹㈰扥搴扢㔰挸㤸㍣ㄴ㐸㡦搹て㕤㙤戳慥晤搴㙤摣㔲㘸昵敦㈸㉦㥥㌷㉥昷㙤㘰ㄶ㍥㐶づ愲戸㠱㜹㘸㜴㐶晥㔱摡挰捦摤愶ㄴ㠰昴ㅡ昸㤵慢㕤愶㙢昹攴㔹㜶㘶戹慥攵挳㔹改挰ㄶ㘸晤㌹晤㠹㙦㤳㔷〰㙦戴㐲ㄴ㌷戹つㅡ扤挹㝣扥㕢㜴㈸昵㠱㐲㥡搱〱愴搷攴㝡㔷扢㔲搷昲㘱愷㌴敥㜰㘸晤ㅢ㜷愶㙦攳扡㠰㌷扡㈱㡡ㅢ户ちㅡ扤㜱㝣㕥㕡搴戸ㅤ摣㘶慣〱搲㙢摣捥慥㜶慤慥攵愳㐳㘹摣㍡㘸晤ㅢ㜷㤲㙦攳㡥〰摥㌸ㄲ愲戸㜱㐷㐱愳㌷㡥㑦ㅦ㡢ㅡ㌷挶㙤挶㌱㐰㝡㡤摢搳搵慥搷戵㝣㄰㈷㡤㍢ㄶ㕡晦挶ㅤ敤摢戸攳㠱㌷㑥㠰㈸㙥摣㠹搰攸㡤攳戳扣愲挶敤攵㌶攳㘴㈰扤挶㑤㜰戵愷攸㕡㍥搶㤲挶㥤ち慤㝦攳㔶晢㌶敥挷挰ㅢ愷㐳ㄴ㌷敥っ㘸昴挶昱挹㔸㔱攳昶㜵㥢㜱ㄶ㤰㕥攳收扡摡戳㜵㉤ㅦㄲ㐹攳捥㠱搶扦㜱敤扥㡤㍢て㜸攳㝣㠸攲挶㕤〰㡤摥㌸㍥㘷㉡㙡摣㐱㙥㌳㉥〴搲㙢㕣戳慢晤愹慥攵ㄳㄷ㘹摣㐵搰晡㌷慥攰摢戸㑢㠰㌷㉥㠵㈸㙥摣捦愰搱ㅢ挷㠷㌶㐵㡤㕢攱㌶攳㜲㈰扤挶㜵戸摡㉢㜴㉤㥦㕦㐸攳慥㠴戶昲っ㜸愸㙦〳慦㠶㡦昱㜳㠸攲〶㕥〳㡤摥㐰㍥〶㈹㙡攰ㄱ㙥㔳慥〳搲㙢攰㌱慥昶㝡㕤换挷ㄶ㌲昵摣愰㙢㜹㘷㥦捤㌶㜹㔶愹㔱㡢㝤㥢昷ぢ搸㑣㥥㐱㝡ㄶ㜵户㔰挵敦捤ㄵ㔱愵㝥㡣㌸㐵㑤㍢换慤敥㌶㈰扤愶昱㝥扥㌴攲㜶㕤换㍢攵挲摤ㅤ搰晡㜷散㙣摦㠶晤ㄲ㜸攳㔷㄰挵扣摤〵㡤摥戸㑢㑡ㅢ㜷戹摢㡣㝢㠰昴ㅡ挷晢收搲戸㝢㜵㉤敦㐸ぢ㐳㥣改㙡搴ㄴ摦㠶摣捦ㅡ㌹慢昵㌰昴〰㔵ㅡ㐳㌷㤵㌶攲㔶户扡㠷㠰昴ㅡ挱晢搰搲㠸㠷㜵㉤敦昰㑡㈳㌸愳搵愸昱扥㡤昸ㅤ㙢攴散搵搳㠸摦㔳愵㌵攲扥搲㐶㍣攸㔶昷㌸㤰㕥㈳㜸㕦㔷ㅡ昱㠴慥攵ㅤ㔳慤ㄱ㜱摦㐶㍣捤ㅡ㡢ㅢ昱㙣㐹㈳㥥㉡㙤挴㜳㙥㜵捦敢搵昱㍥愹㌴攲〵㕤换㍢㤰搲〸㉥捤㙢搴ㅥ扥㡤㜸㤹㌵㜲ㄹ摥挳挴㉢㔴㘹㑣扣㔱摡㠸㍦扡搵扤ち愴挷〴敦㍢㑡㈳㕥搳戵扣愳㈷㡤攰㑣㔴愳㐶晡㌶攲㑤搶挸㔹愷愷ㄱ晦㐳㤵搶㠸て㑢ㅢ昱戱㕢摤〶㈰扤㐶昰㍥㥥㌴攲㉤㕤换㍢㘴㕡㜷散攴摢㠸㜷㔸㘳㜱㜷晣愵愴ㄱ㕦㤵㌶攲㍢户扡昷昴敡㝡愱㈰㡤㜸㕦搳〶㑤ㄴ㘴㐹晤〱㌶戰愴收扤㈶㘷㐹捤ㅢ㑣戲㜲ㅥ㡣㤶改㑢敡扥慥㘱㉢挷愰㉤愹㜹〳㑡㜶㡡㑢敡㙡㌵搰摤愹愲㈵昴挷戰㤹㕣㐲昷㉣㥦㍦愵㑡㘳㤶㌷慥愴昲㝥㑥ㅤ㜲㉢㔰搵扢敡扥㡥㝡〰扡㈷愰㠲慥扡㡦愳收敡㍦愰〶戸敡㠰愳㘶㐳〳㙡愰慢㌶ㅤ昵㈸㔱昳㤶㤸㔴㔹攷愸㐷㡢㝡㍢愸㌹㌳㝡ぢ昹㥤愱攰㉥ㅡ晦挶㠶晦㙣㘷㈰㐲昹昵昵㔷挰ㅢ㕦㐳ㄴ捦㜶摦㐰愳敦晡㌰㤴㡢愶㘲摥㜲㤲㥥晢づㅢ摥愰ㅡ敤㙡昱㤷挹㥥戶㌶っ敤㘶摦㘰攰つ挵敦昹㠵㡡ち㤵㉡摥ㄹ㘰っ戳㕡㙢㐲㝤摣搱搶戱换敡㜹㕤㑥㡣㤴㔴ㅡ㈵㌶搱散㐵晦扤ㅣ㥢㔹愳晢昳ㄲ摡昳愸攷愵戳㔷㔲㡤㈸㠹㝦㉤晤㈷扢晥㠶敥捦慢㕣捦愳㥥㔷户㕥㐹捤㜰晤㝢搳㥦ㄷ愷戴㤹㜵扡㍦㉦㐴㍤㡦㝡㕥㠰㝡㈵㌵ㄷ㈵ㄹ㈳㥦晦换㍥㈶㈶搰㍤挰㘰㡢㘰㤲愶昵㘱㠹㤷㠳ㄲ扡㉦㑡搸㤶㡦攲愵㥣㘰晡ㄱ㜳戰㡢改㡦㤲摢慦昵扣㕡昳㉡慣㙦搶㑢㡡㔷㕡攲㕦㑦晦扣敢ㅦ搴晤㜹㌱搵攳捦㡢愸㥥搲㜲扤愴㜸ㄱ㈴搱〶㌰ㅡ慦㝤愴挵〳昵㘸ㅤ扡㐷晤㑡扤愴㜸㥤㈲晥㠳攸扦捡昵摦㑡昷攷愵㐸㑦晤㙢昵㤲㍡挲昵ㅦ㑣㝦㕥㐱㐸晤㕢敢晥挷攸ㅥ昵敢昵㤲攲㙡㕦敡摦㠶晥㕣攴㡢晦戶扡㍦ㄷ昴㍤昵㥦愲㤷ㄴㄷ攴攲扦ㅤ晤戹づㄷ晦敤㜵晦戳㜴㡦晡戳昵㤲攲㥡㔹晣㜷愰晦〵慥晦㡥扡㍦㤷挵㍤昵晦㔴㉦愹㑢㕣晦㥤攸捦搵慣搴㍦㐴昷扦㕣昷愸扦㐲㉦㈹慥㍡愵晥㥤改捦挵愶昸て搵晤戹戰散愹晦晡愲搲つ㝡㐹㜱㤱㈸搱㠶㌱ㅡ搷㠷ㄲ㙤戸ㅥ敤㌶摤愳晥㜶扤愴戸㤶ㄳ晦㕤攸捦㈵㥣昸㡦搰晤戹㕣敢㘹捤扤㝡㐹摤敦晡㡦愴㍦㔷㕦攲扦慢敥晦㤰敥㔱晦戰㕥㔲扦㜳晤㜷愳㍦ㄷ㑥攲㍦㑡昷㝦㕣昷愸㝦㐲㉦㈹㉥㝣愴晤愳改捦㌵㡦昸敦慥晢㍦慦㝢搴扦愰㤷ㄴ搷㉣攲㍦㠶晥㕣慥㠸晦㔸摤㥦㑢ㄳ㙡敤愹昱㌵扤愴摥㜴晤昷愰㍦㔷ㅡ攲摦愰晢㙦搰㍤敡戹㥡昰愲㈹慥ㄴ愴晥㍤改捦㐵㠲昸㠷㜴晦昷㜴㡦晡昷昵㤲攲〲㐰愶戶攷昴愹㉤挲㘰ㅦ挳㈴愱愳㉣㝤敡戸㤹㌱㤴戰㉤ㅦ挵㤳㥢㘰攲挴昰㥣㈶搵㈷㔰昲愶㌶㥥扦扣〶搷昳扣攵㤵㤴㥣㔰㌸㤹㈶愱㜶㕦㐱㥥㔸攴〹㑥ちㅢ㘶ㅡ愲㕦㝦㈵攷づ㐲挷改㔰㥥㐳〴扡ㄷ愱㝢摢㔰㌹㑤㄰㍡㕥㠷昲㜴㈱搰㝤〸㥤㘰㐳攵㡣㐰攸㐴ㅤ捡㌳㠳㐰ㅢ〹㥤㈴搰㝡捥昷晢〱㕡扤㔶攵㤶收㤷㉥晤愲扥㘶攸昶㌵晢㑦散㝢搱㠶㈷摦㍥昷攵㠳挷扦晢昵愵㤷扥晣捥戹㑦㝦㝤㝦㜶晣㘳㔷㕤昵扢㤹㤷㍦晤昶挰挲ㄵ搵㜷㝤㌱敢㡡㈳挳㉢㡥㍣扣戰㜸昷㘹㐷ㅥ㜰搸晣昰扣〱㘳㝡昵敡摤㝢户㐱㡦㙦㍢㉡戸晥昰㝢搴挳慦㙤搳慥攴ㄴ挲戶㑣㐶㑤㝣昱て㘳㠳㍣㤵㐸㕢㥡戰㘱㑥愱㤸㑡㌱㡤㘲㍡挵っ㡡㤹ㄴ晢㐲昴慢㔳㜲㥥㠱㙦昱㑥昱㝣㈳㠱㘶ㄳ㍡㠷搰晥㑡㑥㈹㠴捥㐵搹㝤〵㜹㙡ㄱ攸㍣㐲攷摢㔰㌹㕦㄰扡㐰㠷昲扣㈱搰㠵㠴㉥戲愱㜲㙡㈰戴愸慦㜸㡡㄰攸ㄲ㐲昷戳愱㜲ㄶ㈰戴愸慦㜸㌶㄰攸〱㠴ㅥ㘸㐳㘵挲㈷戴愸慦㌸昱ぢ昴㘰㐲て戱愱㌲户ㄳ㝡㈸捡敥㉢戸扤ぢ㙤㈶㜴愹つ㤵㘹㥣搰愲戶㜲㍡㤷愸㔹㐲㜳㌶㔴㘶㙣㐲㡢ㅡ挰㤹㕢愰ㄶ愱〵ㅢ㉡㤳㌳愱换㔰㜶㕦挱愱㉥㜴㌹愱㉤㌶㔴㘶㕥㐲㡢愲㜲〶㤶愸㉢〸㙤戵愱㌲挹㤶㐱㌹搹ち戴㥤搰づㅢ㉡昳㈹愱㐵扣㜲㕥ㄵ攸攱㠴㜶摡㔰㤹㍡换愲㜲ちㄵ㘸㌷愱慢㙣愸捣㤲㘵㔰捥㤶〲㕤㐳攸㕡ㅢ㉡ㄳ㈲愱㐵扣㜲㘲ㄴ攸㡦〸㍤挲㠶捡摣㔷ㄶ㤵㜳愰㐰㡦㈲昴㘸ㅢ㉡搳㕣ㄹ㤴搳㥤㐰搷ㄳ㝡慣㐰敢㌹㠹晤㥦ㅥ慦㌲㉦戲㉤挷愱㈶扥㜰㜹㔰ㄵ攴晣㈸㙤㌹ㅥㅢ收〹ㄴ㈷㔲㥣㐴㜱㌲挵㈹ㄴ愷㔲㥣〶㠱攳㔵㈶㑦昸ㄶてㄶ㑥愲ㄲ攸㜴㐲捦㈰戴㝦㤰昳㈴㤵㜸昸挱挹㔱愶敥㑥㘷敡ㄶ昰㔹搰㉡㑥㤹㘲㕡改㤸㈶挱〵捦㐵㠲㙥㕦㈸㑥㤷㠲攸搰㥤捦愵㌳㈷㔱㌱戵㤵㌸扢㈳㐹㜱〲ㄵ㐴慢敥㝣〱㥤㌹慤㡡改戰ㄲ㘷㜷㜰㉢㑥愹㠲㘸搱㥤㝦㑡㘷㑥戴㘲㕡㔶攲捣〹搱搹㙢捥㠲㠲㈹攸敥㤷搰㥤㜳愳㤸昲㡥挹扥㝡攴㙣㈹敡㥣愳戶慦ㅥ㌹㝦㡡㍡敢愸敤慢㐷捥愸愲捥㌸㙡晢敡㤱㜳慣愸㤷㍡敡㔱㘰㌴愰㌸敢㡡扡搹㔱㡦ㄶ㌵攷㘱㔱ㅦ敡愸ㅤ晥ㄵ愷㕥㌱ㅣ攲ㄸ愴捦㝥づ慤攲㠴㉣愶㠳㡡㝤㠲㥣㤹㥤㥤攷㜴㉣㤸〳㜵昷敢攸捥㐹㕡㑣晢㤷戸㉦攸㜱攷ㄴ㉤㤸晤㜴昷ㅢ改捥㠹㕢㑣㡢㡢摤ㄵ攷㙡㌱㉣搲㝤㙥愶て㘷㜰㌱㉤㈸昱攱愴㉤㠶昹扡捦㙤昴㌹搰㌵捤㉤昱攱散㉤㍥㜳㜴㥦㍢改㜳㠸㙢㥡㔵散ㄳ㜴㈷㜷挵昹㕣㥣昷搵㥤敦愲昳㔲搷㌴愳搸㔹㜱㘲ㄷ㥦改扡捦扤昴攱㜴㉦愶愹㈵㍥㥣攱挵㌰㐵昷戹㥦㍥㥣昷挵㌴戹搸㈷戸っ〶扥ㄴ攷㝣㐱㑣搲㥤ㅦ愴㌳捦〴㘲㥡㔸散慣㌸昹㡢㘱㠲敥㈳攳㠵愷〴㌱㡤㉦昱攱㔹㐰っ㝢㤷昹昰摣㈰愶扤㑡㝣㜸㍡㄰挳㌸摤㐷㝡㡣㈷〹㌱愵㑡㝣㜸㕥㄰㐳㔲昷㤱ㅥ攳搹㐲㑣昱ㄲㅦ㥥㈰挴㄰㉢昳攱㘹㐳㑣搱ㄲㅦ㥥㈹挴㄰搱㝤㘴慡攲昹㐳㑣愱ㄲㅦ㥥㌲挴戰愷敥㈳ㅤ挵ㄳ㠹㤸昶㈸昱攱戹㐳っ㘳㜵ㅦ搹ㅦ㥥㔱挴戴㝢戱㑦㤰㌳扦㜳㙣㜲扡ㄷ捣㘸摤晤㔵㘸ㄵ㑦〲㘲摡捤㌱搹ㄳㄳ㑦ぢ愲摥搵㔱摢ㄳㄳ㑦ㄴ愲ㅥ改愸敤㠹㠹愷づ㔱㡦㜰搴昶挴挴㤳㠹愸㜷㜱搴昶挴挴搳㡢愸㠷㍢敡搱ㄸ㠲〱挵ㄳ㡥愸㠷㌹㙡㜷㘲攲㌹㐶っ㐳ㅤ㠳㑣㑣㙦㐱慢㜸收ㄱ搳㤰ㄲㅦ㥥㙡戸昸て㈸㜶㠶扤挵㤳㠰扤挵ㄹ摤摥攲攴捣㉤昳㑦搸㔰ㅣ扣戶㥥昳㤶扤挵㈹挸摥攲挴㘲㙦㜱昰搹㕢散〲㝢㡢㐷戴扤挵攳搴摥㘲愷摡㕢㍣㤴散㉤戲㙥㙦㜱て散㉤愹ㅣ㈴㤸敦㐰挵ㄷㄳ慡㠲㉣搸ㅤ搸攷晦〳㠵搸慣ㄸ</t>
    <phoneticPr fontId="10" type="noConversion"/>
  </si>
  <si>
    <t>㜸〱捤㝤〷㜸ㅣ搵搵戶慥㉣㡤㌵敢愲㈵㤸㙡挰㤶㤱挱挶挶㙣㉦〶㘳搹㤶ㅢ㙥㘰㥢㘶㡡搸㌲㙢ぢ慢ㄸ㐹㙥昴㕥㐳攸〱㐲つ㠴敡㐰攸㈵昴㤲搰㍦㍡〹㄰㐲敦扤㜷昸摦昷㑣搱摤摤㔹㤷㝣昹㥦攷㕢敦ㅥ捦㍤攷㍤攷摥㜹敦㥤㍢敤㘸愶㑡㔵㔵㔵晤㡡て晦攷愷㠶ぢ㥢捤㕢搹摤㘳戵㡦㤹搴搹搶㘶攵㝡㕡㍢㍢扡挷㑣攸敡捡慣㥣搹摡摤搳〷〰愳愵ㄵ昶敥摡㤶敥搶〳慤扡㤶㘵㔶㔷㌷㐰戵㔵㔵㜵㜵㘶㌵散㥢㌸扦愰㕢㌰改㘵搶㔰〰㔵㘵ㅡㄴ㝤㈹敡㈸㑣㡡〰㐵㍦㡡晥ㄴ〳㈸〶㔲搴㔳〴㈹搶愳昸つ挵晡ㄴ㠳㈸㌶愰搸㤰㘲㈳㡡㡤㈹㔸扦戹㈹挵㘰㠸晥㥢㐱捣㥦㌴㜱㑥㜶㝦慣捤扣㥥捥㉥㙢昴搰摤散㌶㡦ぢ㠷挷㠴挷㐴愲改昰㤸搰攸愱㤳㤶戶昵㉣敤戲挶㜵㔸㑢㝢扡㌲㙤愳㠷敥扣㌴摢搶㥡㥢㘱慤㥣摦戹搸敡ㄸ㘷㘵㐳搱㙣㈶㤶ち挷攲昱㐲㍡㥤敡扦㌹㈲捦㥥㌴㜱攷㉥慢搰晤摦㡡戹〵㘳捥㤹㌴㜱捣㙣慢攷扦ㄵ㜳〸㘲㈲㘴㜳㘷㝢愶戵攳扦ㄴ戴㤶㝤ㅡ㙦戶㜲慤散㝣换敡㙡敤㔸㌸〶捤㉥㈲ㅡ愵攴㤸〹摤摤㑢摢㤷㜰ㅣ㑤戲摡摡收㕡〵改昴昶收敥㥥㥤㌳㕤敤摤晤摢挹㥦搵㘵㜵攴慣敥㠱敤㤳㔷攴慣㌶〷搸㕤搷扥㕢愶㙢㜶愶摤慡攱㐲㝤扢摤㠷搳昳㔶㐷㑦㙢捦捡〱敤扢㜶㕢㜳㌳ㅤぢ㉤㐲㙡摢愷㉥㙤捤慢㥡ㅡ㝣慢晡㙣敤搷㌲改㈸戴愷㝤搲愲㑣㔷㡦㤴搸㠵㘱㍦慣㌶㕣㘴㉤㡡摡挵㈱㌵戴挴㡢㝤㌶慦戵㝤㠶搵搵㘱戵戱ㄲ昶攴愸ㄲ㤰㄰㘴昷㠳挷㤴扢㍡散㈵搵捦搹昸戸㉥慣挵ㄸ捡㈸戳㍢扢摡㌱㈰㘷㔹㤹㡥㜱愱㌱愹搱昳㝡昲捤搶㌲㉣㠶挲㠹攲㑦搴㙣㠰㠳㌹㡣慥㕢㐲っ散㙥㙤㕦摡㤶㈱晢㘳ㄳ㠹戱㘶㈳慤挳㈱㔴捤㑢搸昰昵敡戸昱㔵户㘴慡㕢戲搵㉤戹敡㤶㝣㜵㡢㔵摤㔲愸㙥㔹㔸摤戲愸扡愵戵扡㘵晦敡㤶挵挰戸㥦扡扥㝤慢㥤㑦㥦㥢㥥昸晤慦㍢捦㤸㝣收敤慤搷㝤戹昹捦㝢㉡㙥敢㌲㔵㙣㡤㠵㤲收㈷攳㤵摢㥦㌲㐷挰挱ㅣ〹㘱㙣〳愱㌷㍦㡡收㡦愲㜵㌴㠴㔲捦愲昹㕣㠵散攴㤷晥戹昹ㄳ㠹㤹㝦戹㙡晦㌳㈶㝥搱㌸㑡㜱㡡㤱扡挷㘰㘱㠴㑥㕤㈲攴搶ㅣㅤㄳ㉤晥挴捤敤ㄸ㍡〴㘱㠴㈱昴㡡㔳昱戱㘶㠴搶㈸㠴㔲㡦㍢ㄵ晦攳昱敢㙥晢㘹摣敤㔳㉦㑤㥦㝡摤㠸捦㍢て㔳㥣搶愴攲㌸ㄶ㐶敢ㄵ㠷挶挴搳㙥搵扥㥤㤶㘰昸㈴㠴㤱㠲搰㉢㑦愴挷㥡㘹㕡挷㐲㈸昵㌷愷昲挲ㅢ㝦敥㝦晤ㄳㅦ㑣扢㍤㕤㜷昲㔶慢慥㍡㕡㜱㍡㤵捡㜷挰㐲搱㕡㠷㈳㙥搵㤱昲戵ㅥ挷搰㍢㐲ㄸ攳㈱昴㡡挳愰扢㠹搶〹㄰㑡摤敤㔴㥣㥣昰㘲收晢慤㥢㘶慣ㅡ㝣摢戴敤㑦晥敡户㡡㕢戳㔴㍣〹ぢ㈳昵戵づ㐷㔶挷㜷㌳㘳㑦㠶㌰愶㐰攸㌵挷挱昷㔴㕡愷㐱㈸㜵慢㔳昳㜵㜳敦㘹㌰摦搹㝦攲㉤㍢㕣搳ㅡ搸戸㝤慥攲㝥㐳㙡摥〹ぢ㐵㌵昷㔶ㅣㅡ㔳扣㝤㈴ㄲ㔱㜳〶㘳捦㠴㌰㘶㐱攸㌵㈷㘲㘳捤搹戴捥㠱㔰敡㍡愷收收㥥搱㘳〷㉥㝢㙡摡攵昷扥昰换㈳㙤㕦摦愶戸戳㤲㥡㜷挱挲㐶晡㍡愷扣㔵㡥㥢㜳ㄹ㘹ㅥ㠴㌱ㅦ愲愸㥥昰㔸㜳㔷㕡㜷㠳㔰敡㉡愷㥥㔴搳挴㑤ㅡ㙡㔷㌶摦昴攰慥㕦晦戶摦攵㜷慡㝥㌰㑢㍤㝢㘰愱愸㔳㘳㕥㍤攱搲㌵㑣㥡㝢㌲昴〲〸㘳㉦〸扤攲㈴㐶搳摥戴敥〳愱搴㈵㑥挵捦捦慥扡昸扢挰㥥ㄳ慥扤愴晦㐱㙦づ扡㘵㜳挵㝤戰㔴摣㠲㠵㔱昳扢㕡㌱换㘲ㅡ改ㅡ㍤慢戵㘳㕣㌴ㄴち㡤㥥搹扡搸㙡㙢戵扡㝢挶㐵攳㈸捥捡慣ㄸㄷ挳㠲戹ㅦㅣ捣っ㠴㤱㠵愸㤹㌰㉤㤶㌲㜳搴攵㈱㤴㍡捦愹昱㤷㔵㠷つ晡搷㤰㉤㘷㕤晡攵挹摢㍤搷㜳㤸愵戸挳㤷ㅡぢ㔸搸㐴愷㌴㤶㜰挷㉦㌶㈳㜳㈱㘳㉤㠲㌰㕡㈱昴㜵㑢㈷挷㥡晢搳扡ㄸ㐲愹㌳㥤㥡㈶扥昰挰㐹㉦㍥㝤昳㥣㍢晦㝡昳搰㉢㥥㍦㘶㑦挵愳ち愹愹ㅤぢ㈵㜳㔳戸户慡戲愹㌵㘱㜶㌰㝡㈷㠴戱〴愲愸敥搰㔸昳〰㕡扢㈰㤴㍡搹愹㍢昴捦晥㌵戱㥡㐳㥡㑦㝥晡愳挳捥晡攸扤攷ㄵて㘶愴敥ㅥ㉣ㄴ㜵㘸敦慣攸㌳㌷㉤㘵攸㘵㄰挶㜲〸扤攲㈸㔶㝡〵慤㉢㈱㤴㍡搶愹昸挱慦攷つ㥦搵㔳㤸㜲捣改㕢㕤戰换㐳户捣㔷㍣㠰㤲㡡て挲㐲昱戶ㄲ敦ㅤ㑡㠹㤲戱㤴㌲て㘶散㐳㈰㡣㐳㈱昴㥡㤳㤸ㅦづ愳昵㜰〸愵づ㜳㙡㝥愴攳捣愳㝦㝥扢㜳挲㙤户づ㕥晥户㐳扥㜸㐴昱愸㑤㙡㍥ㄲぢ㐵㌵㠷㈳摥㥥㈰㔵㍡㌳愵捤愳〰㌷㡦㠶㌰㡥㠱㈸慡ㄹ㘴ㅦ㑢敢㜱㄰㑡慤㜰㙡㥥晣攳㔳㉤㉢ㄶㅦ摡㜴搱攴㕢晡捥㕥扡捤〹㡡㠷㡡㔲昳〹㔸㈸慡ㄹ㐳搶敤攸㜰昹㍡㥦挸搸㈷㐱ㄸ扦㠵愸搷昶愰攱㄰慡㍥㤹收摦㐱㈸㜵㠰㔳昵挸搱㌳㉦㑣㥣扦改㥣昳㐷㍦㌹攸攳㤳捦慣㔶㍣㐰㤵慡㑦挵挲㜶晡㘸㡥㑦摥㌶攴慤㜶昹戶㑢慢㜹ㅡ㙢㌸ㅤ挲㌸〳㐲㕦昵㈸敡㍦㤳搶戳㈰㤴摡摦愹晦戱摢㤶㥦搸㜲攱㤸搹㌷ㅣ㝢㘲愴㈱戲摢㑤㡡挷挶㔲晦搹㔸搸㔶慦ㅦ摢㔰摣慢摦㜷㕦㜴づ攳㥦ぢ㘱晣〱㐲慦㍤㡥挱㜶ㅥ慤攷㐳㈸㤵㜳㙡晦戱敤㡥ㅦ㥢㍥敥㥡㜵攱づㅤ戹㑢て扡扥㐱㙤〰戳搴㝥㈱ㄶ㡡㐶㜹搴慢摡㘷㤴㕦挴搰ㄷ㐳ㄸ㝦㠴搰㉢㑥愰攲㑢㘸扤ㄴ㐲愹扤㥤㡡搳㡦捣扤攸㠰㜷收㑦㍣收改晢昶㝣散挹扢攳㡡㈷〲㔲昱㘵㔸㈸慥㌸收㜵㜸挹ㄸ㑦㈴捤换ㄹ晡ち〸攳㑡〸扤攲㌴〶昹㔵戴㕥つ愱搴慥㑥挵㡢昶㠸摦㌱㘵昱敦㘶㕤晦挵愷㍦㙤戵昸扡㐶挵㤳て愹昸捦㔸ㄸ㔹㌲㕦㈶㡢愶换㤴㌳㕢㘲㉣㠵捣㙢ㄸ晢㕡〸攳㉦㄰㤸㉤愳㌱昳㍡敡慥㠷㔰㙡戶㔳摦攱敢㌷づ㍥㜵愳挳愷㥥昰攲㝥㤷㝤㝥摥㤰㐵㙡㘳㤸愵扥ㅢ戱㔰㜲愸搱换㜱㜹昷㈶愳收㑤っ㝦㌳㠴㜱ぢ㠴扥戲㐹散㜷㙦愵昵㌶〸愵愶㍡㤵㍦户昰捣挶㈹㍦晣搲昴挷㍦摦㜹昲㤶捤扦扣愴㌶㠱㔹㉡晦㉢ㄶ㡡愶敡戰戶㕤㠵捣㍢ㄸ敢㑥〸攳㉥〸扤愶ㄸ㜶㐳㜷搳㝡て㠴㔲㑤㑥㑤敡昳慦㥦晡晣换㝦㑥㍦晤㠶㉤㈷㡣㥤扦挵ㅥ㙡㔳㤸愵愶晢戰㔰搴㥦扤㝢昸昲㙤挸扣㥦愱ㅦ㠰㌰ㅥ㠴㈸慡ㄸ晤昹㌷㕡晦づ愱㔴摡愹㜸敥㌳摢㕣㌹昲戳摢㈷㕦户㜴昰慤㜷慦户挵㤵㙡㌰捣㔲昱挳㔸㈸搹㐷㈴摤㤱㔴㑥㉦づ㉥ㅥ㘱昴㐷㈱㡣挷㈰昴扡㤳愹戱收攳戴㍥〱愱㔴挴愹晢搵て敥扡㝡戳〷敦搸改挴㌷ㅦ㍢敢㠶㉢㕡晡昵㝦ㄲ收㕤㥣搳㠰收慥捣㜲㥣㔸昵㥥戳㐵挶愰搶戵㌹㔹挵戹㙡㈱㕥㐸ㄶ挲攱㝣㍣㤴㠹㘶㙡ㅢ㄰㜶㙤捦㡡戸户攸㕦搸扤戵㈳摦戹㕣㑥㤳㌶㥢㤸改戶㝡捦㥡㐶㌹戶㠹㥤㑢㍢昲摤㠳晤㡤昳㝡㌲㍤搶愶愵戶摥㈰㘵㙥昳㜰ㄲ㘹㜵㑢㝤㕢㤴扡敤㤶㘹㕢㙡㑤㔸搱㙡㥢㌷㉦㌱攳ㄴ戲㌳㕢搹㍡愵换㍡挰戳㤶戵㘸〲慥㜱㉣㤳搸㘵㙢㘹㥢散㜶つ㥤戴愸戳摢敡㤰收㡤㙡摦戹㌵户搸敡㥡㘷昱ち㠹㤵㤷㔵摤㠰㈶攷㍣㜶搴㥣づ慣㈸捥㑣昳挳㜴㙤㘱昲㡡ㅥ慢㈳㙦攵搱摥㈵㔶㔷捦捡昹㤹㙣㥢戵㘱ㄱ挴慥ㄳ㠶㑤㡡搴㔳㍡㜳㑢扢㈷㜵㜶昴㜴㜵戶ㄵ㕢㈶攴㤷㘵㜰敥㥣㥦搵㤹户㜰敡㕢挳㑦㤵慡敡搳㐷愹慡㙤晣捥㍦ㄹ户㝢㡣㜴㠴搶挵㥢愳捦㌷㉥ㅥ㜶㘳收㘲敤戰ㄶ㙤ㄶ挷㘴㜵攳ㅡ㠲㐹㕣㠶ㄹ㔹ㄹ愸慤ㄳ㉦㈷ㄱ㍤愲㌲㕡摡攸昵摣晦㕦㜰㜵昵晡捥摡㑦㕥㠶敢ぢ搳㌲ㅤ昹㌶慢㙢戵ㄷ挳ㄴ㕢㘴㍥〵㔱扢ㅤ戶收㡡散搵〰愱㔶愸㤵戵换㕢昳㍤㡢㡣㐵㔶敢挲㐵㍣〰挴〵戳扡㍡㔲㕢昶㌱㥦㠱捡㝣㤶攲㌹㠸㐰愰捡㜸㥥㈰㈳㘰扥㘰㤷㙢㠷攱晦㜵扦㜲㔱つ㉦㔳慥㤴攰戲㔶㜷㙤晢㤴捥慥敥㍥㝤晣搶㜲㕡愶㝢㔱て㠷攷敡㡤㡣昷て㡡㝦㐲搴㌶㐲慣昱挲㐸㍤㐰㌵扣晥㌳愰扤搹㉡㘴㜰搵㑤戶㙥㤵愹㙤户㉦攴㌴㕢摤㌹㤳㔷㝣愶㘳㕢㔹㘱㘰〹ㅢ㝦晦㜶㡥㝥㙢㐵㑦㜳愶㈷搳户ㅤ搷㡥搰㑢㈶㐰愳挴换㕥愲攷〰搱戹摥〱愷㠴〸㐱㔹搴愲昴ㄳ㠵ㅤ〹ㅢづ戶㤷慡㍥㡥㕣晤㑡愰敤㕢㘰㈵㡣搲㠱㕥㝣つ〸㤷愶昲㔳慤㡥昹㉢㤷㔸摤㠴搷ㄹ慢愵戲㜴昳㘲戰㌹戹散慥㍤慤㙤摤㘳搰搲愹㕤㥤㑢㤷晣㌷攳㌰㤶昹㈲㠴晢愹摤ち愳㜸敤搷〹㜴㔵昵㕤挶扥㘹㘹愹慡㘳㌴㙡㡣㤷㈱昴晤ㅥ㉦㍢㜱昰㈲昶慦昸㑦㍥收㉢昸㉦㘰ㄲ㕡挱㔶㍢ㅣ戶㜵戹㝣㔶ぢ㝣晦㜶㄰㌶扦换㤲ぢ㠲㜵㔲〰昹〳摡㜷敦散㕡㥣敤散㕣捣攱㌵㔰㑡摤㡢㉣慢㠷ㄷ搹晡㌹ㄷㄵ攵攲愱㔲㝤晡ㄴ㕤ㄲ搳慥挶つ㐱㝣攳㜵㠸〱ㄳ摡摡㠶扡ㄱ扢㡤㌷愰敡㠳换㝤挶㥢㔸㠸㌵㌴㑣敡㙣㕦搲搹摤捡㉢㙥㉤㤳㔷㘴摡㤷戴㔹摢敥戲㌴搳㠶ぢ㤶摢捥㔹搲㌳戹晢摤㍢㡥㝡敢昶㡢㕢㐶㈴㐲改㤱㘳㔶戴㜵慦㔰㥢㠱ㄹ㕥捡扡㘱㕡扦㕤慥㝢攲㡣愶敢戶㝤愱㜹搴㌵㡢㕡搴㘰挷㔰㜶㝤㙤〴敡㙡挰捦㝣〷㐲㙤〲ㄸ㈷㈰㉣ㄷ㝦捣昷㔰㌶摦愷昸〰〲搳㠸戰㡤㔹攴㈳扢愸㐶攲㝦捥㈴收挷ㄴ㥦㐰愸㔱㄰摣㡥捤㑦㈱摣㡦ち㈲㍥㠷㠷㜴昱攷㔰敢㕤捣㑢㜳㘵㕤晣㈵㐰〱㤳搰ち㌶㌵ㅡ㌶㜶戳㐹㕡㑤ㄲ㘹㤲㐴㘵愰ㅥ㕦㍥㙡ㅤ㐳搹㌵扦敤攰㈶㝣晣㐴晦㍥㠰昹昳昱ぢ敢㈰㑦㈶挷慡挶㐷戵㕤㔴㈱搸㠴㡦㍥㔰㤸扣ㅦ愲㈲㔰〹ㅦ戵㈸戹ㅦ昵挳㉦ㅡㅦ㝤㘱搱昹攰ㄵ挳㌲㍥㑣㠰〲㈶愱ㄵ㙣㉡㡡攸㝥㝣㝣㠶扡㝣昹昸搴㌱㤴㕤㡡㑣㈰㔲〳㝥收㙦㔰㥤晡ㄸ㌰㝦㍥〶戱㌵ㅢ㔰㙣〸愱昱戱戱㕤㔴㐹〴ㄱ㍥㌶㈱㘸㔳〸㤵㠶㑡昸ㄸ㡣㤲晢㔱㙦改㝣㙣づ㡢捥〷㉦㘲㤶昱㌱〴愰㠰㐹㘸〵㥢ㅡ㡢攸㝥㝣扣㔴㠹㡦ㄷㅤ㐳搹搵搱㜱㠸搴㠰㥦㌹〲搵愹㝦㔴攴㘳ㅢ戶㘶ㄴ挵㘸〸㡤㡦㌱㜶㔱敤㠸㈰挲挷㜶〴㠵㈰㔴ㄳ㔴挲㐷ㄸ㈵昷愳晥㐷攷㈳ち㡢捥〷慦慤㤶昱ㄱ〷㈸㘰ㄲ㕡挱愶㈶㈰扡ㅦㅦて㔶攲攳〱挷㔰㜶搱戶ㄹ㤱ㅡ昰㌳㜷㐴㜵敡扥㡡㝣㌴戱㌵ㄳ㈸㈶㐲㘸㝣㌴摢㐵㌵ㄹ㐱㠴㡦挹〴㑤㠱㔰扣㜴㉢㝣㑣㐵挹晤愸摢㜴㍥愶挳愲昳挱㉢扥㘵㝣捣〰㈸㘰ㄲ㕡挱愶愶㈱扡ㅦㅦ搷㔶攲攳ㅡ挷㔰㜶㈹㜹〶㈲㌵攰㘷捥㐷㜵㙡㔵㐵㍥㜶㘳㙢㜶愷搸〳㐲攳㘳㠱㕤㔴㌳ㄱ㐴昸搸㡢愰扤㈱搴㙣愸㠴㡦㝤㔰㜲㍦敡ㄲ㥤㡦ㄶ㔸㜴㍥㜸ㅤ扡㡣㡦っ㐰〱㤳搰ち㌶㌵〷搱晤昸㌸愷ㄲㅦ㘷㍢㠶戲ぢ摣㜳ㄱ愹〱㍦㜳㝦㔴愷捥慡挸㐷ㅢ㕢搳㑥搱〱愱昱戱挴㉥慡㜹〸㈲㝣ㅣ㐰㔰ㄷ㠴摡ㄵ㉡攱愳ㅢ㈵昷愳㝥慢昳戱ㄴ㤶㈲㍥㜰扤扣㡣㡦攵〰〵㑣㐲㉢搸搴㙥㠸敥挷挷㤱㤵昸㌸挲㌱㤴㕤㠸摦ㄳ㤱ㅡ昰㌳て㐷㜵敡戰㡡㝣ㅣ挹搶ㅣ㐵㜱㌴㠴挶挷戱㜶㔱㉤㐰㄰攱攳㌸㠲㡥㠷㔰㝢㐳㈵㝣㥣㠰㤲晢㔱换㜴㍥㑥㠲㐵攷㠳㤷昱换昸㌸ㄹ愰㠰㐹㘸〵㥢摡〷搱晤昸㘸慢挴挷㘲挷㔰㜶㝦㘰㍦㐴㙡挰捦晣㍤慡㔳慤ㄵ昹㌸㠷慤㌹㤷攲て㄰ㅡㅦ攷摢㐵㤵㐱㄰攱攳〲㠲㉥㠴㔰㌹愸㠴㡦㡢㔰㜲㍦㙡㍦㥤㡦㍦挲挲㕢ぢ愱昲㌵扤ㄴ愶㠰㐹㐰〵㥢捡㈳愶ㅦぢ扢㔵㘲㘱㔷挷㔰㜶捦㠲昷㈲ㅡ昰㌳晦㡣敡搴扣㡡㉣㕣换搶晣㠵攲㍡〸㡤㠵ㅢ散愲㕡㠴㈰挲挲㡤〴摤〴愱昶㠷㑡㔸戸ㄹ㈵昷愳㜶搲㔹戸ㄵㄶ㝤㔴昰〶㐸搹愸戸ㅤ愰㠰㐹㘸〵㥢㕡㡣攸㝥㝣㌴㔵攲㘳扣㘳㈸扢戳搲㠱㐸つ昸㤹昷愳㍡㌵慥㈲ㅦて戲㌵㝦愳昸㍢㠴挶挷挳㜶㔱㜵㈲㠸昰昱〸㐱㡦㐲愸〳愰ㄲ㍥ㅥ㐳挹晤愸㤸捥挷ㄳ戰ㄴ昱㠱㡢攵㘵㝣㍣〹㔰挰㈴戴㠲㑤㜵㈱扡ㅦㅦ摢㔴攲㘳愴㘳㈸扢摢戳ㄴ㤱ㅡ昰㌳晦㠹敡搴搶ㄵ昹㜸㠹慤㜹㤹攲㕦㄰ㅡㅦ晦戶㡢㙡ㄹ㠲〸ㅦ慦ㄲ昴ㅡ㠴㕡〱㤵昰昱㍡㑡敥㐷㙤愱昳昱㈶㉣㍡ㅦ扣㔷㔴挶挷摢〰〵㑣㐲㉢搸搴㑡㐴昷攳㘳㔰㈵㍥搶㜷っ㘵㌷愱づ㐶愴〶晣捣㑦㔰㥤㕡慦㈲ㅦ㥦戱㌵㥦㔳㝣〱愱昱昱㤵㕤㔴㠷㈰㠸昰昱㌵㐱摦㐰愸挳愰ㄲ㍥扥㐵挹晤愸㍡㥤㡦敦㘱搱昹攰ㅤ慣㌲㍥㝥〴㈸㘰ㄲ㕡挱愶づ㐷㜴㍦㍥㝥昹戹挲㔱晡捦㡥愱散搶搸㔱㠸搴㠰㥦㔹㔳㡤㌵昸ㄱ㌰晦愳㜴〳㘶戳㉦㐵ㅤ㠴挶㐷挰㉥慡愳ㄱ㘴ㄸ〳昵㈳愸㍦㠴攲つ㌲攱㘳〰㑡敥㐷㝤㠱㍡扣戳戸㝡㔸㡡昸昰摢㕥搶〳㈸㘰ㄲ㕡捥㠷搸ㄴ敦挲昹昱昱㕥㈵㍥摥㜵っ㘵㌷散㑥㐴㈴攱㘳㔳㔴愷摥慥挸挷㘶㙣捤收ㄴ㕢㐰㘸㝣っ戵㡢敡㈴〴ㅡ㠶㥦搹㐰搰㌰〸挵扢㜶挲挷㤶㈸戹ㅦ昵㉦㥤㡦攱戰㤴摤敤㉢ㅢ㈰㕢〳ㄵ㌰㠹㉤㈷㐴㙣敡㜷〸敦㐷挸㌳㤵〸㜹摡㌱㤴摤㐶㍣つ㤱㠴㤰㄰慡㔳㑦㔶㈴㈴挲搶㐴㈹㘲㄰ㅡ㈱〹扢愸㑥㐷愰㘱昸㤹㐹㠲㔲㄰敡㑣ㄴ㠵㤰㌴㑡敥㐷晤㕤㈷㘴㝢㔸昴〱挲扢㡦㘵㝣㡣〳㈸㘰ㄲ㕡挱愶捥㐲㜴㍦㍥敥慣挴挷ㅤ㡥愱散戶收㌹㠸㈴㝣㑣㐱㜵敡昶㡡㝣㑣㘳㙢愶㔳散〴愱昱㌱搳㉥慡㜳ㄱ㘸ㄸ㝥收㉣㠲㘶㐳愸昳㔰ㄴ㍥收愰攴㝥搴㜵㍡ㅦ扢挰愲昳挱晢愱㘵㝣捣〳㈸㘰ㄲ㕡挱愶捥㐷㜴㍦㍥㉥慦挴挷㘵㡥愱散㐶敢㐵㠸㈴㝣散㡤敡搴愵ㄵ昹搸㤷慤㘹愱搸て㐲攳㈳㙢ㄷ搵挵〸㌴っ㍦㌳㐷㔰ㅥ㐲㕤㠲愲昰㘱愱攴㝥搴ㅦ㜴㍥ㄶ挲愲昳挱摢戴㘵㝣戴〲ㄴ㌰〹慤㘰㔳㤷㈲扡ㅦㅦ愷㔶攲攳ㄴ挷㔰㜶晦㤷㌷㜲㠵㡦㉥㔴愷㑥慥挸㐷て㕢戳㤴㘲ㄹ㠴挶挷ち扢愸㜸㌳㜸ㄸ㝥收㑡㠲づ㠴㔰扣つ㉣㝣ㅣ㠴㤲晢㔱㐷敢㝣ㅣ〲㡢捥〷敦ㅥ㤷昱㜱ㄸ㐰〱㤳搰ち㌶㜵㌵愲晢昱㜱㘰㈵㍥㔶㍡㠶戲摢搲扣扤㉣㝣ㅣ㡦敡搴昲㡡㝣㥣挸搶㥣㐴昱㕢〸㡤㡦摦搹㐵㜵㉤〲つ挳捦㍣㠵愰㔳㈱ㄴ㙦㔳ぢㅦ愷愱攴㝥㔴㠷捥挷ㄹ戰攰㌰㍤㤲㉥㕦搳戳㘰ち㤸〴㔴戰愹敢ㄱ搳㡦㠵㝣㈵ㄶ㜲㡥愱散㘶㌹敦㜸ぢぢㄷ愲㍡㤵愹挸挲挵㙣捤ㅦ㈹㉥㠱搰㔸昸㤳㕤㔴㌷㈳搰㌰晣捣换〸扡ㅣ㐲昱㝥戹戰㜰〵㑡敥㐷敤愱戳㜰ㄵ㉣晡愸攰㙤昶戲㔱戱ち愰㠰㐹㘸〵㥢攲㑤㜹㍦㍥㘶㔷攲㘳㤶㘳㈸扢㝦㝦〷㈲〹ㅦ㌷愱㍡㌵愳㈲ㅦ户戰㌵户㔲摣〶愱昱昱㔷扢愸敥㐴愰㘱昸㤹㜷㄰㜴㈷㠴扡ㅢ㐵攱攳㉥㤴摣㡦㥡愸昳㜱て㉣㍡ㅦ㑣〶㈸攳攳㍥㠰〲㈶愱ㄵ㙣敡ㅥ㐴昷攳㈳㔵㠹㡦愴㘳㈸换㌲戸ㅦ㤱㠴㡦㐷㔱㥤㡡㔷攴攳㜱戶收〹㡡晦㠱搰昸㜸捡㉥慡〷㄰㘸ㄸ㝥收搳〴㍤〳愱晥㠶愲昰昱㉣㑡敥㐷㡤搶昹㜸ㅥ㤶㈲㍥晣㘶㡤㝦〰ㄴ㌰〹㉤攷㐳㙣㡡ㄹつ㝥㝣っ慢挴㐷㠳㘳㈸㑢㝥㘰ち㠳昰昱ㅡ慡㔳㐳㉡昲昱〶㕢昳㈶挵㕢㄰ㅡㅦ敦搸㐵昵㈸〲つ挳捦㝣㤷愰昷㈰ㄴㄳ㈰㠴㡦昷㔱㜲㍦㙡㐳㥤㡦て㘱搱昹㘰摥㐴搹昸昸ㄸ愰㠰㐹㘸〵㥢㘲㤶㠵ㅦㅦ晤㉢昱搱捦㌱㤴㈶㘴搴昲〶敦㍡摣㐸敦〷戸㔹搸慤搵㕡捥㍢㝦〳ぢ㐸㔲㥦戴戴扢愷㔳㙥㔳づ㈸㌴㜷捥敥散㘹㙥敤㕥搲㤶㔹戹㝥挱㔹搸㝤㤱搵㠱㈴㠲㉥攴ㄲ㤴攸㍡㤷㉣戱昲㘶㘱㕥攷搲慥㥣㌵扤昹晦㐲㤲㠱㜴ㅢ敥㤴㈹㔵㔵慤昰昹捦敥㥢㔷挱ㄳ㠳〶㥦慡摡㘷㄰戲昴昶愷愴捡㙢愹ち戲ㄸ〴戰扥㤷搱昹慤㍤㙤㔶扦㠲愴〹挸㜲㕤〱㉣㈲㌳㈳摦户㌰㝦ㄱ敥〳㌶て㈸㑣敤㙡捤户戵㜶㔸散㡣㐱㌶㜴愶戵㄰㔹ㄸ㍢㍢㜷改〶ㄴ收㜷㘵㍡扡㤷昰㠶㜲㙥攵㙦㡡㑡㜲攷戹戶㌰戱戵愳ㅢ搵㐸㉦㜲戹扥㌰㙦㔱攷㜲晣㠱捣搲昶㡥愹㤹㈵摤晦㈷㝡㐵㐹扦㔰㐸搷愸㙡㔵㕤慤敡慡敢晥搳晥㌱扥挱搶戵扥㥤㍢㌸ㄴ攳戴愷慢㌵扢㤴户㌵愵㥥〸㘴つ㠵昴㘱㔵㉤㜳ㄵ㑡㙦ㅤ㙢㕤㔸㤲昷挱戶ㄶ晤攱㠷㙦ち㠲昷㔷㐷㥢〳㙥㝥㡢收昴晦づ㘲愷愹扢㑥敦捤㠸晡㕦晤〹㑦㉤戳㉢搶㍡〱㘵〳㠰〷摡㐳㠸㐹㈹ㅣ㔱搸㌲㌱ㄲ㔸㉡ㅤ㤶㠱㠲㘰㌸㐲〷昶㉥㑥㐱づ㐳晦挲捣㑣搶㙡㐳敡㐵㝢愶㘷愰㕤㘰づっ晥挴愳摢戱攱㈶㜲㝢㠶㐳㡥㝦愸㌲㉦㤷㘹戳敡ちㄳ㤶昶㜴㈲晤摡㉣㐰挸戸㜴㔴㤹ㄵ㔰㘵㔶搸㐹ㄲ㠵戹㑣挹㤲㘵挶敡㕣㤸改㙡敤㔹搴摥㥡慢㘳㠱㘹㔳晦㈷挶㉡昶〴㌵㈰搳晤戸㜳㐹㘹搶㠵㥤晢㠰敥ㅥ㠳㐴㈵㔲挷敥挷㠸慥㔶〶晥愹晦㌰㘳〷㌳㡦散㌴捣ㅦ㄰慤ㄶ㍦㤹㡡愴㉤㥦晤敡㙣㐵㥦ㅤ㠶〵㤹㥣ㄴㄳ㙥愸㌵㝦〴㤴ぢ晣搵㌰攷㘵戵改ㅣ㝤〱〸捣散捣攴愷㘴㜲昸愳戳扥捥㥦㥣搵㌱㍦〰㔳㑤㔷㤰〹㌶㤳㤰戳㠵㕣戰㘵慤㜹慢慢㡥㡡㜹昸㤳扡ㅡ愶收ㄸ㜶ㅦ㜲㘳慥慡慤敤㔷攷㔷搷㜴㌷㔶愳㤳愷愰晦挹摥昴戲昸ㅦ敤㤲ㅡ扦つ㕢ㄵ㤰㕤搴㑦㔸ㅤ昳㘷慥ㄳ㔳㜷戸㍥㈵㠰㕦〸昸ㄵ愲昶㐵ㄸ㑢晢愶㌸搷〵ㄹ㌱㈶㐰㌵昲挷㕡捣挲愹㐳挶㡡愴敦搴捡㡡昴搳搲㙥っ㍢攳愶捥晤ぢ㌰㘳ㅥ㐶戹㤵て搸昳㉢搳㝢戰㘷愸慡慥慥㐱㔷ㅢ愵㈹㡢㘵搵㈲㔸晢㍣㑢昲㜱ㄴ㜳㔰っ㈶㙥㙥挸㡤〵昱昱㈷㡡㐵㝦晥㔴㝡ㅣㄱ〸㤸搵㠰㔷〵搴㉢㤰㉥〷㔳愸戱㐹〲晢戸㍣〷愱摥㠱㤲㐷〲摡㝥㑢㌱扤㠲晢慥㉡㠳㝦づ户戶㜳愵㝡ㅦㅥ㥣㉦㑤㠳㠱㍦挰ㄲ愷㈱㙦㔸搶㐱扢收㘱挹っづㄹ㤶晣敢㑡㜷㔸㉡愶㜱戸慢愱昵㜵〰ㄸ戳ㅦ㠱㥦昸〳晡ㄳ㌰㠰〰㘶㝤戰扦㡤㠱㈸昹昱攸㤷散〱ㅥ㠳㠰㠳挷㉦戵昸捤搴搸㍣慥挷昸扦㘱晣㥦愰㉣攵㤱㘹ㄹ㌶㡦敢〳戲搶㍣㌲㤱㐳㜸ㅣ挴挰㈴愱㠸挷つ愱㕤㌳㡦搵㜰ㄳㅥ㌷㤲㈰㜶㐱昵㠱捡㠷挷㡤㠱㌱㌷㈱㤰愹㈱㍥㠰㑤〹ㄸ㑣〰戳㐵㠴挷捤㔰昲攳搱㉦㐹〴㍣㙥〱㌸㜸㌴戵昸㤳愹戱㜹ㅣ挲昸㐳ㄹ㥦㤹ㅤ愵㍣㌲㥤挳收戱〱㤰戵收㜱〳戸〹㡦挳ㄸ㤸㤹㈰㐵㍣㌶㐲扢㘶ㅥ㤹㌱㠲㉦晥扡㤰㐱戰㈰扦㑤㈰㝤㘸摡ちㄸ㜳㙢〲㤹㔲攲〳ㄸ㐱挰㐸〲㤸㘵㈲㍣㙥㠳㤲ㅦ㡦㝥挹㈵攰㜱㌴攰攰㜱㠸ㄶ㕦ㅢ㡦摢㌲晥ㄸ挶㘷㐶㐸㈹㡦㑣〳戱㜹摣づ㤰戵收㜱ㄴ摣㠴挷㄰〳㌳㠳愴㠸挷〸戴㙢收㤱㤹㈶昸攲㝡㉥㠳戸㍣㌲摤挴㠷愶ㄸ㌰㘶㥣㐰愶愲昸〰ㄲ〴㈴〹㘰㜶㡡昰㤸㐲挹㡦㐷扦愴ㄴ昰㌸ㄶ㜰昰ㄸ搷攲㙢㍣㙥捦昸㍢㌰㍥㌳㐹㑡㜹㙣㠲捥收㜱ㅣ㈰㙢捤攳〴戸〹㡦㍢㌲昰㐴㤴㡡㜸㙣㠲㜶捤㍣㌲㐳〵㕦愴慦㌰㠸换㈳搳㔴㝣㘸㥡〸㡣㌹㠹㐰愶戰昸〰㥡〹㤸㑣〰戳㕡㠴挷㈹㈸昹昱攸㤷捣〲ㅥ愷〱づㅥ㘷㘸昱㌵ㅥ愷㌳晥㑥㡣捦っ㤴㔲ㅥ㤹㜶㘲昳㌸〳㤰戵收㜱㜷戸〹㡦㌳ㄹ㤸ㄹ㉢㐵㍣捥㠶㜶捤㍣㌲戳〵㕦晣㑤㈴㠳戸㍣㌲扤挵㠷愶㥤㠱㌱㜷㈱㤰愹㉦㍥㠰戹〴捣㈳㠰搹㌰挲攳㝣㤴晣㜸昴㑢㠲〱㡦扢〱づㅥ㌳㕡㝣㡤挷摤ㄹ㝦て挶㘷收㑡㈹㡦㑣㔷戱㜹摣ㄳ㤰戵收㤱〹㉥挲攳〲〶㘶愶㑢ㄱ㡦㝢㐳扢㘶ㅥ㤹ㄱ㠳㉦晥昴㤲㐱㕣ㅥ㤹ㄶ攳㐳搳扥挰㤸㉤〴㌲㘵挶〷戰ㅦ〱ㄹ〲㤸㐵㈳㍣㘶㔱昲攵搱㈷㜹〶㍣收〱〷㡦换戵昸ㅡ㡦ㄶ攳ㄷㄸ晦㜰〰㑡㜹㍣ㄲ㍡攱搱攴晥㕡㍥ㄱ㐸敤㝣㔰ㅤ〵㠸㜰戶㠸㐱㤸つ㔳挴搹晥搰慥㤹㌳㘶捤攰㡢㍦改㘴㄰㉣挸㡦愹㌳㍥㤴戴〱㘳戶ㄳ挸戴ㅡㅦ㐰〷〱㥤〴㌰搳㐶㌸㕢㠲㤲ㅦ㘷㝥〹㌶攰慣ぢ㜰㜰挶㑣ㅢ㌷扥戶㙦敥㘶㝣㍥㈱㐳㌱㉢㐶㌸挳㌱ㅤ昶摣扣挶愱㤸ち㘳㡦扤愵㠰㙣搴晢㌷㘲㙢㍣户㔶攷挲㔵戸㕣挶攰捣愴㈹攲㜲〵戴㙢收㤲ㄹ㌷昸攲㤶〶㠳戸㕣㌲敤挶㕤㤵㄰㔷捥㍥捣㌸㄰ㄸ昳㈰〲㤹㤲攳〳㌸㤸㠰㐳〸戸〸〰攱昲㔰㤴晡扢挷摤昲㜷扦㍥㐷摢㠷〳〴〶㉦搵愲㙡愳敥〸㐶㍤㤲㔱㤹㔱㔳㍡敡㤸㐶㘳㌳㜸ㄴ㈰㙢扤昵㌲昱㐶搸㍢㥡㠱㤹㠱㔳挴摥戱搰慥㤹㍤㘶敡攰㡢扦㌹㘵㄰㤷㍤愶敢戸攴㘸㐷摢挷〳㘳㥥㐰㈰㔳㜹㝣〰㈷ㄲ㜰ㄲ〱捣敥ㄱ昶㝥㡢㤲摦㐸昴㑢敡挱㐸晣ㅤ攰攰昱㜶㉤扥挶攳㈹㡣㝦㉡攳㌳ㄳ愷㤴㐷愶摦搸㍣㥥〶挸㕡昳挸㠴ㅤ攱昱㜴〶㘶收㑥ㄱ㡦㘷㐲扢㘶ㅥ㤹攱㠳㉦晥㠰㤵㐱㕣ㅥ㤹收攳㐳搳敦㠱㌱捦㈶㤰㈹㐰㍥㠰㜳〸㌸㤷〰㘶〵〹㡦㝦㐰挹㤷㐷㥦㝢搷攰昱㝣挰挱㈳戳㠲摣昸ㅡ㡦ㄷ㌰晥㠵㡣捦っ㥥㔲ㅥ㤹戶㘳昳㜸ㄱ㈰㙢捤㈳ㄳ㝤㠴挷㡢ㄹ㤸ㄹ㍦㐵㍣㕥〲敤㥡㜹㘴㘶㄰扥昸㡢㔸〶㜱㜹㝣ㄵ㑢敥㙡㘸攳昱㑦挰㤸㤷ㄱ昸㥡㍦攰㜲〲慥㈰攰㜵〰㠴挷㉢㔱昲攳搱㉦㠹〸㍣㕥つ㌸㜸㘴㌶㤱摢〰㡤挷㔵㡣晦㘷挶㘷收㑦㈹㡦㑣昷ㄱㅥ㑤㥥戵挸㈷〲愹敦㑤㤸っ㈴㥣㕤换㈰捣ち㉡攲散㍡㘸搷捣ㄹ戳㠷昰挵ㅦ搷㌲〸ㄶ攴挷ㄴ㈲户挹ㅡ㘷㌷〰㘳摥㐸㈰搳㡢㝣〰㌷ㄱ㜰㌳〱捣㌸ㄲ捥㙥㐱挹㡦㌳扦㐴㈳㜰㜶ㅢ攰攰㡣ㄹ㐷㙥㝣㡤戳摢ㄹ晦慦㡣㕦㠳㑢㌰愵㥣㌱㈵挸收慣攲ㅥ戸㉦㈰挲搹㥤っ挲捣愱㈲捥敥㠶㜶捤㥣㌱挳〸敤挳㕦敡㌲㠸换㔹㍦㘸摤㈶㙢㥣摤ぢ㡣㜹ㅦ㠱㑣㐱昲〱摣㑦挰〳〴㌰㉢㐹㌸㝢㄰㈵㕦捥晣户搷扦〳づ捥搶搳攲㙢㝢攰㠷ㄸ晦㘱挶㘷〶㔱㈹㘷㑣ㅢ戲㌹攳晥㐳㍥愵攳㙣㜳㐰㠴戳㐷ㄹ㠴搹㐵㐵㥣㍤づ敤㥡㌹㘳ㄶ㤲㜰昶〴㠳愰ㅥ昹㌵㐰敢㐳挹晦〰㘳㍥㐹㈰搳㤴㝣〰㑦ㄱ昰㌴〱捣㕣ㄲ捥㥥㐱㘹㈳㜷㑦慢㕤攱㤲挷ㄳ昸散㜴㥦〳ㅥ愴㙤慤㔵愰つ戴攷㔹挱ぢ慣㠰㔹㐶愵愴㌱戵㐸㐸㌳晥〱挸㕡㑦㜲㔱戸〹㤱晦㘴㘰㘶㈵ㄵㄱ昹ㄲ戴㙢㈶㤲搹㑢㐲攴换っ攲ㄲ㤹㠴搶㠷愷㝦〱㘳扥㐲㘰捡ㅦ昰㙦〲㕥㈵㠰ㄹ㑦㐲攴㙢㈸昹つ㍥扦㐴㈷㙣戰㙦〰づㅥ挷㘹昱㌵ㅥ摦㘴晣户ㄸ㥦搹㐹愵㍣㌲㈵挹ㅥ㝣攳ㄸ㠵㥦搲挱㌷ㅤ㄰攱散ㅤ〶㘱收㔲ㄱ㘷敦㐱扢㘶捥㤸攱㈴㥣扤捦㈰愸㐵㝥㑣㜳昲攱散〳㘰捣て〹㘴ち㤴て攰㈳〲㍥㈶㠰㔹㔱挲搹㈷㈸昹㜱收㤷っ〵捥㍥〳ㅣ㥣捤搳攲㙢㥣㝤捥昸㕦㌰㍥㌳㤸㑡㌹㘳摡㤲㍤昶扥〴㘴慤挷㕥ぢ摣㠴挷慦ㄸ㜸㍦㤴㡡㜸晣〶摡㌵昳挸捣㈸攱昱㕢〶㜱㜹㘴㝡㤴て㑤摦〱㘳㝥㑦㘰摥ㅦ昰〳〱㍦ㄲ㘰〱㈰㍣晥㠴㤲ㅦ㡦㝥㐹㔴攰昱ㄷ挰挱㘳慢ㄶ㕦攳昱㔷挶慦慡㐱㝣㘶㍥㤵昲挸㜴㈷㝢散㔵㥣昸㤸っ㈵㥣攱慡㝢㤵㘲㔶㔴ㄱ㘷昸㡢昲戵攰㙣〵摣㠴戳㕡〶㜱㌹㘳ち㤵て㘷〶㌰㘶㕦〲㤹㕥攵〳愸㈳㠰㑦つ㔴捣戸ㄲ捥〲㈸昹㜱收㤷㘸〵捥晡〳づ捥づ搳攲㌷㔳㘳㥦攳っ㠰搵ㅣ〸愱㤸ㅤ㈵㥣㘹愷㙢㑣㠹戲㌹攳改㥡㝣㑡户搷㤳〰ㄱ捥㠲っ挲捣愹㈲捥㝥〳敤㥡挷ㄹ㌳慣㠴戳昵ㄹ〴昵挸㡦㘹㔶㉥㈵㈱㈸㥤㈶て〲挶摣㠰㐰愶㘰昹〰㌶㈴㘰㈳〲㤸㤵㈵㥣㙤㡣㤲㜶㕡㠶〷㡣昸散㈱㌶〵〸㑣㌱㉢换㡤摡摣㕢敤㘰㔸捤捤㈰ㄴ㌳愸㑡㐷搷挵搰搹㑣㔵㍣ㄴ昹㈳㈰挲搴ㄶっ挲散慡㈲愶㠶㐲扢㘶愶㤸㠵㈵㑣㌵㌰㠸换搴㘵搰扡㑤搶づ㐵㠶〱㘳㙥㐹㈰搳戴㝣〰㡤〴っ㈷㠰㤹㕢挲搴㔶㈸昹㡤㉥扦㠴㉤㡣慥ㄱ㠰㠳戳㔵㕡晣收㕥捥㐶挲㙡㙥〳愱㤸㘵㔵捡ㄹ㔳慢㠴㌳㘳ㄴ㈰㙢㍤戳摤ち㌷攱㜱㌴〳摦㠶㔲ㄱ㡦㘳愰㕤㌳㡦捣摥ㄲㅥ户㘳㄰㤷㐷愶㜰昹搰ㄴ〲挶っㄳ挸昴㉥ㅦ㐰㠴㠰㈸〱捣昸ㄲㅥ㘳㈸昹昱攸㤷攸〵ㅥㄳ㠰㠳挷晢戴昸捤扤㍣㈶㘱㌵㔳㄰㡡搹㔹愵㍣㌲㈵换ㅥ㝢ㄵ昷慡㑣搸ㄲ捥挶㌲〸㌳户㡡㌸摢〱摡㌵㜳挶っ㉦攱㙣ㅣ㠳戸㥣㌱捤换㠷㤲ㅤ㠱㌱挷ㄳ挸ㄴ㌰ㅦ㐰ㄳ〱ㄳ〸㘰㔶㤸㜰㌶ㄱ㈵㕦捥㝣㤲挱挰㔹㌳攰攰㡣㤹㕦㙥晣收㕥捥㈶挳㙡㑥㠱㔰慦〱㔰捡ㄹ搳戶㙣捥戸㔷㤵㑦〴㔲㍦摤㘲㔲㤷㜰㌶㡤㐱㤸摤㔵挴搹㑥搰慥㤹㌳㘶㠱〹㘷㌳ㄸ〴㌵挸㡦愹㘰㙥㤳戵敤㜵㈶㌰收㉣〲㤹㈶收〳㤸㑤挰ㅣ〲㤸㌹㈶㥣敤㡣㤲ㅦ㘷㝥〹㘳攰㙣㉥攰攰㡣㤹㘳㙥晣㘶㙡散扤挱㍣㔸捤昹㄰㡡㜹㈶搲敥㕤㔹㜲摡㕤换㕣㠱搲㕢攰㘵改〹㜰愸ちㄴ㤸愸㌰慦㘷㘵ㅢ㤲㐳戸挸㕢攲昶ㄲ㙦敥摢㘶摣愸敦散挲㉤挴㥡搲㘷㠶㜸扥㑦㈲㔴扦㐱㈵捦㘳ㄱ㌷㕡㤸〷㔱㝢昵㡦攵捦ㅣ昱晣搹昰摥㠷㌳搰㠷ㅦ㘳㜷㌴㜱搰慣搶㕣㔷㘷㜷㘷愱㘷攸㍣㈴㍥つ攵昳㙤ち㔵㔵愱〹戵㔷㈲愲㙦㥤㕣戱㥡づ㍥㘵㜵ㄹ㥦昷㄰㔸摣搱戹扣㐳㕡㔳摢捤挷晣〸㕦㝤晢戲㥡〰敢攱㘷㑢㤰ㄷ㘴捥㐴㄰〵㜳㑦㠴ㄸ㔰ㅦ㘴搲〱扥㔵挶〲㤴㠷㑦㥡㌸㘹㙥㑢㍡ㄳ㑥ㄵ㘲戱㄰㥥ㅥ㤸㠹攵㤲㠹慣㤵捦挷㐲搹㜴㉣ㄶ挹收ち㠵戰戱㤷〷捤㠴昳攱㜴㌸㥥㉡㐴愳㤱㔸㈴㤶㑥㐵昳㤱㘴慡㄰捥攵戳改㝣㉥㥥ち㌲㥤㠱攱捤扤攱㘳敥〳ㄱ㘴ㄶ㠳愸昶愵慡㠵㉡收㌴㠸㡡〰㠱搶㔶㘳㔳㔸摢㔴〳㌸㔵愹慣捡愹扣戲㙡晡昶㔵挳㑢ㅥ㘰㔳㤶愲攰㍤〱挴㌰㤸愱㔰㝢㈱㘸㕥㍢愷攲㕥愴㌳㌷㔹㌳挷㜶攷㈱〲挱㍥㔰㔰㘷㔸㈸慥㌷㘹㘲㑢昱㌳㜲㡤〲搴晤愱㤶㉣っ㍣㝣户摢㔸〸捤㐰㘸戴㤴慣㘰㡤ㄳ挵㕣〴愳㌹㡣㜵㌴㐰㈸〳㝡改摢挵搰㜳㐱㝥㜵搰㜲㝢㔰㘷㘲㐵㌸ち㘱愸㌲摡〱愹㌸戴搴改㠰㜱㜸ㄵててㄳ㤱㘴㜸㜴挲ㄹ挳㈳㠰㌲㝢挶㔸㠲戲㍤㍣愲昱㘴㉥ㅤ捤㠵㈳搱㜰㌲㤶㑦攷戲㠹㑣㌴㤷っ㘱㄰㈴愳愹㑣㌴㘱ㅣ攰㐱ㄳ戱㐴㈴㥢㡤攴㔲㔶㈲ㄵぢ㘷挳愹㘸ㅣ捦㈰つ攷搳㤱ㅣ㕣㘳挹㘰㍦㈷扣搹〵ㅦ戳ㅢ㈲搸摦㔵昵㔰戵㤴慡〱慥捡㐳愹㈰㔵昸愹攳戱ち散㍥㉣攳㑡㍡㕤づ㠴〸〴搷㠳㠲㍡攳㈰ㄴ㝤扡攱㘰愸㡢扢攱㄰㘸㑡扢攱㌷㑥ㄴ昳㔰ㄸ攵㈹戸昲㍣㕣㌵〸㝡改㠶㈳愰昷扡㘱㐳㘸愵ㅢづ㐵㠳扣㙥㌸ち㤰捡摤㜰㌰愰攵摤戰ㄱ㈲㐹㌷ㅣ〳㘷㜴挳挶㈸㑢㌷ㅣ㡢戲摤つ㠵㐸愸㔰㐸挵慣ㄸ㥥愰ㅡ㉢㘴昲搹愴㤵㡥挴㔳愹㕣搸㡡㈵昳㠵㡣㜱㥣〷㑤攰㠱㘳昹㜸㌴㥣㐹愶ㄳ戱㔴㌲㥤㡥㠷慣㐲㌴ㄹ换挵㌲㠹㄰ㅥ愰ㅤ摣挴〹㙦ㅥてㅦ昳〴㠸攰愶慥敡㐴慡㑥愲㙡戰慢昲㔰㙡ぢ慡昰㔳㕤㝡㌷㥣㐲㤷㔳㈱〲挱㈱㌰攲㕢㘵㥣㠶愲㑦㌷㥣づ㜵㜱㌷㥣〱㑤㘹㌷っ㜵愲㤸㘷挲㈸捦〴㤶愷〳慢㘱慣㥡ㅤ㝦㌶昴㕥㌷㌴㐲㉢摤戰㐸敦㠶㜳〱愹摣つ〵摦㙥㘰收㠴㜴挳㜹㜰㐶㌷㙣㠵戲㜴挳昹㈸摢摤㄰戶㤲攱㔴㍥㥡㡡㘵ぢ挹㤸㤵㑥㘵ㄳ戹㘸ㄲ㑦㜹㡢收挳㤱㑣㍡ㄳ㌷㉥昰愰搸㔴搲攱㐴㌴ㄴ挹㠵搳戱㔰㌲㥣挹㈴攳㔶㍣㘳愵挲㤶ㄵ㡦愶戲㐱收㕦㌰扣㜹㈱㝣捣㡢㈰㠲㈳㕣搵挵㔴晤㤱慡㤱慥㡡〰㠱慡搱㔴攱愷昶搶扢攱㌲摡㉦㠷〸〴户㠵ㄱ摦㉡攳ちㄴ㝤扡攱㑡愸㡢扢攱㉡㘸㑡扢㘱㡣ㄳ挵扣ㅡ㐶㜹㍡戲挹攷㥡愸㄰慢㘶扢慦㠱摥敢㠶〸戴搲つ㜳昵㙥昸ぢ㈰㤵扢㘱㘷摦㙥㠸㈲㤲㜴挳昵㜰㐶㌷挴㔰㤶㙥戸〱㘵扢ㅢㄲ㠹㜸㍥㕦㈸攴㐲㤱㔸㈸㤶㡣㈴㌳改㕣づ昳㔳挴㡡攵攳搹㐸捣㌲㙥昴愰愱㙣㍥ㅦ捦ㄴ攲㤱㔴㌸ㄳ㐳て愰ㅢ㘲㔶㍣㥥捥㘶戱昷㡡收慣㘰摣〹㙦摥〴ㅦ昳㘶㠸㘰挲㔵摤㐲搵慤㔴㈵㕤ㄵ〱〲㔵㘳愹挲㑦㑤搱扢攱づ摡敦㠴〸〴户㠷ㄱ㕦㍣㝦ㄱ㐵㥦㙥戸ㅢ敡攲㙥戸〷㥡搲㙥搸挱㠹㘲摥ぢ愳㍣㉢摡ㅣ挷㙥搸㤱㔵戳ㅢㅥ㠰摥敢㠶㈶㘸愵ㅢ㜶搰扢攱㙦㠰㔴敥㠶戱扥摤㌰〱㤱愴ㅢㅥ㠲㌳扡㘱㈲捡搲つて愳㙣㜷㐳㍣㥥っ挷搲攱㙣㌲㡡〳㠸㐸㈲㤱捤愴ㄲ搹㜰ㄲ捦昳て攷㔳昹㑣挲㜸挴㠳㐶搲㤹㠲ㄵ㡡攵㈲〰挴㈲昱㐲㈶㥢つ㠵攳㠵戰㠵〹㈹㤶㑣㠴㠳㤳㥣昰收愳昰㌱ㅦ㠳〸㌶扢慡挷愹㝡㠲㉡愶㠰挸㌶㐳㠰㐰搵㌴慡昰㔳㈱扤ㅢ㥥愶晤ㄹ㠸㐰㜰㍡㡣昸攲㠶㉡㜵摣ㄳ㤸㥣晣㠳㍢戹晡ㄷ愸攲㘵㙣戳㤹挴捥㘴㌰㤶㕥㠴摥㈳㜶㌶戴㐲散㔶ㅡ戱㈶㠹攵愱㥢㙡昴攵㤰㌹ㅢ挲攱㉢挰㠱挳㥤㔱ㄶづ晦㡤戲挳㘱㌶ㄳ捦㕢㔹㉢㤶㡡ㄷ㘲改㕣㌴ㅢ捦㐶㈳㤱㐸㍡㘵攵㌰捦㈷㘲挶慢ㅥ㌴㘴愵㜱攰㤵㑡㐵㐲昱㝣㉣ㅢ㑦㘶㐲昹㐲㉡㥣捣㠷㜲戹㜰㍣ㄱ㡡〶㜷㜱挲㥢慦挱挷㝣ㅤ㈲㌸搷㔵扤㐱搵㥢㔴捤㜳㔵ㅥ㑡敤㐶ㄵ㝥㙡㔳㥤挳㜷改昲ㅥ㐴㈰戸㍢㡣昸㤶㜱戸㠷慢晦㠸㔸㍥㝤㐵ㅥ敦慤ㄶ㌰ㄸ㑢㥦㐲敦㜱戸㌷戴挲㘱㔰攳搰昸ㅣ㤰捡㠳㜳愰㉦戱晢㈰㤲㄰晢㈵㥣㐱散扥㈸ぢ戱㕦愱㙣ㄳ㥢㑢愵㤲昱㔸㈱㥣㑣㈴ㄳ戱㑣㌲㥢挵捥慦㠰ㅤ㈱挶㈶㡥㔵㜳ㄱ攳㙢てㅡ㑤收㈲改㔰摡戲ㄲ㤸㑥挲㜹㉢ㄵ换㘷㤲㔶〴搳㍡㡥㠶㈳愹㘸戰挵〹㙦㝥〳ㅦ昳㕢㠸攰㝥慥敡㍢慡扥愷㉡攳慡〸㄰愸捡㔳㠵㥦慡搱㠹晤㤹昶㕦㈰〲㐱㈶㝡攰㕢㐶㙣挱搵㔷搷挲㌸㡦㠸戹㄰㙡ㄱ㠳戱㔴ぢ扤㐷散晥搰ち戱㍦晣搰㝢㈸㘲昲㔰㐴〶攷㜷搰㤶ㅦ㜵㉣㠶㤳㜰挸户㠲㠰挳㌶㤴㠵挳〰捡㌶㠷搹戸ㄵ捡㠵攲㘹ㅣ㜸㘰㔶㡤㈵搳攱愸㠵㠳㡡ㅣ挶㘵㉡㔴㐸㠴㡣㝥ㅥ㌴ㅤ挱慥㉥㤶㐸ㄷ㜰挰ㄸ换㘳ㄷ㤹㐹㘵㠰换攷㈲搸て㕡搱㐴戰摤〹㙦昶㠷㡦㌹〰㈲搸攱慡㝡㡦㍡㤸ㅦ㈲ㅢ㌸〱〲㔵㕤㔴攱愷㍥挱㙡㜸〷㝦敢搳㍥〸㈲㄰散㠶ㄱ摦㉡㤳㐷ㅤ㈶㡦㌱㑣ㅥ㔶〴㝢㕣晤挶挴昲搱㉦昲㘸㜶戵㡣挱㔸ㅡっ扤挷攱ち㘸㠵挳户㌴づ㡤捤〱愹㍣㌸摦昰㈵㜶㈵㈲〹戱㐳攰っ㘲て㜴摡㘱っ㐵搹㈶㌶ㄶ㑦㔹㤱㝣㌶㘵㐵㐳戱㔸愱㤰捦收慤㜸㍥㤷㡣㠳㉣散搸㌲㜹愳挱㠳收愳挹㑣㉣㘱㘱搶㡣㘶㘳改㍣戶晡㘴㍡ㅡ㑡攴㌱慡ぢㄱ㑣〴挶㌰てㅡ㡤愷ㄳ㘱ㅣ㙤㘴㌳㤹㜴㉣㥤挴愱㐶㍡ㅢ捦㈵ぢ㠹㝣〸搳㐳㉡ㅦ㍣挸㘹㠹戹㈵㝣捣㐶㡡攱㄰挱㠳㕤晤㔶㔴㙤㑤㌱㠲晡㐳㕣㝤㌱㕥ㅤづ扤㜴挹㜳㑥㤷㐸㤷㙤㑢扦㌱㄰㠱攰ㄱ慥㘳㐹㤷ㅣ改敡㈳挴㘶搸〹晢㐱愸愳愱㤷㉥㠹㐳敦㜵挹戱搰㑡㤷㍣慡㜷㐹ㄲ㤰捡㕤昲戰㙦㤷㌰㙤㐴扡㈴つ㘷㜴挹昱㈸换㔸ㅦ㡢戲摤㈵㠵〸㕥㉣㠳改㈲㤷挱愹㙤搲㉡愴ち昱㜰〲愵㕣㈶㤲㐸㠶愲㈱㘳㝢て㡡愳敥㝣㌲㥦挰昱㜷㈱ㅢ戳㜲戹㜴〱㑦晡㑤㈷愲昱㐴ㅥ摡㜴㉥㜸㠲ㄳ摥摣〱㍥收㌸㠸攰㠹慥㙡㐷慡挶㔳㜵㤲慢昲㔰敡㜷㔴攱愷敥㜶㠸挵㌲㌲㈳改搲っㄱ〸㌲戵㐴㜴㍣戴㌳㜹㈰㘷昲搸㉤㜸慡慢㥦㐶㉣ㅦ㘸㈳㡦敡㔷愷㐳㉦挴捥㠰摥㈳昶㑣㘸㠵搸㥢㜴㘲㘷〱㔲㤹搸ㅢ㝣㠹㍤ぢ㤱㠴搸㌹㜰〶戱扦㐷㔹㠸摤ㄹ㘵㠷搸ㄸ㡥搶㔲㌸㠱っ㈵㌱㠵挴㐲㤹㔴愱㤰挸㠴㜲搸攵㘵㘲ㄸ晡挶㉥ㅥ㌴㥡㡡攴ぢ愱㘴㉥㤹つ㘷㘳挹㘴㉥㠵ㅥ挹㘶戳㌸捥㠸㘷㔲昱㜰㌶㜸戶ㄳ摥㥣ぢㅦ㜳ㅥ㐴昰ㅣ㔷㌵㥦慡㕤愹㍡搷㔵㜹㈸㜵㍥㔵昸愹㉢㜵㘲昷愴换〲㠸㐰昰〲ㄸ昱㐵ㅥ㐶㌱戱ㄷ扡晡㝤㠹敤㈴㠲㝦㠱愵㉥㘶㌰㤶㌲搰㝢挴㕥〲慤㄰㝢愱㐶慣挹㔳㜳㤹㠸捦昷攵昰㔲㌸〹㠷ㄶ㐲㠱挳㍦愱㉣ㅣㄶ㔰㜶收㡢㘴㍣ㅦ㡡㕢改㘴㈶㤲㡥㐵昰搴搶㔴ち扢晥㡣㘵㘱㈰㕡㔶㈴㘴㉣昴愰㌸搵戰㜰攱㈶㠹〳㌳散捣ㄲ昱ㄴ愶攲㘴㌲㥣㡣㐷戳搱㕣㍥㘶〵㤹㠹㈲摢敢㈲昸㤸慤㄰挱换㕤搵晥㔴㉤愶㡡改㈸㠲㈲挰㈴㔴㕤㑤ㄵ㝥敡㜴㥤挳㑥摡㤷㐰〴㠲慢㘰挴户㙣㘷昶㘷㔷摦㐳㉣㥦愶㘳㉥㠵㔰搷㌲ㄸ㑢换ㄹ㥥ㅡ晥慥㠳㔶㌸㍣㕥攷㤰㈷㜴挲攱戱扥ㅣ㕥て㈷攱昰㈰㠴〲㠷㌷愰㉣ㅣㅥ㡣戲捤㘱㈴ㄲ捤愷㌳戱㙣㈴㠹㡢㕢㔹散昱㔳ㄸ㘸攱っㄶち㌸搸㑡愴㡤㐳㍣㘸㌲㤷㉦㐴戳戹㙣㌸㡣㜹㌷㥦挹㘶㈲搹㘸㉣㡡〹㌸㥤捤挵ㄳ搱㑣昰㐶㈷扣㜹㈸㝣捣挳㈰㠲㌷戹慡㡢㌹㠰攴摣敤㘶㔷㐵㠰㐰搵㙤㔴攱愷づ搶㌹㍣㠶昶㘳㈱〲挱摢㘱挴户㙣ㅣ晥搵搵㥦㐸㉣㥦挰㈳㉦㠷㔰㜷㌲ㄸ㑢㈷㐳敦㜱㜸㌷戴挲㘱㤷捥愱㜷㐰戰挴㤷挳㝢攰㈴ㅣ㥥㠶㔰攰昰㕥㤴㠵挳搳㔱戶㌹っ攱㡣㈹㤴㡣㠴ぢ㈱㕥㡡㠸㠴㔲㠹㜴㌴㤳捥ㄷ昲昱㝣㌴ㅤ换ㄵ㡣㌳㍣㘸㈶ㄷ㉥攴挳戸ㄴ〱㠶㘳㤱㐲㈴㤵挵㌱㐳ㄸ㘷挳㘱㉢㥥㑣愵㔳挱晢㥣昰收㤹昰㌱捦㠲〸摥敦慡㝡て〸ㅥ㜰㔵〴〸㔴晤㥤㉡晣㔴㐱攷昰㍣摡捦㠷〸〴㤹㠷㠲㙦搹〱挱挳慥晥㘲㘲㡦㈶攲㈸〸昵㈸昴挲攱愵搰㝢ㅣ㍥づ慤㜰戸户捥㈱昷㍥㌲づㄷ昸㜲昸〴㥣㠴挳㉢㠰〳㠷晦㠳戲㜰㜸㈵捡㌶㠷搱㌴捥㤲㐲攱㔴〸搷㕡㘳愱〲㡥㑡㜱㠴㤴挶㘹㙢㈸㤲挴戹㘹摥戸捡㠳ㄶ慣㐴愱㘰㈵㌳㠹㐲っ㔳㘵㈲㥦㑥㘵㐲㠵㙣㈲㡡昹搱挲愵㥣㘴㤰㤹㉢戲㤵㕥つㅦ㜳ㄵ㐴昰㈹㔷搵扢愳㜹摡㔵ㄱ㘰ㄲ慡㥥愳ち㍦戵戳捥攱昵戴摦〰ㄱ〸㍥て㈳扥㘵攳昰〵㔷㝦ぢ戱㝣搲㡦㜹㈲㠴晡㈷㠳戱㜴㍢挳㔳挳摦㑢搰ち㠷㔳㜴づ扤昹戰搹㤷挳㤷攱㈴ㅣ摥㠵㔰攰昰㕦㈸ぢ㠷㜷愳㙣㜳㤸㡡攳㐵㜰㠵〸捥㌲㘳攱㤸ㄵ㑡㘴㈳㌸㝤ち㐷㌱敢㠵戰捦㡥愶㡣㝢㍣㘸㌸㥡㑤㐵㔲㠵㝣扡㘰攵㘳扣〸ㄶ㡡㠴㐳搸㔵㐷㔲戹ㄸ慥攵㘴㠲慦㌸攱捤㝢攱㘳摥〷ㄱ晣户慢敡扤㉡昹慡慢昲㔰敡つ慡昰㔳㘳㜵づㅦ㘲㤴㠷㈱〲挱㌷㘱挴户㙣㍥㝣换搵㍦㑥散改㐴昰㔱㐳敡ㅤ〶㘳改㐹攸㍤づ摦㠳㔶㌸っ改ㅣ㝡㘷㥥㘳㝣㌹㝣ㅦ㑥挲攱戳〸〵づ㍦㐰㔹㌸㝣づ㘵㥢挳㠲㠵㠳㥤㙣㌸㥦挵㠹㈷㠶㕤㍡㥢捥㐵㈲昹㔰扡㄰捦挴㜱㈴ㅦ㌲㥥昷愰戱㘸㥥愷㑦㤹㌰㑥㡡㘲搱㜴㈶㕤挸〲㤴捣挵㈲戸昶㤸㑢收㠳ㅦ㍡攱捤ㄷ攰㘳晥〳㈲昸㤱慢敡㍤㝢晦搸㔵ㄱ㈰㔰昵ㄹ㔵昸愹㐶㥤挳㔷㘸晦㌷㐴㈰昸㌹㡣昸㤶㜱昸㠵慢㝦㠳搸㜳㠹攰攳㠹搴㔷っ挶搲摢搰㝢ㅣ㝥〳慤㜰戸愹挶愱昱㉥㈰㤵て㜸㌶昶㈵昶㕢㐴ㄲ㘲摦㠷㌳㠸晤づ㘵㈱昶〳㤴㥤㐹㌲ㅢ㉢攴昲搸摤㠴昲㌹㕥㈸捣㘴㈲㤱㐴㍡ㄵ㑦㔸攰搱㡡㐴㡤て㍤㘸㈲㤵㡦㠴搲㤸㔱戱㔷㡡㘵㜲改㜴摡挲攱㘶㈱ㅤ㑢攱〲㙦㈲㤴ぢ㝥敦㠴㌷㍦㠲㡦昹㌱㐴昰〷㔷昵〹㔵㥦㔲昵愳慢㈲㐰愰敡ㄷ慡昰㔳〳㜵㘲扦愴晤㉢㠸㐰昰㔷ㄸ昱㉤㈳戶ち扢㉦搱㝦㐷散挵㐴昰㌹㐷㑡㌲㔳㔸晡ㄱ㝡㡦㔸㘶愶〸戱㌵ㅡ戱愶㌷㐹㔶晢㜲㔸ぢ㈷攱昰㔷㠴〲㠷〶捡挲㈱晥㝡搴攱㌰㤹捡㘷㘳搱㔸扥㄰㑦挷㘳愱㍣戶摡㔸㍣㥤㑦攰摣㠸愷㐲愹㉣晥〰搹㠵ㄶち愱㌸㙥㔱㐴ち㜲㘹㉦㘴愵㌰㡤㈶戲㔹ぢ搷㕤㔳㘹㉢㔹〸昶㜵挲㥢搵昰㌱晢㐰〴敢㕣㔵敦㈴㘹扡㉡て愵晡㔳㐵づ扦晢㕥㍢昳攴晢㌳捤〰㐴㈰㌸〰〰攱慡攴愰㤱㘹㉤愲ㅦ㐸㉣㥦㘶㈴㉦戹㔱㐱攸㘵㜰慥〷扤挷攱㙦愰ㄵづ㍦㐱㌵敥㡤〴㜳㜳㜰㈳㍢㥡㡦愰㉤㍦㝢㕦ㅦ㑥挲攱〶〸〵づ〷㌹㔵ㅡㅢ愲㙣㡦挳㈴慥㌸挷㘲㌸捡挶㉤扡㔸㌴ㅡ捦㘲ㄷ㥣挳㜹㑡〸摢㙦㍥㥢㉤ㄸㅢ昵㐲慤㜸㍡㠷㜳㥥㝣㈴ㅤ㠹攵㠹㠸攳搸㌱㥣换攵㜰扤づ㔷㑢㡣㡤㍤㘸㌸ㅤ挹攰㐲㜶捣挲ㄵ㔴㥣攸㈷㔲ㄱ㉢㠵戳捥ㄴ捥㥡慣㔴㈸㤷ち㙥攰戴挴摣〴㍥收愶ㄴ㠳㈱㠲ㅢ扡晡㤲㤳捣㡤㕣扤〷ㄵ㑦挵愴ㄸ㘱晦摦づ晢ㅣ㈲收㤶㡣搷〸ㄱ〸づ㜶ㅤ㑢㑥㌲㌷㜳昵㈳㠸攵戳㤳攴㐵㍦㙡ぢ攸㠵晤㔱搰㝢散て㠵㔶搸㝦㑥㘷摦㍢㔴㝡挶㤷晤〶㌸〹晢摢㈱ㄴ搸㘷扥㡢㡣攰㄰捡㌶晢戸攳ㄲ挱改㍡昶敡ㄶづ㍡戳戸㌶㕡〸㐷㔲㈱㥣㍢㘲㜲挵捤〲㈳散㐱㌳㤹㕣㍥㥣挵㕤㌵摣㔷挳㉥㉡㥣㡥挶昰㡥搳㙣づ㐷㔵㌹㥣搳㘷㠲㕢㍡攱捤〸㝣捣㈸㐴㤰〹㌴㐲㐸敦愱搲㜰㔷攵愱搴〸慡㌸㠲ㅦ㜶㌸㤴㔱㤹㘶㤴戱㄰㠱攰㐸〰㐴㔷挲攱㌶慥㝥㐷㘲㙦㈶㠷㌷㐱愸搱搰ぢ㠷ㄳ愰昷㌸㘴收㡢㜰㜸户挶愱㌱〹㤰捡搳敢㥤扥挴㙥㠷㐸㐲散㘴㌸㠳搸㄰捡㐲散ㄴ㤴㙤㘲ㄳ攱㙣㍡ㄴ戲慣㔴戲㄰挵㔵㘷㕣て捤㘵㈳〵摣㝣挹攷ㄲ㌸昵㠹ㅢ㔳㍤㘸㈱㤹换攱搰㍥ㅦ〱ㄶ㜳㙦〶㔷㥤㜱昰ㅡ㑡㈷ㄲ㘱摣ㄱ㠸㘴㠲㘱㈷扣㌹つ㍥收㜴㠸㘰挴㔵敤㐴搵っ慡愲慥捡㐳愹〴㔵㈴昶〶㥤搸㌹㜴搹ㄹ㈲㄰㑣〲㈰挴㤶㑣つ捣愵ㄱ晤㝣㘲昹〸㈷㜹㔱㤳㤲昴ㄸ㤶㜶㠷摥㈳㜶〷愰㠵搸㉢㌵㘲㝢慦㍡㕦敥换攱㌸㌸〹㠷㝢㈱ㄴ㌸摣ㄱ㘵攱㜰㙦㤴㙤づ㜱㈱㈹つ〲㔲昱ㄴ捥戱㜱㐸㡥㉢㜴昱㈴㙥搷㘶搳㤸㘸㌱搹ㅡ晢㜸搰㝣㍡㤹挶戵晤㝣戸㤰挶ㄹ㝢㍡㥡挲㍣ㄱ戲挲㔹扣㙣〷㌷扥㈲搱攰㜸㈷扣戹㉦㝣捣ㄶ㠸㘰㤳慢敡摤昷㑦㜰㔵〴〸㔴㌱㡢㐶㌸㍣㕦攷搰愲扤〰ㄱ〸㑥〶㐰戸㉡戹㜲㍦挵搵敦㑦散〳㘴敤㝥づ捥㘹搰换攰㙣㠷摥攳㜰㈷㘸㠵挳搳㜵づ戹敦㤷改昵㔴㕦づ㘷挰㐹㌸㍣〰愱挰攱㑣㤴㠵挳㉥㤴㥤つ㍣㡦㌷㡢㠵㜱㙦㈹㡦挹㡦㍢敦㤴ㄵ挶扤敦㔴づ㘷攰㤱㥣㤵㌲扡㍤㈸㠶㘰〸摢㝥㉥㥤挵㈱㝦ㄴ〳㌰㡤扢攸㐹ㅣ㡥攲挲㘸㈱ㅣ㡦〶㘷㌹攱捤ㅥ昸㤸㑢㈱㠲捣戸㘱㡤㘶敦㙥㝥㡥慢㈲㐰愰㙡㉥㔵攰㐸ㅤ慢㜳㜸㄰敤〷㐳〴㠲昳〰昰攳㜰扥慢㍦㥣搸㐷㔹ㄱㅦ㍣ㄵ摣ㄵ㝡㔹昱愳愰ㅦ㔰㕦扢㈷捡摢㤷㘴㔸昸㍦㔸㘶㔴改摢㤵㈶攳㙤㐹捣㍥慤敡㠳㈷㙡搸捦愱愸愹ㅥ晢㥦挵㘲づ〷ㅦ㐳挳㕦敤挱㔸搷晦㐵ㅣ㡥㡣摥摣ㅣ㐶ㅣ㠲㥦㜹っ㔶戸㜶㙦慣㙥挸慦㠹慢㝢㈱㌱ㅣ慢㌶㘸㥦摥㡤晣づ扣搸㝡㝥攷〴敦慤挸敢戹㜹ㅦ愳摣㤷晥っ敦搵㑣挸㜶攳ㄱ㐶㍤㤶敢㌶愷换昳挳㑢㜴㤰攷〳挳㈸扥㈲㘸㠳摥㤲昶ㅣ㡦挱扤摡改ㅤ摤㜸㥤㤵㤵㜷㈳㜶㈳㤳戶愶扡㡦昲㝤戴㡥昳晥㘳㍥戸㠳搱昰㐲慢改㜹ㄲ㌰搸攷㈹㈶ㄳ㕢㝢攴㈹㐰㥢挱慥㑣㈶つㄹ挷㘱㙤㡤㜱㡤戳ㅡ挳愱摡ㄵ攸㠸戵慥愳㤸㜶搶挸戱ㄱ㌰㑦㐰㐰戵て㐲㤳㝢㘵敥挵㑡㑥戲㉢㔹㠰㑡㔴て㉡㘱㐵ㅣ挵〱昳㘴愲昷〵挶㔵愹ㄶ愷挰㘸昵㌹ㄴ戸㘵〳愵㝦㍥ㅢ敦㤴㥡散晦敢㥣晦㠳㑤昵捣攳ㄱ㡦㝤㔴挳改ㄳ㙡㕦㍢散愲捦慦摥㝥昸〵㝦昹搵昹晦戰㍦㥣换捦晢攳㠳敢昱㜳摡㜸戵〸ㅥ挳ㄱ挷㝣㥤攲つ㡡㌷㈱㔴㈷ㅡ昹ㄲ摥㝤㔲昶ㅥ㤹づ挷㔰晡ㅥ㤹攰㘲㐴㤲㡤敤っ戴㜷㐰扤敡㐴㤹ㅢ㥣㙡㠳〷㐷戹っ捣戳戸捡㕤㔰摢〴㌱㌷挷㌸ㅢ㍡昴挲㙥㡤昱㤰㕡〴愰换㐶挰㍣㤷攸㙥て㝤〰搱攷搹攸挹㐴攷ㅤ戴㑤晥〵㐴昳㉣搷つ愰㤶㍡〵愱㜳㈵ち敢㐶㈷昳㜱㔶㑢㈷㤸挲攷扤昱ㅢ戸㜴ㅥちて㍦㍡㕢搰㔰㕦㍡昷㜵っ愵慦愱〹ㅥ㠱㐸㐲攷愵㔸㉢搰㜹っ捡㐲攷摥昰昰攸扣㡣慢㝣㍣㑣㌶㥤捣戱㌱慥戰〹㕡搰ㄸ㑢慢㍤ㅣ㠲散昱㜶ㄵ搱㈷㜸攸攳㠸㕥㘵愳㘷ㄱ㍤摦㐱摢㜴㕥㐳㌴㡦挸㍣㍡㑦㜲ち㐲攷㈹㈸慣ㅢ㥤捣慢㔹ぢ㍡㘷㌷慤扡㥡㥦㐰㤳㍡ㄳㅥ㝥㜴捥㜱㔸㉢ㅢ㥤戳ㅤ㐳改㕢㙣㠲㘷㈳㤲搰㜹㈳搶ち㜴㥥㠷戲搰㌹ㄳㅥㅥ㥤㌷㜳㤵㉦㠴挹愶昳㝣㉣ㄹ户扡〴㐵㐲㙡㕡ㄱ㐱户ㄳ㝤㤱㠷扥㠰攸㍢㙣昴㠲㐶愰㥢ㅤ戴㑤晥㕤㐴㕦っ㡣㐷㈷慦慢戲㈰㜴㕥㠶挲扡搱挹晣㤸搵搲昹晡㠱㠳慥㥤晡晡ㅢ扤ㅢ晢搵昰昰愳㜳㍣ㅡ攱㍢㍡㜷㜴っ愵㉦挱〹㕥㠳㐸㐲攷〳㔸㉢搰㜹㍤捡㐲攷づ昰昰攸晣ㅢ㔷昹㈶㤸㙣㍡㙦挰㤲昱㤰㑤搰攴挶㜰㕡愵〰㜶〹〸㤸㡦㄰㝤戳㠷扥㤱攸挷㙣昴㙥㐴挷ㅣ戴㑤攷ㄳ㐴摦〲㡣㐷攷慤㑥㐱攸扣〳㠵㜵愳昳㑥搷愳搲摣㘹㙦散㈳㥣搱㔹摤愴敥㠵㠷ㅦ㥤摢㌹慣㤵㡤捥㌱㡥愱昴ㅤ㍡挱〷㄰㐹攸㝣ㄶ㙢〵㍡ㅦ㐲㔹攸ㅣつて㡦捥攷戹捡㡦挲㘴搳昹㌰㤶㡣㝦搸〴㑤㙦㡣挵搴〸㠷㈰㝢昳㝤㤱攸挷㍣昴㈳㐴扦㙣愳昷㈰扡搱㐱摢㜴扥㐲㌴㡦㜰㍤㍡㥦㜰ち㐲攷搳㈸慣ㅢ㥤捦戸ㅥ慢愷㜳摦摥㡤晤〵㜸昸搱㌹挴㘱慤㡣捥㉤ㅣ㐳改㉢㜸㠲㉦㈲㤲搰昹㈶搶ち㜴扥㠲戲搰戹ㄹ㍣㍣㍡摦收㉡扦〶㤳㑤攷扦戱㘴扣ぢ㕤敤戸挶〵㡤㘹戵㜱ㄱ㍦敦ㄳ晣扡〷㘶㈲㡢昱愱つ㥥〵昰㈰〷㙣㔳晦㌱挱㑣㔲昱挸㝣搳㈹〸㤹敦愲戰㙥㘴扥攷㝡慣㥥捣㔸搳慥昲㜹㝢扣晡〸ㅥ㝥㘴搶㍢㥣㤵㤱㌹搰㌱㤴扥扦㈷昸㈹㈲〹㤹㕦㘲慤㐰收㤷㈸ぢ㤹晤攱攱㤱昹㌵㔷昹ㅢ㤸㙣㌲扦挲㤲昱慤换㑦㑣搵ㄵ昱昳㍤挱摦㝡攰慦〹晥搱〶㘳慦愵㙡ㅣ戰㍤㌲㝦㈶㤸㠹㈹ㅥ㤹摦㍢〵㈱昳㘷ㄴ搶㡤捣㕦㕣㡦搵㤳㌹扦挹摥攰〷㌵㈹收慤昸㤱昹敢㜷ㄵ收捤㕦ㅣ㐳改换㝦㠲戵㠸㈴㘴昶挱㌳晤㐰愶㠹戲㤰昹ㄳ㍣㍣㌲㙢㘱㔴㑣㉤戱挹っ㘰挹攸ぢ㥤ㅣ慡㐶搳敡㍢㠰挹㠶㍤摡㑣愲〷㜸攸㝥㐴昷戳搱ぢㅡ㠱晥捡㐱摢㜴づ㠰愵㝥㝤㘰昰㕤㠷㈳换㐱慥挷敡㐹㙢㜶㌶攷ㅦ挶㉢㈶慡っ㐷ㅤ愵㐷㤶㥦㍡摣㤴㡤挰㑦ㅣ㐳改ㅢ㠲㠲㠳ㄱ㐹㐸㕢ㅦ㙤〷㘹㐳㔰ㄶ搲㍥㠲㠷㐷摡〶愴㠱戹ㅤ㌶㘹㐳戱㘴㙣〴㕤摦㜱㡤ㄳ㘶㌶挶㐲敡㍤㠷〷㜴㍦㡥扤㌷㈱㥣㔹㈳㌶扣㠱昰挱づ㝣〶攱㙦㌹㜰㥢戶捤〹ㅦ敥挱㤹愷㘲っ㜱攰㍢ㄱ晥㥡〳户晢愴㠱㜰㕥ㅢ㘴㌷戱㐲戵戵㔳㘰㌸㌵挲㈹挸〸摥㤶戱愰攵㑦晢㔴㍥捣户㐱㠳㥡敡㤹㥦㈲㥥慢敤㤴㈵㔷㌴㠹挷ㅥ慢散晦捦扣扥㐹㐵攰㌹ㅣ摡搲捥㜹ㄹ㙢攱㝢㈴昰㤲㘳㈸㝤㜱㔱㌰㡥㐸搲㌹㕢㘳㤵搱㌹㑣㑡㤱捥昹㈷㍣扣捥ㄹ㐹㍥㤸ㅡ㘲戳捤㑣ㄵ㘳㤴㐳摦挴挶㐸㕡㍤攷搰㘷戳扤㉤攱攳㍣昸昶㠴㙦〷ㅤ㌶㠰㕤㠸㝥捡㐱摢㘴㠷㠹收挵㙦㙦㠶ㄸ敦ㄴ㠴㕦㘶㥣攰扢昶晣搶㌳㍤㐵㍣㔶换㙢搵㔴㥢捦慡搷挶慢㘹㠰て昷攱昳㌱㠷戶戲挱晥愸㘳㈸㝤昱㔱㜰〶㈲〹㥦㐹慣ㄵ昸㘴㉥㡡昰昹㌰㍣㍣㍥搳㕣㘵㘶㠴搸㝣㌲㐱挵搸ㅥ㍡づ昶㠹㍣搱㝣搰㘱挸收㜳ㅣ攱昳㍣㌸㤳㔴㡣昱搰〹㥦㐰摦敢愰㙤㍥㈷㄰㍤ㅦㄸ㡦捦㕤㥤㠲昰挹㐴ㄳ㝣搷㠱㑦㘶愵㠸㐷㈵㍥敤搳搲摢挷换㘹ㄴ㑦㑢昷〵㝣戸て㥦㜷㌸戴㤵昱昹㔷挷㔰晡攲愴㘰〶㤱㠴捦愹㔸㉢昰㘹愱㉣㝣摥〶て㡦捦改㕣攵㐵㌰搹㝣㌲㔹挵㤸㘱ㄳ㌴扤㌱ㅣ㔳㌷ㄵㄱ㌴㡢㘸收㤲搸攸㠵㐴捦戱搱㝢㄰㝤㥤㠳戶挹摦㠵攸晤㠱昱攸㕣散ㄴ㠴㑥收㥣攰扢づ㜴㌲㐱㐵㍣㉡搱㠹㘸㔵㔵昷捥敤㍤戴敡〱㝣㌸㜴愵㥢晢㉡㠷戵㌲㍡慦㜶っ愵敦㕤ち㉥㐷㈴愱㜳㜷慣ㄵ攸㍣〸㘵愱昳㑡㜸㜸㜴敥挹㔵㍥ㄴ㈶㥢㈰收慤ㄸ㝢搹〴捤㙡㡣挶搴㥦ㅣ㠲散昱戶て搱㠷㜹攸㐳㠸㙥戱搱搸㠱挵搴挵づ摡愶㌳〳㑢晤㌱挰攰扢づ愴㌱㈳㐵㍣㔶㑢㕡㔳愷㐳㕡愸㐹㥤〸昸㜰ㅦ搲捥㜳戸㈹㈳敤て㡥愱昴攵㑣挱㤳ㄱ㐹㐸㕢㠸戶㠳㌴收愴〸㘹攷挰挳㈳慤㤵㌴㥣〹㤳㑤ㅡㄳ㔵㡣挵㌶つ戳ㅡ㈳㌱㜵愶㐳㠳㑤㕡㍢搱㘷㜹攸㌳㠸敥戴搱㌸昹㡣愹㔳ㅤ戴㑤摡〱戰搴㥦〷っ扥敢㐰ㅡ㔳㔰挴㘳昵愴戵㌸愴つ㙤㔲ㄷ〳㍥摣㠷戴㤳ㅣ㙥捡㐸㍢搱㌱㤴扥挱㈹挸晣ㄵ㈱㙤㌹摡づ搲慥㐰㔹㐸㍢ㅥㅥㅥ㘹㉢㐹挳搵㌰搹愴㕤㠹㈵攳㈰㥢㠶㕤㌸㜶㡥㜶㘸戰㐹㍢㠴攸㔵ㅥ㥡挹㈹挶㘱搰搹搳㈶攰㠷㍢㜰㥢戵㈳㘰慡㘷ㅥ〹扥敢挰ㅡ㤳㑥挴㘳戵慣扤戶戴㜷愸㌱晦㘴戸て㙢〷㌹攴㤴戱㜶愰㘳㈸㝤捤㔳㤰ㄹ㉢挲摡㜱㘸㍢㔸扢ぢ㘵㘱㙤〵㍣㍣搶㑥㈰て昷挲㘴戳㜶㌷㤶㡣㤳愰㤳慢㜰㌸㤸改㈹愲攱㘴愲敦昳搰昷㄰㝤㡡㡤㥥捣㐳㥦㈵づ摡收昸㌴㔸敡ㅦ〲〶摦㜵㈰敤㘱搷愳ㄲ㘹摢㑥摡散挳㌷ㄲ㠱昱㕢ㅣ㜹搷昹ㅦ慤晣㝣㐷挵㠴㤳攱㍥愴㉤㜶戸㈹㈳㙤㝦挷㔰晡㉥愸㈰㔳㔴㠴戴戳搱㜶㤰昶㉣捡㐲摡㈲㜸㜸愴㥤㑢ㅡ㤸ㄳ㘲㤳昶ㅣ㤶㡣昳㙣ㅡ㜰晡ㅤ㔷昹㈲ㅡ㉥㈰㥡戹㈱㌶晡㜹愲㉦戲搱㌸晤㡥慢晤ㅣ戴㍤搲晥〸㑢晤㉢挰攰扢づ愴晤摢昵愸㐴摡〳㕦㡦搸晢㤴晢㕦敦扤〴挴っ㤳攱㍥愴敤攵㜰㔳㐶摡〲挷㔰晡挲愸攰摢㠸㈴愴㕤㠱戶㠳㌴收㤰〸㘹㝢挰挳㈳敤㉡搲挰㝣て㥢㠶て戰㘴慣戲㘹挰㔵㜷㕣㜲㜴㘸戰挷捥㌵㐴㌳敦挳㐶㝦㐸昴㕦㙣㌴㉥㥦愷搵捥づ摡㈶敤㝡愲㜹㐷挹摢戱㌲㠱㠴〵㐶慢晦ㄲ〵㝣搷㠱捥慦㕣㡦㑡㜴㈲㕡㔵搵攱ㄳ㝡㜷慣捣㉢ㄹづ㕤改㡥㜵㠶挳㕡ㄹ㥤㍢㌹㠶搲昷㑤〵㝦㐴㈴愱昳㔶慣ㄵ攸晣ㄵ㘵愱㜳ㅡ㍣㍣㍡㙦攷㉡㌳愹挳㈶㠸敢㘶摣〱㥤㍤㠱㐵攲慡戹㠸愱扢〸敦攳挱㤹㘷㘲摣〳㥤㝤ㅣㅤ㔷㑤づ摡㘶晦㍥㔸敡㑤㘰㔰昵㍡戰挶昴ㄱ昱㔸㉤㙢㔵㉥㙢㌸㌵㘴㈶挹㜰ㅦ搶戶㜷挸㈹㘳㙤慣㘳㈸㝤㉢㔵㤰戹㈷挲摡㐳㘸㍢㔸摢〰㘵㘱㉤〵て㡦戵㐷㐸挳㈶㌰搹慣㌱慢挴㜸っ㍡戲戶ㄳ捦㈷㘲㐵㍣㍣㐱㌸ㄳ㌸㙣昸㐶㠴㍦改挰㘷ㄲㅥ㜲攰昶㤹攴搳㠴て昶攰捣㉥㌱㥥㜵攰㌳〸ㅦ敤挰敤㔱晢㍣㑣昵㕢ㄲ戴㉥㉣〳㡢て捥昹㤸㉥㈲㥥慢㘵晢戵㘳㥡挴愱敡〴晢晦愶㔳㥡ㄴ㌳㐸晣㔸摦ㅡ捤昳㍤攷摢捡㌱㤴扥〵㉢㌸ち㤱㠴昵㤷戱㉥㘰㥤㠹㈳挲㝡㈳㍣㍣搶㕦㠱㔱㌱㝤挳愶㤱搹㈴挶慢搰㘱昰攱戰㉥愴㠶ㄶ搱昲㍡搱㔱て捤㠴ㄲ攳㑤ㅢ㡤㐳挶㤰摡捣㐱摢㐳昵㙤㔸敡搳挰慣摢㔰㘵㥥挸㙡㠷㙡㐱㍥㉦㡣㕦摦扤愱挳㤴ㄱ㍦搲㌶㜲戸㈹ㅢ慡ㅢ㍡㠶搲㔷㘵〵㤹㘴㈲愴㝤㠸戶㠳戴挹㈸ぢ㘹㠳攰攱㤱昶㌱㘹㘰㙡㠶㑤ㅡ㌳㐵㡣㑦㙤ㅡ昶攰昱㑣搰愱挱ㅥ㑢㥦ㄳ㍤摤㐳㑦㈵晡㑢ㅢ㍤㥤攸晥づ摡㈶敤㙢愲㤹〹攲捤㤷㌳㥣㠲捣㤷㑣昸㔸㌷㍡㤹ㅤ戲㕡㍡㘵っ摥㥢戵挷㘰㔵㘳㤳㘲愲㠸ㅦ㥤㝤ㅤ搶捡攸㌴ㅣ㐳改㥢戶㠲扢㈳㤲搰昹㈳搶ち㜴敥㠵戲搰㔹〳て㡦捥㥦戹捡捣攵戰改㘴搲㠸昱慢㑢㄰㌶捤慡㈲㠲㔴ㅤ搰捣改戰搱晢㄰摤〷㍡㡣搸㍤戸㈱晦昴慤㝥㜳戲ㄶ㤶㝡ぢ㤸㜵㈳㡤改㈰㙢㈶慤㉡收散㘴㌰㕤㌲㌳挴㡦戴㙦搱ㅣ摦つ昷ㅢ挷㔰晡㍡慥㘰㍢㈲〹㘹晤搰㜶㤰挶㠴㄰㈱敤㉢㜸㜸愴つ㈰つ㑣摥戰㘹㘰㤶㠸㔱㙦搳㠰㑤㌱慥㍥㜳㘸戰㐷搵㝡㐴㉦昵搰摤㐴慦㙦愳戱㤹挷搵㐷づ摡ㅥ戱ㅢ挰㔲㝦㄰㌰敢㐶ㅡ昳㍦㔶㑢㥡扤攱扥搳㝢愰㜳㌸㍣晣㐸㝢搷攱愶㙣愴扤攳ㄸ捡摥搹㜵ㄴ㈲慤改㥤㕤㝣敥㠹搵㉤敦㤵慡挷愰慦㉤昰㐹㉤晤ち戶㥡昹ㅥ㜸㔶㑢㙢㕢㥢㍣收愴㍦㕥戱搳戵搸敡㥡㠹㌷㐹攱挵㍡昳㕡摢㥤攷㙣攰つ㔳㝣㘳㠹晢ㄲㄷ㔳㑡㜴㌶ち㜳扡昰㔶㤷扥㠵改摤㜸〳㔸扥慥㝤攷㑣㑦㡦搵搵昱㝦攱晤㍢㜸昰っㅦ㉡㡡㡦晤收ㅤ摦㘷扥昰㘱㉥扥戹ㄵ挲搸㤸㕥㍥㘶攲摤㔰㑣㘲愹收㥢㜹晥戳㤷㠱ㄹ㠳㌱挴摣挷㘰攵戵㜷㑤搵愸户搰挵㜶昶改攱㔵扦戲挹㑣摢㌰㌷攷㘰摤〲愲捦㠴敥㜶㐹戵㠲〸㤸㐳愰戱摦敤挳㠷㥣㔵搵ㅥ㠳㘱㔰扡㜲㝣ちて㥦搰㔸㔵扢扣㌵摦戳挸㔸㘴戵㉥㕣搴㠳愷敤昴攳ㅡ扢㥦㥡ㄳ攰扡扡㡣ㄴ㙥ㅡ㝤摢㕢㌲㕤㕤㤹㤵㜵敤㉤㙤㔶挷挲㥥㐵㜵㉤换㤰㠰㠳㜷㘴㘱扡慡慢慢㌳ㅢ搰ㅥ㔶挵㥦㍡ㄹㄱㄹ搵ㅣ愶㙢捦㠰㠶愳搵搸ㄲ㕡㝦ち晥攵㑢挱㜰攰㡤慤㈰㡡㈹搸ㅡㅡ㡤〲㜵ㄶ㘲㤳〶昷愳捥㐵㐱㥡㌱ㄲ㐸慦㜱ㄷ戸摡㙤㜴敤愵搰㑡攳㐶㐱敢摦戸攷㝣ㅢ户㉤昰挶ㄸ㠸攲挶㙤〷㡤摥戸换㄰扦愸㜱㔷戹捤〸〳改㌵敥ㅡ㔷ㅢ搱戵㌷扡㡤㡢㐲敢摦戸挷㝤ㅢㄷ〷摥㐸㐰ㄴ㌷㉥〹㡤摥戸㥢㑢ㅢ㜷扢摢㡣㌴㤰㕥攳敥㜲戵㘳㜵敤〳㙥攳戶㠷搶扦㜱て晡㌶㙥ㅣ昰挶㡥㄰挵㡤ㅢて㡤摥戸扦㤵㌶敥ㄱ户ㄹㄳ㠰昴ㅡ昷㠴慢㥤愸㙢㥦㜵ㅢ㌷〹㕡晦挶摤改摢戸挹挰ㅢ㔳㈰㡡ㅢ㌷ㄵㅡ扤㜱捦㤷㌶敥㐵户ㄹ搳㠱昴ㅡ昷㡡慢摤㐹搷扥改㌶㙥〶戴晥㡤扢挹户㜱戳㠰㌷㘶㐳ㄴ㌷㙥づ㌴㝡攳摥㉥㙤摣晢㙥㌳㜶〱搲㙢摣挷慥㜶慥慥晤搲㙤摣㍣㘸晤ㅢ昷㘷摦挶敤ち扣戱ㅢ㐴㜱攳㜶㠷㐶㙦摣搷愵㡤晢摥㙤挶㥥㐰㝡㡤晢搹搵㉥搰戵扣㍦挹慤搵攴搶㕡愳晥攴摢㤰㝤㔸㈳户捣摥㔹戳㠵㉡㑥㤸㈲慡ㄴ㙦㘵ㄶ㙤㤵㈶ㄴ㌲㘵㘴㠰昴ㅡ㌱挰搵㘶㜵㉤敦昷挹㤴㤱㠳㔶㝦捤㐱昱戴㝥扥㙦攳㉣昸ㄸ〵㠸㘲㤶ㄶ㐲愳㌷㤰户つ㡢ㅡ戸㠹摢㤴㔶㈰扤〶㙥敥㙡昷搷戵つ慥㜶戱慥摤ㅡ㕡㘹㜶ㅢ戴晥ㅤ㝢㠶㙦㤳㍢㠰㌷㍡㈱㡡㥢扣〴ㅡ扤挹㈳ㄱ扦愸挹摢扡捤攸〲搲㙢㜲搸搵㜶敢摡愴摢戸ㅥ㘸晤ㅢ㜷㤲㙦攳㤶〱㙦㉣㠷㈸㙥摣ち㘸昴挶愵㑢ㅢ㌷捥㙤挶㠱㐰㝡㡤㥢攰㙡て搲戵㔳摤挶ㅤっ慤㝦攳㡥昲㙤摣愱挰ㅢ㠷㐱ㄴ㌷敥㜰㘸昴挶㑤㉦㙤摣㉣户ㄹ㐷〲改㌵㙥ㄷ㔷㝢㤴慥摤摤㘹㥣挹㝤㐴㡤㍡挸户㈱挷戲㐶敥て㝡㌷㠹攳愹搲㌶㠹㍤㑢ㅢ戱㡦㕢摤㠹㐰㝡㡤挸戸摡㤳㜴敤㐲户ㄱ昶㜶搹敤摢㠸摦戱挶攲敤昲搴㤲㐶戴㤶㌶愲摤慤敥㜴扤扡〳㕣敤ㄹ扡㜶戹摢〸づ昰ㅡ戵搸户ㄱ扦㘷㡤ㅣ捣扤㑣㥣㐳㤵挶挴捡搲㐶ㅣ攲㔶昷〷㈰㍤㈶㡥㜰戵攷改摡攳㥣㐶ㄸ攷㐳敢㍦㔶㜲扥つ扢㄰㜸攳㈲㠸攲戱㜲㌱㌴㝡攳㑥㈸㙤摣挹㙥㌳㉥〱搲㙢摣㘹慥昶㔲㕤㝢戶搳㌸㤳㝢挵ㅡ戵㤷㙦㐳㉥㘷㡤摣〳昶㌲㜴㈵㔵ㅡ㐳攷㤶㌶攲〲户扡慢㠱昴ㅡ昱㐷㔷扢㑡搷㕥攱㌴挲昸㌳戴晥っ捤昳㙤搸戵挰ㅢ㝦㠱㈸㘶攸㍡㘸昴挶㕤㔵摡戸㙢摣㘶摣〰愴搷戸敢㕤敤㡤扡昶㔶愷㜱愶㍤㠶㘶昸㌶攴ㄶ搶㔸㍣㠶㙥㉢㘹挴敤愵㡤戸换慤敥慦㝡㜵昷戹摡㍢㜴敤㐳㙥㈳戸㠳愹㔱㤳㝣ㅢ㜱㌷㙢攴㡥愴户㥢敥愵㑡敢愶㐷㑡ㅢ昱㠴㕢摤晤㐰㝡㑣㍣敤㙡ㅦ搰戵扣㈰㈸㝢挴〷㜵㉤㉦慤㘹㍢攰戱扥㑤㝢㠸敤㈸摥搰ㅦ愱㑡㙢摡㉢㠸㔳戴戳㜸摤慤敥㌱扤㍡㕥㔰㤳㐶㍣慥㙢㜹愹㑡昶㘴㑦㐰敢㍦㠲㈲扥つ㝢ㄲ㜸攳㈹㠸攲ㄱ昴㌴㌴㝡攳㍥㉥㙤摣攷㙥㌳㥥〵搲攳㡤ㄷ慥愴㜱捦改㕡㕥昸ㄱ㠶散㙤㙣ㅢ摦㠶晣㠳㌵ㄶ㙦㘳㉦㤶㌴攲攷搲㐶昰㌲㤰㔴昷戲㕥ㅤ㉦昷㠸昶㕦扡戶ㅦち搲〸㙥㘳㌵㙡㤸㙦㈳㕥㠵捤攴昶搴㍢㠲㕥愷㑡敢㈶㕥㜳㈹敡㈶㕥㔶㤱敡摥挴㠲挷〴㉦㥦㠸昶㉤㑤㕢换㌳搸戵㍥扤收㥦㉥慣㡦ぢㄱ㙤㔶㡥㙦㘰㥥㠸昷昸㡥㙡挳㘹昲㕡扣㌶昹㙤搴愳㠶㔰㈰㠶昹㡥搶㠴晡〶㐷㕢挷㜳搹晡㘱㝡㐹つ㐷㠹㑤㌴摦愵㝡㙢挷㘶扥㠷〵㜷挵敡㜹〲挹愸戶晦㌶㝡㐹昱〴㔰晣摦愷㝡㍢挷㘶㝥㠰〵捦㥦攷㜸扤晥ㄱ扤愴㜸㡥㈶晥ㅦ㔲捤㔳㌳㘹晦㐷㔸昰晣㜹ㅡ搶敢㍦㔶㉦愹㜱㈸㠹晦挷㔴㡦㜷㙣收㈷㔸昰晣㈷㌸㕡扢晤ㄳ昵㤲㥡㡣㤲昸㝦㑡昵㔴挷㘶㝥㠶〵捦㝦扡愳戵晤㜷搲㑢㙡ㄶ㑡攲晦㌹搵㜳ㅣ㥢昹〵ㄶ㍣晦㕤ㅣ慤敤㍦㔷㉦㈹㥥㉦㠸晦㤷㔴昳㌴㐱搶晦㉢㉣㜸晥㍣㈵攸㕤晦〵㝡㐹敤㠳㤲昸㝦㑤㜵㡢㘳㌳扦挱㠲攷㥦㜱戴㜶晤㔹扤愴㉣㤴挴晦㕢慡ㄷ㍡㌶昳㍢㉣㜸晥慤㡥搶昶摦扦愸戴㔸㉦愹づ㤴㈴摡昷㔴㉦㜱㙣收て㔸昰愲㜵㌹㕡㍢㕡户㕥㔲换㔰ㄲ晦ㅦ愹收攱慢戰昱ㄳㄶ㍣晦〳ㅤ慤敤㝦㤰㕥㔲㍣搴ㄴ晦㥦愹收ㄱ愶昸晦㠲〵捦晦㐸㐷㙢晢ㅦ愵㤷搴戱㈸㠹晦慦㔴昳攰㔰晣昱捥㠵㕥晦ㄳ㜵㡦晡㤳昴㤲晡ㅤ㑡攲慦攰愱㑥㜵晤慢㜵晦搳㜵㡦晡㌳昴㤲攲㜱㤹昸昷愱㍦て挹愴晥ㅡ摤晦て扡㐷晤㜹㝡㐹昱昰㐹晣㙢改捦愳㈶昱㌷㜴晦㑢㜴㡦晡㑢昵㤲扡摣昵敦㑢㝦ㅥ昰㠸㝦㥤敥㝦戵敥㔱扦㑡㉦愹㙢㕤㝦㤳晥搷戹晥〱摤晦〶摤愳晥㐶扤愴㜸㑣㈱敤敦㐷㝦ㅥ㑥㐸晤晤㜵晦扦敡ㅥ昵㜷攸㈵挵挳〱昱ㅦ㐰㝦ㅥ〹㠸晦㐰摤晦㝥摤愳晥㠱愲ㄲ昷昲昴㤰戱愱ㅥ㐲㐹愲搵㌳摡㈳㡥捤っ敡搱ㅥ搳㍤敡戹㠳敥昵㝦搲昵㕦㡦晥㑦扢晥扦搱晤㥦搵㍤敡戹て敤昵攷晥㔱敡㕦㥦晥摣㌵捡摡っ搲晤㕦搶㍤敡戹晢敢昵㝦搵昵摦㠰晥摣慢㠹晦㠶扡㍦昷㘰㥥㐷㍤昷㕣㕥㐹挹㉥㠵㝢㤳㡤攰攱㝥㠲摣戵挸㝤㡡㡤愱㌵㌷㠱ㄸ㌰㔰扤敢〶摦㔴㠷㜲㉦㈲搰挱㠴㙥㘶㐳㘵㐷挱愸㥢敢搰て㕣攸ㄶ㠴づ戱愱ㅦ扡㔱㠷敡㔰敥ㅢ㈴㙡〳愱挳㙣愸㑣晦㡣扡愵づ攵㙥㐰愰㡤㠴づ户愱㌲搳ㄳ㕡搴㔶捥昸〲摤㥡搰ㄱ㌶㔴㈶㜵㐲㐷愲散㝥㠲㕦戸搰㙤〸ㅤ㘵㐳扦㠴㔲攸ㅤ慤㐳㌹㡦㑢搴㙤〹ㅤ㘳㐳㘵慡㘶搴㈲〶㌸㘵ぢ㌴㐴㘸搸㠶捡慣㕣〶攵散㉣搰㈸愱㌱ㅢ㉡㔳㉥愱㐵㘴㜱敡ㄵ㘸㠲搰愴つ晤ㄱ㑡㘹㙢ち㘵昷ㄳ攴㉣㉢搰㌴愱㘳㙤攸捦㉥戴㠸㉣㑥愸〲摤㠱搰㜱㌶㔴收捣戲〶㜰敥ㄴ攸㜸㐲㥢㙣愸㑣㡦㠴ㄶ㌱挰㘹㔲愰ㄳ〹㥤㘴㐳㘵㈶㉣㡢捡ㄹ㔱愰㤳〹㥤㘲㐳㘵搲㈳戴愸慤㥣晣〴㍡㡤搰改㌶㔴收户㌲㈸攷㌹㠱捥㈰㜴愶つ㤵愹慣っ捡㈹㑤愰戳〹㥤㘳㐳㘵搶㉡㙢㉢㘷㉦㠱敥㐲攸㕣ㅢ㉡ㄳㄴ愱㐵っ㜰愲ㄲ攸㝣㐲㜷戵愱㌲晢㤴㐱㌹ぢ〹㜴㜷㐲昷戰愱㌲搱㤴㌵㠰ㄳ㡥㐰ㄷ㄰扡㤷つ㤵㌹㠵搰㈲戲㌸户〸㜴ㅦ㐲昷戵愱㌲㝤㤴㐱㌹㡤〸㜴㍦㐲㌳〲つ㜲愶愰㜲㐰㔰㜱㝡㤰晢㤷ㄷ㝥㘳摦扦ㄴ㜰づ㕡挵㐹㐳㑣攷㍢愶㠹㜰愹挳㙢〴摣戶㈸㑥ㄸ㠲㌸㑦㜷㉥搰㤹搳㠸㤸捥㉤㜱㜶㤹㔴㥣㐲〴㜱㡥敥摣㑡㘷㑥㉣㘲晡㝤㠹戳扢搱㈸㑥㉡㠲㌸㑢㜷㙥愳㌳愷ㅡ㌱㥤㔱攲散捥㌹㡡搳㡣㈰㑥搷㥤㍢改捣挹㐷㑣愷ㄶ㍢㉢捥㌷㘲㌸㐵昷改愲て㘷㈱㌱㥤㕣散ㄳ攴㜴攴搰捣㌹㐸㌰扦搵摤㤷搲㥤㌳㤳㤸㑥㉣㜱攷ㄴ攵戸㜳㕥ㄲ捣〹扡晢ち扡㜳戶ㄲ搳㜱挵敥㡡ㄳ㤴ㄸ㡥搵㝤㠴㕦㑥㕢㘲㍡扡挴㠷㌳㤵ㄸ㡥搲㝤づ㠵㔶㜱晥ㄲ搳ㄱ㈵㍥㥣戲挴㜰戸敥㜳〴㝤㌸㤱㠹改搰㘲㥦㈰㘷㌴㘷搵㌸㡤〹收㄰摤晤㘸扡㡦㜵㑤〷ㄵ扢㉢捥㘷攲㜳愰敥㜳ㅣ㝤挶戹愶ㄵ㈵㍥㥣搸挴㘷戹敥㈳㈳㠶搳㥤㤸㤶㤶昸㜰㠶ㄳ㐳㡦敥㈳ㄴ㜲摥ㄳ㔳㔷㠹て愷㍡㌱ㅣ愰晢〸ㅤ㥣〰挵搴㔹攲挳㌹㑦っㅤ扡㡦㙣㐷搳㕤㔳㕢㠹て㈷㍦昱㔹慣晢挸㠰㥣改㥡㕡㑢㝣㌸ぢ㡡捦㈲摤攷㕣㘸ㄵ攷㐶㌱ㄵ㑡㝣㌸ㅤ㡡挱搲㝤㘴㝤㌸㐹㡡㈹㔷攲挳㜹㔱っ㔹摤㐷㠶ㄱ㘷㑢㌱敤㔷攲挳〹㔲っ㉤扡㡦㜰捤㘹㔳㑣晢㤴昸㜰愶ㄴ挳摥扡捦㘵搰㉡捥㥦㘲㕡㔰攲挳㈹㔳っ㝢敡㍥挲ㅢ㈷㔲㌱敤㕥攲挳戹㔳っ扢改㍥挲㕢挶㌵捤㉦昱攱ㄴ捡挳挲㠰㘲㍦摡㑢㕣ㅢ㝢㠹攳捥㕥攲戴㘳㉦戱つ昶ㄲ攷〵㝢㠹㥢戸扤㐴昶散㈵㜲㙦㉦㜱㉢戱㤷㌸昶敤㈵戶捡㕥㈲て戲搴敦晦〱㘶㙦㔰㝦</t>
    <phoneticPr fontId="10" type="noConversion"/>
  </si>
  <si>
    <t>㜸〱敤扤㜷㥣ㄴ㐵晡㍦扥戵散㌶摢㐳搸㌱㝢㐶㐰㔴㄰挴挹〱㐵愲㈴ㄱㄴ㌰㥣〹㈷昴挰捡〶搸㕤㄰捣㌹㡢㡡㤸〳㡡㌹攷㥣㜳㌸㈳㝡攸愹㜷㠶昳搴㍢㍤㐵捦㜴敡挹敦晤㝥扡扡愷㘷愶㘷㐱㍦晡晡昹挷户㘱㥥敤㝡敡㕤㑦㔵扤慢扡慡扡晢改敥ㅡ㔵㔳㔳戳ちㅢ晦㜲慢攳捥㈶搳ㄶ㜶㜴㕡㉤㐳㐶户㌵㌷㕢戹捥愶戶搶㡥㈱㈳摢摢㌳ぢ㈷㌵㜵㜴㜶〳挰㤸搱㠴昸㡥晡ㄹㅤ㑤〷㕢つ㌳收㕢敤ㅤ〰搵搷搴㌴㌴㤸戵㠸晦㠳晥〵㥤㠰挹㔴㘶ㅤ〵㔰㌵愶㐱搱㥤愲㠱挲愴〸㔰昴愰攸㐹搱㡢愲㌷㐵㈳㐵㤰㘲㉤㡡戵㈹搶愱㔸㤷㘲㍤㡡昵㈹㌶愰搸㤰㠲昹㥢ㅢ㔱㙣っ搱㜳ㄳ㠸改愳㐷㑤挹ㅥ㠸摡㑣敢㙣㙢户〶昷搹挳㉥昳戰㜰㜸㐸㜸㐸㈴㥡づて〹つ敥㌳㝡㕥㜳攷扣㜶㙢㔸慢㌵慦戳㍤搳㍣戸捦慥昳戲捤㑤戹㥤慤㠵搳摢㘶㕢慤挳慣㙣㈸㥡捤挴㔲攱㔸㍣㕥㐸愷㔳㍤㌷㠵攵挹愳㐷敤摡㙥ㄵ㍡㝥㉤㥢㥢搱收㤴搱愳㠶㑣戶㍡㝦㉤㥢㥢挳㈶㑣㡥㘹㙢挹㌴戵晥㑡㐶敢搹愶搱㌱㔶慥㠹㡤㙦㔹敤㑤慤㌳㠷愰搸㈵㐴㈳㤴ㅣ㌲ㄶ㡣攷㌲ㅤ㥤愳慤收收愹㔶㠱敤摥戳㠵㥣㔹敤㔶㙢捥敡攸摤戲搳㠲㥣搵慣愳㍢ㅡ㕡昶挸戴㑦捥戴㔸㜵摣㘹㙣戱摢㙤㐲摥㙡敤㙣敡㕣搸慢㘵昷づ㙢㙡愶㜵愶㐵㐸㝤换戸㜹㑤昹扡㍡㔵㔷㔷搳㙤㙢扦挲㐸摢っㄹ摢㥥ㅢ㍤㉢搳摥㈹㈱戶㕡搸て敢改㈱㔲昰㤲㘲戱ㄷ昵㈹㑢挵㘶㥡搶搴戲戳搵摥㙡㌵㌳ㄳ㌶摥愰㌲㤰㜰㘲㔳敦㤲攳搴㠶つ愳㝡攸攳㡤㔵㘱㉥㘶ㅦ㡡扥㄰㐶㍦㠸攰㠴搶㑥㙢㘶㝢㠶〷㘲㥦改㔶㐷愷戹〵攳晢㐳愸扡户㜰昰㝡搳昳〰慡㥤㤱愹㥤㤱慤㥤㤱慢㥤㤱慦㥤㘱搵捥㈸搴捥㤸㔹㍢㘳㔶敤㡣愶摡ㄹ〷搶捥㤸つ㡣戳㌵㜴敦㕥慢户扤㙥晦昶㙦攷㝥戳㜲攲㍤摦㕦昳㝡搳愶㘷㝤慥㜸扣捡㠱扢ㄵ㜶捣慤㈱㡣〱摣摢扤戵愹搳㉥挸㐰〶户㠱㔰敡捦㈸〸ぢ昳晤㕡㡦ㅣ㜲昶㝡㘳㈶㕦㌹㝦捦㤶㐳づ晢㙡搳㝡ㅥ昰㜱㍦㑡捡搹ㅥ搹搱㌱慦㘵づ㙢愹㝢㠲㡣つ㉤㘳㍡㍡㜷捤戴户㜴晣扡㕤〶ㅤ㘶㜵㝤㘶㘴㐷换㙦摦㘷㤰挹慦搲㘷㡣挱愰㜹昰攴戶昶ㄶ㡣㕢扢㔸㤹搶㘱愱㈱搱昸攰㘹㥤昹㌱搶㝣散㠷挲㠹㤲㉤ㄹ㌵户㘵攳つ㠱㌰戶㠳攸摤搱搴㌲慦㔹㍡搹搰㜸㜸愸ㄹ㘲㙣ㄸ㐲愹ㄷ㜵搳㍥扦敢㜶㌳晦㥢㝢㘷捡㠳ㄷ㍤搹昱㤷㝦㙣戲㠹攲㌰㉥ㅤ㈴㑡㜰っ挲㠸㐳昴ㄸ摤㤶户晡㑣戵收㌷㔹〷㤹〹㐶㈵㈱㤴㝡㐶摢㤹昲攴愴㘷摦㍣晢搳戱㘷㥦昰捣晥收攰㑦㐷㈸㡥〸㘲㈷㑤昰㔰〸㘳㝢㠸㥥㔳慤戹㥤ㅤ㡥愱ㅤㄸ㌷っ㐲愹挷戴愱攵㕢㐵晡㝤昱挷㘳㐶㥦㍣愷摢㤷㐷㙥摥敢㜳挵ㅥ挳晥㘶っ㠷㐸㑦㙦㙦挲㌸㠱㑡戵て摥愵愹㜵㔸㈴㤶㠸て㥥搴㌴摢㙡㙥挲㐱㌴㉣㤲づ㠵〶敦㤲㔹㌰㉣ㅡ㡤挶㠶愴㍤㕢摣ㅣ㠱攴收㐸ㅡㅡ〵㔱㌷㜲㝣㌴㘱㡥愶㙥っ㠴㔲昷敢晣㍢㍦㝣攱搶㜹㔳㜶ㄸ㝦捦搹攷㐵摥昸昰昰㕡挵㠹㑣昲ㅦ㡢㥤晦㐳晥攳㤸搷㜸〸㘳〲〴昲㡦㐵捣㠹搴敤っ愱搴ㅤ㍡晦昵㑥㍡攴捡摢㕦扢㝣攲攵㥢㥤㜶摢扥㑦昷扤㐲㜱づ㤵晣㜷挱㑥㔹㙦〸㜷搱ㅢㄲ〹㜳㌲捤㑦㠱㌰㜶㠵昰昶㠶㜴㝡愸戹ㅢ㘳愷㐲㈸㜵愳捥扣昷戹㤷㍤㍣攰㠶ㄵ㔳捥㕡昴昶ㅦ㍥㕣昹挴㐴挵愱㐷㕡㜱㍡挱扢㐳ㄸ㝢㐰昴ㅡ㘳㜵㌴捤㙣㜵㥡㜱㑦㐶敥〵愱搴搵摡搲㌷㍦晣戳搷㤳户摣㌳攱㤲搹て摦晦捥㤲㡢戶㔷㕣〰㠸愵扤〹摥〷挲搸ㄷ㐲㡦㜳昶搰戳ㅦ愳昶㠷㔰敡㌲㙤攷摡ㅥ扢㉦慤㘹㍢㜲攲挵换晦㜲敡攵㕢㌶摣慤戸㠶㄰㍡づ挰捥挰戲敥㤰㐴昳ㄷ㝢㐳㑡㜷㠶㜰㈸ㄴ㌲㌳㠰㥢㔹〸㈳〷〱晡攳㈹㌳㑦㥤〵愱搴〵㍡扦搷昶搸愷昶㝦㘷㕤㍤昹晣ㅢづ晢㘱敥晢扤㌷㔳㕣慥㐸㝥㌳戱㌳愴㉣扦㌰㌲昴收ㄸ㐱搰敥㠰㤱㈸㌳㥤挵っ㥡㈰㡣〳㈱㤰㘹㈲㘴㜲愴㌶㥢㈱㤴㍡㑢㘷扡晦慣㤷㥦昸㙣㐱㘰捣㡤㠷㙣㜱挸ㅤ摢㝤㜸愰攲昲㐸挸㙡㈵戸つ挲㤸〳搱㌸㌲㤷戳收㜴㘶㌰挱摡㠴捤㘵㜴㍢㠴㔲愷㘹㕢戳㉥晥愰㙤戳晥晦ㅣ㝦昹散㈷扦㕤晢挸㌳攷㉢慥戲愴〲㥤搸ㄹ攰ㅤ㑤愲㈱㘷㉣〹て㈹ㄹ㐸ㄲ㠹愴㌹㡦愶攷㐳ㄸ〷㐱㜸晢㑥㍣㌵搴㕣挰搸㠵㄰㑡ㅤ慦㌳敥戸㜰挵㌹㕢捥敥㌵改昶㐹扤㘶晤攵搱ぢㅦ㔱㕣搹㐹挶㠷㘰愷慣攳愶扡敡戸㔱昳㔰㥡㍦っ挲㌸ㅣ挲㥢㜹㈲㌴搴㍣㠲戱㐷㐲㈸㜵㠴捥㝣昲戸㘷㝢ㅤ㍤昱㠸㥤㙦㤸搰㜳摦搱㜳昷摡㐷㜱㐵㈹㤹ㅦ㡤㥤㠱摥㕡愳㌷㌸搵㡥づ挱㌸攱摤攲收㌱㠰㥢挷㐲ㄸ挷㐱㜸㜳㑥挷㠶㥡挷㌳昶〴〸愵ㄶ攸㥣搷晥敢慣敥昷㍤㍢㙥挴㈹晦㜸㜵搶㝦摦㌸㘴愰攲㌲㔶㜲㍥〹㍢㍦愳㠳㥥㑣摢愷㐰ㄸ愷㐲戰㠳㐶捣搳愸㕢〴愱搴㕣㥤摦㜴㜵攸戰攴㈹㙦㑥㝡㜰㥤㔹㥢㍣昰捦敤收㈹慥㤸㈵扦㌳戰㔳㔲搳㐸搴愹㈸收㡤戲㉤㙣㥥㐹摢㡢㈱㡣戳㈰扣㌵㑤愱㠱㤷㌰昶㙣〸愵づ搴㌹慦晡㜴改挰户㜶晡换愴晢晢慤晤㔹㜶敢晡敦搵㝡㠸㤶㥣捦挵捥㈰㉦挷愱㈱攱㘲搶攵搳ㄴ〶愶昳㘸晤㝣〸攳〲〸㙦摥改攸㔰昳㐲挶㕥〴愱㔴㑥攷㝤挲搹㠳愳㑤㕦㉤ㅢ㝦晢晢昵挷㕤扦昴搳攷ㄴ捦づ㈴敦㑢戰昳㌳㔸㕥㑡摢㤷㐲ㄸ㤷㐱㜰ㄴ㑥㤸换愸扢ㅣ㐲愹㝤㜵㝥㑢愳㐷㈷㜶㥦搷㌲改㤸㌳㑦晦攲㡥㐷摥㌷搴〶㠸㤶晣慥挴捥捦挸敦㉡摡扥ㅡ挲戸〶〲昹㐵㘲收戵搴㕤〷愱搴敥㍡扦慦㥦㕤㍡㝢㠷搰户攳㡦扢㝥㡢慤扢㍤戰㝣㤵攲㌹㡦攴㜷〳㜶捡㘷㥤㔸ㅡ㠷㙥㜱㥣㡢㍢〳ㅤづ攲㜴挹慣ㄷ㌶㙦㘴㕥㌷㐱ㄸ㌷㐳戰㔷挵捣㕢愸扢ㄵ㐲愹挹㍡晦挹㠳扦㡤摣㌶攰捡戱愷扦搲㌸㜶挳愷挷散愲㜸扡㈵昹摦㡥㥤戲㠳㌷㤱敡愲㜱愳收ㅤ㌴㝦㈷㠴㜱ㄷ㐴愳㘷つㄲづ㐵㠶㥡㜷㌳晡ㅥ〸愵挶改摣㥢㔶㝥㜰搳㠹㙤ㅦ㑣扣收戸㕥慢㍥㍣攰㕦摦㈹㥥攷㐹敥昷㘱愷㘴捣ち扢〷慦捦㤸㜵㍦㑤㍦〰㘱㍣〸攱敤㔶〹㜴慢㠷ㄸ晢㌰㠴㔲㈳㜴挶㤳搶㝦攷戰㤱㠳搷ㅢ㝢散㥥晤㉥㍤改㠵㐷㌷㔰ㅢ㈳㕡㌲㝥ㄴ㍢㍦愳㤹ㅦ愳敤挷㈱㡣㈷㈰㐰㜳㌴㘶㍥㐹摤㔳㄰㑡愵㜵㝥㜳㌷搸攸捣昳㙥摢㘵搴慤㤳づ扤晢㠷昳㜶㍤愳攷㌳㠸摥㑤㥦㉡㡣㘹捦ㅣ㠴昳慤攲愹㕣㘴〸搶㜸㙢㜲づ㡢㔳搸㐲扣㤰㉣㠴挳昹㜸㈸ㄳ捤搴昷㠱搹㌵㍤㜳攲昸搱戳戰㘷㔳㙢扥敤㈰㌹㤵敡㔹ㄸ摢搴摣㘹戵㑢愰戱㠰㍦昶改愰㠴㝢ㄵ㜶㕡㠰昳攸㥣㝤搶戵㙥㘱戴搵摥㠹昳捦捥㠵挵㘵昵㈶愳㌲ㅤ㔶㌱㌸㐸摢ㅥ搵㌶慦㌵摦戱戱㝦攴戴捥㑣愷戵㔱㜹㕣搱㐸㐵戲㘹㌸㌷戵㍡愴㐸㥢㤵㈷摢㈳搳㍣捦ㅡ戹愰挹㡥摥戴㉣ㅡ㘷愹㙤搹敡戱㘳摢慤戹㙥㙣㐵㠹㐶攲搲挹㝣戱㕤㔱㑢㍢捡㉥㔷㥦搱戳摡㍡慣㔶㈹摥愰㤶㕤㥢㜲戳慤昶㘹ㄶ㉦扣㔸㜹愹敡㝡㡣搲愷捡㠳愶戴愲愲㌸昹捤昷昳㙡㐹戴搵㥡户昲㈸敦ㅣ戰扣㜰㝡㈶摢㙣慤㕦〲戱昳㐴挴ㅦ㑡搴㘳摢㜲昳㍡㐶户戵㜶戶户㌵㤷挶㡣捣捦攷敡㈱扦ぢ㔶昳㜵戲搵搸㔲搵㜴敢愶㔴捤〰扦㤳㍡摡敥攰㤹戰愷㤳㙣㡡㕥搳㌵搸搳㠹〸昶㍤㠳㜶㉤㘳挷搳挹㠸ㅦ搸㘵㐹扣㥤㤰攸㔰㤷㘸㥦㑥捡㐴ㅢ㤶ㅥ㜸㐳愶愲㝤搰づ捤ㄶ㡦捡摡晥搵㑤ㄶ晢攵㙡㑡敡㘹ㄵ㕥㘷㈳扡ぢ搲挴慣摢昷㝥㕢㜰㙤敤㍡扡昶㍢捤挷㐵㤸昱㤹搶㝣戳搵摥攵㔵㐲挵ㄲ㤹捦㔲㍣㐷昱㈷㡡攷㈹㕥㠰愸㡦㘰㡣慢捡㘸ㅤ㄰㙡㠱㕡㔸㝦㔰㔳扥㜳㤶㌱换㙡㥡㌹慢ㄳ㍡㕣㕤㙣㘸㈰摤ㅣ㜴㜹㍥㌰て换摥㤶㕡㠰捤㤷㄰㌲㕦愶㜸〵㈲㄰愸㌱㤶攳㙦㡤ㄱ㌰㕦攵㥦搷㈰ㅡ㥤慢㔰㝤散㥥ㄹ㔰昵㝤愱晥昹搷㠱㤰㘱㡤㈹㤷㥤㜰㕤戰愳扥〵㜶㍢扡㜵昳㘳㘳㝣愶㘳㔶㈷て挴慥㈳㘹敦捦ㄴ㉢㈰㝡扥づ㌱㜹扣搵㡣挳昸搷扡愴㔸扦〵㙣慥昶搲ㄵ㔷挱敢户㑣㕢搸㥡㥢搵摥搶㡡ぢ扢㘳㌲㥤ㄹ㥥㐴㜴㜴愸㡣搱㌲愹㙤昴扣㑥愳㘵㝣ㄳ晥昴㙣㤹㙡捤戱㌲㥤愳㌱㑣㜷昶㙡㤹㠴㙢㝢㌲㡥㑥挸㉦愸㙦戱㉦换攱愴㉦㘷昲晡摤〴っ㑢ぢっ散㘱㥣敤搹挲㠱挶㕡搰㐹搳摤㕢㜰㔹〷摤挹〴㘸㤰愴戲昷㤸戲㤷攸㥣搴〱ㅤ㠲㠵愰散㝡慣昴㄰㠵㙤愹㠶㍤〷㌳㈸捥㠷敡戴㉣㍦㠲㜶敦㙣㙡敥ㄸ愲改ㅤ㌲愶つ搷㜷㉤戹戴㑤摡つ〳ㅤ捣攸戲戱捡て㜴㕥〰㥣㤲换摡㘶㔱㤴㜱敤㙤昳收㙣〶㕢扦㤶ㅤ摡慡㌱摦㠰㔸晡挵㜵摢㙦㜹昱捤慢昴摦㈳㜰〸挹㘶昶㈳㠲晤㥤㐱晣㤱捤㝣ぢ㝦〲㕤挵搵昷〷挲㜷愴慤㜲慤㤲㠷㕤捦ㄶ搴㜶㝡扢㈵ㄷ㕦ㅢ㈴戰㜰㡥搵慢㘵捦戶昶搹搹戶戶搹㙣晣摥ㄲ敡㤸㘵㔹㥤扣愲搹㐳㕦挰攵扥㔲慡㕢户㤲换㤵㥥㑢㥦㥢挳扥昱づ㐴慦㤱捤捤㝤ㅣ㡢ㅤ挶扢㔰㜵挳㡣㘲扣㠷㥤㔸摦扥愳摢㕡收戴㜵㌴昱㐲攱㡣㥤ㄶ㘴㕡收㌴㕢摢敥㌶㉦搳㡣㡢挳摢㑥㤹搳戹㔳挷㐷昷ㅦ昳挱扤㤷捥ㄸ㤰〸愵〷づ㔹搰摣戱㐰㙤〶㘶㜸㜱昲戶昱㍤㜶扢攵㠵戳㐶摣戲敤㡡㌱㠳㙥㥣㌵㐳㙤慡㈳㉡慥㝤㙥㠵扣晡攰㘷㝥㐰昱て㡡て㈹㍥愲昸ㄸ㐲㙤㠰愴ㅣ挷摥㐶㝦攳愹㌷㐷愳㝤㘴㌴晡ㄷ㌱㥦㔰㝣ち㠱搱㐸㕡〷㠳搱㘷搴㜱㌰ち㈸戵㌵晥昴㘵㜸㈵挵ㄷ㄰㙡㈰〴て搵ㅡ昳㑢㠸慡敤㍤㠰㠸㡡昶晥ㅡ摡㠰搹㐵㥣摡〶〸戶戹㐹㡥捤㜷㈹挸愸慡搳ㅣ㔴㤰搳㑤㐷㔴㕣搲摤ㄶ挹扡㔸㌲㤶㕣㌸つ〲㕢戲㘴慣㔸っ搹攳昱晦㕢昲晤敥㤶㝣愵换扤㙤㔶戳挶㈹㕢昰㔵㥤摥㌹㠳晦扦〵㔳昹㙤㔵㝢挱昴ㄳ㡦㐷愵〷ㄶ散㤷㙥㘶つ㠶ㅡ㤳㌳㥢㔹ぢ攱ㄹ㔸㜸摢ㄶ㐱㌵〴〹晡攲㘷搶ㄳ㘴㐰搴㠷㄰散㝡敥挷攱捡㙢㠸㜵扣搳搲慢㘵㡣㔵挸攰㌶愸捣搷㉡昳晦攷㜴㕥㠷扢搱愸㠱㌳㤷㜷㕤〹㤴㥤㔳愵㔱㝥㉡㔰㝡㠷づ昷つ昳攳慣搶改㤸戳㍡㝥捤㔹晡搷㥣敤捤敥愸戴戳搵㝦昷搳慡㔵㙢㕥㈷愶散㍥㥦㑢慤ㄹ㌳㙡ㅡ㔸㐳㙡っㄳ搲㝢㠵㠳昷㜷㉡㈶㤰ㅥ〰〵㑣㐲慢挴愹㌰㙣戹ㄳ㠸ㄱ〴戲ㅢ晡㡥㍤㠹㝣㠶㜲晡捥戰晦搶ㄱㄵ㌷㡦愲戰搶〷㍦㜳㕤㘶戹ㅥ挵晡ㄴㅢ㔰㙣〸愱㍥㐲㔲晦ㄹ㜶㈳㘲㌶愶搸〴挲㜳㈰㙣㐶㥤㥥㘱㘳㌰摥㤷ㄹ昴愱戲㉦㠴㑡㈰㘸捦戰晤㄰慣㍡挳挶㤹慡㠲愰㉤㤱㈴㘰㜶ㄱ愷㤲㐸攷ㄲ攴㤹㘱㕦慢㐶捥慢㍡愲攲㡥ㄸ㙦㠴昵㘱㈹㠶㈰㔳㜳㍢㡡㄰㐵㤸㈲〲愱㕥搰攴愴㠰攲捡慣戸晣㠸ㄱㄳ愷㐸㐰㜸挸㐹㔱愷挹ㄹ㡡㈴㝤㤹挱㔰㉡户㠷㔰㍢㈰㘸㤳戳〳㠲㔵挹搹㥥愹㉡挸ㄹ㡥㈴〱戳㡢㌸㌵っ改晣挸戹慦ㅡ㌹昷敡㠸㡡扢㝣㈳㘰㠹㑢㄰㜳㍣㡢㝤户㈶〲㡡搲捤㥣㠸㘸㜳㘷㡡㐹㉣㕤㜱ㅤ㌶搹づ慡㤱㐸搰ㄷ㍦㜳ちㄴ收慥㄰㙡㌴㠲ㅣ㌲捤摤㄰㜲㌶㜵ㄳ昲攰㤱㐸㥤㌱つ㤲㔷敤㐲㤵㉣散㡥愸㠰㐹㐰㤵㌸㌵〶ㄶ㡡㉣昰ㄸ戲㡦㥦㉢㜴㘵㉢ㄶ㘱㤷敢㠸㡡㝢㡤攳㘰㐹㔸搸ㅦ㐶搴㘵㠰昱㔸㜱㡡散晥㌵て㘰ㅥㄹ㡡㉣㠴㠷㠵扣ㅤ㔴攳㠱敤㡢㥦㘹ㄱ㔴㠰㔰ㄳㄱㄴㄶ㘶㈲攴㙣敡㍣攴攱戲搰㠴ㄸ戲㄰慦慣改㙣㐴〵㑣〲慡挴愹㥤㘱搳㡦㠵㐵搵㔸㌸㑤㐷㔴摣昱㥣っ㑢挲㐲㈷戲㔳愷㔴㘵㘱㍥㑢㜳㄰挵〲〸てぢ〷摢㐱㌵〵㠶晡攲㘷ㅥ㐲搰愱㄰㙡㌷〴㠵㠵挳㄰㜲㌶㜵戴㤷㠵㈳㄰攳ㅤ㔹㜹慦戴攲搸㌸ち愰㠰㐹㘸㤵㌸㌵ㄵ搶晤昸㔸㔰㡤㡦㠳㜴㐴挵㑤搸改戰搴〷㍦昳㘴㘶㜷ち挵愹ㄴ愷㔱㉣㠲㔰㜳㌵㐷扣㔸㙦攲㔷ㅣ㌸捥㈰收㑣㡡挵㄰ㅥ㡥㤶㔰愷〷㡥摤㤱愴㉦㤳㥥㐳攵戹㄰㙡㑦〴敤㠱攳㍣〴慢づㅣ㝢㌰㔵〵㌹ㄷ㈲㐹挰散㈲㑥敤㠵㜴㐵㜲摥愵㤵昷㈰搴晥搵挸搹㑦㐷㔴摣㔷摥ㅢ挹晡㌰晤ㄵ挸搴扣㤲攲㉡㡡慢㈹慥㠱㔰㝢㙡㜲㐸ㅣ㉦昴ㄴ挹戹㡥㤸敢㈹㙥㠰昰㤰㜳ㄳ㜵㥡㥣㝤㤰愴㉦㌳戸㠵捡㕢㈱搴㝥〸摡攴摣㠶㘰㔵㜲㜸㍤慢㤲㥣㍢㤱㈴㘰㜶ㄱ愷昶㐷㍡㍦㜲挶㔴㈳㘷戴㡥愸戸㔹㥥㠱㈵㌹㤲ㅥ㘲戱㐷㙡㈲愰㉣摤捣㐷㄰㙤㍥㑡昱ㄸ㠴㠷㠸㈷散愰捡㈲㐱㕦晣捣㈷〹㝡ち㐲攵ㄱ㤴㈳改㘹㠴㥣㑤愵㤰㠷㍢㥥㍣㡢ㄸ㡣㈷戱㜴㈵ぢ㝦㐲㔴挰㈴愰㑡㥣戲㘰戳挸㐲㜱㔴ㅤ㔲㡤㠵㙤㜵㐴挵㉤晣㔹戰㈴㉣扣㠶散搴愰慡㉣慣㘰㘹㕥愷㜸〳挲挳挲㥢㜶㔰㌵挱㔰㕦晣捣户〸攲㐵〲㌵ㅢ㐱㘱攱慦〸㌹㥢敡攷㘵攱ㅤ挴㠰㠵戸捦摣昲ㅥ愲〲㈶〱㤵㉣㐸㥣㙡㠶㑤㍦ㄶ㌶慣挶挲〶㍡愲挲愷愰ㄵ㤶晡攰㘷晥㡢搹㝤㐲昱㈹挵扦㈹㍥㠳㔰㙢㘹㘶ㄶ㈲挰㡤〷捡ㅥ㜲昵㘳㈵㌱㕦㔰㝣〹攱㘱收㉢敡昴㠱搲㠶㈴㝤昱㌳扦愱昲㕢〸㌵ㄷ㐱晢㐰昹づ挱慡〷捡ㅣ愶慡ㄸ㐵㝥㐰㤲㠰搹㐵㥣㙡㐷扡㈲㌹敦搲捡㝢㄰敡愷晦㔵㔹戸晥㑦㐷㔴㌸㐹捣㐳㌲改㈲㜵慣敦て㠰昹㑦扣〶愲捤敥ㄴつ㄰ㅥ㈲〲㜶㔰捤㠷愱扥㉣㐸て㠲㝡㐲愸〵〸㑡ㄷ改㠵㤰戳愹㉦㤱㠷㝢愰㌴㈲挶㍢攵搰挵愲㠲㡦戵〰ち㤸㠴㔶㠹㔳㜴挸㈸昲㔱㍣㘴㍥慥挶挷㐷㍡愲挲㜷攳㔰㔸ㄲ㍥㌶㐲㜶敡ㅦ㔵昹搸㠴愵搹㤴㘲㌳〸てㅦ㝤散愰㍡っ㠶㠴㡦扥〴昵㠳㔰㐷㐰㈵㝣㙣㠱㤰戳愹户扤㝣㙣㠹ㄸ㉦ㅦ昴晡愸攰㘳㙢㠰〲㈶愱㔵攲搴㤱戰敥挷挷昲㙡㝣扣愲㈳㉡摣㐹㡥㠱㈵攱㈳㠴散搴㑢㔵昹㠸戰㌴㔱㡡ㄸ㠴㠷㡦㠴ㅤ㔴挷挲㤰昰㤱㈴㈸〵愱㡥㠷㑡昸㐸㈳攴㙣敡㈹㉦ㅦ摢㈳挶换〷㝤㔱㉡昸ㄸ〶㄰㤶敢㤰㔵攲搴〹戰敥挷挷〳搵昸戸㕦㐷㔴㌸戹㥣っ㑢挲挷㔸㘴愷敥慤捡挷㜸㤶㘶〲挵㐴〸てㅦ㤳散愰㍡〵㠶㠴㡦㕤〸㥡っ愱㑥㠳㑡昸㤸㠲㤰戳愹㕢扣㝣散㠶ㄸ㑥㉣戱捡㥡㑥㐳㔴挰㈴愰㑡㥣㕡〴㥢㝥㉣㕣㔵㡤㠵㉢㜵㐴㠵敢捤㤹戰㈴㉣散㡢散搴攵㔵㔹搸㥦愵㤹㐱㜱〰㠴㠷㠵慣ㅤ㔴㡢㘱㐸㔸挸ㄱ㤴㠷㔰㑢愰ㄲㄶ㉣㠴㥣㑤㕤攰㘵㘱㈶㘲扣扤㠲㝥㍢ㄵ扤愲〹愰㠰㐹㘸㤵㌸㜵㌶慣晢昱㜱㐶㌵㍥㑥搷ㄱㄵづ㐱攷挱㤲昰搱㡥散搴㘹㔵昹攸㘴㘹收㔱捣㠷昰昰戱挰づ㉡扡〶〹ㅦぢ〹㍡ㄸ㐲㕤〸㤵昰㜱〸㐲捥愶㡥昵昲㜱ㄸ㘲扣㝣搰㤷愸㠲㡦㈳〰ち㤸㠴㔶㠹㔳ㄷ挱扡ㅦㅦ〷㔷攳㘳愱㡥愸㜰㔲㕡ち㑢挲挷㠹挸㑥ㅤ㔴㤵㡦㤳㔹㥡㔳㈸㑥㠵昰昰戱挸づ慡㑢㘱㐸昸㌸㥤愰㌳㈰搴㌲愸㠴㡦㌳ㄱ㜲㌶搵敡攵攳㉣挴昰㜴捥㘷昹㜵㌶愲〲㈶〱㤵㉣㐸㥣扡ㅣ㌶晤㔸挸㔷㘳㈱愷㈳㉡㕣愷慥㠲㈵㘱攱ㄲ㘴愷㌲㔵㔹戸㤴愵戹㡣㘲ㄹ㠴㠷㠵㉢散愰扡ㅡ㠶㠴㠵㉢〹扡ち㐲㕤ぢ㤵戰㜰㌵㐲捥愶昶昲戰㘰㕥〳㜵㘵㈵慦愷捤慥攲搴㜵㐸攷㐷挰攴㙡〴散愲㈳㉡㝣戹㙥㠴㈵㈱攰づㄶ㜹攷慡〴摣㠵㘸昳㙥㡡㝢㔸扡攲戵㡤晢散愰扡〹㠶㠴㠰晢〹㝡〰㐲摤〲㤵㄰昰㈰㐲捥愶㐶㜹〸㌰ㅥ㐶っ〷㑢㥦戳晡㐷ㄱㄵ㌰〹愸㘴㐸攲搴慤戰改挷㐲慡ㅡぢ㐹ㅤ㔱攱㔱㜶〷㉣〹ぢ捦㈱㍢ㄵ慦捡挲昳㉣捤ぢㄴ㉦㐲㜸㔸㜸搹づ慡㍢㘱㐸㔸㜸㠵愰攵㄰敡㙥愸㠴㠵㔷ㄱ㜲㌶㌵搸换挲㥦ㄱ㔳攱㡢㔶㌱㍡扣づ㔴挰㈴戶㤲㄰㠹㔳昷挰扣ㅦ㈱晤慡ㄱ搲㔷㐷㔴㌸戹摤て㑢㐲挸扢挸㑥㙤㕥㤵㤰昷㔹㥡扦㔳㝣〰攱㈱攴㐳㍢愸ㅥ㠰㈱㈱攴㈳㠲㍥㠶㔰て㐱㈵㠴晣ㄳ㈱㘷㔳敢㝢〹昹〴㌱摥搱㤲㉥㜲ㄵ㝣晣ㅢ愰㠰㐹㘸㤵㌸昵㌰慣晢昱搱戳ㅡㅦ㍤㜴㐴㠵敦摤㘳戰㈴㝣㝣㠳散㤴㔹㤵㡦敦㔸㥡晦㔲㝣て攱攱攳㐷㍢愸ㅥ㠷㈱攱攳㝦〴晤〴愱㥥㠴㑡昸㔸㠵㤰戳愹ㅡてㅦ收ㄳ㔰㔷㔶戲㕢㌷ㄲ搰㐵㥣㝡ち改晣〸昸收挷㉡㈷㈱㕦敢㠸㜲㘷挰晡㘷㘱愹摣戹㐱ㅥ㌴㜲摤愴㍣昷攳㝡〳㙣ㄴ昸搸㑥㐷㡦挲挸㜹㥤㙤㘳㥢㍡㜱挳愴㘷〱〲扢㤲㘴㈳昱㈸昲㈴ㅡ㔴搸〳捦㙦昰㔶挹收㤵㔱㜸〶㙢昴扣㡥捥㌶昱摢搸慣㌲㝥㑣摢攴戶捥㌱㑤ㅤ㜳㥡㌳ぢ晢晢㐴摢㌱㝢捥戲㕡攱攲搶づ㑦户搵㠱摡收捣戱昲㍥㘵㥣搶㌶慦㍤㘷㑤ㄸ昳㝢㜰㤲㔳戶〳㑡つ㝣ㅣ㤴慡㔱㕢㔶扦㘱敡攱㥤㡥㔲戵昰㡢㔰扦搰挷㡡㠷㈱㥥㤶㐴搷慢㐱㥥攸攲㘶㙦㜶挳㐰㑤晤㜳㔰㜵摤㐵㍣㙥㜷㍤〰づㄴ搰慣戶慥㤷昶敢㥣搰摡搱㤴户〲㍡㠴愷㘸㝡敢摤㈹昳㍡㑢㘲㌲ぢ搶搱㌱㜰摥㤸搲㡡愶捦㘵摡昳扦㠷㔶㐱挵戰搹㑤愲っ晣晢㘵㐴摢㘶㙡㙡㔶慥㔲昶敥捡㈳㜰戰㌷㙡慥晦〴㥤慦㉦㡤㝢㌸㘲挷攳戵挸ㅢ慥扤㐸户慢㙥㘰㠸て㙥㐹㉢搸捦㙤昵ㄶ㠴㠵づ㡥㐷ㅦ㥢慤㜵㑡㠳㜲㡢搶㉣㡣捣㜶戴㌵捦敢戴㝡扢㝢㜲愰㥢㠵愹ㄶㅦ攷㥡㙦昵㜴昷㜶捤㜵挲㐷搷戵㐷敦搲摦㑦ぢ㠱㤱㍡摤㑡㑡摡挹攸愲昳㤶㔶㠲挷搰㉦㙣㔵㌴㘶㐱戶捦㠶慢ぢ捥攷㜶敤昰ㅡ㘷㈷挰慤愶㥥㝥㡢攵昷㘰㑢挷㕡慦㡢㈹㡦愴㜵ㅣ捦㘷㝢㠴㤳挱慢愷愳愳㜷㘷慦㠲㡣㝢㜰攱收戳㡥㡤㍣㜴㥡昱㐸㜲㘷㔳㉥搳摣扣戰㜷㘱㐲㙢慥㜹㕥摥㥡㤴挹㕡捤捥㤸捤㘷晢㝥ㅦ敤㐵㜷〳㝤㐴㜵挱㡢㈶㘵〲ㅥㄵ㜷ㅣ㕡㝦昱㌰㠷〷挰㜱愴挹㤴ぢㅢ〱㜳㙤㝤摣扤㠰㠲晣㙣㝦摥〰ㄲ慤㕤昴㐶㤷㠷㠹㌱戴㔵愸㌸愶搱户搱㜵〹㤶㈳捥〳㥢搴㌶愹つ敥摡㜹㡦㙡㝣㤳慤晡摤ㅣ㔷㜲㐸ㄹ㠶昱㑢㈷ㄸ㜰㠵㙤攵慡愶㉢㥡户㥤㜲搰搸攱㍤㈶捤扤㜱敡捡慢㠶搷㈸晢攰㜸〹戱攵㕥㤱㥥㠳㐳收㝥ㄹ〴㠳〰㌶㜲〴戳ㄷづ搳㥢㍡㥢慤ㅥ〵㠹㤷晤〶ㅥㄲ㘴戳㝢㘱晡㉣㜸ㄸ㡥改㔵ㄸ搷摥㤴㙦㙥㙡戵戸〸挱攳〳㝣㠰㝢㤲㌵ㄳ㡥敥扢㙡晦扦㕥㠵改敤㤹搶㡥㌹㜴㈴捤㉤㕣扢㈴㈴㡤㔵㕦ㄸ搵搴㡡〳挸捥㤳晢㡤㠵㘹戳摡づ挲慢つ收戵戴㡥换捣改昸㕤㌴㤴㥥㔲挰㤰㍤〲搶慡摡㕡搵㔰摢昰㑢攷㉡戳ㅦ㑣㜱㐱㔰ㄳ挱㥦㕡ち㉣〹㌸㤶扤㡣扤㉥㡥㔹戶㤴㝥搴㠰挷㉣换㔵昲摣戵慦㥦戳晢㙥〸㡥挳收扡㌸㌴㝢慥〷㌱㜱摣敥ㄳ㡡て愸晣㥦㕥戴㔰晦ち㉣㜷㌱ㅤ㐸搷㜰扤攱搷〳戸户摤㕤愸㘳敦㌱愵搵ㄹ㉡敦㠲㠱㠲㘰搸ㅢ㌱㠳ㄲ捥摤戱昰㔳敥㠹㠳ㅦ挳㉦晣扢㌱敥昶戶〳㕣搲攱〹敢づㅤ〷㔷搴㤶っ扢ㄷ扢收㌴㡣摤㔶㠳慣慦㌱㥡㤸〵〸改㠳㕡㤵㔹〰㔵㘶㠱愸㌰㈵昳〹ㄷ搹愷慤戶㤹㤹昶愶捥㔹㉤㑤戹〶〶昸ㄴ捡敦愲㕦愲ぢ搵㠱㑣㘷㤳捥㠹挵㙡戹㉢㤶敤晥㡣收ㅥ㠲昳〷㔲挷收㐷敦慤㤵㜹㕣晤挲挷〷搰㝤㘵挰㌷㌷㠰戵㝡㥥㡢㘱攸户㡢攲㔹㠴㐱ㄳ㌰㌷〴〲扤㕢搱摢㥦㄰昳て㔰㜰㠷扦扡㍦㐳㜴改搵摤ㅤ㠰挰愴戶㑣㝥㉣ㅥ㔶㙡㙢敦慥㕦づ搲㐰㑦㘳っ㉤敤㐱㝡昲昳愱㜶㍣㕥㌳ㅦ敢攱昶〶㉡愶挱㐷扥㡥捦〰ㄸ㜶㍢昲攰慤愹慦敦搱攰㤷搷〴挷㔶㝦敤昱散㝤戹捡㠴ち晢㥦敥㤶ㅡ㡥㐲愱㔲㕣㑥㤸ㅢ愱㍡收挶慣搳ち〴㔹㥦㌲挰㈶〴㙣ち㔱晦〶㈲换㡦㤴慡㕥敦㐸㔰㔳摦㐲㙦晣㠶ㄶ㔶〷换づ〳㍥晡昰敡〷㈵㐶㡦〶㝡挵㥢㥢〱昵挲昳捦て挳㝥㡤㝡ぢ挲挹㥦㠳㡣㉥攰收捣扦て㠴晡〰㑡㥥㥣㑡搳攱㉥づ戳搰㈷㈶㕢㘰㥦慤昴て愸㜸㜲攲㙣㥥搶㐴㕢昶搷㈸扡㕢㜳㔹捤㌶㕣摤ㄲ㑤㝤〴ㅣ㤷㘹㌵收㤶㐸㕥㕣㈷㙣慤㡤㝤㡣㈸慥ㄵ㝡㕣㝤敡戸攷㙡㠷㡣昸愸㙥㤳㥦捥扦㉥㍡挲㌱捣㠲戱㘸晦〲㠶㌳㕡㡤㜸㔲㑢摥㘵㈳愸晡〴戱ㅣ㐵捤㠱戰慤攸攱捤挱〹愵戴㍢敢㈰㘸扢敥慣㠳㜵㤹㍥㤳㔴㌰戴㉤つ改㠰㕡㠹ㅤ㠷㘰散㍡〴て〱挶摣㡥挰㉦晣〱㈱〲挲〴㝣〹〰㝢㠱ㄹ㐱挸㙤戸慦㍤挹㍣つㄷ㘵戲ㄸ㐴晤㑦〰晣っㅦ㕦改㤷敥㈵〲㌹㔳㈹㕥ㄱ攸㔵昰㕥〰㔸愷愰慦〴㜸捥昷换㜴戲㐲挶㈰晤㍢㍡㥢〷ㅤ㈰搳ㄹ昲㝥昱昲㠹㘳ㄶ晢ㄶ㍡ㄷㅢ㔹㍡㤷ㄱ〷攱敢搸て㐱昷〱㌷㥤敤㑤搹㜹㝣㥥㐱昲㘴㠷慢㉢㑥搹㌲攸㐹㠷㑢㈰ㄵ挶㔴愷挳㈹扢挳愵搸㜸㕤㡤㡥㤲㌷㤷散散㘳㘶㥡㐶㔸㌳晥敡㈱㥤捥戶つㄴ晡㘸ㅥち㡣戹㍤㠱㜴㈱昶〱散㐰挰㌰㠸㝡㍡慢㤶㑦〷愵㍥户戸搶㘱挲㜴㥤扣搱㠷て昷㌴攰㌹ㄹ㜹㉡愸㕥挶㑤扣㉤挴㝤㈶挸戰ㅦ攴㘹㐰ㅡ散戵㜴ㄸ搳㌰戱㕡昹㠰摤戳㌸㑥㜱〶愸慤慤挳散㘲㤴㍦㠱㔰㤱㉤㑤㑣戳挴㉦㔸搱ㄷ搶搸ㄱ㈵㕥㥦搷扦㘰ㅦ敦慥㉡㜹摦挹㜲〰攰㍦户ち㝦㘴挳㠵㤴ㄱ㠰攳㔱㡤ㅥㅥづ挶㔲㘳㡦挹㈳挹挱㈸〸戵㉥〰㥥㈱㙦っ㤳改㈱㙦㈷散戳改改摥㕡㝤挸ㅢ慢㔱敢〳戵挶㐳摥〶〰摢㐳摥㌸㈴㉦づ㜹ㄳ戴戱つㄱ捦㈱㉦㝥挰㠱戱昷收昴ㅤ㜱摣㜶慢扥ㅥ戹昹㌶ㄵ㐳ㅥ㝤㘹敤㈱㉦づ㌴㑢㕥扥㘸㔴ㅢ㐳㈷㍤㜰㘷搸㔶㜴戹㉤ㄹ昲㜶㠱戶换ㅥ㘸㑥搶㘵愲㝢㉥晥挳攱㤲㠶散捣㙡㔴ㅦ散㌹㥤っ㍡㠷攰㕤㠱㌱㜷㈳戰慦㍦㘰㉡〱搳〸愰㌷慦っ㜹搳ㄱ㜲㠷扣㉤㍤挹戶㉣摡摤㥤挹昶㘰戲㈱〰㜸ㅡ㙥㉦攸㔰㉡戹㠸昶㐷散戳攱攸㝡㕢扤攱昶搶愸㄰㔰㙢摣㜰㘱㠰敤㠶摢〷挹㡢つ户㥦㌶㐶昷㕥㌶摣㈱㌷㝣扥晣昱ㄳ摦ㅦ扥㝣摦捤㌶戸㘸攵户挳换攷慡ㄸ㜰㜶挳㙤て㌴㑢㕥搱㜰昴〲㤶㠶㥢〱摢㉡㠱㔰㐹挳㘵愰敤扡攱戲扡㑣㈹㈴挵晦ㅡ㌳㐷㐳㜶㘶㌵㡡扥挳㍥つ㤷〷挶戴〸摣摥ㅦ㔰㈰㘰㈶〱昴㌴㤶㠶㥢㠵㤰摢㜰挳㍤挹戶㐰㘶晡㠸㙢㘲戲〳㤹㡣㡥扦㥣慦戰敢㡥慥昴昶戵㐷搷搹㠰㙣㔰㝣晢捡敡㐷搸㥤㤱㔴㘸㙡愶㜱㍡ぢ摢㌴改ㄱ戶ㄵ摡㉥㘹㤲ㄱ㜶㌲㤲攱㍦㕥挱㐲㈳㉣ㅡ㝦昴㉣㜶㈸ち㐱愱慢㌲〷ㄸ㜳㉥㠱扢晡〳摡〹攸㈰㘰㌷〰㌸捡ㅡ㝣昵㕥㑦㘷昴挲慤摡㠴㜴㥤戲㌱㙢㍥㐰ㄸ戳攸㠸散㘴㍢愶㤸敤㐱戴扡㠰㔶改㌴㕣捥攰〱搰搹ㅤ㡡っ捡㔶㍥ㄷ㘵〰ㄱ愶づ愶ㄱ㍡ㄴ㤷㌰㜵㈸戴慢㘷㉡㡦㘴昸㡦户戶搰〸㜶攴㘷㐱㍡㐵昶㌰㜵㌸㌰收ㄱ〴搲㌳搹〷㜰㈴〱㐷ㄱ㌰ㄳ〰㘱敡㘸㠴㍣㑣攱攵㐹㍥愳晢戱〰㠱愹搹ㅥ慢㍢㔱㘳㡦敥挷搱敡昱戴捡㤳㘰㘱捡㌳㤳捦㠷捥敥㙢㈷〰戲挶㌳昹㐱㐸㈶散㥤㐸挳ぢ㄰㉡㘱敦㘴㘸㔷捦ㅥㅤ㤶昱ㅦ㑥〰㌴攲戰㜷〸昶ㅣ㜲㍣㌳昹愹挰㤸愷ㄱ㐸㡦㘶ㅦ挰㈲〲㑥㈷㠰㑥捥挲摥ㄹ〸昹捤㤲㝥扥捤㤸㈵ㄷ〳づㅥ㡦昲搸昷昰㜸ㄶ敤㉦愱㝤㍡㈴㝢〶摢㜳㤸㑣て戶攷㘲㥦㠳敤㈹㠰㔴ㅦ㙣捦搳㈸晡㌳慦昱㘰㑢扦㘷㝢戰㍤ㅦ挹㡢㠳敤㠵摡搸㈲挴㜳戰捤ㅣ㜵摣扣㠹挷晦㌴晣昴㝦㍦昱昱㜷㐶戰㘲㤶㍣〳㌸晢搸愰慢㌲㑢㕥㌱搸㥥〹㥤戴敥挵戰慤攸㐲㕤㌲搸㉥㠵戶换搶㌵㉦搵㘵㕡㠲愴昸て〷〷ㅡ戲㌳慢㔱攷㘰捦㘹㐰㤶㐰㜷搴㘵挰㤸㤷ㄳ㜸慥㍦攰ち〲慥㈴攰㍣〰㘴戰扤ち㈱㜷戰扤搰㤳㡣昷㈶戵摤慢㤹散ㅡ㈶扢〲〰㑦挳㕤〷㥤搳㜰搷㘳㥦つ㜷㈵㈰搵ㅢ敥〶㡤愲慦昵ㅡ㌷摣搵〰摢つ㜷㈳㤲ㄷㅢ敥㘶㙤㡣敥摡㙣戸攱㡦扥㌲敡挵摥改ㄱㅤ㑢愶ㅤ㤵㌹㘹㜸㐵挳搱㙦摢㙥㌸扡㔱戳攴ㄵつ㜷㍤㜴搲㜰户挲戶愲㝢㜷㐹挳摤づ㙤搷つ㜷㠷㉥搳㑤㐸㡡晦㌵收㥤㌴㘴㘷〶户ぢ散昹㌴摣㕤挰㤸㜷ㄳ㜸慢㍦攰ㅥ〲敥㈵㠰㥥攳搲㜰昷㈱攴㌶ㅣ㥤挳ㅤ扢㥥㌳扡晢㤹散〱㈶愳㈳㜷昹ㄸ晦〸㜴慢ㄹ攳ㅦ〵㐴攸㜸㠸㐶攸攴㕤㌲㑡㍤〲㙤㤷㜴挸㙣昸〴㤲攱㍦㍣挵㘹挴愱攲㐹散㌹㐵づ㐱愹晢摡㘳挰㤸㡦ㄳ㐸㙦㜱ㅦ挰ㄳ〴㍣㐹挰搳〰挸㈸昵ㄴ㐲㥥㌱ㅥ㙦㘸昳ㄹ攳㥦〱〸㘳搳㥦㍣㔶㍤㘳搳戳戴晡ㅣ慤扥〶㐰㌹㔳㉢愰㕢つ㔳慦〳㈲㑣㍤㑦㈳㙦㈰㔴挲搴㡢搰慥㥥㈹㍡㡣攳㝦㡤昹ㄲ㡤㌸㑣扤㠵㍤ㅦ㈲㕥〶挶㝣㠵㐰㝡㤴晢〰㤶ㄳ昰㉡〱㜴㌲ㄷ愶㕥㐳挸挳ㄴ㕥㉢攷挳搴ち㠰挰搴㝢ㅥ慢㥥㜵挳敢戴晡〶慤搲㈱摣㌳ㄸ扣挹㘴㝡ㄴ㝦ぢ晢ㅣっ㍥〱愴晡㘰昰戶㐶搱㥦㝣㡤〷〳晡㥤摢㠳挱㕦㤱扣㌸ㄸ扣愳㡤㝤㠶㜸づ〶戱晥㥤て㑦㝡戲㝥挴戶慢㔴攰㥣㔷搶愹ㄸっ㔶〲㘷户改ㅣ愰㔹昲㡡挱攰ぢ攸愴㑤摦㠳㙤㐵ㄷ昶㤲挱攰敦搰㜶搹愶收〷扡㑣㕦㈱㈹晥攳攵〱㌴㘴㘷㔶愳扥挱㥥搳㙣㉣㠱㍥〲㍥〴挶晣㠸挰㙦晤〱ㅦㄳ昰㑦〲扥〳㐰〶㠳㝦㈱攴づ〶㍦㜸㤲㜹㐶昱㑦㤸散㔳㈶慢挳㈵㠲昲㘵っ㍤搴㠵づ攳摦㠰慣昱㌲愶㍢㤲〹㐵㥦搱㜰〳㐲㈵摤㝥㈵戴㕤㔲㈴〳〴㥤攰㔱㘶㍣㉡㐰㈳づ㍤㍤愰㜵攸昱㉣㘳扥〴挶晣て㠱昴㤲昷〱㝣㐵挰搷〴搰㜱㕥扡晤㌷〸昹㉤㘳晣晣攵戱㡣昹づ㜰ㅣ〰㙢㜹散㡦㉢戶捦㝦㘹晦㝢摡愷㤳㝢㌹㡦昴㙣户扢ㄵ㜹㤴慤㝣攱扣㈹㈰挲搹㡦㌴㐲〷昸ㄲ捥㝥㠲㜶昵㥣搱㔱㕥㌸㕢㐵㈳挸㐷㝥昴㤶昷愱㠴捥㈸㈶㉦摦㉢㝡搲晢〰㜰ㄵ愵挶散㐶〰㥤敢㠵㌳扣㐵搹㤷㌳㍦㥦㝡㜰㘶〰づ捥戶昶搸昷っ慦摤㘹扦㠱昶改〸㕦捥ㄹ扤摦㙤捥戸㠴㤶慤㥣戳㈸㈰挲㔹㠰㐶攸㈴㕦挲㔹㑦㘸㔷捦ㄹ㥤改㠵戳㕥㌴㠲㝣攴㐷㡦㝡ㅦ㑡㝡〳㘳㌶ㄲ㐸㙦㝢ㅦ㐰㤰㠰戵〸愰〳扥㜰戶㌶㐲㝥晤捣捦敦ㅥ㥣慤ぢ㌸㌸ㅢ收戱敦攱㙣㍤摡㕦㥦昶改㉣㕦㍥㈵㡤㠷捥收慣敡〹ㅡ晤攷㠵戳つ㘹㠴㡥昴㈵㥣㙤〴敤敡㌹愳挳扤㜰戶㌱㡤㌸㥣搱敢摥愱㈴挴㑡搸㘷㑡㥢〰㘳㙥㑡㈰㍤昲㝤〰㥢ㄱ戰㌹〱㜴搲ㄷ捥晡㈰攴㤹㤲昰昶㑡㥦㈹愹ㅦ㐰㘰㙡㥡挷慡攷昲摢ㄶ戴摡㥦㔶改㔰㕦摥扢攸㐵㙦㡦㙣㕢〲戲挶㈳摢っ㈴ㄳ昶戶愲攱〳㄰㉡㘱㙦〰戴慢㘷㡦㡥晡挲摥㐰ㅡ㜱搸愳户扥㐳㡥㘷㘴摢〶ㄸ㜳㄰㠱㜹㝦挰㘰〲戶㈵挰〲㐰搸ㅢ㠲㤰㕦㡦昳昳改㐷㡦ぢ〱づㅥ改摣敦ㄴ㘰㑣戱昹挲㠸㌵㈳㄰㡡㡥昸攵㍣搲晢摥收㌱ち挸ㅡ昳㌸て挹㠴挷ㄸつ搳㜱扦㠴挷〴戴慢攷㤱づ晥挲㘳㤲㐶ㅣㅥ改攵敦㔴挳挳㘳ちㄸ㌳㑤㈰㥦〰昰〱っ㈵㘰㝢〲昸㔰㠰昰戸〳㐲㝥㍣晡㍤ぢ〰ㅥ㜷〴ㅣ㍣ㅥ攱戱敦㌹㜲㠷搳晥〸摡㍦ㄱ㠰昲㈳㤷㕥晢慢㌹㜲㑦〱㐴㌸ㅢ㐵㈳㜴敥㉦攱㙣っ戴慢攷㡣て〱〸㘷㍢搱㠸挳ㄹ㥦〴㜰㈸昱ㅣ戹㘳㠱㌱挷ㄱ挸愷〴㝣〰攳〹㤸㐰〰ㅦㅣ㄰捥㈶㈲攴㌹㜲昱㐶㔴㥦㈳㜷ㄲ㐰㘰㡡て〷㌸㔶挷㔰㘳てㄸ扢㈰搶㥣っ愱攸攴㕦捥搴愵搰慤㠶㈹晡晤ぢ㔳扢搲〸ㅦ〰㈸㘱㙡㉡戴慢㘷㡡てち〸㔳搳㘸挴㘱敡㑡㘸㥤㈲㝢㤸㥡づ㡣戹㍢㠱㝣㤲挰〷戰〷〱㝢ㄲ挰㠷ぢ㠴愹扤㄰昲㌰ㄵ昱㍤㐱搹ㅢ㈰㌰㜵扤挷慡愷㑦敤㐳慢晢搲㉡㥦〶㈸㘷㡡㡦〰慣㠶㈹㍥㈰㈰㑣敤㑦㈳㝣㔲愰㠴愹〳愰㕤㍤㔳㝣愲㐰㤸捡搰㠸挳ㄴㅦ㉢昰㈱㈲ぢ㡣㤹㈳㤰㡦ㅣ昸〰昲〴㔸〴昰㈹〴㘱慡㠰㤰㠷㈹扣㜵搶愷㑦捤〲〸㑣昱㐹〳挷㉡㕦㕣愰晢㔴ㄳ慤ㅥ㐸慢㝣㘲愰㝣ㄴ攳㘳〲㌶㔳㔵搷ㅡ㝣㠸㐰㤸㙡愶ㄱ㍥㑤㔰挲㔴㉢戴慢㘷㡡㑦ㅤ〸㔳㙤㌴攲㌰挵㐷て㥣㈲㝢㐶慣㌹挰㤸㜳〹攴㘳〹㍥㠰㜶〲㍡〸攰㤳ち挲㔴㈷㐲ㅢ㌸㤷㠰㍤㌷戰攴㘵戹㍥愴捤〷ㅥ愴昱㘹〴㈷㠳㌱㐵搲づ㐲慣戹〰㐲扤ぢ㐰㌹㘹㝣㤴㐰㐸㌳ㄶ〲戲挶㐳㍦ㅦ㍥㄰㈲て愶㘱㍥㠵㔰㐲攴愱搰慥㥥㐸㍥慤㈰㐴ㅥ㐶㈳づ㤱㝣㘴挱愹㠶㠷挸挳㠱㌱㡦㈰昰㘳㝦挰㤱〴ㅣ㐵〰㥦㜰㄰㈲㡦㐶挸㙦攸昷㝢戰〱㐳晦戱㠰㠳㐷㍥攱攰ㄴ㘰㑣㤱挷攳㄰㙢ㅥて愱昸㌴㐲昹㘱捡㐷㄰㔶㜳㤸昲〱〵攱散㐴ㅡ攱㤳ち㈵㥣㥤っ敤敡㌹攳ㄳつ挲搹㈹㌴攲㜰挶挷ㅡ㥣㈲㠷㡡㐵㍥ㄵㄸ昳㌴〲昹挸㠳て㘰ㄱ〱愷ㄳ挰愷㈰㠴戳㌳㄰昲ㅣ愶㌱摦敢〸㡢〱〲㔳摤戰愶㜷慣㡥㈹㘶㝢ㄶ㘲捤㈵㄰昵扤〰㔸㌳〷㜹㍡攷〴㍤㑦㉤挸换㥢搶㉡攸㌷晥㑤㠱敢㙣㈷㔵扦〷㝦愹㍡摢㠱㜹戵㌷愶愵ち晢散户ㄹ㙡㔶捥㐱改㑤㙣㕤㌷㜹㔷搵㉦㜳㜰づ搴捦晥㘱搵慡㌵换㠵㥤愶昴敤㔱㍣㌳ぢ㤸攷愰挱㜸㘱愷㌷㠲搲挳捥㠵挲搹㔴愳㥦戶㍥〸㙤ㄷ㝥㠶㘵扥挱戴扡㑥搱㈳㡡晥㙦㠳㥡攱ㄷ戱〶敥㠶攷愱㉣㙡㙤扦㌲愸㜵ㅤ敤〵挴㈰ぢ㠴㙢敡㌷㠰㉣昷㔸愸㜰㘰㘳〵昱搴〳㍣ㄳ愶㜵㉥㙣㠶晢㈰㜷改挱㘰敦搱㔷捡㡥㐶愱摢摡攱㕣㔱㔷晥扥㍢㌷敤㌳㌰搵㘳摤戲搷〷㑢㌲挶慣㠷搲搴㕢㘸愲慡改㑢㕢㠵㘹戸ㄹㄷ愱㠸敢敥搲㤴㙢㙦敢㘸㉢㜴昶㤹〶㌷搸㍥㝣愱㜴〱づ搱㈳敢㜳戰攸㥢㈷㉢㔶搷捡㉦㈷捤攷㙢挲〲戳㕢摢づ㙡㤵搲搴㜷昰扤摡搲扥摤扢㌳㥢〰昳攱戶〵挸㔳ㅢ㍡㘴㕥〲ㄳ〶戴晣〵晦〰㉤㑤㥡㑢㈱㝢㜵ぢ㙥㠴㌰户攰挶捥捥㈶捥捥愶㝡愷㜱㌳散搰㌶つ晣慡㕢㜰㜳㔸㘶㉥挶愵㈸捤㕡愳㐷捤㈸晤㜴㤴㜱ㄹ搴㍤愱ㄶ扦㤳愹㜸㔱戵戱っ㥡摥搰㜸晣㕥㠳㝤戴ㄵ昳㜲㐴㥡㝤㘱捦散〳愱晡㐱捦㘱㉢愰昶〶扢㍣慣㤸㔷挰扣ㅡ㌰ㅥㅥ㕢㈰㈸昴㤵ㅣㅥ晤㝤戵㕢㐲换㐳挴扣ㄶ㠹搵搶扥㤸㠱㡥昶㝡㘲㤰ㄵ挲㜸㈵〹㈴扢戰㥡㡥〲戰攳㐰㠹㉦㈰〰挲㠶㔷㔳愱㘱攳㤷㌶摥㘰挷搴捤挰戹㡤户㉤戴㑣㘷摥〲㠹挶ㅢ㠲㌰户攰㜶捥㑥挸搹〹敢㥤挶〸㜶㝥㥢挶㡢挲㌲㜳㌱搹㜸㈶㥢捡㘴敢〴㘳㡥晥づ慡戶㈶㘲㉢〸㤵㠰㕥攸扥ㅢ㝡敥挸㉦〵慤搰㌳摥㐳㡦㜱㉦㈰㔵てㄶ㌵搶㡦戳㘰ㅡ㤶㠲捣敤㝥㈴敥搵ㄸㅣ㡡㌰愶挲ㅡ攳〱㠴户ㅣ㍤㙡昴搴ㄹ㔶愱㄰㑤㈷ㄳ昱㜰㉡㤱㡡㐵攲昱㑣㌲㥥㐹愷㜳攱㠴㤵捣㈷㜲愱㤰昱愰ぢ捤㠶㌲㔶㍡ㅦ捦攵慤㔸㍣ㄶ㠹攵㌳昱㐴搴㡡㠶㘳ㄹ扣㙥㌱ㅥ捦挶㠲摢㙢昳收㐳㐸㘳㍥っㄱ摣挱㔱㍤㐲搵愳㔴つ㜳㔴㉥慡㝥〴㔴慢㥤㜱戴㉢ㄴ㑣昰慥㝤㑥攵㤵㔵搷扤㝢挵㈳㙡愵戳て扣愴㘴愶攲㍣㘵ㄸ㤴昵㍢㠰慡慥㈷ㄳ㈷ㄱ㕢愳㜲㌲㌱㥦㘴㔵㥥㠲〸〴㐷愲攰昸㕦㘳㍣㡤愰捦搱晡っ搴愵㐷敢戳搰㤴ㅦ慤愳戴ㄵ昳㌹㐴捡攷慣攴挳㔶㙡っ昴昶搱ㅡ㐵㤹㡢㐷敢㡢㠰昱㘸摤〹昱搲㝤㑡㡥搶戱扥摡㜱搰捡搱晡㌲ㄲ慢〹扥㤸㥤ㅤ敤㜲㘲㔰㉤㠴㙢搴㉥㤰搲ㅤ户昵㜴挷攲搱㍡挸慦攷愹挹㡥愹ㄵ㌰攵ㅥ慤㔳愰㐵ㄸ㙦ㅤ㠲挴搱扡㉢㌳挰ㄶ摣捤搹㤹敡散㑣搳㍢㡤搳戱昳摢ㅣ慤㜴愲㘲㉥攵㐷敢ㅥ㡥晥㉤㤴㔲㍥〹㘶昲㐵㡦㙡㉦攸敤收攸㔷搲ㅣ敦〰挶收昸㈳攲㉢㥢㘳㙦㕦敤㍥搰㑡㜳扣㠷挴㙡㍦㕦捣っ㐷晢㜷㘲㔰〲㠴昱㐲〱㐸㘹㡥㑤㝣㥢㘳㈳摦收挸㍡愶㍥㠲㈹户㌹㜲搰㈲㡣㘷愸㈱搱ㅣ㜹㘶㠰㉤㘸㌹㍢〵㘷㘷愶摥㘹㥣㠵㥤摦愶㌹㥡㘰㤹戹㤴㌷挷㠱㡥晥㔳㤴㔲扥慣㘶昲搵㤲慡ㄹ㝡愱晢㜳攸戹㈳扦㔶㘸㠵㥥愰㠷ㅥ攳ぢ㐰慡て㥥扤晤㌸ぢ戶挱㤲っ㥥晦㈱㍢㡤挱㌹扡ㅣ挶㔷〸敢挱㌳ㅥ㑡㐵㜲昱扣㤵㠸㘴㘲昱㑣㌶㡢愱㌳㕤〸㐷ㄳ㔶ㅣ㥦挳㑡㘵㡤慦㕤㘸㈶ㄶ㠹㐴慤㔸㉥㕤㐸ㄴ㘲搹㘴㈶ㅤ㉡挴㌳愹㜰㈶㥢㑥攴㜲挹㐲捡昸挶㠵㈲㘱扡㤰挴㈷㍡昳㤱㙣㉣㤷㐹愶攲改㑣㌸㡤慦㔸㘰㐸挶㤰㥢つ捥搵㈵㌱扦㐵ㅡ昳㍢㡡晦㐲〴摢ㅤ晤昷㔴晤㐰昱㈳昵ㅤ㡥㕥昰㠴㑡㈲㌵ㅦ晡ㄱ昸愹ㅡ㄰挰㘱㤱㜳㠳愹敡㈱㙡㈱〲挱㠳㜴㐲愳ㅢ㠲㍥挳㕢ㅤ搴愵挳ㅢ㍦㤵㔸㍥扣㉤㜰戲㌷㄰㘹㡥㘴ㅥ㈳搸㕣〷㑢搶〸昱㠳慡㙥〳ㅥち慤㌴攰㌷摦㝢ㄶ〷㙣㐰㔹ㅣ㝣〵㙤挵攲㈰㜸ㄸㄲ㐹㕢昵㠲㈹戴ㄵ㍤慥昰扦挶攸㡤戰摤㔶愹㑣㍡㤱㐸㘵ㄲ戹㘴㍣ㅤ㐳扢愵㜳挹慣㤵戵ㄲ㤹㔸㈱ㅤ捥愶㤳㐶愳ぢ㡤攷攲搹㕣㉣ㅣ戱愲㠵㑣㉣㤴捥愵ち㠵㜴㈸ㄲ㡡㐴愳昹㜰摣㡡愶㡤愰ぢ㑤攵㜲㈱㌴㝣㍣㔵㠸攷㘲㌱戴㜹㈱ㄴ㡢㈷戲㤱㙣㌴㔱㐸㠴㘳搱攰ㄱ扡㈴收㕡㐸㘳慥㑤戱づ㐴昰㐸㐷㕦搶㔶㐷㌹㝡挱ㄳ㉡㠹搴戱搰㑢㕢㝤〸〲摣戶摡㤸昱㥢㐰〴㠲挷㌹〹搹㔶㈶㕢挶㘴㘳〴㡦㜷昴㝤愸ㅡて㔲㑣摥ㄴ㔴㈷㐲㑦搲捤㉤愰㜷搹㍦ㄹ㕡㘱晦㙤て晢挶㤶㠰㔴㍦㝣摥昴㙤㤲㔳㘰㐹㥡㘴㙢㈴㐶㤳㥣㡡戰慣㍤〶㈰㙣㌷㐹㌶㤳戴昲ㄹ搰㥡㡤收㘳戹㜰㍥㥤㑦㈵㤳㌸㜲戲攱㕣ち㕣㐶㡤㠱㉥㌴ㅦ〹攵㜲㔶㌸㤵㑥㤲收㑣㍥ㅢ戲㔲㤱㜴㍥㤴捤攷㌲㌱戴㘲昰㌴㙤摥摣〶㘹捣㐱㄰挱㐵㡥㙡㌰㔵摢㔲㜵扡愳㜲㔱㙡㌱㔴㐲散换㥡㔸㠴昱ㄴ〲㤳㐴㈰〲挱戳愰㄰㕤ㄹ戱㑢ㅣ㝤㠲搸㈹㑣㌵㤹挴㥥〳扤㍤㑤㍣つ㡢挵㔹㝢㈸慤㘱㥡㌸ㄷ昱㐲㝣挹慣㝤㥥慦昶㝣㘸㘵㥡搸〱㠹搵㠵扥㤸㡢ㅤ敤㡥挴愰〴〸搷愸愵㤰搲㤰㡦㝡ㅡ戲㌸㙢㍦散搷㘶敡㔲挷搴㈸㤸㜲愷㠹换愰攵攱㘷㡥㠶ㄶ搳挴㌲㘶㠰㉤㜸戹戳㜳㠵戳㜳愵摥㘹扣ち㍢扦捤㌴㜱㌵㉣㌳㤷昲㘹攲ㅡ㐷㍦づ愵㤴㑦㌷㥡搳〱㔳搷㐱㙦㌷挷㕤㈵捤戱㌳㘰㙣㡥敢ㄱ㕦搹ㅣ㌷昸㙡㙦㠴㔶㥡㘳ㄷ㈴㔶㌷晢㘲㙥㜵戴㔳㠸㐱〹㄰慥㔱户㐳㑡㜳摣攲摢ㅣ㌷昹㌶挷ㅤ㡥愹㘹㌰攵㌶〷ㅤ戳愴㌹愶㐳㡢收戸㡢ㄹ㘰ぢ摥敤散摣攳散摣慢㜷ㅡ敦挳捥㙦搳ㅣ昷挳㌲㜳㈹㙦㡥〷ㅣ晤㕥㈸愵㝣晦搲攴慢㑢㤵㌸㘴ㄱ扦㡦愶㠷ㄴ愹㐷㠰ㄶ㝡慥昰搲攳づ晡换晣攸〹㍥㡡㐴㌲挲捣㈰ㄱ㡤挱挷㜴㤶挶〱〸摢㈳㑣㌸ㅢ挹攵昰戹敢㐴㈴ㅡ㠹㘵攳愱㜴㍣ㅤ㑤愶㜳愱㝣㍣ㅤ㠹㈵攳㈹㈳攳㐲㌳搹㔸戴㤰捤㘷㌲愹㔸㌶〶㑣㍡ぢ㙣〱改昳㤹㉣㘶攸㡣㤱㜵愱搱㜸㌶㘵ㄵ愲戱㉣捥㠴㘲戹㐸㉥㤵㡢攴㤳ㄸ晡㌱㥤㘴攳昸〵ㅦ㜷㉡㥦㐳ㅡ㌳㑦㘱㐱〴㥦㜰昴㘵㠳晥㤳㡥㕥昰㠴㑡㈲昵っ昴㈳昰㔳㑢㐰㠰㍢攸户㌰㥥㥦㉡て〴㥦㜵ㄲ㤶㡤㑤捦㌹晡㜶㘲戳攴㍢㐳㥥㥦愷㌱㠶收㐱㉦捣㔳晢㈲戴挲晥挹扥散㥦攸换晥㑢㐸㈴散㉦㠴㈹戰晦戲捥搲㌸ㄸ㘱㍤扥ㄷ㜲攱㌴㠸㐹挴戰㍣捡㔹㈹㑣㡢㠹㈴捥㌴㤳搱㘸㍣㤷〲愵㠷戸搰㐴っ㘷㤳㠵愴ㄵ挳ㅡち散㠷搲〹㑥户戱㌴搰㤱㜴㈱ㄷ㌵づ㉤㐲ぢㄱ㉢ㄷ㡤㘰ぢ㘷㘳㈹㉢㥡㠹㐷挲昸㥦戴搲㤱㘴㌶㔲挸〶㕦搱㈵㌱て㐳ㅡ昳㜰㡡㈳㈰㠲换ㅤ㝤ㄹ晢慦㍡㝡㠱㑡㈲攲搵ち攸㠵晤㠳扤散㥦㐰㝢㈷㐲〴㠲慦㍢〹换搸㝦挳搱㥦㑡㙣ㄳ昹㥥㐵㥥摦㠴摥ㅥ㡡收挲㘲㜱㘶㌸㠳搶㌰ㄴ扤㠵㜸㘹㥤㤲㤹攱㙤㕦敤㕦愱㤵愱㘸㌱ㄲ慢㜷㝣㌱敦㌹摡㈵挴愰〴〸搷愸扦㐳㑡㙢捦昶戶戶㝢昵愵挹慦戵搵〷㡥愹昳㘰捡ㅤ㡡晥〱慤っ㐵攷㐳㡢愱攸㐳㘶㠰㉤昸㤱戳昳戱戳昳㑦扤搳昸㉦散晣㌶㐳搱㈷戰捣㕣捡㠷愲㑦ㅤ晤挵㈸愵㝣㕤搶攴㔳㙡敡㌳攸㠵敥㑢㌵㍤㜲㐰慣㠴㔶攸㤹攱愱挷㔸〶㐸昵ㄵ搰㝥㝥㥣〵扦㠰㈵㌹㐲慥㈰㍢㡤挱㉦ㄱ㤶ㄵ搰㤵〸摢㐷㐸㍡㥥㡦收昲昹㝣㤴㡢搲㜰㌸㥥挹㐵㜱㐲㤰〸愷搳㔶㈲㘹攵ち挶㔵㐵㈸㔶愹愹㕣ㄸ㝤ㅤ㈷㄰改㑣㌲ㄳ㑤愴ㄲ㌹㡣㘳㠹ㅣづ㠱㘸㍡昸ㅦ㙤摥扣ㅡ㘹捣㙢㈰㠲㕦㌹慡㙢愹扡㡥㉡㍡㤸挹㌲摦㐵愹敦愰㤲㝥㍥つ搵攰㈸㠳㜰㡤㜹ㄳ㤳摣っㄱ〸晥ㄷち敡㡣㕢㄰昴㌹つ戸ㄵ敡搲搳㠰摢愰㈹㍦つ昸㕥㕢㌱㙦㐷愴㝣㙡㔷㍥扡慢㝥㠴㕥㥡攱㉥攸愵〹搸㌸昴㈶㤳㘶㤸攰㘹〶㤳捤㈰愷〱攳㝣ㄹ㘷挹㠵昱晢㠰〳攳散㥣挲昸晤〸摢㡣㐷㌳〵㡣敡㠵㘴搲㑡攵㜰ㅥ㤶㑣㈷挲昱㈴慥㕦㐵戲愹〲㔶㥤ㄱ攳〱ㄷ㥡㑣㠵㔲戱㜰㈱㘶㈵㘳改㔸㈲㘳㘵ち〹慢㤰捡愶愲ㄸ挵ㄲ挹㙣㈲愸戴㜹昳㐱愴㌱ㅦ㠲〸搶㍡慡㈲攳摤ㅣㄵ〱〲㔵〶㔴挲昸㌰㉦攳㑦㌰晥㐹㠸㐰戰㍢〰愸ぢ㉥㙢㔲㐷㝥㑤㔲ㅡ㙣㜰昴捦㔲㜵ㄸㄱ㝣㜵慤ち㐰㉦ㅣ㍥て扤换㘱㑦㘸㠵挳愸㤷挳㉤〱ㄱづ挳扥ㅣ搲挷㑣㌸㝣ㄹ㌸㜰搸ㅢ㘱攱昰ㄵ㠴㙤づ㜳㤹㘸挸㡡攱㐴㌶㤱捤挷昲戸㝥㤸㑥愷㜲改㜴㌴㠱戳慡㜴戲㤰㌴㤶扢搰㜸戴㠰㘹㌵ㄹ㑥㠴攲挹㔸㈶ㅤ〵㜹㤹㐸㈲㤵㡡收挱㌸㤲〶ㅢ戵㜹昳㔵愴㌱㕦㠳〸〶ㅤ㔵㜱摤扥㤶愳㈲㐰愰㙡㕤愸㠴挳慤扤ㅣ扥挹昸户㈰〲㐱晡愱〹㠷㘵愳昳晡㡥晥ㅤ㘲㡦㈵㠷挷㤰挳つ愱ㄷづ摦㠷摥攵㜰㈳㘸㠵挳㑤扤ㅣ扡㉢㤳㡤㝤㌹摣ㄸ㠹㠴挳て㘱ちㅣ㙥㠲㌰㡢㘲㝣㠴戰敥㠷㤱㑣㈴㥣㡢㈴㐳戹㈸搶㄰㔶㌸㥢挷㠱ㅣ㡦㈵㈳戸㐴㤰㑢㠴戳挶挷㉥㌴㤱㡣㘴挲挹㜰扣〰搶㌰㈳收㔲㤱㔴ち戰㐲づ愷㑢搹㘴扥㘰晣搳㠵攲慡〱〶㠵㐸㈶㥦㡦㐷㘳㔶㈸㤵捡愴㘰ㄴ㡢㤲㑣㈴ㄷ㐹㠴㈳㐱㍡戹〹㈹晦㐲ㅡ昳ㄳ㡡㑦㈱㠲㥢㌹晡戲戹㜱㜳㐷㉦㜸㐲㈵㤱敡〷扤戰摦㑢戳㉦㘳捡㔷㡣晦ㅡ㈲㄰摣挲㐹㔸挶㍥摤摤愴〰晦㈵昶ㄴ戲㝦㌲搹摦ち㝡㘱晦㐷攸戹㐳㤰ㅡ〰慤戰摦捤挳扥昱ㄳ㈰搵〷㘳攵摢㈴〳㘱㐹㥡㠴戳ㄷ㥡㘴ㅢ㠴愵㕢㉢㠴敤㈶㐱㜷捣㠰搲㔴㈸㥦㠸挷愲改㝣〶㠷㝦㍡㠶㌳捦㙣㈲ㄲ挲戲搰愸㜵愱㘱㡣〹昱㔴㍥㔹挸收㐲ㄸ㡣㘳搹㐸㌴ㄷ㠹挷慣㙣㈱㠱㈶㈸㠴㠳㜴㠷ㄳ㑡扡㈱㡤㔹〷ㄱㅣ散愸敡愹㌲愸摡搶㔱ㄱ㘰ㄲ慡㐲㔰〹戱摦晥搷㌳ㄸ〷ㄸ摦〳㈲㄰っ〳㈰〴㤶ㄱㅢ㜱昴㡤挴㉥㈶戱㘷㤲挲ㄸ昴㐲散摡㌴㑦つ㝦〹㘸㠵搸㝦㈳ㅢ攷ㄶ㡣戱㉥㈰搵㠹晤〴搰捡㑢㉦㐹㔸ㄲ㘲搷㐷㘲㄰㥢㐲㔸㠸摤〰㘱㥢搸㔸㈱ㄵ㡦愴攲愱㉣慥㘱愱㌳㐶戳戹㝣㈲㥡㡢㘷㌰愰收挳㤱㐸摣搸搰㠵捡㘵㉦㕣〰换攴攲愱㔸ち慢戹㔰㍡㘴攱ち㑢慥㠰㉢㙤愹㔸㈶㤸搶收捤㍦㈰㡤戹ㄱ㐴㜰愸愳摡㤸慡㑤愸摡摥㔱ㄱ㈰㔰戵㈳㔴㐲散㝢㕥㘲晢㌰扥㉦㐴㈰㌸ㅣ〰㈱戶㙣捣ㅤ攱攸户㈴㤶慦敡㤵敦㜹慢㔱搰ぢ戱〳愰㜷㠹愵㡦㥢㄰晢扡㠷㔸搳ㅤ㉦晥散换㈱㍤摤㠴挳挱㌰〵づ挷敡㉣㡤㙤ㄱ搶㘳㙥ㄸ㤷ㄵ搳戸っ㤸㈹挴㘲〹㥣㤴㘴挲㤱㔴㉥㥢〸㈵慣㐸㌲ㄲ捦ㅡ㐳㕣愸ㄵづ㈵攳㔶㍥ㄷ㈹㔸戸㉡㘹㠵㌳ㄶ㤶搲改㙣㈶ㄴ换㈴ㄳ攸愳挶㜶㉥㌴㥦㐱ぢ㘰改㡣㡢㉥㤹㔸㈶㘱㘵戳ㄸ换戳㔶ㅣ㡢㤰㤴㤵㠸㠶㠳攳㜴㐹捣㄰搲㤸㘱㡡〸㐴㜰扣愳㉦ㅢ㉦㈶㌸㝡愲㙣㍣㔳慡㐹搰ぢ晢㑦㙢昶攵攰ㄸ㑡搰昶㄰㠱攰㉥㑥挲戲㙥㍤搹搱て㈷昶㔲戲扦㤴ㅤ㜸㔷攸㠵晤㔱㌴㑦つ㝦㔳愱ㄵ昶ㅦ昴㘵晦㝥㕦昶改㍤㈷散㡦㠵㈹戰㍦㕤㘷㘹㡣㐳㔸戳捦㑢慦㘹㉣戳㌲㌸㡦㑣㈴㐳㔹㉢㥤㈸愴昲㔱㕣ㅤ㑣㘵㜳愹㤰㌱摥㠵ㄶ攲〹っ捤㤸攳㜰㐲ㄹ挳ㄲ㈳㥢捡愳慢ㄷ慣㐲慥㤰㑤㐶㈲㌱㘳㠲ぢ捤㈷昳㠰收戲㔶㈴㠴㠱㍤㡤㌷昵攴慤㔴㍥㕦㠸㘵㐲改ㄸ捥㥡㠲㜴搷㤳㉥㌹ㄱ㘹捣㥤㈹㈶㐱〴昷㜰昴㘵散敦改攸㠹㌲摤㐴㙡㙦攸㠵晤ㅢ扤散㑦㈷㘸㜷㠸㐰㜰ㅦ㈷㘱ㄹ晢晢㍡晡㍦ㄲ㝢㌵搹扦㡡㍣敦て扤戰扦㉦昴㉥晢〷㐰㉢散㕦敥换晥㘵扥散㘷㤰㐸搸㍦〰愶挰㝥㔶㘷㘹㘴㄰搶散㈷㐲㜹㌰ㄷづ攵戲㠵㔸〴攳㐰扣㔰〸挷㐲㠹㜰㈲㤶㡦挵挳ㄱ㈳敢㐲㐳挹ㄴ捥捡㜳㠹㐲㍡ㄳ㡤愵㤲㠹ㄴ捥ㄵ㤳㈹㉢㤲㑤㐶慤ㄴ㍡戴㤱㜳愱昱㐴〲㤷ㄱ㐳戹㐲㌴㤷㠸㈵ちㄹ㡣攲㔸捣㔸戸〱ㅡ挹㈴戳改㝣㌰愷㑢㘲收㤱挶戴㈸ち㄰㐱扡晦㐹慢㤴戱㑦㡦㐰搱扢㔰㐹愹㘶㐱㉦散㥦攵㘵扦㤵昶摡㈰〲挱㈶㈷㘱ㄹ晢〷㍡晡づ㘲㙦㈲晢㌷㤲晤㘶攸㠵晤昹搰扢散户㐲㉢散㥦攴㘵摦㕤敤㥤攰换㝥ㅢㄲ〹晢〷挳ㄴ搸㥦㠳戰㡣摥㠷㈰㙣戳㥦㈸挴㈳昱㈸搶挲戸捤ㄱ㑢挶㘲搹㐲㈸㥤っ愷㌳戸㐵㔱挰㥤づ㥣㥡扢搰㝣㉥㤹㑣㐴㤳㘸㤵㜴㌴㤶㠹㠶㔳攱㜰㉡㤳っㄵ慣㘸㌲㤱挶㡡㈵㌸㔷㥢㌷て㐳ㅡ昳㜰㠸㘰扢愳㉡慥昶攸㌰㈸攳㠳㡢㔲昳愱ㄲづて搳ㅣち搱挷搲捡㜱㄰戸㔵〱㠰攸捡㌸㕣攰攸㑦㈲昶㑥㜲挸㌷㌳慢㠳愱ㄷづ㑦㠵摥攵昰㔰㘸㠵挳づ㉦㠷敥㔹挷㕣㕦づ改攰㈷ㅣ㥥〱㔳攰昰㜰㠴㠵挳㌳ㄱ戶㌹挴晡㌸ㅢ㉤㔸戱㜰㈶㡦ㄹづ㘳㐲㈲㤵挷㤲㈲挵㑢ㄹ戱㈸㤶㜰㡢㕤㘸㉡ㄳ㉦㠴戰ㄲ挹㐵㘲ㄸ扤㔳㔶㤶愷ㅢ挹㌸㙥㔹挴搳戸晣㙤〵㡦搰收捤戳㤰挶㕣〲ㄱ㍣搲㔱㥤㑤搵㌹㔴ㅤ攵愸㕣㤴愲〷愰㜰㌸搳换攱〵㑣㜲㈱〴㙥㈱〰㈰ㅣ㤶捤㠰挷㍢晡愵挴昲昵换㈶㕦收慣㑥㠴㕥㌸㕣〶扤换攱挹搰ち㠷晢㜹㌹㜴㘷挰㝤㝣㌹愴挳㥦㜰㜸ㄵ㑣㠱挳㔳㜵㤶挶搵〸摢ㅣ挶㤳㕣〵愳摦㐵昲戸㐰㤷戵戰ㅡ㑥攲摥㔸〲㌷㕣㤲搹㜸㈴㙤㕣攳㐲㈳㜰㑣㠸㘱敡换㠷〱捤攱愲ㅦ愶㐴㥣愹攴㜲㔸〶愳挷㐶㡣㙢㕤㘸㍣㘹㔹扣㔱㠳昹づ昷ㅣ戰㔰㑥收㐳戸ㅤ㠷〵㌹㘶摡㜸ㄴ㌷ㄶ㜴㐹捣敢㤰挶扣㥥攲〶㠸攰㈲㐷㕦㌶ち㥣敥攸㑢昱㙡㌱昴挲晥㉥㥡㝤改攱㜷搰摥㥤㄰戸捦攰㈴㉣敢挱㑢ㅣ晤扤挴㍥㑥昶ㅦ㈳晢攷㐰㉦散㍦〰扤挳㝥搰戹㜴愴捥㜳愲㕤つㄲ〵㉦㠰ㄶ晦㜱戶㡡㐴戸㘲㜳〹〲つっ㍦㑣攳㡦㔰㍣㑡昱ㄸ挵攳ㄴ㑦㐰昴慡慤㕦ち攰昶搵摦〶散㜱㍥ㅡ〴挷㌸扣摦搰捡攳㑤㘳昸〲㜸攷挲㥤㕡㍢摢昹挸㐳㑤㌷扣㘹捣㝥㘱㑥㕤敤搰㕦㘶㡢捥ㅣ㝣㐵ㅦ㝦昵摢㠳挹晦㠳ㅤ㜲㔶㜴敦愰挵捤昱㌳㥦㐲㠵搵攵愸㙥㝦㠶摥愱㜸㤷攲㍤〸㤵㐰㤶㙦攱㝤ㄵㄵ摦戸㡢敢㠸㡡慦㌰㕦つ㑢搲㑣捦搳㉥㙤昰㜷慤愳㉤㘹ㅤ㝡㐹攱㍦㕥〵㑦搲扢〵㙦㐶㐰㕡攷㈵㠴捤㤷㈹㕥愱㔸㑥昱㉡挵㙢㄰扤㙡搵㉤〰戲㠵搴㈰ㄴ㠳戴㐸㑤㔶㈰㔲摤〱㜵㝦摡㉣慢挹㔶搵㙡戲愵㡥㈸晦㘴㜲昰㙥㔸㤲㘳昴㙤㘶摡愸敥㐷㔸㌲摤挲㥢改摦㄰㔹晦㄰愲㝣摦㘹㙡㝢戳㑤挳ㅢ敡慣㈱愳㐷㈵㠷散戴㈰㘷㌵㡦挶晢㘳攱捡㠶㠴㌵敢戵㑣攸挰㉥㍥ㅣ㍦扤㙤愴扣搵㤴ㅥ㡢㙢㌹摥㙥㠳㥣㡦搶㙦㔹搴㌸㉦て㜶㤲㑤㘹㜷搳攱ㅢ散㜰㄰㐴挴㈰㝥攲㝥扤㘲挸昳扥愶㡤㡢㕡扣㈹ㅡ晤搵捡㍢ㄶ㍢昰㙡㤶扡摡㙥慡晣㕤㜴昲㙥㔰晤㠵㜱㝡㈵搱㕡㝢㕢昳㠴㍣㔹摦搸攷攵㜸愳㥡㍡攵〵㤳㥢㈰㕥㤹て㠰ㅣ攳㕤搴搶ㄸ搶㝦慦晥搱㜸晤收攰㙦㡤昳㘰昷㈹昶㕡收挸㈱㍢㘰扥て㠳敡㘱㤸㈶昷捡愴摢㤶昱㠱㥤挹〴㘴愲㌶㐶㈶捣㠸〷㘲挰晣㤰攸㐷㠰愱㡡〶搴愳㍡挰昸㐶扡㌸攱㈴扢〶㈸敦戶㜲戸づ㡤戰晦㌶攸扦挱ㄱ㡤㑦㌹㈹昶㔳㝤ㄷ㡦慣㝦昷㠸昲慦㕦搹慦晥㔹㌱㝣㥤戵戸㥤㌹㕣㍤㠷ㄴ晤㘱挷敥㤸㐱搴换㍥挴搶㐷㠹㝣て戱昵㜴㐴挵㘷㔸㕦㠴㈵搲㘲㝥捡㕡㘱㐷㝥㉦㍢摡㤲㐳㙣㌹戴昸㡦㑦㠰〱㡢㐳㙣〵〲㜲㠸㝤㡥戰戹㤲攲ぢ㡡㉦㈹晥㐳昱ㄵ〴づ戱搷〱㤴摥摥〳挵㜰て戱㙦㄰愹摥㐲㔴㝦户㈶敦㜲敦㍤〸㘵㔴慢㐹扤㡥愸昸㘶敡㍢戰㈴㌵昹㤱㜶㘹㠳扦昷ㅣ㙤㐹㑤晥づ㉤晥攳㡤晦㉣㘰户㈰㕤㝢愴㈶慢㄰㌶㙢攰㜳㙥㉡㡡㕡㡡㙥ㄴ㜵㄰愸挹挷〰㑡㑤㝥昸捥㔳ㄳ〳㤱敡㔳㐴昵愷捤戲挱攲ㅢ㈰㝤摢攴㙢ㅤ㔱晥㠱搳攰攷戰㈴㠳㐵㑦㘶摡愸攸㐴㈳㤹晥挷㥢㘹㙦㘶晡㉤愲散㑥晢ㄵ昶㡣㈰㜴摤㠷昵ㅦ㌹愹㝦㌴愴㍥〷㥡㕤ㄴㄱ攸戵㙢ㄳ晥㥤ぢ愷㜷㡤戱慥㠶㑦㈴晣ㄳつ户㍢昹晡㠴搳摤挵戶晥つ攱ㅢ㙡昸捥㠴㝦愴攱昶ㄱ戴ㄱ攱㥣捤㥤っ搵て㍡㈰〷挸㡦㍡㈰〷〸㥤㘴㐰昳㥡ㅦ㈰挰㘲㕢㜷㐴㘳慤㤳戲摡㠱㈲挰㔱㤷㡦㤰扦搷㕣㌵㠲㙦㐷㕡搵敢扡ㄱ㡡敥㌳晤愱㉤㍦㘰摥㐷㉤㝣ㅢ攷㍤ㅤ㔱晥摤搵愰〹㑢搲㌸㝤㔰㘵㌴づ扤㘶愴㜱摥㐱ち户㙦昷㈳ㅦ㙢㈱捡愶㡦慥㌴㐶㝦㑤ㅦㅡ㈷慥摥搲昴㠱ㄸ㌴捥㔶㠴慦敤挲改㑥㘳っ搰㜰㌴㑥㕣扤慥攱㜶攳㙣㐳㌸晤㕢㙣敢㐱挲〷㙢㌸ㅡ㈷慥㕥搵㜰扢㜱㠶㈰慡㜱㘳㠲㤰ㄹ㝦㥥慤晡戰㘴㠳挰晡㈶㑥捡㥦捤㍡摤㘶晣㔸㝦ㄱ挵昳㘵晤〵ㅤ㔱晥㥤搷攰ㄶ戰㈴慣挷㔰ㄷ戰扥㌵挲挲晡㥦㤰挲㘵㍤㐱㕥攸㥥㘲昳㐲㙦ㄹ㈳愵㜹ㄹ挵㑥晢㜴〹㉦㐳〹愷扢㡢つㅦ㐸昸づ搰㘱㙥搹㡤攸挷㌵摡㈶㝤㐷愲㜹愲攵づ晢㜴㡢㘱㐰㝡㜵ㄸ〱晣㕦㜳㝥ㅢ㈳㑥㡡㙡扣㐶㘵㝢㝣戸㡣晡ㅣ昶改㉤攳挷攷㐳㥡戶㡡㤵搵㠳㍡愲攲㍢戱㜴愸㤱挱㜲っ㙢㠵㘲换㙦〷㐷㕢㌲㔸敥〸㉤扢愹㌹ㄶ㔸っ㤶愳㄰㤶挱㜲ㅣ挲收㜸㡡〹ㄴㄳ㈹㜶愶㤸〴㠱挱㜲㌴㠰搲㐸户愳ㄸ㙥㈳㑤㐶愴ㅡ㠷愸㘲㑤摥愵昵昷㔸㡡㥢慡搵攴㐶ㅤ㔱昱㔱㔷晡愲㐸㑤愶搳㉥㙤昰㈷㑥㈶戴㕡㔲ㄳ扡㤵㐸㑤昶㘰〱扢〵改ㅢ㈲㌵搹ㄳ㘱㜳㉦㡡㍦㔲散㑤戱て挵扥㄰愸挹㜴〰愵㈶㤷㝢㙢戲㍦㈲ㄵ㝤㌴晣㙡㜲㐹戵㥡㕣慣㈳捡扦挰ㅡ摣〷㤶愴㡦攷㤹㘹愳愲㙢㠶㘴㝡愱㌷搳〲㌳捤㈱捡敥戴〷㘰捦㤸〵㥤㍤散挷搲敡㕣愰㥤㔱㌸㘰ㅥ㐸㌸扤㈸㙣㌸㝤㌶㡣㘶つ㥦搸ㅦ昰戳㌴摣敥攴慤㠴㕢㉥㍣㑢昸ㅣつ摦㤹昰搳㌵摣ㅥ㔹摡ㄱ搵㐸㥦㡡㕦㌶戲搰ㄱ㐳㔲㔶㍢〲搰㠲㌵㌵敦ㅥ㌷㐲晥搶㥣㘴晦ㅤ㜱晡〸搵㡥㤴㐵搶㡢ぢ愰㤳㔱㍣摦㤱攵㈴ㅤ㔱晥挵搷㈰扤㌹㠴昵〵愸ぢ㔸愷㑢㠶戰㝥〲㔲戸㥤昶㘰㐴㉡扡㌷搸㌴搲㑦挳㌸ㄴ㍡戲扥㜳晦㜸㐸ㅤ㔳挲换攱㠴ㅦ敥挲て㈱晣㐸つ㥦㐴昸ㄱㅡ捥摥ㄸ㌰㡦㈶㥣㝥ㄳ戶昵㐳〹㍦㔶挳㈷ㄲ㝥㠸㠶摢㡤㜴㍣愲ㅡ㑦㈰〸愹㝦晥㜸㑥〷㡣搵戳㝥挱换㌶摢㈷扥㙡晦㥤扦㘲㠴㍡ㄵ㈹晤㔸㥦㡦攲昹戲㍥㑦㐷㔴㝣㘱昶っ㔸㤲愳昶㔴㔶ㅤ搵㤰摦㘲㐷㕢㜲搴㉥㠱㤶㍣㤹㡢㠰挵㔱㑢㌷ち㌹㙡㑦㐷搸㍣㠳攲㑣㡡挵ㄴ㘷㔱㉣㠱挰㔱㑢捦ち㘹捡搹㈸㠶摢㤴攷㈰㔲搱㥤愱㔸㤳㜷㘹晤㍤㤶愲㔰慤㈶㤶㡥㈸晦ㅣ㙣昰㔲㔸㤲晥㜳ㄱ㌳㙤㔴㜴㔸㤰㑣㜳摥㑣㉦㘱愶㔷㈳捡㙥攱㉢戱㘷㕣ち㥤㥣挶攰戰㥡〱戰㌳慦〴捣㘵㐴搳ぢ挱㐶搳㤱挱戸挲㐶㑦攰㐱戸㡦㐶摢摤攱㉡愲慦〵挶㌱愰攸慤攰㑥㑣㜴㐶挰晦㌵敦㈸㡤昴㕣㤰ㄴ㕤ㅥ㤶㌵㍢㡥戸晥㍡㙥摦て㔷㜴㑢㈸搲㔹㍣ㅣ昷搰慣㔵㑣㑣扢敢㠸昲慦挹〶改挸㈰㜴摥㠰㕡㠱㑥㝡㈳〸㥤搳㤰挲㙤挳㥢㔸㘵㝡づ搸〴摤㡦㍤攳ㄶ㠷㈰ㅣ㉦㔳㑡〸扡㡤㘸㝡㄰搸攸〷㠸扥挳㐶敦挵愳㙢㘷㡤戶挷戴扢㄰搳㐸㝦〲晣晦ㄹ愴㍤改愴愸㐶㥡㍤㥢㝦㌲㍣攸㥣挴㍤㡢ㄴ㝥愴㡤搵摣㔴㤰戶㤳㡥㈸晦攴㙣昰㜹㔸ㄲ搲ㅥ㐰搹㐱摡换〸ぢ㘹愳㤱挲㈵敤㈱搲㐰㔷〱㥢〶晡㈴ㄸ㡦搸㌴散搶㍦ㄲ㔳挳㌵つ㜶慦㝡㡣㘸扡っ搸攸攵㐴㍦〱ㅤ㐷扣㔱㠴㙦慦攱㌶㙢㑦㈱慡㤱ㅥ〴昸晦㌳㔸㝢换㐹㔱㡤㌵㔸挳昶㐷摤搵〲㈳ㄴ㍤て晣㔸㑢㘸㜲㉡㔸㡢敢㠸昲て搳〶摦㠷㈵㘱敤㜹㤴ㅤ慣搱攱㐰㔸㡢㈲㠵换摡㡢攴㠱㜷昰㙤ㅥ㍥挲㥥昱戲收㘱㔲晦㔸㑣㙤愷㜹愸㐳㌹〳收㜲挲改ㅢ㘰挳改㠹㘰扣愶攱㤸㙦㘳㙡㤰㠶摢㉣慦㈰晣㔳ㄷ晥㑦挲摦搰㜰捣户㌱戵戵㠶摢㉣扦㠹愸㐶㝡ち晣戲㤱㥦敥〵慢ㅦ昹晤收㕢㝡ㅣ昸戱摥て挵昳ㅤ昹晢敡㠸昲て攱〶㝦㠴㈵㘱晤㕤搴〵慣戳㐰挲晡收㐸攱戲晥㍥㜹攱㑤㝤㥢㐶㍡ㅡㄸㅦ㐰㔷捦愵㜹㕡㙤慣㔹戱㐹晣㤰攰㍡ㄷ㕣㑢昰挷搰㘱㜰㐵㔷㑤慢つ㌴摡收昰㕦㐴搷〳攳づ㤷㠶づ搰㕡㘳〰〱ㄴ昱㘷昴㘱晡ㄶ㐸㡡慥晢㜰㜲挴敥戲晤㜹戸㙡㐴ち㍦㌶搷搶愴㔵昴攱戵㜴㐴昹㘷㜴㠳㙢挳㤲戰戹ㄲ戵〲㥢敢㈳㉣㙣㌶㈲㠵换收㤷慣㌲㙦晡摢㙣搲扢挰昸捡㈶〸㐷㝥㐸昵搰〴搹㜴㝥㐳㌴㙦晥摢㘸㍡ㄸㄸ摦㐱愷㡦晣㤰敡慥攱㌶㥦摦ㄳ㑥昷〱㤷捦㑤㜴㐰昸散㠳挰捦攳㤳㉥〵㕤昲㘹㝦㥦敢摥攲㜹搱㤶㐸攱挷㘷慤愶慤㠲㑦愵㈳捡㍦挳ㅢ愴㍦㠲昰挹ㄵ〶昸ㅣ㡣戰昰戹敡㕢て㥦戵㠸㔴扣㌷㙦㌳㐴㑦〳愳づ㍡㌲㠴搳昵戴晡〱㘸㘷〲挶㝢搲〸攷晤㝦ㅢ㑥㙦〳愳㐱挳㜱扡㥥㔶摦㙡戸㑤㘸㠰昰㠸ぢ摦㡥昰㥥ㅡ㡥㙢〷㘹昵ㅦつ户㐷㥣摥㠸㙡愴㌷〰晥慦㜹慦〵ㄶㅢ捥敥改㐲㈰㈹扢散扤㝥㘳〲扤ち晣㔸晦っ挵昳ㅤㄳ晥慤㈳捡㍦晢ㅢㅣ〵㑢挲晡扡愸ぢ㔸ㅦ㡢戰戰晥〹㔲戸扤㜸㝤昲挲ㅢ昳㌶㡤昴㌰㌰㌶搴扣散捣ㄹ改㈳捤㡢㑤攳㐶㠴昳扥扦つ愷㤷㠱戱㠹㠶㑦㈴晣敦ㅡ㙥昷晡捤〸㥦攴挲改㘹㘰昴搱昰㐹㠴扦愳攱㌶敢晤㄰搵㌸㥤㈰搰挸㥦㘷㕢㠳㙢㉡㜴ㅤ㤰㤴㍦㥢㜵㝡ㄳ昸戱晥㈶㡡攷换晡㕦㜴㐴昹户㠶㠳晢挲㤲戰㍥〰㜵〱敢〷㈰㉣慣扦㡥ㄴ㉥敢摢㤰㤷㍣愲㙣ㅡ改㔹㘰っ搶扣㘰㐲挳戵㈶捤㡢㑤攳㄰挲㜹ㄳ摦㠶㘷〹て㘹㌸愶换戸㝡㐹挳㙤ㅡ㈳㠴昳敥㠵つ愷㠷㠱ㄱ搳㜰捣㝦㜱昵㈷つ户摢㌴㠱愸㐶摥晤挷晦㕦挰㝡㥢㤳戲㑢搶㐷摤㍥㐲ㅡ昳㥡扢昴昵挳晢㐶愸づ愴昴㘳晤㈹ㄴ捦㤷昵㈷㜵㐴昹户㡤㠳昳㘱㐹㔸摦〱㜵〱敢㜴ㅥ㄰搶ㅦ㐷ち㤷昵ㅤ挹ぢ㙦攱摢扣搰愳挰ㄸ愱㜹挱㤵慣戸㝡戸㠴㤷㔱㠴搳㈵挰㠶ㅦ㑡昸ㄸ攸散㉢㔹㜱㜵扦㐶摢㙤㌴ㄶ㌱㡤挷〲昳昳挶㘵㍡ぢ㜴㌹㉥㍦晥昵㠰㝤㑦㝦散ㅦ挵ㄵ㉥晤〶晣㔸扢㑢㤳㔳㌱㉥摦愹㈳捡㍦㠰ㅣ㍣ㄵ㤶㠴戵㐹㈸㍢㔸愳扢㠰戰㜶㍢㔲戸慣㑤㈶つ扣㘹㙦搳㐰ㅦ〲㘳㔷攸戰㙡搸扢㝦㕣摤慣㔹戰晢搲㔴㠲㤷戸攰挵〴㑦户挱扢〰㝣扤〶摢㤴敤㐱㌰㍤〴摣㐹敥ㅣㅤ㘰㝣㈳ㅤ〱㝥ㅥ㤹昴ㅡ攸㤲㑣改㠲㌵晤㡢攷㔸㜴㈰昰㈳昳㉡捤㔹〵㤹㔷敡㠸昲慦㈷〷㤷挱㤲㤰戹㉦㙡〵㌲慦㐲㔸挸扣ㅣ㈹㕣㌲昷㘷㤵㜹㈳摥㈶㤳捥〴挶〱搰㜱㤲挳㌴ㄴ㔳㑢㌵㐳昶㤱㥣㈵㥣户昸㙤㌸ㅤち㡣扣㠶㘳㤲㡢愹ぢ㌵摣㘶扦㐰昸つ㉥㥣㑥〵挶㉣つ挷ㄴㅡ㔳攷㙡戸捤晦㠱㠸㙡扣㠳㈰昰挲㥦㘷㕢㠳攱㤶㕥〲㤲戲换〳摦㙦㤲愳攳㠰ㅦ敢㡢㔱㍣摦〳晦㑣ㅤ㔱晥挹收攰〳戰㐴慡捣㌹愸㑢慦㙥昵昴㈲㔸摤〷㤷昸㐶ㄷ慢㐳扥㥦搸㠸愴昵〵摥搱敤㔱戰搵扣㥦㉦㥦收㙤㤶ㄷ戸昴挴攷攵摡㘷㕢敤㤳昰挵㐴㝣㔴㙥㕡㔳㡢㝥晤〹扥愴挸㑦攷㌸ㅦ㉦㌳㈵挴挴㐶㘱㑡㍢扥㘶搶扤㌰愱〳摦㘵捣㌷戴散㥡改散戴摡㕢㝦て敦㔲挲㉢㜵昸捡㘲㙣昶㈷㤸㝣摦㘶昳っ愲㝤㙦晥ち㘳㐳㡡㝣㌸ㅦ㈰慤攵㔷改㝥搹㥢㤴㡣戹散㠲戸ㄵ㙥攵昰㑤搰㍥昳㜹㜷扣愳㔶㉤㐲㜳㡢㘳敦㈷㤱㍦慣㤲昲挲㝦挹散〰搶攸㠴攸㌶戶㍤愷愴ㅥ昸㔰㠹㌹てㅡ㜹戹㥤㠸ㅡ㐵挷ㄱ㌹昰㑥㠲ㄵㅥ㜸㜲㙣愸㐷ㅣ昵㠹㕡扤ㄶっ攳摤㜷㡥晡〴慤㕥㕦搴㡦㌹敡攳戵㝡〳㔱搳〱㐵㙣ㅦ愷搵〳㐴晤㠴愳㍥㔶慢〷㔲㕤晦ㄴ搴攵ㄴ昳㉤㐷㝣つ㙤㑤晤㐱㑤昹捥㔹挶㉣慢㘹收慣㑥扣捤愸挷㌳㔰㕥㍢晣㥦㈳づㅦ㜱昲挸攰昳㐸㉡晤晡㌰搴慥㔷㌷㐵晦ぢ昶㙤㤳㠴搵慡愳㤰㑦㈵㐱㐷㈲捥㈴㐱㐵㜲㡥愶㡡㉦戱搳攴扣〴ㅢ㔲㠱㐳㜵㐹㙤㜲攸挹㈱敡㐳戴摡㈶㠷扥ㅤ愲㍥㔸慢㙤㜲㤶㍢敡㠵㕡㙤㤳㐳晦て㐱㉦搰敡〱㘴㐱扤收愸て搲㙡㈱㐷慤㠰㥡〴㌹㔵㔶㙦㈳挰㉡ㅡ㈷愳捣捥慢昱昲㥥て㜹搵愹㜹戰㘰㍢㝣ㅦ㔹㔳散ㄷ愷〲㙦㥣〶搱㙤㘴㐷㡢㕣昳㠴〸㤸㡢愰昱㔶晤㙦㍡㐳ㄴ㑡戶扡昷愱攸捡㌹㠲搴㜴㙦㤹㤱㘹㙦捦㉣㙣㘸㤹搱㙣戵捥散㥣搵㌰㘳㍥㝣㐱昰㔹㌱㥣愰㌵㌴㌴㤸㘷㈰ㄷ㌶㈷㝦敡㐳㔸愴㔵昳㑣㡦㌶昸㈹㌴搲㤶㡢愱㐵㕢昲㐶扦愷㉤㥢㥤㑡㤵㜴昶戳㔹晡搲戶㍣㤷㉡㑦㕢㝥づ㍢挲昷㑣㑤慣摤㤶㜴ㄹ㄰㜵㐱慢敤戶愴ㄳ㠱愸㉤慤戶摢昲㑢㐷㥤搷㙡扢㉤改㘸㈰攸㥣㔶て㐰晤〲敡㉢㐷㥤搵㙡扢㉤扦㠱摡摢㤶挱ㅦ愱㤰㉡㉦戵慢晣ㄳ挲㥥㉡捦㐰敡捡敥扢慣戲捡㔷㤴㔵㤹㥥〴㔲慣扤㜵晥㜶㤵㙢搰ㄸ愲晥愳㔶摢㔵愶户㠱愸昷搲㙡扢捡戵㡥㝡㑦慤戶慢㑣㡦〴㐱敦愱搵㜶㤵敢ㅣ昵敥㕡㙤㔷搹㠰摡㕢㘵搵ㄳち㔶搱戸〱㘵昶㝥㈹愹戴ぢ㑦㠳㤵捡㉥㝣ㄳ搲ㄸ㌷㐳㤴㜶攱㕢愰昱戶㜸㙦㥤㈹摡㐲㌶戵㌶ㄴ搲攱㙥〳搲敤㠶敢㍢摡摢扤摡㡤ㅣ敤ㅤ㕥㙤ㅦ㘸愵㘵㔸散㍡㌵搱户㜸㜷㈳捥㘴昱㡡㐷搷扤㔴㜹㍡㘳㍦搸㈱ㅦ捥愶戶㜲戲扢ㅦ㐸户㘸扣挹㉥〵㝥挰慢ㅤ攲㘸ㅦ昴㙡㘳搰ち愳て㐱敢㍦㈰㡣昴㉤敥㈳挰ㅢ㡦㐲㤴戲昹ㄸ㌴摥㈲㈷㘰扦愴挸㐳㥤㘲㍣〱愴㕢攴ㅤㅤ敤㤳ㅥ㙤㜰っ戴搲挳㥦㠲ㄶ〷昵㔸㠴㍤㍤㍣攵ㄴ慣攴愰㝥㤶㈵㈸㍤愸晦㐴㤵㠷㐷摥晥㤵㕥ㄸ㠵㠵攲散挵ㅢ挲愲㡥㘸戵摤挳㜹㡢㔸搴㘱慤戶㝢㌸㙦ㅡ㡢㍡愴搵㜶て攷㙤㘴㔱㙦愷搵〳搰㕡〱㌵挹㔱て搱㙡扢㠷㑦㠶摡摢挳㠳搳愱㤰㉡扦㙡㔷㜹て㠴㍤㔵ㅥ㠴搴㤵〷昵㡡捡㉡扦㔱㔶㘵摥㈷㤶㘲㙤愵昳户て㙡摥㌹ㄶ昵㤶㕡㙤㔷㤹昷㤲㐵摤㕦慢敤㉡敦敤愸户搰㙡扢捡扣摦㉣攸㝥㕡㙤㔷㤹㜷愰㐵摤㔷慢敤㉡敦て戵户捡㉡て㠵攷攸搸ㅣ攸捡㠳昷㝤搶愷昴攸昸愰慣㡡〵㙤搸㍤㍡㜸〷㔹㡥㠳て㠱㜴扢ㅡ㈷ㄵ搱㝥攴搵戶㍢摡㡦扤㕡摥㔹昵ㄴ㙤㝤摦愲㝤挲㜲㤴ㄶ敤摦㔴㜹㍡摣挱戰㔳㜲ㄴㅣ敥㘴昷戹㌷扢愳ㅤ敤㑡慦昶㜸㐷晢㠵㐷ㅢ㍣ㄵ㕡改㈸㕦㐲㡢㘳㘳ㄱ挲㥥㡥搲搳㈹㙡挹戱昱㌵戰㘵挷挶户㔴㜹㡡捡㕢㤳搲㙡摤㜵慢搹ㅤ㠵㌷㉢㐵㙤㘸戵摤㔱㜸晢㔲搴昵㕡㙤㜷㤴挵㡥扡㑥慢敤㡥挲㕢㥣㠲敥愶搵〳攴搸㔸攲愸㙢戵摡敥㈸攷㐰㕤搲㔱㜸㥦㤲㔵㌴㔶愱捣晥㘳㔵つ㉣㔴㜶ㅥ㘵㈲㔱㉤㐴改㔸搵つㅡ㙦搵㉦搱ㄹ扡ㅤ㘸ㄹㄴ搲㔵敡㠱㜴㍢搰㔵㡥搶昰㙡㙦㜰ち搷ㅤ㕡晦挲㝤昷㡤㕦攱㑣㤶㠲㠵㉢㡥晢㍤愸昲戴挹㑤攵〵扢捤㈹㐲㉦㈰摤㠲摤攵㘸㝢㝢戵扣戳㈶ㅤ㠳㈳㝣㥤㕡改㕢㠸戵㤸㈳㐷昳㘲㈱搶㈹㉢挴㐳攵㠵㜸捣挹㙥㍤㙦㜶㑦㌹摡昵扤摡攷㥤㐲搸㌳攰挷扥㠵昸〳㜳㉣㍤㤰㌶㉥㉢挴㡢攵㠵㔸敥㘴户愹㌷扢ㄵ㡥㜶㌳慦昶㑤㐷扢戹㔷换扢㌹搲慢晡㐰敢摦㜰敦昸ㄶ户ㅦ昰挶ㄶ㄰愵扤慡㍦㌴摥挶㝢ㅦ昶㑢㡥晤て㥤㘲㙣〵愴摢㜸扣戹㈳㝤㙤㙢慦㤶㌷㐷愴㜰〳愰昵㉦摣敢扥㠵摢〶㜸㘳㄰㐴㘹攱〶㐳攳㉤摣㤷攵㠵晢挶㈹挶㄰㈰摤挲㝤敦㘸户昳㙡㙢搰㕦愴㘷搹㡤晡㤲㙦㐱㈲捣戱戴㔱㘳㘵㠵愸㠵㥤ㄲ㠶っ㈸㠴㡢㠴㌷㍢摥㕤㄰㙤搲慢敤敤㘸㔳㕥敤扡搰㝡㡡昶㤴㙦搱戶㘷㌹㑡㡢㌶㡣㉡捦㤱挷㉢昷㈵㐵攳戵㜹㈹挴㜰㙦㜶㥢㌹摡ㄱ㕥㙤㍦㐷㍢搲慢攵㌵㙢㑦搱ㅥ昴㉤摡ㄸ㤶愳戴㘸㘳愹昲ㄴ㡤㤷户㑢㡡㌶挴挹㙥扣㌷扢㠸愳㥤攰搵昲㜲戴㔴㘳愲㔷换ぢ扢㔲㌴㝢愸戸挳户㘸扢戰ㅣ愵㐳挵ㄴ慡㍣㐵摢ㄱ㜶㑡㡡㌶捡挹㙥㌷㙦㜶㘳ㅤ敤㔴慦㜶㤲㉥㠴㌱つ㕡晦㉥㝦㠳㙦挱㜶〷摥搸〳愲戴换敦〹㡤户㜰㤳换ぢ㌷搵㈹挶ㅦ㠱㜴扢㍣慦㥢ち㐳㝢㝢戵扣敥攸㘹扣㉢㝣ぢ戲ㅦ㜳㉣㙤扣ㄹ㘵㠵搸扦扣㄰㔹㈷扢㡣㌷扢㠲愳捤㝡戵扣愴㈸㐵换㜹戵扣㌸㈷㤳敢㐵㈸ㄴㄷ戵㜴摢㌷㉤㐰敡㜹㔱㘷㡤慦㌶搱㥦改ㄷ扥搲扡㠰捣ㄴ㉦ㄵ搱㠶㌹ㄳ㈱散换㑦昱ㄲ㡢㤴敥㍣㙦改㥡㤸攰㐸㐴戱㠴收㠱っㅤ㡤㍤㐹㍥摢㥢晣㔴〷搳㑣捣㈲〷搳㠲㤰搳㘲㡤扣㑡挰㤴つ㕣戱㌴昲敡㠰ㅢ㔲㡢ㄱ㤲散ㄷ㝢戳㙦愳㌱㕥〴㤰散攷㌰挴昳㝦挹㝥㉥㐲搸户㑢捦㌳㙣㐹扥挸㥢扣㠳〹㤶㌹挹昹戱㜰挵㜳㘹㐹㍥捦㥢晣㈶〷㌳㥦ㄸ㥥㜰ち收㈰㠴摣搲摦愶戵㜶改㙦㉦〹昱㘴戲㔸ㄷ㥥㈸㑡㠱ㄷ搰ㅡ捦ㄱ挵摡㐲慦㌵㥥て扡㈹ㅡ㜹ㅥ㔸っ昱晣捦つ愹㐷㄰ㄲ㙢〷搳摡㘳㍡捥㍣挴㙢㡤愷㙡㙥㡡㐶㥥愲戹㈱昵ㄴ㐲㐲捤戱㕥㙡づ愳㌱㥥㠹㠹改挳ㄹ攲㐹ㄸ㤳㤹㐷㈰㠴㝤㥢搹㔷㥤攴㐷㝡㤳ㅦ挵〴㍣慢㤱攴㐷㌳挴ㄳㅡ㐹㝥㡣㌷昹晢づ收㔸㘲㜸㐶㈰㤸攳㄰㜲㤹晤㔰㙢㙤㘶戹敡㜷㑢摦挸搵扥ㅢ㔲㕣挹㑢㡥挷搳ㅡㄷ昱㘲敤〴慦戵捦扤㈹ㅡ戹㔰㜷搳㌷㜲㠱敥㠶搴㤷〸〹㌳ぢ扣㔵㍢㠹愶戹づ㤷㡣㑥㘶㠸㑢㜰挹攸ㄴ㠴戰㙦㌳挳㐵慢㘰㑥㈵㠶㙢㔵挱㥣㠶ㅤ户㙡㕣㤷扡ㄹ㌶ㅡ摥㤰攲扡㔲搲㉦愲㥡㑢㑡㐹㝦㍡㜶摣昴㕣㍥ㄶ搳㜳搹攸㠶ㄴ㤷㠴㤲晥っ慡戹ㅡ㤴昴㘷㘲挷㑤捦㤵㥦㥢愲㤱㉢㍥㌷愴戸㥡㤳昴㡢愹收㐲㑥搲㥦㠵ㅤ㌷㍤ㄷ㙤㙥㡡㐶㉥搶㡡㈱㉥搲摣㤰攲㘲㑢慣㉤愱㥡㙢㉣戱㜶㌶㜶㕣㙢㕢㘹慤摤搰㕣㐷ㄵ搳㜳㍤㈴改捦愱㥡换㈰㐹㝦㉥㜶摣昴㕣昲戸㈹ㅡ戹搴㜱㐳㡡换ㄸ㐹㝦ㅥ搵㕣挱㐸晡昳戱攳愶㑦㘸慤㥤㍦㔷㈹㙥晡㐶慥㑥摣㤰攲捡㐳慣㕤㐰㌵ㄷㅤ㘲敤㐲散戸搶戸挰㜰㔳㌴㜲㘱㔱っ㜱㐱攱㠶ㄴㄷぢ㘲敤㈲慡挷敡㌸昳㘲散戸搶戸㈶㜰㔳㌴㜲㉤㔰っ㜱つ攰㠶ㄴ攷㜷戱㜶〹搵㥣摡ㄹ㘷㉥挵㡥㙢㡤搳戸㥢愲㤱搳户ㅢ㔲㥣㠶㈵晤愵㔴㜳昶㤵昴㤷㘱挷㑤捦㤹搶㑤搱挸ㄹ搶つ愹晤㄰㤲昴换愸㥥愱攳捣换戱攳愶捦㘸慤捤㌴㈷㐷㌷㝤㈳㈷挵㘲㠸昳摦㥥㈸㝦敤〲㤵㍢㈰㝦挰〱摦㌵搶昵搹愸㙥慦ㄱ㍤捦㝦昷戹昷ㄷ扦戶敦戰㡦㝥扣攸愲搷㍥㔸晣晣㡦て㘴㠷㍤扤㙣搹ㄳㄳ㤷㍥晦晥摡㠵㑢㙢敦晡㙥搲愵㠷㠶㘷ㅦ㍡户戰晢㌶攳づ晤攳㠱扢㠵㜷㕤㙢㔰户㙥摤扢㙦扤捥㌳ㅢづ〸ㅥ㌹昷ㅥ昵攸㕦㌶㘸㔵〵㥤㥤㜹〵㜶戸㙤㠳㕦搰㤹晢捣㉢愱㌵慦愲戸㥡攲ㅡ㡡㙢㈹慥愳戸㥥攲〶㠸挶㈶㠸摦戴㥣〷㈲〳搲㘲摥㠸ㅤ㙥㐳昱ぢ㍡㤳慣㜹ㄳ戴收捤ㄴ户㔰摣㑡㜱ㅢ挵敤ㄴ㜷㔰摣〹愱㘴晥㐵㑡昳㉥㠴㥣㉤搸㠲㠰摣㤷扤㥢挰㝢㈰㝡昵㙥㙣挳㥦摦戴㑡㌲㘱戳㉣昷㈲㈷㙥㔲愵戹〸㜰㄰㌵敦挳㡥㜹㍦挵〳ㄴて㔲㍣㐴昱㌰挵㈳ㄴ㡦㐲㌴㜲ㅡ晦㑤换㈹㉢〳㤶攸㌱攴挴慤㍦㝥挱㜹〸㐸㌹ㅦ挷㡥昹〴挵㤳ㄴ㑦㔱㍣㑤昱っ挵戳ㄴ捦㐱愸昹ㄴ㐸㘹晥〹㍢捥ㄶ㍣〸〱愱晥㜹散㤸㉦㐰昴敡慤㘴㘵㔰〱㕤攸㐰㕦㈲昴㘵ㅢ㝡㌰晥㔴㕡㍤挴㠱㉥㈷昴㔵㠱㌶ㅥ㠶㍦扦㈹㔱戲㑥㘰戱㕦㐳㑥摣ㄲ昸〵㡦㐰㐰㠸晡㌳㜶捣ㄵㄴ慦㔳扣㐱昱ㄷ㡡㌷㈹摥愲㜸ㅢ愲昱㈸㠸摦戴㥣㐷㈳〳攱散慦搸攱㤶挲㉦㜸っ〲㔲捥扦㘱挷㝣㠷攲㕤㡡昷㈸摥愷昸㍢挵〷ㄴ晦㠰㔰挷㔲㈰㘵㘹㠳ㅥ〷慤㌴攸㐷〴㝥っ㠱〶㍤摥ㄷ㝡㠲〳晤ㄷ愱㥦〸戴昱㈴晣昹㑤㙢㝦㌲㌲㤰㘲㝦㡡ㅤ㙥㈱晣㠲愷㈰㈰戵晦㌷㜶捣捦㈸㍥愷㔸㐹昱〵挵㤷ㄴ晦愱昸ち㐲㥤㑡㠱㤴收搷搸㜱戶攰㘹〸㐸敤扦挱㡥昹㉤〴㙡扦〸㝦㉡愱愷㍢搰晦ㄲ晡扤つ㍤挳㠱㤶ㅣ㈴㘷㍡搰ㅦ〹晤㥦つ㕤散ぢ㍤换㠱慥㈲㤴㉦慤㐴〱㤶㌸㔰㠵戰戳〵捦㜶愰戵搰㥡摤㙣攸㌹づ戴愴㕡攷㍡搰㝡㐲つㅢ㝡㥥〳㉤㈹敢昹づ戴㠱㔰搳㠶㕥攰ぢ攵㝡㐱挸敡㐱㘸㑦ㅢ㉡㡢〰㤴戱戴㔷㕤散㐰㝢ㄳ摡㘸㐳㘵㠶慦㠰㉥㜵愰㙢ㄱ扡戶つ㤵挹㥣搰㜵㄰㜶戶攰㘵づ㜴㕤㐲搷戳愱换愰慣散搶㤷㍢搰つ〸摤㔰愰㐱捥㤹扣㠸摤慢㑥㜱愲㤴搵昲㐷㕦摢愷慦㔲戱㡤㠰㔳㥣㍥㈵敡ㅦ㍡捡扥㈴捤〹㔵搴ㅦ㘸戵㝤㐹㥡㔳慣愸晦慥搵昶㈵㘹㑥扡愲㝥㕦慢㌷㐰扥〱㜵㥤愳㝥㑦慢〷㠸晡㝡㐷晤慥㔶てㄴ昵つ㡥晡ㅤ慤ㅥ〵㜵㠳慡〹摥㠸〸㕤ㄱ捥愴㤲搱摦㌴愶㔸㤱㥢㥤愸扦敡㈸扢㈲户㌸敡户戵摡慥〸攷㘰㌱昴㤶㔶摢ㄵ攱慣㉣敡㌷戵摡慥挸敤㡥晡㉦㕡㙤㔷攴づ㐷晤㠶㔶て㤴㡡摣改愸㕦搷㙡愷㈲㜷㈱㠲㥢扡摢㐱慣搰〸愹挶㈰戶〷攷㜷㈹挱㙢㘵㠹敦㐵㠴㘶攱㍥〷昳慡㌷戹㌴㈷愷㘴㐹晥㡡㡥戲㔹攰㈴㉤敡㤷戵摡㘶攱㐱㐷晤㤲㔶摢㉣㜰㈲ㄷ昴㡢㕡㙤戳昰戰愳㝥㐱慢㙤ㄶ㌸搹ぢ晡㜹慤ㅥ㠸㉡挲㉦挵㔱晦㐹慢ㅤㄶ㌸㔱敢㡡㜰㜶㤶愴捦㘹㑣戱㌹㌹㘷㑢搴戳㍡捡慥〸㘷㜱㔱㍦愳搵㜶㐵㌸慦㡢晡㘹慤戶㉢挲㤹㕥搴㑦㘹戵㕤ㄱ捥晤愲㝥㔲慢敤㡡㜰㌵㈰敡㈷戴㝡愰㔴㠴敢〳㔱㍦慥搵㑥㐵㥣㤱㐵㜱㜵㈰㠸挷㌴㐲慡㌱㥣捤挹㌵㠳㐴㍤㔲㥡㔸㜱㤹㈰ㄱて㔷愴攱攲㐱愲ㅥ㉡㑢挳昵㠲㐴㍣攸㑤㌳㠶昹㜰ㄵ㈱㔱昷㤷愶〹㜲戶搷㙣晦搹挱摣攷㑤㉥摤㠶ㄳ扦㈴扦㐷㐷搹㙣㜳㈹㈰敡扢戵摡㘶㥢㡢〳㔱摦愵搵㌶摢㕣㉥㠸晡㑥慤戶搹收〲㐲搴㜷㘸戵捤㌶㤷ㄴ愲扥㕤慢〷ち摢㕣㘴㠸晡㌶慤㜶搸收㜲㐰㔷㠴㙢〰挱摣慡㌱挵㙥挳㤵㠱㐴摤愲愳散㡡㜰慤㈰敡㥢戵摡慥〸㔷て愲扥㐹慢敤㡡㜰㍤㈱敡ㅢ戵摡慥〸㔷ㄸ愲扥㐱慢敤㡡㜰捤㈱敡敢戵㝡愰㔴㠴慢㄰㔱㕦愷搵扡㈲㡡㑢て㠹戸㔶㐷ㄴ㝢ぢㄷ㈴ㄲ㜵㜵㔹ㅡ慥㐱㈴攲慡㡡㌴㥦㌸㔱㔷㤶愶〹㜲〵愱〹攳戲㐱㤲㕦攱㑤㉥㉤捦挵㠴㐴㉤搳㔱㌶㘱㕣㕥㠸晡㌲慤戶〹攳㠲㐳搴㤷㙡戵㑤ㄸ㤷㈰愲㕥慡搵㌶㘱㕣㤴㠸晡ㄲ慤戶〹攳㌲㐵搴ㄷ㙢昵㐰㈱㡣ぢㄷ㔱㕦愴搵㑥换㍢㤳扤攲戲㐵㄰ㄷ㙡㠴㌰㔷㘰晦攷㘲㐶愲捥㉦㑤慣戸㝥㤱㠸昳㉡搲㜰㔵㈳㔱攷㤶愵攱㐲㐶㈲捥昱愶㤱攳㡣换ㅢ㠹㕡㔲㤶㠶㉢ㅡ㠹㌸换㥢㐶挶〰慥㜳㈴敡捣搲㌴㐱㉥㜸㔸㠵㕥㐱挵㔵㡥㘰捥昰㈶㥦换慡㜱敤㈳㔱㡢㑡㤳㉢㉥㜷㈴攲㌴㙦㥡㑥愶攱㈲㐸愲㑥㈹㑢挳㜵㡦㐴㥣散㑤㈳挵攴㙡㐸愲㑥㉣㑢挳〵㤰㐴㥣㔰㤱㠶换㈲㠹㍡扥㉣つ㔷㐲ㄲ㜱㕣㐵ㅡ慥㡦㈴敡搸戲㌴㕣ㄲ㐹挴㌱摥㌴㐲㍢ㄷ㑡ㄲ㜵㔴㘹㥡㈰㔷㑣㥡㐲㉥㤳〴㜳愴㌷昹㔱搰㉡㉥㥥㈴敡昰搲攴㡡敢㈵㠹㌸捣㥢㐶攸攰㉡㑡愲づ㈹㑢挳挳㐶慥愱ㅣ㡦ㅤ挵㐹㥢愱㠰㘲㉡㝢㡦㐵戶昷搸㌷敤㍤㌶愵扤挷〶戲昷㔸㌶㝢㑦㑣愱㈷㤸㈷㐰挵㡤〷㙥㤰〱扢㜲㍤晥㍦戲搸㙥㡦</t>
    <phoneticPr fontId="10"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</si>
</sst>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00%"/>
    <numFmt numFmtId="177" formatCode="&quot;$&quot;#,##0"/>
  </numFmts>
  <fonts count="17" x14ac:knownFonts="1">
    <font>
      <sz val="10"/>
      <name val="Arial"/>
      <charset val="134"/>
    </font>
    <font>
      <b/>
      <sz val="12"/>
      <name val="Arial"/>
      <family val="2"/>
    </font>
    <font>
      <b/>
      <sz val="10"/>
      <name val="Arial"/>
      <family val="2"/>
    </font>
    <font>
      <b/>
      <sz val="10"/>
      <name val="宋体"/>
      <family val="3"/>
      <charset val="134"/>
    </font>
    <font>
      <sz val="12"/>
      <name val="Arial"/>
      <family val="2"/>
    </font>
    <font>
      <b/>
      <sz val="10"/>
      <color theme="2"/>
      <name val="Arial"/>
      <family val="2"/>
    </font>
    <font>
      <sz val="10"/>
      <name val="宋体"/>
      <family val="3"/>
      <charset val="134"/>
    </font>
    <font>
      <b/>
      <sz val="12"/>
      <name val="宋体"/>
      <family val="3"/>
      <charset val="134"/>
    </font>
    <font>
      <b/>
      <sz val="8"/>
      <name val="Arial"/>
      <family val="2"/>
    </font>
    <font>
      <sz val="10"/>
      <name val="Arial"/>
      <family val="2"/>
    </font>
    <font>
      <sz val="9"/>
      <name val="Arial"/>
      <family val="2"/>
    </font>
    <font>
      <b/>
      <sz val="10"/>
      <color theme="0" tint="-0.14999847407452621"/>
      <name val="Arial"/>
      <family val="2"/>
    </font>
    <font>
      <b/>
      <sz val="10"/>
      <color rgb="FFFF0000"/>
      <name val="Arial"/>
      <family val="2"/>
    </font>
    <font>
      <b/>
      <sz val="10"/>
      <name val="Arial"/>
      <family val="3"/>
    </font>
    <font>
      <b/>
      <sz val="10"/>
      <name val="微软雅黑"/>
      <family val="3"/>
      <charset val="134"/>
    </font>
    <font>
      <b/>
      <sz val="10"/>
      <name val="微软雅黑"/>
      <family val="2"/>
      <charset val="134"/>
    </font>
    <font>
      <b/>
      <sz val="10"/>
      <color theme="0" tint="-0.499984740745262"/>
      <name val="Arial"/>
      <family val="2"/>
    </font>
  </fonts>
  <fills count="6">
    <fill>
      <patternFill patternType="none"/>
    </fill>
    <fill>
      <patternFill patternType="gray125"/>
    </fill>
    <fill>
      <patternFill patternType="solid">
        <fgColor indexed="15"/>
        <bgColor indexed="64"/>
      </patternFill>
    </fill>
    <fill>
      <patternFill patternType="solid">
        <fgColor rgb="FFFFFF00"/>
        <bgColor indexed="64"/>
      </patternFill>
    </fill>
    <fill>
      <patternFill patternType="solid">
        <fgColor indexed="11"/>
        <bgColor indexed="64"/>
      </patternFill>
    </fill>
    <fill>
      <patternFill patternType="solid">
        <fgColor rgb="FF00FFFF"/>
        <bgColor indexed="64"/>
      </patternFill>
    </fill>
  </fills>
  <borders count="53">
    <border>
      <left/>
      <right/>
      <top/>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medium">
        <color auto="1"/>
      </top>
      <bottom style="thin">
        <color auto="1"/>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medium">
        <color auto="1"/>
      </left>
      <right/>
      <top/>
      <bottom style="medium">
        <color auto="1"/>
      </bottom>
      <diagonal/>
    </border>
    <border>
      <left/>
      <right/>
      <top/>
      <bottom style="medium">
        <color auto="1"/>
      </bottom>
      <diagonal/>
    </border>
    <border>
      <left style="thin">
        <color auto="1"/>
      </left>
      <right style="thin">
        <color auto="1"/>
      </right>
      <top style="thin">
        <color auto="1"/>
      </top>
      <bottom style="medium">
        <color auto="1"/>
      </bottom>
      <diagonal/>
    </border>
    <border>
      <left style="thick">
        <color auto="1"/>
      </left>
      <right style="thin">
        <color auto="1"/>
      </right>
      <top style="thick">
        <color auto="1"/>
      </top>
      <bottom style="thick">
        <color auto="1"/>
      </bottom>
      <diagonal/>
    </border>
    <border>
      <left style="thin">
        <color auto="1"/>
      </left>
      <right style="thin">
        <color auto="1"/>
      </right>
      <top style="thick">
        <color auto="1"/>
      </top>
      <bottom style="thick">
        <color auto="1"/>
      </bottom>
      <diagonal/>
    </border>
    <border>
      <left style="thin">
        <color auto="1"/>
      </left>
      <right style="thick">
        <color auto="1"/>
      </right>
      <top style="thick">
        <color auto="1"/>
      </top>
      <bottom style="thick">
        <color auto="1"/>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style="medium">
        <color auto="1"/>
      </top>
      <bottom style="thin">
        <color auto="1"/>
      </bottom>
      <diagonal/>
    </border>
    <border>
      <left style="medium">
        <color auto="1"/>
      </left>
      <right/>
      <top style="thin">
        <color auto="1"/>
      </top>
      <bottom style="thin">
        <color auto="1"/>
      </bottom>
      <diagonal/>
    </border>
    <border>
      <left/>
      <right style="thin">
        <color auto="1"/>
      </right>
      <top style="thin">
        <color auto="1"/>
      </top>
      <bottom style="thin">
        <color auto="1"/>
      </bottom>
      <diagonal/>
    </border>
    <border>
      <left style="medium">
        <color auto="1"/>
      </left>
      <right/>
      <top style="thin">
        <color auto="1"/>
      </top>
      <bottom style="medium">
        <color auto="1"/>
      </bottom>
      <diagonal/>
    </border>
    <border>
      <left/>
      <right style="thin">
        <color auto="1"/>
      </right>
      <top style="thin">
        <color auto="1"/>
      </top>
      <bottom style="medium">
        <color auto="1"/>
      </bottom>
      <diagonal/>
    </border>
    <border>
      <left style="medium">
        <color auto="1"/>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thin">
        <color auto="1"/>
      </right>
      <top style="medium">
        <color auto="1"/>
      </top>
      <bottom style="dotted">
        <color auto="1"/>
      </bottom>
      <diagonal/>
    </border>
    <border>
      <left style="thin">
        <color auto="1"/>
      </left>
      <right style="medium">
        <color auto="1"/>
      </right>
      <top style="medium">
        <color auto="1"/>
      </top>
      <bottom style="dotted">
        <color auto="1"/>
      </bottom>
      <diagonal/>
    </border>
    <border>
      <left style="thin">
        <color auto="1"/>
      </left>
      <right style="thin">
        <color auto="1"/>
      </right>
      <top style="dotted">
        <color auto="1"/>
      </top>
      <bottom style="dotted">
        <color auto="1"/>
      </bottom>
      <diagonal/>
    </border>
    <border>
      <left style="thin">
        <color auto="1"/>
      </left>
      <right style="medium">
        <color auto="1"/>
      </right>
      <top style="dotted">
        <color auto="1"/>
      </top>
      <bottom style="dotted">
        <color auto="1"/>
      </bottom>
      <diagonal/>
    </border>
    <border>
      <left style="medium">
        <color auto="1"/>
      </left>
      <right style="thin">
        <color auto="1"/>
      </right>
      <top style="medium">
        <color auto="1"/>
      </top>
      <bottom/>
      <diagonal/>
    </border>
    <border>
      <left style="medium">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style="dotted">
        <color auto="1"/>
      </top>
      <bottom style="medium">
        <color auto="1"/>
      </bottom>
      <diagonal/>
    </border>
    <border>
      <left style="thin">
        <color auto="1"/>
      </left>
      <right style="medium">
        <color auto="1"/>
      </right>
      <top style="dotted">
        <color auto="1"/>
      </top>
      <bottom style="medium">
        <color auto="1"/>
      </bottom>
      <diagonal/>
    </border>
    <border>
      <left style="thin">
        <color auto="1"/>
      </left>
      <right style="thin">
        <color auto="1"/>
      </right>
      <top style="dotted">
        <color auto="1"/>
      </top>
      <bottom/>
      <diagonal/>
    </border>
    <border>
      <left style="thin">
        <color auto="1"/>
      </left>
      <right style="medium">
        <color auto="1"/>
      </right>
      <top style="dotted">
        <color auto="1"/>
      </top>
      <bottom/>
      <diagonal/>
    </border>
    <border>
      <left style="thin">
        <color auto="1"/>
      </left>
      <right style="thin">
        <color auto="1"/>
      </right>
      <top style="medium">
        <color auto="1"/>
      </top>
      <bottom/>
      <diagonal/>
    </border>
    <border>
      <left style="medium">
        <color auto="1"/>
      </left>
      <right style="medium">
        <color auto="1"/>
      </right>
      <top style="medium">
        <color auto="1"/>
      </top>
      <bottom/>
      <diagonal/>
    </border>
    <border>
      <left style="thin">
        <color auto="1"/>
      </left>
      <right style="thin">
        <color auto="1"/>
      </right>
      <top/>
      <bottom/>
      <diagonal/>
    </border>
    <border>
      <left style="medium">
        <color auto="1"/>
      </left>
      <right style="medium">
        <color auto="1"/>
      </right>
      <top/>
      <bottom style="thin">
        <color auto="1"/>
      </bottom>
      <diagonal/>
    </border>
    <border>
      <left style="thin">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thin">
        <color auto="1"/>
      </left>
      <right/>
      <top style="thin">
        <color auto="1"/>
      </top>
      <bottom style="medium">
        <color auto="1"/>
      </bottom>
      <diagonal/>
    </border>
    <border>
      <left style="medium">
        <color auto="1"/>
      </left>
      <right style="medium">
        <color auto="1"/>
      </right>
      <top style="thin">
        <color auto="1"/>
      </top>
      <bottom style="medium">
        <color auto="1"/>
      </bottom>
      <diagonal/>
    </border>
  </borders>
  <cellStyleXfs count="1">
    <xf numFmtId="0" fontId="0" fillId="0" borderId="0"/>
  </cellStyleXfs>
  <cellXfs count="152">
    <xf numFmtId="0" fontId="0" fillId="0" borderId="0" xfId="0"/>
    <xf numFmtId="0" fontId="0" fillId="0" borderId="2" xfId="0" applyBorder="1"/>
    <xf numFmtId="0" fontId="2" fillId="0" borderId="3"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right"/>
    </xf>
    <xf numFmtId="1" fontId="2" fillId="0" borderId="6" xfId="0" applyNumberFormat="1" applyFont="1" applyBorder="1" applyAlignment="1">
      <alignment horizontal="center"/>
    </xf>
    <xf numFmtId="0" fontId="2" fillId="0" borderId="8" xfId="0" applyFont="1" applyBorder="1" applyAlignment="1">
      <alignment horizontal="right"/>
    </xf>
    <xf numFmtId="1" fontId="2" fillId="0" borderId="9" xfId="0" applyNumberFormat="1" applyFont="1" applyBorder="1" applyAlignment="1">
      <alignment horizontal="center"/>
    </xf>
    <xf numFmtId="0" fontId="2" fillId="0" borderId="8" xfId="0" applyFont="1" applyBorder="1"/>
    <xf numFmtId="0" fontId="4" fillId="0" borderId="0" xfId="0" applyFont="1" applyAlignment="1">
      <alignment vertical="center" wrapText="1"/>
    </xf>
    <xf numFmtId="0" fontId="2" fillId="0" borderId="6" xfId="0" applyFont="1" applyBorder="1" applyAlignment="1">
      <alignment horizontal="center"/>
    </xf>
    <xf numFmtId="10" fontId="2" fillId="0" borderId="9" xfId="0" applyNumberFormat="1" applyFont="1" applyBorder="1" applyAlignment="1">
      <alignment horizontal="center"/>
    </xf>
    <xf numFmtId="10" fontId="2" fillId="0" borderId="8" xfId="0" applyNumberFormat="1" applyFont="1" applyBorder="1"/>
    <xf numFmtId="0" fontId="2" fillId="0" borderId="2" xfId="0" applyFont="1" applyBorder="1" applyAlignment="1">
      <alignment horizontal="right"/>
    </xf>
    <xf numFmtId="0" fontId="2" fillId="0" borderId="0" xfId="0" applyFont="1" applyAlignment="1">
      <alignment horizontal="center"/>
    </xf>
    <xf numFmtId="0" fontId="2" fillId="0" borderId="9" xfId="0" applyFont="1" applyBorder="1" applyAlignment="1">
      <alignment horizontal="center"/>
    </xf>
    <xf numFmtId="0" fontId="2" fillId="0" borderId="8" xfId="0" applyFont="1" applyBorder="1" applyAlignment="1">
      <alignment horizontal="center"/>
    </xf>
    <xf numFmtId="10" fontId="2" fillId="0" borderId="8" xfId="0" applyNumberFormat="1" applyFont="1" applyBorder="1" applyAlignment="1">
      <alignment horizontal="center"/>
    </xf>
    <xf numFmtId="0" fontId="5" fillId="0" borderId="6" xfId="0" applyFont="1" applyBorder="1" applyAlignment="1">
      <alignment horizontal="center"/>
    </xf>
    <xf numFmtId="10" fontId="5" fillId="0" borderId="9" xfId="0" applyNumberFormat="1" applyFont="1" applyBorder="1" applyAlignment="1">
      <alignment horizontal="center"/>
    </xf>
    <xf numFmtId="0" fontId="0" fillId="0" borderId="0" xfId="0" applyAlignment="1">
      <alignment wrapText="1"/>
    </xf>
    <xf numFmtId="0" fontId="1" fillId="0" borderId="0" xfId="0" applyFont="1"/>
    <xf numFmtId="0" fontId="2" fillId="0" borderId="10" xfId="0" applyFont="1" applyBorder="1" applyAlignment="1">
      <alignment vertical="top"/>
    </xf>
    <xf numFmtId="0" fontId="0" fillId="2" borderId="12" xfId="0" applyFill="1" applyBorder="1"/>
    <xf numFmtId="0" fontId="2" fillId="0" borderId="0" xfId="0" applyFont="1" applyAlignment="1">
      <alignment vertical="top"/>
    </xf>
    <xf numFmtId="0" fontId="2" fillId="0" borderId="0" xfId="0" applyFont="1" applyAlignment="1">
      <alignment wrapText="1"/>
    </xf>
    <xf numFmtId="0" fontId="2" fillId="0" borderId="13" xfId="0" applyFont="1" applyBorder="1" applyAlignment="1">
      <alignment horizontal="center"/>
    </xf>
    <xf numFmtId="0" fontId="2" fillId="0" borderId="14" xfId="0" applyFont="1" applyBorder="1" applyAlignment="1">
      <alignment horizontal="center"/>
    </xf>
    <xf numFmtId="1" fontId="2" fillId="0" borderId="15" xfId="0" applyNumberFormat="1" applyFont="1" applyBorder="1" applyAlignment="1">
      <alignment horizontal="center"/>
    </xf>
    <xf numFmtId="1" fontId="2" fillId="0" borderId="16" xfId="0" applyNumberFormat="1" applyFont="1" applyBorder="1" applyAlignment="1">
      <alignment horizontal="center"/>
    </xf>
    <xf numFmtId="0" fontId="2" fillId="0" borderId="15" xfId="0" applyFont="1" applyBorder="1" applyAlignment="1">
      <alignment horizontal="center"/>
    </xf>
    <xf numFmtId="0" fontId="2" fillId="0" borderId="16" xfId="0" applyFont="1" applyBorder="1" applyAlignment="1">
      <alignment horizontal="center"/>
    </xf>
    <xf numFmtId="0" fontId="5" fillId="0" borderId="15" xfId="0" applyFont="1" applyBorder="1" applyAlignment="1">
      <alignment horizontal="center"/>
    </xf>
    <xf numFmtId="10" fontId="5" fillId="0" borderId="16" xfId="0" applyNumberFormat="1" applyFont="1" applyBorder="1" applyAlignment="1">
      <alignment horizontal="center"/>
    </xf>
    <xf numFmtId="10" fontId="2" fillId="0" borderId="16" xfId="0" applyNumberFormat="1" applyFont="1" applyBorder="1" applyAlignment="1">
      <alignment horizontal="center"/>
    </xf>
    <xf numFmtId="0" fontId="6" fillId="0" borderId="0" xfId="0" applyFont="1"/>
    <xf numFmtId="0" fontId="2" fillId="3" borderId="0" xfId="0" applyFont="1" applyFill="1" applyAlignment="1">
      <alignment horizontal="center"/>
    </xf>
    <xf numFmtId="0" fontId="0" fillId="0" borderId="19" xfId="0" applyBorder="1"/>
    <xf numFmtId="0" fontId="0" fillId="0" borderId="5" xfId="0" applyBorder="1"/>
    <xf numFmtId="0" fontId="0" fillId="4" borderId="5" xfId="0" applyFill="1" applyBorder="1"/>
    <xf numFmtId="0" fontId="0" fillId="0" borderId="20" xfId="0" applyBorder="1"/>
    <xf numFmtId="0" fontId="0" fillId="4" borderId="9" xfId="0" applyFill="1" applyBorder="1"/>
    <xf numFmtId="0" fontId="0" fillId="0" borderId="9" xfId="0" applyBorder="1"/>
    <xf numFmtId="0" fontId="2" fillId="0" borderId="21" xfId="0" applyFont="1" applyBorder="1" applyAlignment="1">
      <alignment horizontal="center"/>
    </xf>
    <xf numFmtId="176" fontId="0" fillId="0" borderId="0" xfId="0" applyNumberFormat="1"/>
    <xf numFmtId="0" fontId="0" fillId="0" borderId="17" xfId="0" applyBorder="1"/>
    <xf numFmtId="0" fontId="2" fillId="0" borderId="18" xfId="0" applyFont="1" applyBorder="1" applyAlignment="1">
      <alignment horizontal="right"/>
    </xf>
    <xf numFmtId="177" fontId="0" fillId="2" borderId="13" xfId="0" applyNumberFormat="1" applyFill="1" applyBorder="1"/>
    <xf numFmtId="0" fontId="0" fillId="0" borderId="22" xfId="0" applyBorder="1"/>
    <xf numFmtId="0" fontId="2" fillId="0" borderId="23" xfId="0" applyFont="1" applyBorder="1" applyAlignment="1">
      <alignment horizontal="right"/>
    </xf>
    <xf numFmtId="0" fontId="0" fillId="0" borderId="14" xfId="0" applyBorder="1"/>
    <xf numFmtId="0" fontId="0" fillId="0" borderId="24" xfId="0" applyBorder="1"/>
    <xf numFmtId="0" fontId="2" fillId="0" borderId="25" xfId="0" applyFont="1" applyBorder="1" applyAlignment="1">
      <alignment horizontal="right"/>
    </xf>
    <xf numFmtId="177" fontId="0" fillId="2" borderId="16" xfId="0" applyNumberFormat="1" applyFill="1" applyBorder="1"/>
    <xf numFmtId="0" fontId="2" fillId="0" borderId="0" xfId="0" applyFont="1"/>
    <xf numFmtId="0" fontId="0" fillId="0" borderId="26" xfId="0" applyBorder="1"/>
    <xf numFmtId="0" fontId="2" fillId="0" borderId="27" xfId="0" applyFont="1" applyBorder="1" applyAlignment="1">
      <alignment horizontal="right"/>
    </xf>
    <xf numFmtId="177" fontId="0" fillId="2" borderId="28" xfId="0" applyNumberFormat="1" applyFill="1" applyBorder="1"/>
    <xf numFmtId="0" fontId="0" fillId="5" borderId="0" xfId="0" applyFill="1"/>
    <xf numFmtId="0" fontId="0" fillId="4" borderId="14" xfId="0" applyFill="1" applyBorder="1"/>
    <xf numFmtId="0" fontId="0" fillId="4" borderId="16" xfId="0" applyFill="1" applyBorder="1"/>
    <xf numFmtId="0" fontId="2" fillId="0" borderId="31" xfId="0" applyFont="1" applyBorder="1"/>
    <xf numFmtId="0" fontId="2" fillId="0" borderId="31" xfId="0" applyFont="1" applyBorder="1" applyAlignment="1">
      <alignment horizontal="right"/>
    </xf>
    <xf numFmtId="177" fontId="0" fillId="0" borderId="19" xfId="0" applyNumberFormat="1" applyBorder="1" applyAlignment="1">
      <alignment horizontal="center"/>
    </xf>
    <xf numFmtId="177" fontId="0" fillId="0" borderId="5" xfId="0" applyNumberFormat="1" applyBorder="1" applyAlignment="1">
      <alignment horizontal="center"/>
    </xf>
    <xf numFmtId="177" fontId="0" fillId="0" borderId="14" xfId="0" applyNumberFormat="1" applyBorder="1" applyAlignment="1">
      <alignment horizontal="center"/>
    </xf>
    <xf numFmtId="177" fontId="2" fillId="0" borderId="19" xfId="0" applyNumberFormat="1" applyFont="1" applyBorder="1" applyAlignment="1">
      <alignment horizontal="center"/>
    </xf>
    <xf numFmtId="177" fontId="2" fillId="4" borderId="0" xfId="0" applyNumberFormat="1" applyFont="1" applyFill="1" applyAlignment="1">
      <alignment horizontal="center"/>
    </xf>
    <xf numFmtId="177" fontId="2" fillId="0" borderId="5" xfId="0" applyNumberFormat="1" applyFont="1" applyBorder="1" applyAlignment="1">
      <alignment horizontal="center"/>
    </xf>
    <xf numFmtId="177" fontId="2" fillId="0" borderId="14" xfId="0" applyNumberFormat="1" applyFont="1" applyBorder="1" applyAlignment="1">
      <alignment horizontal="center"/>
    </xf>
    <xf numFmtId="177" fontId="2" fillId="0" borderId="20" xfId="0" applyNumberFormat="1" applyFont="1" applyBorder="1" applyAlignment="1">
      <alignment horizontal="center"/>
    </xf>
    <xf numFmtId="177" fontId="2" fillId="0" borderId="9" xfId="0" applyNumberFormat="1" applyFont="1" applyBorder="1" applyAlignment="1">
      <alignment horizontal="center"/>
    </xf>
    <xf numFmtId="177" fontId="2" fillId="0" borderId="16" xfId="0" applyNumberFormat="1" applyFont="1" applyBorder="1" applyAlignment="1">
      <alignment horizontal="center"/>
    </xf>
    <xf numFmtId="177" fontId="2" fillId="0" borderId="0" xfId="0" applyNumberFormat="1" applyFont="1"/>
    <xf numFmtId="177" fontId="2" fillId="0" borderId="21" xfId="0" applyNumberFormat="1" applyFont="1" applyBorder="1" applyAlignment="1">
      <alignment horizontal="center"/>
    </xf>
    <xf numFmtId="177" fontId="2" fillId="0" borderId="3" xfId="0" applyNumberFormat="1" applyFont="1" applyBorder="1" applyAlignment="1">
      <alignment horizontal="center"/>
    </xf>
    <xf numFmtId="177" fontId="2" fillId="0" borderId="13" xfId="0" applyNumberFormat="1" applyFont="1" applyBorder="1" applyAlignment="1">
      <alignment horizontal="center"/>
    </xf>
    <xf numFmtId="177" fontId="2" fillId="4" borderId="5" xfId="0" applyNumberFormat="1" applyFont="1" applyFill="1" applyBorder="1" applyAlignment="1">
      <alignment horizontal="center"/>
    </xf>
    <xf numFmtId="177" fontId="2" fillId="4" borderId="9" xfId="0" applyNumberFormat="1" applyFont="1" applyFill="1" applyBorder="1" applyAlignment="1">
      <alignment horizontal="center"/>
    </xf>
    <xf numFmtId="177" fontId="0" fillId="0" borderId="0" xfId="0" applyNumberFormat="1"/>
    <xf numFmtId="177" fontId="2" fillId="0" borderId="31" xfId="0" applyNumberFormat="1" applyFont="1" applyBorder="1" applyAlignment="1">
      <alignment horizontal="center"/>
    </xf>
    <xf numFmtId="0" fontId="0" fillId="0" borderId="0" xfId="0" applyAlignment="1">
      <alignment vertical="top"/>
    </xf>
    <xf numFmtId="0" fontId="0" fillId="0" borderId="0" xfId="0" applyAlignment="1">
      <alignment vertical="top" wrapText="1"/>
    </xf>
    <xf numFmtId="0" fontId="2" fillId="0" borderId="32" xfId="0" applyFont="1" applyBorder="1" applyAlignment="1">
      <alignment horizontal="center" vertical="center"/>
    </xf>
    <xf numFmtId="0" fontId="2" fillId="0" borderId="33" xfId="0" applyFont="1" applyBorder="1" applyAlignment="1">
      <alignment horizontal="center" vertical="center"/>
    </xf>
    <xf numFmtId="0" fontId="2" fillId="0" borderId="28" xfId="0" applyFont="1" applyBorder="1" applyAlignment="1">
      <alignment horizontal="center" vertical="center" wrapText="1"/>
    </xf>
    <xf numFmtId="0" fontId="2" fillId="0" borderId="34" xfId="0" applyFont="1" applyBorder="1" applyAlignment="1">
      <alignment horizontal="left" vertical="top"/>
    </xf>
    <xf numFmtId="0" fontId="2" fillId="0" borderId="35" xfId="0" applyFont="1" applyBorder="1" applyAlignment="1">
      <alignment horizontal="left" vertical="top" wrapText="1"/>
    </xf>
    <xf numFmtId="0" fontId="2" fillId="0" borderId="36" xfId="0" applyFont="1" applyBorder="1" applyAlignment="1">
      <alignment horizontal="left" vertical="top"/>
    </xf>
    <xf numFmtId="0" fontId="2" fillId="0" borderId="37" xfId="0" applyFont="1" applyBorder="1" applyAlignment="1">
      <alignment horizontal="left" vertical="top" wrapText="1"/>
    </xf>
    <xf numFmtId="0" fontId="2" fillId="0" borderId="41" xfId="0" applyFont="1" applyBorder="1" applyAlignment="1">
      <alignment horizontal="left" vertical="top"/>
    </xf>
    <xf numFmtId="0" fontId="2" fillId="0" borderId="42" xfId="0" applyFont="1" applyBorder="1" applyAlignment="1">
      <alignment horizontal="left" vertical="top" wrapText="1"/>
    </xf>
    <xf numFmtId="0" fontId="2" fillId="0" borderId="43" xfId="0" applyFont="1" applyBorder="1" applyAlignment="1">
      <alignment horizontal="left" vertical="top"/>
    </xf>
    <xf numFmtId="0" fontId="2" fillId="0" borderId="44" xfId="0" applyFont="1" applyBorder="1" applyAlignment="1">
      <alignment horizontal="left" vertical="top" wrapText="1"/>
    </xf>
    <xf numFmtId="0" fontId="2" fillId="0" borderId="0" xfId="0" applyFont="1" applyAlignment="1">
      <alignment horizontal="right" vertical="top"/>
    </xf>
    <xf numFmtId="0" fontId="2" fillId="0" borderId="0" xfId="0" applyFont="1" applyAlignment="1">
      <alignment horizontal="right" vertical="top" wrapText="1"/>
    </xf>
    <xf numFmtId="0" fontId="2" fillId="0" borderId="45" xfId="0" applyFont="1" applyBorder="1" applyAlignment="1">
      <alignment horizontal="center"/>
    </xf>
    <xf numFmtId="0" fontId="2" fillId="0" borderId="46" xfId="0" applyFont="1" applyBorder="1" applyAlignment="1">
      <alignment horizontal="center"/>
    </xf>
    <xf numFmtId="0" fontId="0" fillId="0" borderId="47" xfId="0" applyBorder="1"/>
    <xf numFmtId="177" fontId="2" fillId="0" borderId="48" xfId="0" applyNumberFormat="1" applyFont="1" applyBorder="1" applyAlignment="1">
      <alignment horizontal="center"/>
    </xf>
    <xf numFmtId="0" fontId="2" fillId="0" borderId="49" xfId="0" applyFont="1" applyBorder="1" applyAlignment="1">
      <alignment horizontal="left"/>
    </xf>
    <xf numFmtId="0" fontId="2" fillId="0" borderId="5" xfId="0" applyFont="1" applyBorder="1" applyAlignment="1">
      <alignment horizontal="left"/>
    </xf>
    <xf numFmtId="0" fontId="2" fillId="0" borderId="14" xfId="0" applyFont="1" applyBorder="1" applyAlignment="1">
      <alignment horizontal="right"/>
    </xf>
    <xf numFmtId="0" fontId="2" fillId="0" borderId="50" xfId="0" applyFont="1" applyBorder="1"/>
    <xf numFmtId="0" fontId="2" fillId="0" borderId="51" xfId="0" applyFont="1" applyBorder="1" applyAlignment="1">
      <alignment horizontal="left"/>
    </xf>
    <xf numFmtId="0" fontId="2" fillId="0" borderId="9" xfId="0" applyFont="1" applyBorder="1" applyAlignment="1">
      <alignment horizontal="left"/>
    </xf>
    <xf numFmtId="0" fontId="2" fillId="0" borderId="16" xfId="0" applyFont="1" applyBorder="1" applyAlignment="1">
      <alignment horizontal="right"/>
    </xf>
    <xf numFmtId="177" fontId="2" fillId="0" borderId="46" xfId="0" applyNumberFormat="1" applyFont="1" applyBorder="1" applyAlignment="1">
      <alignment horizontal="center"/>
    </xf>
    <xf numFmtId="0" fontId="2" fillId="0" borderId="47" xfId="0" applyFont="1" applyBorder="1" applyAlignment="1">
      <alignment horizontal="right"/>
    </xf>
    <xf numFmtId="0" fontId="2" fillId="0" borderId="52" xfId="0" applyFont="1" applyBorder="1"/>
    <xf numFmtId="0" fontId="0" fillId="0" borderId="0" xfId="0" quotePrefix="1"/>
    <xf numFmtId="177" fontId="2" fillId="0" borderId="50" xfId="0" quotePrefix="1" applyNumberFormat="1" applyFont="1" applyBorder="1" applyAlignment="1">
      <alignment horizontal="center"/>
    </xf>
    <xf numFmtId="177" fontId="2" fillId="0" borderId="52" xfId="0" quotePrefix="1" applyNumberFormat="1" applyFont="1" applyBorder="1" applyAlignment="1">
      <alignment horizontal="center"/>
    </xf>
    <xf numFmtId="1" fontId="11" fillId="0" borderId="6" xfId="0" applyNumberFormat="1" applyFont="1" applyBorder="1" applyAlignment="1">
      <alignment horizontal="center"/>
    </xf>
    <xf numFmtId="1" fontId="11" fillId="0" borderId="9" xfId="0" applyNumberFormat="1" applyFont="1" applyBorder="1" applyAlignment="1">
      <alignment horizontal="center"/>
    </xf>
    <xf numFmtId="0" fontId="11" fillId="0" borderId="6" xfId="0" applyFont="1" applyBorder="1" applyAlignment="1">
      <alignment horizontal="center"/>
    </xf>
    <xf numFmtId="10" fontId="11" fillId="0" borderId="9" xfId="0" applyNumberFormat="1" applyFont="1" applyBorder="1" applyAlignment="1">
      <alignment horizontal="center"/>
    </xf>
    <xf numFmtId="0" fontId="11" fillId="0" borderId="9" xfId="0" applyFont="1" applyBorder="1" applyAlignment="1">
      <alignment horizontal="center"/>
    </xf>
    <xf numFmtId="0" fontId="11" fillId="0" borderId="15" xfId="0" applyFont="1" applyBorder="1" applyAlignment="1">
      <alignment horizontal="center"/>
    </xf>
    <xf numFmtId="10" fontId="11" fillId="0" borderId="16" xfId="0" applyNumberFormat="1" applyFont="1" applyBorder="1" applyAlignment="1">
      <alignment horizontal="center"/>
    </xf>
    <xf numFmtId="0" fontId="12" fillId="0" borderId="6" xfId="0" applyFont="1" applyBorder="1" applyAlignment="1">
      <alignment horizontal="center"/>
    </xf>
    <xf numFmtId="10" fontId="12" fillId="0" borderId="9" xfId="0" applyNumberFormat="1" applyFont="1" applyBorder="1" applyAlignment="1">
      <alignment horizontal="center"/>
    </xf>
    <xf numFmtId="0" fontId="12" fillId="0" borderId="15" xfId="0" applyFont="1" applyBorder="1" applyAlignment="1">
      <alignment horizontal="center"/>
    </xf>
    <xf numFmtId="10" fontId="12" fillId="0" borderId="16" xfId="0" applyNumberFormat="1" applyFont="1" applyBorder="1" applyAlignment="1">
      <alignment horizontal="center"/>
    </xf>
    <xf numFmtId="0" fontId="16" fillId="0" borderId="5" xfId="0" applyFont="1" applyBorder="1" applyAlignment="1">
      <alignment horizontal="center"/>
    </xf>
    <xf numFmtId="0" fontId="16" fillId="0" borderId="14" xfId="0" applyFont="1" applyBorder="1" applyAlignment="1">
      <alignment horizontal="center"/>
    </xf>
    <xf numFmtId="0" fontId="16" fillId="0" borderId="6" xfId="0" applyFont="1" applyBorder="1" applyAlignment="1">
      <alignment horizontal="center"/>
    </xf>
    <xf numFmtId="10" fontId="16" fillId="0" borderId="9" xfId="0" applyNumberFormat="1" applyFont="1" applyBorder="1" applyAlignment="1">
      <alignment horizontal="center"/>
    </xf>
    <xf numFmtId="0" fontId="1" fillId="0" borderId="1" xfId="0" applyFont="1" applyBorder="1" applyAlignment="1">
      <alignment vertical="center" wrapText="1"/>
    </xf>
    <xf numFmtId="0" fontId="4" fillId="0" borderId="4" xfId="0" applyFont="1" applyBorder="1" applyAlignment="1">
      <alignment vertical="center" wrapText="1"/>
    </xf>
    <xf numFmtId="0" fontId="4" fillId="0" borderId="7" xfId="0" applyFont="1" applyBorder="1" applyAlignment="1">
      <alignment vertical="center" wrapText="1"/>
    </xf>
    <xf numFmtId="0" fontId="1" fillId="0" borderId="4" xfId="0" applyFont="1" applyBorder="1" applyAlignment="1">
      <alignment vertical="center" wrapText="1"/>
    </xf>
    <xf numFmtId="0" fontId="1" fillId="0" borderId="38" xfId="0" applyFont="1" applyBorder="1" applyAlignment="1">
      <alignment vertical="center" wrapText="1"/>
    </xf>
    <xf numFmtId="0" fontId="1" fillId="0" borderId="39" xfId="0" applyFont="1" applyBorder="1" applyAlignment="1">
      <alignment vertical="center" wrapText="1"/>
    </xf>
    <xf numFmtId="0" fontId="1" fillId="0" borderId="40" xfId="0" applyFont="1" applyBorder="1" applyAlignment="1">
      <alignment vertical="center" wrapText="1"/>
    </xf>
    <xf numFmtId="0" fontId="1" fillId="0" borderId="7" xfId="0" applyFont="1" applyBorder="1" applyAlignment="1">
      <alignment vertical="center" wrapText="1"/>
    </xf>
    <xf numFmtId="0" fontId="2" fillId="0" borderId="3" xfId="0" applyFont="1" applyBorder="1" applyAlignment="1">
      <alignment horizontal="center"/>
    </xf>
    <xf numFmtId="0" fontId="2" fillId="0" borderId="13" xfId="0" applyFont="1" applyBorder="1" applyAlignment="1">
      <alignment horizontal="center"/>
    </xf>
    <xf numFmtId="0" fontId="3" fillId="0" borderId="3" xfId="0" applyFont="1" applyBorder="1" applyAlignment="1">
      <alignment horizontal="center"/>
    </xf>
    <xf numFmtId="0" fontId="2" fillId="0" borderId="21" xfId="0" applyFont="1" applyBorder="1" applyAlignment="1">
      <alignment horizontal="center"/>
    </xf>
    <xf numFmtId="0" fontId="2" fillId="0" borderId="17" xfId="0" applyFont="1" applyBorder="1" applyAlignment="1">
      <alignment horizontal="left"/>
    </xf>
    <xf numFmtId="0" fontId="2" fillId="0" borderId="18" xfId="0" applyFont="1" applyBorder="1" applyAlignment="1">
      <alignment horizontal="left"/>
    </xf>
    <xf numFmtId="0" fontId="2" fillId="0" borderId="0" xfId="0" applyFont="1" applyAlignment="1">
      <alignment wrapText="1"/>
    </xf>
    <xf numFmtId="0" fontId="2" fillId="0" borderId="29" xfId="0" applyFont="1" applyBorder="1" applyAlignment="1">
      <alignment horizontal="left"/>
    </xf>
    <xf numFmtId="0" fontId="2" fillId="0" borderId="30" xfId="0" applyFont="1" applyBorder="1" applyAlignment="1">
      <alignment horizontal="left"/>
    </xf>
    <xf numFmtId="0" fontId="2" fillId="0" borderId="0" xfId="0" applyFont="1" applyAlignment="1">
      <alignment horizontal="center"/>
    </xf>
    <xf numFmtId="0" fontId="2" fillId="0" borderId="21" xfId="0" applyFont="1" applyBorder="1" applyAlignment="1">
      <alignment horizontal="left"/>
    </xf>
    <xf numFmtId="0" fontId="2" fillId="0" borderId="3" xfId="0" applyFont="1" applyBorder="1" applyAlignment="1">
      <alignment horizontal="left"/>
    </xf>
    <xf numFmtId="0" fontId="2" fillId="0" borderId="13" xfId="0" applyFont="1" applyBorder="1" applyAlignment="1">
      <alignment horizontal="left"/>
    </xf>
    <xf numFmtId="0" fontId="13" fillId="0" borderId="3" xfId="0" applyFont="1" applyBorder="1" applyAlignment="1">
      <alignment horizontal="center"/>
    </xf>
    <xf numFmtId="0" fontId="3" fillId="0" borderId="11" xfId="0" applyFont="1" applyBorder="1" applyAlignment="1">
      <alignment wrapText="1"/>
    </xf>
    <xf numFmtId="0" fontId="2" fillId="0" borderId="11" xfId="0" applyFont="1" applyBorder="1" applyAlignment="1">
      <alignment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570865</xdr:colOff>
      <xdr:row>1</xdr:row>
      <xdr:rowOff>635</xdr:rowOff>
    </xdr:from>
    <xdr:to>
      <xdr:col>17</xdr:col>
      <xdr:colOff>751840</xdr:colOff>
      <xdr:row>50</xdr:row>
      <xdr:rowOff>49530</xdr:rowOff>
    </xdr:to>
    <xdr:sp macro="" textlink="">
      <xdr:nvSpPr>
        <xdr:cNvPr id="2188" name="Rectangle 140" descr="5d28a36c-a538-46b5-82bb-37dd028aa433">
          <a:extLst>
            <a:ext uri="{FF2B5EF4-FFF2-40B4-BE49-F238E27FC236}">
              <a16:creationId xmlns:a16="http://schemas.microsoft.com/office/drawing/2014/main" id="{00000000-0008-0000-0300-00008C080000}"/>
            </a:ext>
          </a:extLst>
        </xdr:cNvPr>
        <xdr:cNvSpPr>
          <a:spLocks noChangeArrowheads="1"/>
        </xdr:cNvSpPr>
      </xdr:nvSpPr>
      <xdr:spPr>
        <a:xfrm>
          <a:off x="570865" y="172085"/>
          <a:ext cx="11772265" cy="8421370"/>
        </a:xfrm>
        <a:prstGeom prst="rect">
          <a:avLst/>
        </a:prstGeom>
        <a:noFill/>
        <a:ln w="57150">
          <a:solidFill>
            <a:srgbClr val="FF0000"/>
          </a:solidFill>
          <a:miter lim="800000"/>
        </a:ln>
      </xdr:spPr>
    </xdr:sp>
    <xdr:clientData/>
  </xdr:twoCellAnchor>
  <xdr:twoCellAnchor>
    <xdr:from>
      <xdr:col>0</xdr:col>
      <xdr:colOff>85725</xdr:colOff>
      <xdr:row>0</xdr:row>
      <xdr:rowOff>28575</xdr:rowOff>
    </xdr:from>
    <xdr:to>
      <xdr:col>1</xdr:col>
      <xdr:colOff>1114425</xdr:colOff>
      <xdr:row>2</xdr:row>
      <xdr:rowOff>19050</xdr:rowOff>
    </xdr:to>
    <xdr:sp macro="" textlink="">
      <xdr:nvSpPr>
        <xdr:cNvPr id="2189" name="AutoShape 141" descr="ab25775f-16e5-44a2-9d2b-8384497e8c07">
          <a:extLst>
            <a:ext uri="{FF2B5EF4-FFF2-40B4-BE49-F238E27FC236}">
              <a16:creationId xmlns:a16="http://schemas.microsoft.com/office/drawing/2014/main" id="{00000000-0008-0000-0300-00008D080000}"/>
            </a:ext>
          </a:extLst>
        </xdr:cNvPr>
        <xdr:cNvSpPr>
          <a:spLocks noChangeArrowheads="1"/>
        </xdr:cNvSpPr>
      </xdr:nvSpPr>
      <xdr:spPr>
        <a:xfrm>
          <a:off x="85725" y="28575"/>
          <a:ext cx="1628775" cy="323850"/>
        </a:xfrm>
        <a:prstGeom prst="wedgeRoundRectCallout">
          <a:avLst>
            <a:gd name="adj1" fmla="val 64727"/>
            <a:gd name="adj2" fmla="val 50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1 B2:R60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18</xdr:col>
      <xdr:colOff>581025</xdr:colOff>
      <xdr:row>0</xdr:row>
      <xdr:rowOff>161925</xdr:rowOff>
    </xdr:from>
    <xdr:to>
      <xdr:col>20</xdr:col>
      <xdr:colOff>781050</xdr:colOff>
      <xdr:row>50</xdr:row>
      <xdr:rowOff>38100</xdr:rowOff>
    </xdr:to>
    <xdr:sp macro="" textlink="">
      <xdr:nvSpPr>
        <xdr:cNvPr id="2190" name="Rectangle 142" descr="cb347a33-3ff7-4827-8839-a9d5d706367a">
          <a:extLst>
            <a:ext uri="{FF2B5EF4-FFF2-40B4-BE49-F238E27FC236}">
              <a16:creationId xmlns:a16="http://schemas.microsoft.com/office/drawing/2014/main" id="{00000000-0008-0000-0300-00008E080000}"/>
            </a:ext>
          </a:extLst>
        </xdr:cNvPr>
        <xdr:cNvSpPr>
          <a:spLocks noChangeArrowheads="1"/>
        </xdr:cNvSpPr>
      </xdr:nvSpPr>
      <xdr:spPr>
        <a:xfrm>
          <a:off x="12942570" y="161925"/>
          <a:ext cx="2503805" cy="8420100"/>
        </a:xfrm>
        <a:prstGeom prst="rect">
          <a:avLst/>
        </a:prstGeom>
        <a:noFill/>
        <a:ln w="57150">
          <a:solidFill>
            <a:srgbClr val="FF0000"/>
          </a:solidFill>
          <a:miter lim="800000"/>
        </a:ln>
      </xdr:spPr>
    </xdr:sp>
    <xdr:clientData/>
  </xdr:twoCellAnchor>
  <xdr:twoCellAnchor>
    <xdr:from>
      <xdr:col>16</xdr:col>
      <xdr:colOff>238125</xdr:colOff>
      <xdr:row>0</xdr:row>
      <xdr:rowOff>47625</xdr:rowOff>
    </xdr:from>
    <xdr:to>
      <xdr:col>18</xdr:col>
      <xdr:colOff>561975</xdr:colOff>
      <xdr:row>2</xdr:row>
      <xdr:rowOff>28575</xdr:rowOff>
    </xdr:to>
    <xdr:sp macro="" textlink="">
      <xdr:nvSpPr>
        <xdr:cNvPr id="2191" name="AutoShape 143" descr="be606e54-6d60-4651-9e9d-a550f94765ef">
          <a:extLst>
            <a:ext uri="{FF2B5EF4-FFF2-40B4-BE49-F238E27FC236}">
              <a16:creationId xmlns:a16="http://schemas.microsoft.com/office/drawing/2014/main" id="{00000000-0008-0000-0300-00008F080000}"/>
            </a:ext>
          </a:extLst>
        </xdr:cNvPr>
        <xdr:cNvSpPr>
          <a:spLocks noChangeArrowheads="1"/>
        </xdr:cNvSpPr>
      </xdr:nvSpPr>
      <xdr:spPr>
        <a:xfrm>
          <a:off x="11095990" y="47625"/>
          <a:ext cx="1827530" cy="314325"/>
        </a:xfrm>
        <a:prstGeom prst="wedgeRoundRectCallout">
          <a:avLst>
            <a:gd name="adj1" fmla="val 54764"/>
            <a:gd name="adj2" fmla="val 92306"/>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2 T2:U60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21</xdr:col>
      <xdr:colOff>0</xdr:colOff>
      <xdr:row>0</xdr:row>
      <xdr:rowOff>161925</xdr:rowOff>
    </xdr:from>
    <xdr:to>
      <xdr:col>28</xdr:col>
      <xdr:colOff>590550</xdr:colOff>
      <xdr:row>50</xdr:row>
      <xdr:rowOff>38100</xdr:rowOff>
    </xdr:to>
    <xdr:sp macro="" textlink="">
      <xdr:nvSpPr>
        <xdr:cNvPr id="2192" name="Rectangle 144" descr="8fa9e567-cb7e-44ef-9aaf-96812d8de5ca">
          <a:extLst>
            <a:ext uri="{FF2B5EF4-FFF2-40B4-BE49-F238E27FC236}">
              <a16:creationId xmlns:a16="http://schemas.microsoft.com/office/drawing/2014/main" id="{00000000-0008-0000-0300-000090080000}"/>
            </a:ext>
          </a:extLst>
        </xdr:cNvPr>
        <xdr:cNvSpPr>
          <a:spLocks noChangeArrowheads="1"/>
        </xdr:cNvSpPr>
      </xdr:nvSpPr>
      <xdr:spPr>
        <a:xfrm>
          <a:off x="15465425" y="161925"/>
          <a:ext cx="4923155" cy="8420100"/>
        </a:xfrm>
        <a:prstGeom prst="rect">
          <a:avLst/>
        </a:prstGeom>
        <a:noFill/>
        <a:ln w="57150">
          <a:solidFill>
            <a:srgbClr val="FF0000"/>
          </a:solidFill>
          <a:miter lim="800000"/>
        </a:ln>
      </xdr:spPr>
    </xdr:sp>
    <xdr:clientData/>
  </xdr:twoCellAnchor>
  <xdr:twoCellAnchor>
    <xdr:from>
      <xdr:col>26</xdr:col>
      <xdr:colOff>381000</xdr:colOff>
      <xdr:row>0</xdr:row>
      <xdr:rowOff>28575</xdr:rowOff>
    </xdr:from>
    <xdr:to>
      <xdr:col>29</xdr:col>
      <xdr:colOff>276225</xdr:colOff>
      <xdr:row>2</xdr:row>
      <xdr:rowOff>9525</xdr:rowOff>
    </xdr:to>
    <xdr:sp macro="" textlink="">
      <xdr:nvSpPr>
        <xdr:cNvPr id="2193" name="AutoShape 145" descr="e66b4c11-ea45-47c6-8502-1aee74ba94bc">
          <a:extLst>
            <a:ext uri="{FF2B5EF4-FFF2-40B4-BE49-F238E27FC236}">
              <a16:creationId xmlns:a16="http://schemas.microsoft.com/office/drawing/2014/main" id="{00000000-0008-0000-0300-000091080000}"/>
            </a:ext>
          </a:extLst>
        </xdr:cNvPr>
        <xdr:cNvSpPr>
          <a:spLocks noChangeArrowheads="1"/>
        </xdr:cNvSpPr>
      </xdr:nvSpPr>
      <xdr:spPr>
        <a:xfrm>
          <a:off x="18978880" y="28575"/>
          <a:ext cx="1695450" cy="314325"/>
        </a:xfrm>
        <a:prstGeom prst="wedgeRoundRectCallout">
          <a:avLst>
            <a:gd name="adj1" fmla="val -24264"/>
            <a:gd name="adj2" fmla="val 94000"/>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3 V2:AC60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29</xdr:col>
      <xdr:colOff>571500</xdr:colOff>
      <xdr:row>0</xdr:row>
      <xdr:rowOff>142875</xdr:rowOff>
    </xdr:from>
    <xdr:to>
      <xdr:col>38</xdr:col>
      <xdr:colOff>19050</xdr:colOff>
      <xdr:row>50</xdr:row>
      <xdr:rowOff>19050</xdr:rowOff>
    </xdr:to>
    <xdr:sp macro="" textlink="">
      <xdr:nvSpPr>
        <xdr:cNvPr id="2194" name="Rectangle 146" descr="25bab48a-784d-4efa-ab31-883ccd4708a8">
          <a:extLst>
            <a:ext uri="{FF2B5EF4-FFF2-40B4-BE49-F238E27FC236}">
              <a16:creationId xmlns:a16="http://schemas.microsoft.com/office/drawing/2014/main" id="{00000000-0008-0000-0300-000092080000}"/>
            </a:ext>
          </a:extLst>
        </xdr:cNvPr>
        <xdr:cNvSpPr>
          <a:spLocks noChangeArrowheads="1"/>
        </xdr:cNvSpPr>
      </xdr:nvSpPr>
      <xdr:spPr>
        <a:xfrm>
          <a:off x="20969605" y="142875"/>
          <a:ext cx="6558280" cy="8420100"/>
        </a:xfrm>
        <a:prstGeom prst="rect">
          <a:avLst/>
        </a:prstGeom>
        <a:noFill/>
        <a:ln w="57150">
          <a:solidFill>
            <a:srgbClr val="FF0000"/>
          </a:solidFill>
          <a:miter lim="800000"/>
        </a:ln>
      </xdr:spPr>
    </xdr:sp>
    <xdr:clientData/>
  </xdr:twoCellAnchor>
  <xdr:twoCellAnchor>
    <xdr:from>
      <xdr:col>29</xdr:col>
      <xdr:colOff>523875</xdr:colOff>
      <xdr:row>0</xdr:row>
      <xdr:rowOff>28575</xdr:rowOff>
    </xdr:from>
    <xdr:to>
      <xdr:col>31</xdr:col>
      <xdr:colOff>561975</xdr:colOff>
      <xdr:row>2</xdr:row>
      <xdr:rowOff>9525</xdr:rowOff>
    </xdr:to>
    <xdr:sp macro="" textlink="">
      <xdr:nvSpPr>
        <xdr:cNvPr id="2195" name="AutoShape 147" descr="3abc5016-c2c8-4cb3-9c96-d853e96af77d">
          <a:extLst>
            <a:ext uri="{FF2B5EF4-FFF2-40B4-BE49-F238E27FC236}">
              <a16:creationId xmlns:a16="http://schemas.microsoft.com/office/drawing/2014/main" id="{00000000-0008-0000-0300-000093080000}"/>
            </a:ext>
          </a:extLst>
        </xdr:cNvPr>
        <xdr:cNvSpPr>
          <a:spLocks noChangeArrowheads="1"/>
        </xdr:cNvSpPr>
      </xdr:nvSpPr>
      <xdr:spPr>
        <a:xfrm>
          <a:off x="20921980" y="28575"/>
          <a:ext cx="1830705" cy="314325"/>
        </a:xfrm>
        <a:prstGeom prst="wedgeRoundRectCallout">
          <a:avLst>
            <a:gd name="adj1" fmla="val 19431"/>
            <a:gd name="adj2" fmla="val 83333"/>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4 AE2:AL60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0</xdr:col>
      <xdr:colOff>28575</xdr:colOff>
      <xdr:row>55</xdr:row>
      <xdr:rowOff>9525</xdr:rowOff>
    </xdr:from>
    <xdr:to>
      <xdr:col>4</xdr:col>
      <xdr:colOff>28575</xdr:colOff>
      <xdr:row>60</xdr:row>
      <xdr:rowOff>0</xdr:rowOff>
    </xdr:to>
    <xdr:sp macro="" textlink="">
      <xdr:nvSpPr>
        <xdr:cNvPr id="2196" name="Rectangle 148" descr="edf584a4-9dcc-4c81-9e1c-78645868ad89">
          <a:extLst>
            <a:ext uri="{FF2B5EF4-FFF2-40B4-BE49-F238E27FC236}">
              <a16:creationId xmlns:a16="http://schemas.microsoft.com/office/drawing/2014/main" id="{00000000-0008-0000-0300-000094080000}"/>
            </a:ext>
          </a:extLst>
        </xdr:cNvPr>
        <xdr:cNvSpPr>
          <a:spLocks noChangeArrowheads="1"/>
        </xdr:cNvSpPr>
      </xdr:nvSpPr>
      <xdr:spPr>
        <a:xfrm>
          <a:off x="28575" y="9429750"/>
          <a:ext cx="3429635" cy="1352550"/>
        </a:xfrm>
        <a:prstGeom prst="rect">
          <a:avLst/>
        </a:prstGeom>
        <a:noFill/>
        <a:ln w="57150">
          <a:solidFill>
            <a:srgbClr val="FF0000"/>
          </a:solidFill>
          <a:miter lim="800000"/>
        </a:ln>
      </xdr:spPr>
    </xdr:sp>
    <xdr:clientData/>
  </xdr:twoCellAnchor>
  <xdr:twoCellAnchor>
    <xdr:from>
      <xdr:col>18</xdr:col>
      <xdr:colOff>0</xdr:colOff>
      <xdr:row>52</xdr:row>
      <xdr:rowOff>9525</xdr:rowOff>
    </xdr:from>
    <xdr:to>
      <xdr:col>21</xdr:col>
      <xdr:colOff>0</xdr:colOff>
      <xdr:row>57</xdr:row>
      <xdr:rowOff>0</xdr:rowOff>
    </xdr:to>
    <xdr:sp macro="" textlink="">
      <xdr:nvSpPr>
        <xdr:cNvPr id="2197" name="Rectangle 149" descr="aea3c6da-8745-4b83-977d-a5e8de5f38c3">
          <a:extLst>
            <a:ext uri="{FF2B5EF4-FFF2-40B4-BE49-F238E27FC236}">
              <a16:creationId xmlns:a16="http://schemas.microsoft.com/office/drawing/2014/main" id="{00000000-0008-0000-0300-000095080000}"/>
            </a:ext>
          </a:extLst>
        </xdr:cNvPr>
        <xdr:cNvSpPr>
          <a:spLocks noChangeArrowheads="1"/>
        </xdr:cNvSpPr>
      </xdr:nvSpPr>
      <xdr:spPr>
        <a:xfrm>
          <a:off x="12361545" y="8896350"/>
          <a:ext cx="3103880" cy="1066800"/>
        </a:xfrm>
        <a:prstGeom prst="rect">
          <a:avLst/>
        </a:prstGeom>
        <a:noFill/>
        <a:ln w="57150">
          <a:solidFill>
            <a:srgbClr val="FF0000"/>
          </a:solidFill>
          <a:miter lim="800000"/>
        </a:ln>
      </xdr:spPr>
    </xdr:sp>
    <xdr:clientData/>
  </xdr:twoCellAnchor>
  <xdr:twoCellAnchor>
    <xdr:from>
      <xdr:col>1</xdr:col>
      <xdr:colOff>76200</xdr:colOff>
      <xdr:row>51</xdr:row>
      <xdr:rowOff>95250</xdr:rowOff>
    </xdr:from>
    <xdr:to>
      <xdr:col>2</xdr:col>
      <xdr:colOff>581025</xdr:colOff>
      <xdr:row>53</xdr:row>
      <xdr:rowOff>85725</xdr:rowOff>
    </xdr:to>
    <xdr:sp macro="" textlink="">
      <xdr:nvSpPr>
        <xdr:cNvPr id="2198" name="AutoShape 150" descr="edbe6b3c-481c-4077-bdfe-f71adf7def22">
          <a:extLst>
            <a:ext uri="{FF2B5EF4-FFF2-40B4-BE49-F238E27FC236}">
              <a16:creationId xmlns:a16="http://schemas.microsoft.com/office/drawing/2014/main" id="{00000000-0008-0000-0300-000096080000}"/>
            </a:ext>
          </a:extLst>
        </xdr:cNvPr>
        <xdr:cNvSpPr>
          <a:spLocks noChangeArrowheads="1"/>
        </xdr:cNvSpPr>
      </xdr:nvSpPr>
      <xdr:spPr>
        <a:xfrm>
          <a:off x="676275" y="8810625"/>
          <a:ext cx="1638300"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5 A65:D70</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twoCellAnchor>
    <xdr:from>
      <xdr:col>16</xdr:col>
      <xdr:colOff>504825</xdr:colOff>
      <xdr:row>50</xdr:row>
      <xdr:rowOff>142875</xdr:rowOff>
    </xdr:from>
    <xdr:to>
      <xdr:col>19</xdr:col>
      <xdr:colOff>257175</xdr:colOff>
      <xdr:row>52</xdr:row>
      <xdr:rowOff>123825</xdr:rowOff>
    </xdr:to>
    <xdr:sp macro="" textlink="">
      <xdr:nvSpPr>
        <xdr:cNvPr id="2199" name="AutoShape 151" descr="3aa4483a-f143-4292-829f-79b8f1df0f72">
          <a:extLst>
            <a:ext uri="{FF2B5EF4-FFF2-40B4-BE49-F238E27FC236}">
              <a16:creationId xmlns:a16="http://schemas.microsoft.com/office/drawing/2014/main" id="{00000000-0008-0000-0300-000097080000}"/>
            </a:ext>
          </a:extLst>
        </xdr:cNvPr>
        <xdr:cNvSpPr>
          <a:spLocks noChangeArrowheads="1"/>
        </xdr:cNvSpPr>
      </xdr:nvSpPr>
      <xdr:spPr>
        <a:xfrm>
          <a:off x="11362690" y="8686800"/>
          <a:ext cx="1856105" cy="323850"/>
        </a:xfrm>
        <a:prstGeom prst="wedgeRoundRectCallout">
          <a:avLst>
            <a:gd name="adj1" fmla="val 24417"/>
            <a:gd name="adj2" fmla="val 80769"/>
            <a:gd name="adj3" fmla="val 16667"/>
          </a:avLst>
        </a:prstGeom>
        <a:solidFill>
          <a:srgbClr val="BBE0E3"/>
        </a:solidFill>
        <a:ln w="9525" algn="ctr">
          <a:solidFill>
            <a:srgbClr val="000000"/>
          </a:solidFill>
          <a:miter lim="800000"/>
        </a:ln>
        <a:effectLst/>
      </xdr:spPr>
      <xdr:txBody>
        <a:bodyPr vertOverflow="clip" wrap="square" lIns="92309" tIns="46154" rIns="92309" bIns="46154" anchor="t" upright="1"/>
        <a:lstStyle/>
        <a:p>
          <a:pPr algn="l" rtl="0">
            <a:defRPr sz="1000"/>
          </a:pPr>
          <a:r>
            <a:rPr lang="en-US" altLang="zh-CN" sz="1400" b="1" i="0" u="none" strike="noStrike" baseline="0">
              <a:solidFill>
                <a:srgbClr val="000000"/>
              </a:solidFill>
              <a:latin typeface="Arial" panose="020B0604020202020204"/>
              <a:cs typeface="Arial" panose="020B0604020202020204"/>
            </a:rPr>
            <a:t>Zone 6 S63:U67</a:t>
          </a:r>
        </a:p>
        <a:p>
          <a:pPr algn="l" rtl="0">
            <a:defRPr sz="1000"/>
          </a:pPr>
          <a:endParaRPr lang="en-US" altLang="zh-CN" sz="1400" b="1" i="0" u="none" strike="noStrike" baseline="0">
            <a:solidFill>
              <a:srgbClr val="000000"/>
            </a:solidFill>
            <a:latin typeface="Arial" panose="020B0604020202020204"/>
            <a:cs typeface="Arial" panose="020B0604020202020204"/>
          </a:endParaRPr>
        </a:p>
      </xdr:txBody>
    </xdr:sp>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0006"/>
  <sheetViews>
    <sheetView workbookViewId="0"/>
  </sheetViews>
  <sheetFormatPr defaultColWidth="9" defaultRowHeight="12.75" x14ac:dyDescent="0.2"/>
  <cols>
    <col min="1" max="2" width="36.7109375" customWidth="1"/>
  </cols>
  <sheetData>
    <row r="1" spans="1:16" x14ac:dyDescent="0.2">
      <c r="A1" s="54" t="s">
        <v>0</v>
      </c>
    </row>
    <row r="2" spans="1:16" x14ac:dyDescent="0.2">
      <c r="P2">
        <f ca="1">_xll.CB.RecalcCounterFN()</f>
        <v>0</v>
      </c>
    </row>
    <row r="3" spans="1:16" x14ac:dyDescent="0.2">
      <c r="A3" t="s">
        <v>1</v>
      </c>
      <c r="B3" t="s">
        <v>2</v>
      </c>
      <c r="C3">
        <v>0</v>
      </c>
    </row>
    <row r="4" spans="1:16" x14ac:dyDescent="0.2">
      <c r="A4" t="s">
        <v>3</v>
      </c>
    </row>
    <row r="5" spans="1:16" x14ac:dyDescent="0.2">
      <c r="A5" t="s">
        <v>4</v>
      </c>
    </row>
    <row r="7" spans="1:16" x14ac:dyDescent="0.2">
      <c r="A7" s="54" t="s">
        <v>5</v>
      </c>
      <c r="B7" t="s">
        <v>6</v>
      </c>
    </row>
    <row r="8" spans="1:16" x14ac:dyDescent="0.2">
      <c r="B8">
        <v>2</v>
      </c>
    </row>
    <row r="10" spans="1:16" x14ac:dyDescent="0.2">
      <c r="A10" t="s">
        <v>7</v>
      </c>
    </row>
    <row r="11" spans="1:16" x14ac:dyDescent="0.2">
      <c r="A11" t="e">
        <f>CB_DATA_!#REF!</f>
        <v>#REF!</v>
      </c>
      <c r="B11" t="e">
        <f>Model!#REF!</f>
        <v>#REF!</v>
      </c>
    </row>
    <row r="13" spans="1:16" x14ac:dyDescent="0.2">
      <c r="A13" t="s">
        <v>8</v>
      </c>
    </row>
    <row r="14" spans="1:16" x14ac:dyDescent="0.2">
      <c r="A14" t="s">
        <v>9</v>
      </c>
      <c r="B14" t="s">
        <v>10</v>
      </c>
    </row>
    <row r="16" spans="1:16" x14ac:dyDescent="0.2">
      <c r="A16" t="s">
        <v>11</v>
      </c>
    </row>
    <row r="19" spans="1:2" x14ac:dyDescent="0.2">
      <c r="A19" t="s">
        <v>12</v>
      </c>
    </row>
    <row r="20" spans="1:2" x14ac:dyDescent="0.2">
      <c r="A20">
        <v>31</v>
      </c>
      <c r="B20">
        <v>43</v>
      </c>
    </row>
    <row r="25" spans="1:2" x14ac:dyDescent="0.2">
      <c r="A25" s="54" t="s">
        <v>13</v>
      </c>
    </row>
    <row r="26" spans="1:2" x14ac:dyDescent="0.2">
      <c r="A26" s="110" t="s">
        <v>208</v>
      </c>
      <c r="B26" s="110" t="s">
        <v>208</v>
      </c>
    </row>
    <row r="27" spans="1:2" x14ac:dyDescent="0.2">
      <c r="A27" t="s">
        <v>209</v>
      </c>
      <c r="B27" t="s">
        <v>211</v>
      </c>
    </row>
    <row r="28" spans="1:2" x14ac:dyDescent="0.2">
      <c r="A28" s="110" t="s">
        <v>210</v>
      </c>
      <c r="B28" s="110" t="s">
        <v>210</v>
      </c>
    </row>
    <row r="29" spans="1:2" x14ac:dyDescent="0.2">
      <c r="A29" s="110" t="s">
        <v>14</v>
      </c>
      <c r="B29" s="110" t="s">
        <v>212</v>
      </c>
    </row>
    <row r="30" spans="1:2" x14ac:dyDescent="0.2">
      <c r="A30" t="s">
        <v>217</v>
      </c>
      <c r="B30" t="s">
        <v>218</v>
      </c>
    </row>
    <row r="31" spans="1:2" x14ac:dyDescent="0.2">
      <c r="A31" s="110" t="s">
        <v>15</v>
      </c>
      <c r="B31" s="110" t="s">
        <v>210</v>
      </c>
    </row>
    <row r="32" spans="1:2" x14ac:dyDescent="0.2">
      <c r="B32" s="110" t="s">
        <v>213</v>
      </c>
    </row>
    <row r="33" spans="2:2" x14ac:dyDescent="0.2">
      <c r="B33" t="s">
        <v>219</v>
      </c>
    </row>
    <row r="34" spans="2:2" x14ac:dyDescent="0.2">
      <c r="B34" s="110" t="s">
        <v>210</v>
      </c>
    </row>
    <row r="35" spans="2:2" x14ac:dyDescent="0.2">
      <c r="B35" s="110" t="s">
        <v>214</v>
      </c>
    </row>
    <row r="36" spans="2:2" x14ac:dyDescent="0.2">
      <c r="B36" t="s">
        <v>220</v>
      </c>
    </row>
    <row r="37" spans="2:2" x14ac:dyDescent="0.2">
      <c r="B37" s="110" t="s">
        <v>210</v>
      </c>
    </row>
    <row r="38" spans="2:2" x14ac:dyDescent="0.2">
      <c r="B38" s="110" t="s">
        <v>215</v>
      </c>
    </row>
    <row r="39" spans="2:2" x14ac:dyDescent="0.2">
      <c r="B39" t="s">
        <v>221</v>
      </c>
    </row>
    <row r="40" spans="2:2" x14ac:dyDescent="0.2">
      <c r="B40" s="110" t="s">
        <v>210</v>
      </c>
    </row>
    <row r="41" spans="2:2" x14ac:dyDescent="0.2">
      <c r="B41" s="110" t="s">
        <v>216</v>
      </c>
    </row>
    <row r="42" spans="2:2" x14ac:dyDescent="0.2">
      <c r="B42" t="s">
        <v>222</v>
      </c>
    </row>
    <row r="43" spans="2:2" x14ac:dyDescent="0.2">
      <c r="B43" s="110" t="s">
        <v>210</v>
      </c>
    </row>
    <row r="10000" spans="1:1" x14ac:dyDescent="0.2">
      <c r="A10000" t="s">
        <v>16</v>
      </c>
    </row>
    <row r="10002" spans="1:1" x14ac:dyDescent="0.2">
      <c r="A10002" t="b">
        <f>0&lt;="{0.MAX}"&lt;=0</f>
        <v>0</v>
      </c>
    </row>
    <row r="10005" spans="1:1" x14ac:dyDescent="0.2">
      <c r="A10005" t="str">
        <f>"{0.PERCENTILE(0.95)}"</f>
        <v>{0.PERCENTILE(0.95)}</v>
      </c>
    </row>
    <row r="10006" spans="1:1" x14ac:dyDescent="0.2">
      <c r="A10006" t="b">
        <f>0&lt;="{0.MAX}"&lt;=0</f>
        <v>0</v>
      </c>
    </row>
  </sheetData>
  <phoneticPr fontId="10" type="noConversion"/>
  <pageMargins left="0.75" right="0.75" top="1" bottom="1" header="0.5" footer="0.5"/>
  <pageSetup paperSize="9" orientation="portrait"/>
  <headerFooter alignWithMargins="0"/>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B1:H78"/>
  <sheetViews>
    <sheetView showGridLines="0" topLeftCell="A7" zoomScale="80" zoomScaleNormal="80" workbookViewId="0">
      <selection activeCell="K57" sqref="K57"/>
    </sheetView>
  </sheetViews>
  <sheetFormatPr defaultColWidth="9" defaultRowHeight="12.75" x14ac:dyDescent="0.2"/>
  <cols>
    <col min="2" max="2" width="17" customWidth="1"/>
    <col min="3" max="3" width="12" customWidth="1"/>
    <col min="4" max="4" width="39.5703125" customWidth="1"/>
    <col min="6" max="6" width="17.85546875" customWidth="1"/>
    <col min="7" max="7" width="13.28515625" customWidth="1"/>
    <col min="8" max="8" width="21.7109375" style="54" customWidth="1"/>
  </cols>
  <sheetData>
    <row r="1" spans="2:8" ht="13.5" customHeight="1" x14ac:dyDescent="0.2">
      <c r="D1" s="54"/>
    </row>
    <row r="2" spans="2:8" ht="12.75" customHeight="1" x14ac:dyDescent="0.2">
      <c r="B2" s="128" t="s">
        <v>17</v>
      </c>
      <c r="C2" s="1"/>
      <c r="D2" s="96" t="s">
        <v>18</v>
      </c>
      <c r="F2" s="128" t="s">
        <v>17</v>
      </c>
      <c r="G2" s="1"/>
      <c r="H2" s="97" t="s">
        <v>19</v>
      </c>
    </row>
    <row r="3" spans="2:8" ht="12.75" customHeight="1" x14ac:dyDescent="0.2">
      <c r="B3" s="129"/>
      <c r="D3" s="98"/>
      <c r="F3" s="129"/>
      <c r="H3" s="99"/>
    </row>
    <row r="4" spans="2:8" ht="12.75" customHeight="1" x14ac:dyDescent="0.2">
      <c r="B4" s="129"/>
      <c r="C4" s="100" t="s">
        <v>20</v>
      </c>
      <c r="D4" s="101" t="s">
        <v>21</v>
      </c>
      <c r="F4" s="129"/>
      <c r="G4" s="102" t="s">
        <v>20</v>
      </c>
      <c r="H4" s="103" t="s">
        <v>22</v>
      </c>
    </row>
    <row r="5" spans="2:8" ht="12.75" customHeight="1" x14ac:dyDescent="0.2">
      <c r="B5" s="129"/>
      <c r="C5" s="100" t="s">
        <v>23</v>
      </c>
      <c r="D5" s="101" t="s">
        <v>24</v>
      </c>
      <c r="F5" s="129"/>
      <c r="G5" s="102" t="s">
        <v>23</v>
      </c>
      <c r="H5" s="111" t="s">
        <v>25</v>
      </c>
    </row>
    <row r="6" spans="2:8" ht="13.5" customHeight="1" x14ac:dyDescent="0.2">
      <c r="B6" s="130"/>
      <c r="C6" s="104" t="s">
        <v>26</v>
      </c>
      <c r="D6" s="105" t="s">
        <v>27</v>
      </c>
      <c r="F6" s="130"/>
      <c r="G6" s="106" t="s">
        <v>26</v>
      </c>
      <c r="H6" s="112" t="s">
        <v>25</v>
      </c>
    </row>
    <row r="7" spans="2:8" ht="15" x14ac:dyDescent="0.2">
      <c r="B7" s="9"/>
      <c r="F7" s="9"/>
      <c r="H7" s="73"/>
    </row>
    <row r="8" spans="2:8" ht="12.75" customHeight="1" x14ac:dyDescent="0.2">
      <c r="B8" s="128" t="s">
        <v>28</v>
      </c>
      <c r="C8" s="1"/>
      <c r="D8" s="96" t="s">
        <v>18</v>
      </c>
      <c r="F8" s="128" t="s">
        <v>28</v>
      </c>
      <c r="G8" s="1"/>
      <c r="H8" s="107" t="s">
        <v>19</v>
      </c>
    </row>
    <row r="9" spans="2:8" ht="12.75" customHeight="1" x14ac:dyDescent="0.2">
      <c r="B9" s="129"/>
      <c r="C9" s="4"/>
      <c r="D9" s="108"/>
      <c r="F9" s="129"/>
      <c r="G9" s="4"/>
      <c r="H9" s="99"/>
    </row>
    <row r="10" spans="2:8" ht="12.75" customHeight="1" x14ac:dyDescent="0.2">
      <c r="B10" s="129"/>
      <c r="C10" s="100" t="s">
        <v>20</v>
      </c>
      <c r="D10" s="101" t="s">
        <v>21</v>
      </c>
      <c r="F10" s="129"/>
      <c r="G10" s="102" t="s">
        <v>20</v>
      </c>
      <c r="H10" s="103" t="s">
        <v>22</v>
      </c>
    </row>
    <row r="11" spans="2:8" ht="12.75" customHeight="1" x14ac:dyDescent="0.2">
      <c r="B11" s="129"/>
      <c r="C11" s="100" t="s">
        <v>23</v>
      </c>
      <c r="D11" s="101" t="s">
        <v>24</v>
      </c>
      <c r="F11" s="129"/>
      <c r="G11" s="102" t="s">
        <v>23</v>
      </c>
      <c r="H11" s="111" t="s">
        <v>25</v>
      </c>
    </row>
    <row r="12" spans="2:8" ht="13.5" customHeight="1" x14ac:dyDescent="0.2">
      <c r="B12" s="130"/>
      <c r="C12" s="104" t="s">
        <v>26</v>
      </c>
      <c r="D12" s="105" t="s">
        <v>29</v>
      </c>
      <c r="F12" s="130"/>
      <c r="G12" s="106" t="s">
        <v>26</v>
      </c>
      <c r="H12" s="109" t="s">
        <v>30</v>
      </c>
    </row>
    <row r="13" spans="2:8" ht="15" x14ac:dyDescent="0.2">
      <c r="B13" s="9"/>
      <c r="C13" s="4"/>
      <c r="D13" s="4"/>
      <c r="F13" s="9"/>
      <c r="G13" s="4"/>
      <c r="H13" s="73"/>
    </row>
    <row r="14" spans="2:8" ht="12.75" customHeight="1" x14ac:dyDescent="0.2">
      <c r="B14" s="128" t="s">
        <v>31</v>
      </c>
      <c r="C14" s="13"/>
      <c r="D14" s="96" t="s">
        <v>18</v>
      </c>
      <c r="F14" s="128" t="s">
        <v>31</v>
      </c>
      <c r="G14" s="13"/>
      <c r="H14" s="97" t="s">
        <v>19</v>
      </c>
    </row>
    <row r="15" spans="2:8" ht="12.75" customHeight="1" x14ac:dyDescent="0.2">
      <c r="B15" s="129"/>
      <c r="C15" s="4"/>
      <c r="D15" s="108"/>
      <c r="F15" s="129"/>
      <c r="G15" s="4"/>
      <c r="H15" s="99"/>
    </row>
    <row r="16" spans="2:8" ht="12.75" customHeight="1" x14ac:dyDescent="0.2">
      <c r="B16" s="129"/>
      <c r="C16" s="100" t="s">
        <v>20</v>
      </c>
      <c r="D16" s="101" t="s">
        <v>21</v>
      </c>
      <c r="F16" s="129"/>
      <c r="G16" s="102" t="s">
        <v>20</v>
      </c>
      <c r="H16" s="103" t="s">
        <v>22</v>
      </c>
    </row>
    <row r="17" spans="2:8" ht="12.75" customHeight="1" x14ac:dyDescent="0.2">
      <c r="B17" s="129"/>
      <c r="C17" s="100" t="s">
        <v>23</v>
      </c>
      <c r="D17" s="101" t="s">
        <v>24</v>
      </c>
      <c r="F17" s="129"/>
      <c r="G17" s="102" t="s">
        <v>23</v>
      </c>
      <c r="H17" s="111" t="s">
        <v>25</v>
      </c>
    </row>
    <row r="18" spans="2:8" ht="13.5" customHeight="1" x14ac:dyDescent="0.2">
      <c r="B18" s="130"/>
      <c r="C18" s="104" t="s">
        <v>26</v>
      </c>
      <c r="D18" s="105" t="s">
        <v>27</v>
      </c>
      <c r="F18" s="130"/>
      <c r="G18" s="106" t="s">
        <v>26</v>
      </c>
      <c r="H18" s="112" t="s">
        <v>25</v>
      </c>
    </row>
    <row r="19" spans="2:8" ht="15" x14ac:dyDescent="0.2">
      <c r="B19" s="9"/>
      <c r="C19" s="4"/>
      <c r="D19" s="4"/>
      <c r="F19" s="9"/>
      <c r="G19" s="4"/>
      <c r="H19" s="73"/>
    </row>
    <row r="20" spans="2:8" ht="12.75" customHeight="1" x14ac:dyDescent="0.2">
      <c r="B20" s="128" t="s">
        <v>32</v>
      </c>
      <c r="C20" s="13"/>
      <c r="D20" s="96" t="s">
        <v>18</v>
      </c>
      <c r="F20" s="128" t="s">
        <v>32</v>
      </c>
      <c r="G20" s="13"/>
      <c r="H20" s="107" t="s">
        <v>19</v>
      </c>
    </row>
    <row r="21" spans="2:8" ht="12.75" customHeight="1" x14ac:dyDescent="0.2">
      <c r="B21" s="129"/>
      <c r="C21" s="4"/>
      <c r="D21" s="108"/>
      <c r="F21" s="129"/>
      <c r="G21" s="4"/>
      <c r="H21" s="99"/>
    </row>
    <row r="22" spans="2:8" ht="12.75" customHeight="1" x14ac:dyDescent="0.2">
      <c r="B22" s="129"/>
      <c r="C22" s="100" t="s">
        <v>20</v>
      </c>
      <c r="D22" s="101" t="s">
        <v>21</v>
      </c>
      <c r="F22" s="129"/>
      <c r="G22" s="102" t="s">
        <v>20</v>
      </c>
      <c r="H22" s="103" t="s">
        <v>22</v>
      </c>
    </row>
    <row r="23" spans="2:8" ht="12.75" customHeight="1" x14ac:dyDescent="0.2">
      <c r="B23" s="129"/>
      <c r="C23" s="100" t="s">
        <v>23</v>
      </c>
      <c r="D23" s="101" t="s">
        <v>24</v>
      </c>
      <c r="F23" s="129"/>
      <c r="G23" s="102" t="s">
        <v>23</v>
      </c>
      <c r="H23" s="111" t="s">
        <v>25</v>
      </c>
    </row>
    <row r="24" spans="2:8" ht="13.5" customHeight="1" x14ac:dyDescent="0.2">
      <c r="B24" s="130"/>
      <c r="C24" s="104" t="s">
        <v>26</v>
      </c>
      <c r="D24" s="105" t="s">
        <v>29</v>
      </c>
      <c r="F24" s="130"/>
      <c r="G24" s="106" t="s">
        <v>26</v>
      </c>
      <c r="H24" s="109" t="s">
        <v>30</v>
      </c>
    </row>
    <row r="25" spans="2:8" ht="15" x14ac:dyDescent="0.2">
      <c r="B25" s="9"/>
      <c r="C25" s="4"/>
      <c r="D25" s="4"/>
      <c r="F25" s="9"/>
      <c r="G25" s="4"/>
      <c r="H25" s="73"/>
    </row>
    <row r="26" spans="2:8" ht="12.75" customHeight="1" x14ac:dyDescent="0.2">
      <c r="B26" s="128" t="s">
        <v>33</v>
      </c>
      <c r="C26" s="13"/>
      <c r="D26" s="96" t="s">
        <v>18</v>
      </c>
      <c r="F26" s="128" t="s">
        <v>33</v>
      </c>
      <c r="G26" s="13"/>
      <c r="H26" s="97" t="s">
        <v>19</v>
      </c>
    </row>
    <row r="27" spans="2:8" ht="12.75" customHeight="1" x14ac:dyDescent="0.2">
      <c r="B27" s="129"/>
      <c r="C27" s="4"/>
      <c r="D27" s="108"/>
      <c r="F27" s="129"/>
      <c r="G27" s="4"/>
      <c r="H27" s="99"/>
    </row>
    <row r="28" spans="2:8" ht="12.75" customHeight="1" x14ac:dyDescent="0.2">
      <c r="B28" s="129"/>
      <c r="C28" s="100" t="s">
        <v>20</v>
      </c>
      <c r="D28" s="101" t="s">
        <v>21</v>
      </c>
      <c r="F28" s="129"/>
      <c r="G28" s="102" t="s">
        <v>20</v>
      </c>
      <c r="H28" s="103" t="s">
        <v>22</v>
      </c>
    </row>
    <row r="29" spans="2:8" ht="12.75" customHeight="1" x14ac:dyDescent="0.2">
      <c r="B29" s="129"/>
      <c r="C29" s="100" t="s">
        <v>23</v>
      </c>
      <c r="D29" s="101" t="s">
        <v>24</v>
      </c>
      <c r="F29" s="129"/>
      <c r="G29" s="102" t="s">
        <v>23</v>
      </c>
      <c r="H29" s="111" t="s">
        <v>25</v>
      </c>
    </row>
    <row r="30" spans="2:8" ht="13.5" customHeight="1" x14ac:dyDescent="0.2">
      <c r="B30" s="130"/>
      <c r="C30" s="104" t="s">
        <v>26</v>
      </c>
      <c r="D30" s="105" t="s">
        <v>27</v>
      </c>
      <c r="F30" s="130"/>
      <c r="G30" s="106" t="s">
        <v>26</v>
      </c>
      <c r="H30" s="112" t="s">
        <v>25</v>
      </c>
    </row>
    <row r="31" spans="2:8" ht="15" x14ac:dyDescent="0.2">
      <c r="B31" s="9"/>
      <c r="C31" s="4"/>
      <c r="D31" s="4"/>
      <c r="F31" s="9"/>
      <c r="G31" s="4"/>
      <c r="H31" s="73"/>
    </row>
    <row r="32" spans="2:8" ht="12.75" customHeight="1" x14ac:dyDescent="0.2">
      <c r="B32" s="128" t="s">
        <v>34</v>
      </c>
      <c r="C32" s="13"/>
      <c r="D32" s="96" t="s">
        <v>18</v>
      </c>
      <c r="F32" s="128" t="s">
        <v>34</v>
      </c>
      <c r="G32" s="13"/>
      <c r="H32" s="107" t="s">
        <v>19</v>
      </c>
    </row>
    <row r="33" spans="2:8" ht="12.75" customHeight="1" x14ac:dyDescent="0.2">
      <c r="B33" s="129"/>
      <c r="C33" s="4"/>
      <c r="D33" s="108"/>
      <c r="F33" s="129"/>
      <c r="G33" s="4"/>
      <c r="H33" s="99"/>
    </row>
    <row r="34" spans="2:8" ht="12.75" customHeight="1" x14ac:dyDescent="0.2">
      <c r="B34" s="129"/>
      <c r="C34" s="100" t="s">
        <v>20</v>
      </c>
      <c r="D34" s="101" t="s">
        <v>21</v>
      </c>
      <c r="F34" s="129"/>
      <c r="G34" s="102" t="s">
        <v>20</v>
      </c>
      <c r="H34" s="103" t="s">
        <v>22</v>
      </c>
    </row>
    <row r="35" spans="2:8" ht="12.75" customHeight="1" x14ac:dyDescent="0.2">
      <c r="B35" s="129"/>
      <c r="C35" s="100" t="s">
        <v>23</v>
      </c>
      <c r="D35" s="101" t="s">
        <v>24</v>
      </c>
      <c r="F35" s="129"/>
      <c r="G35" s="102" t="s">
        <v>23</v>
      </c>
      <c r="H35" s="111" t="s">
        <v>25</v>
      </c>
    </row>
    <row r="36" spans="2:8" ht="13.5" customHeight="1" x14ac:dyDescent="0.2">
      <c r="B36" s="130"/>
      <c r="C36" s="104" t="s">
        <v>26</v>
      </c>
      <c r="D36" s="105" t="s">
        <v>29</v>
      </c>
      <c r="F36" s="130"/>
      <c r="G36" s="106" t="s">
        <v>26</v>
      </c>
      <c r="H36" s="109" t="s">
        <v>30</v>
      </c>
    </row>
    <row r="37" spans="2:8" ht="15" x14ac:dyDescent="0.2">
      <c r="B37" s="9"/>
      <c r="C37" s="4"/>
      <c r="D37" s="4"/>
      <c r="F37" s="9"/>
      <c r="G37" s="4"/>
      <c r="H37" s="73"/>
    </row>
    <row r="38" spans="2:8" ht="12.75" customHeight="1" x14ac:dyDescent="0.2">
      <c r="B38" s="128" t="s">
        <v>35</v>
      </c>
      <c r="C38" s="13"/>
      <c r="D38" s="96" t="s">
        <v>18</v>
      </c>
      <c r="F38" s="128" t="s">
        <v>35</v>
      </c>
      <c r="G38" s="13"/>
      <c r="H38" s="107" t="s">
        <v>19</v>
      </c>
    </row>
    <row r="39" spans="2:8" ht="12.75" customHeight="1" x14ac:dyDescent="0.2">
      <c r="B39" s="129"/>
      <c r="C39" s="4"/>
      <c r="D39" s="108"/>
      <c r="F39" s="129"/>
      <c r="G39" s="4"/>
      <c r="H39" s="99"/>
    </row>
    <row r="40" spans="2:8" ht="12.75" customHeight="1" x14ac:dyDescent="0.2">
      <c r="B40" s="129"/>
      <c r="C40" s="100" t="s">
        <v>20</v>
      </c>
      <c r="D40" s="101" t="s">
        <v>21</v>
      </c>
      <c r="F40" s="129"/>
      <c r="G40" s="102" t="s">
        <v>20</v>
      </c>
      <c r="H40" s="103" t="s">
        <v>22</v>
      </c>
    </row>
    <row r="41" spans="2:8" ht="12.75" customHeight="1" x14ac:dyDescent="0.2">
      <c r="B41" s="129"/>
      <c r="C41" s="100" t="s">
        <v>23</v>
      </c>
      <c r="D41" s="101" t="s">
        <v>24</v>
      </c>
      <c r="F41" s="129"/>
      <c r="G41" s="102" t="s">
        <v>23</v>
      </c>
      <c r="H41" s="111" t="s">
        <v>25</v>
      </c>
    </row>
    <row r="42" spans="2:8" ht="13.5" customHeight="1" x14ac:dyDescent="0.2">
      <c r="B42" s="130"/>
      <c r="C42" s="104" t="s">
        <v>26</v>
      </c>
      <c r="D42" s="105" t="s">
        <v>29</v>
      </c>
      <c r="F42" s="130"/>
      <c r="G42" s="106" t="s">
        <v>26</v>
      </c>
      <c r="H42" s="109" t="s">
        <v>30</v>
      </c>
    </row>
    <row r="43" spans="2:8" ht="15" x14ac:dyDescent="0.2">
      <c r="B43" s="9"/>
      <c r="C43" s="4"/>
      <c r="D43" s="4"/>
      <c r="F43" s="9"/>
      <c r="G43" s="4"/>
      <c r="H43" s="73"/>
    </row>
    <row r="44" spans="2:8" ht="12.75" customHeight="1" x14ac:dyDescent="0.2">
      <c r="B44" s="128" t="s">
        <v>36</v>
      </c>
      <c r="C44" s="13"/>
      <c r="D44" s="96" t="s">
        <v>18</v>
      </c>
      <c r="F44" s="128" t="s">
        <v>36</v>
      </c>
      <c r="G44" s="13"/>
      <c r="H44" s="107" t="s">
        <v>19</v>
      </c>
    </row>
    <row r="45" spans="2:8" ht="12.75" customHeight="1" x14ac:dyDescent="0.2">
      <c r="B45" s="129"/>
      <c r="C45" s="4"/>
      <c r="D45" s="108"/>
      <c r="F45" s="129"/>
      <c r="G45" s="4"/>
      <c r="H45" s="99"/>
    </row>
    <row r="46" spans="2:8" ht="12.75" customHeight="1" x14ac:dyDescent="0.2">
      <c r="B46" s="129"/>
      <c r="C46" s="100" t="s">
        <v>20</v>
      </c>
      <c r="D46" s="101" t="s">
        <v>21</v>
      </c>
      <c r="F46" s="129"/>
      <c r="G46" s="102" t="s">
        <v>20</v>
      </c>
      <c r="H46" s="103" t="s">
        <v>22</v>
      </c>
    </row>
    <row r="47" spans="2:8" ht="12.75" customHeight="1" x14ac:dyDescent="0.2">
      <c r="B47" s="129"/>
      <c r="C47" s="100" t="s">
        <v>23</v>
      </c>
      <c r="D47" s="101" t="s">
        <v>24</v>
      </c>
      <c r="F47" s="129"/>
      <c r="G47" s="102" t="s">
        <v>23</v>
      </c>
      <c r="H47" s="111" t="s">
        <v>25</v>
      </c>
    </row>
    <row r="48" spans="2:8" ht="13.5" customHeight="1" x14ac:dyDescent="0.2">
      <c r="B48" s="130"/>
      <c r="C48" s="104" t="s">
        <v>26</v>
      </c>
      <c r="D48" s="105" t="s">
        <v>29</v>
      </c>
      <c r="F48" s="130"/>
      <c r="G48" s="106" t="s">
        <v>26</v>
      </c>
      <c r="H48" s="109" t="s">
        <v>30</v>
      </c>
    </row>
    <row r="49" spans="2:8" ht="15" x14ac:dyDescent="0.2">
      <c r="B49" s="9"/>
      <c r="C49" s="4"/>
      <c r="D49" s="4"/>
      <c r="F49" s="9"/>
      <c r="G49" s="4"/>
      <c r="H49" s="73"/>
    </row>
    <row r="50" spans="2:8" ht="12.75" customHeight="1" x14ac:dyDescent="0.2">
      <c r="B50" s="128" t="s">
        <v>37</v>
      </c>
      <c r="C50" s="13"/>
      <c r="D50" s="96" t="s">
        <v>18</v>
      </c>
      <c r="F50" s="128" t="s">
        <v>37</v>
      </c>
      <c r="G50" s="13"/>
      <c r="H50" s="107" t="s">
        <v>19</v>
      </c>
    </row>
    <row r="51" spans="2:8" ht="12.75" customHeight="1" x14ac:dyDescent="0.2">
      <c r="B51" s="129"/>
      <c r="C51" s="4"/>
      <c r="D51" s="108"/>
      <c r="F51" s="129"/>
      <c r="G51" s="4"/>
      <c r="H51" s="99"/>
    </row>
    <row r="52" spans="2:8" ht="12.75" customHeight="1" x14ac:dyDescent="0.2">
      <c r="B52" s="129"/>
      <c r="C52" s="100" t="s">
        <v>20</v>
      </c>
      <c r="D52" s="101" t="s">
        <v>21</v>
      </c>
      <c r="F52" s="129"/>
      <c r="G52" s="102" t="s">
        <v>20</v>
      </c>
      <c r="H52" s="103" t="s">
        <v>22</v>
      </c>
    </row>
    <row r="53" spans="2:8" ht="12.75" customHeight="1" x14ac:dyDescent="0.2">
      <c r="B53" s="129"/>
      <c r="C53" s="100" t="s">
        <v>23</v>
      </c>
      <c r="D53" s="101" t="s">
        <v>24</v>
      </c>
      <c r="F53" s="129"/>
      <c r="G53" s="102" t="s">
        <v>23</v>
      </c>
      <c r="H53" s="111" t="s">
        <v>25</v>
      </c>
    </row>
    <row r="54" spans="2:8" ht="13.5" customHeight="1" x14ac:dyDescent="0.2">
      <c r="B54" s="130"/>
      <c r="C54" s="104" t="s">
        <v>26</v>
      </c>
      <c r="D54" s="105" t="s">
        <v>29</v>
      </c>
      <c r="F54" s="130"/>
      <c r="G54" s="106" t="s">
        <v>26</v>
      </c>
      <c r="H54" s="109" t="s">
        <v>30</v>
      </c>
    </row>
    <row r="55" spans="2:8" ht="15" x14ac:dyDescent="0.2">
      <c r="B55" s="9"/>
      <c r="C55" s="4"/>
      <c r="D55" s="4"/>
      <c r="F55" s="9"/>
      <c r="G55" s="4"/>
      <c r="H55" s="73"/>
    </row>
    <row r="56" spans="2:8" ht="12.75" customHeight="1" x14ac:dyDescent="0.2">
      <c r="B56" s="128" t="s">
        <v>38</v>
      </c>
      <c r="C56" s="13"/>
      <c r="D56" s="96" t="s">
        <v>18</v>
      </c>
      <c r="F56" s="128" t="s">
        <v>38</v>
      </c>
      <c r="G56" s="13"/>
      <c r="H56" s="107" t="s">
        <v>19</v>
      </c>
    </row>
    <row r="57" spans="2:8" ht="12.75" customHeight="1" x14ac:dyDescent="0.2">
      <c r="B57" s="129"/>
      <c r="C57" s="4"/>
      <c r="D57" s="108"/>
      <c r="F57" s="129"/>
      <c r="G57" s="4"/>
      <c r="H57" s="99"/>
    </row>
    <row r="58" spans="2:8" ht="12.75" customHeight="1" x14ac:dyDescent="0.2">
      <c r="B58" s="129"/>
      <c r="C58" s="100" t="s">
        <v>20</v>
      </c>
      <c r="D58" s="101" t="s">
        <v>21</v>
      </c>
      <c r="F58" s="129"/>
      <c r="G58" s="102" t="s">
        <v>20</v>
      </c>
      <c r="H58" s="103" t="s">
        <v>22</v>
      </c>
    </row>
    <row r="59" spans="2:8" ht="12.75" customHeight="1" x14ac:dyDescent="0.2">
      <c r="B59" s="129"/>
      <c r="C59" s="100" t="s">
        <v>23</v>
      </c>
      <c r="D59" s="101" t="s">
        <v>24</v>
      </c>
      <c r="F59" s="129"/>
      <c r="G59" s="102" t="s">
        <v>23</v>
      </c>
      <c r="H59" s="111" t="s">
        <v>25</v>
      </c>
    </row>
    <row r="60" spans="2:8" ht="13.5" customHeight="1" x14ac:dyDescent="0.2">
      <c r="B60" s="130"/>
      <c r="C60" s="104" t="s">
        <v>26</v>
      </c>
      <c r="D60" s="105" t="s">
        <v>29</v>
      </c>
      <c r="F60" s="130"/>
      <c r="G60" s="106" t="s">
        <v>26</v>
      </c>
      <c r="H60" s="109" t="s">
        <v>30</v>
      </c>
    </row>
    <row r="61" spans="2:8" x14ac:dyDescent="0.2">
      <c r="B61" s="20"/>
      <c r="C61" s="4"/>
      <c r="D61" s="4"/>
    </row>
    <row r="62" spans="2:8" x14ac:dyDescent="0.2">
      <c r="B62" s="20"/>
      <c r="C62" s="4"/>
      <c r="D62" s="4"/>
      <c r="F62" s="61" t="s">
        <v>39</v>
      </c>
      <c r="G62" s="62" t="s">
        <v>26</v>
      </c>
      <c r="H62" s="61" t="s">
        <v>30</v>
      </c>
    </row>
    <row r="63" spans="2:8" x14ac:dyDescent="0.2">
      <c r="B63" s="20"/>
      <c r="C63" s="4"/>
      <c r="D63" s="4"/>
    </row>
    <row r="64" spans="2:8" x14ac:dyDescent="0.2">
      <c r="B64" s="20"/>
      <c r="C64" s="4"/>
      <c r="D64" s="4"/>
    </row>
    <row r="65" spans="2:4" x14ac:dyDescent="0.2">
      <c r="B65" s="20"/>
      <c r="C65" s="4"/>
      <c r="D65" s="4"/>
    </row>
    <row r="66" spans="2:4" x14ac:dyDescent="0.2">
      <c r="B66" s="20"/>
      <c r="C66" s="4"/>
      <c r="D66" s="4"/>
    </row>
    <row r="67" spans="2:4" x14ac:dyDescent="0.2">
      <c r="B67" s="20"/>
      <c r="C67" s="4"/>
      <c r="D67" s="4"/>
    </row>
    <row r="68" spans="2:4" x14ac:dyDescent="0.2">
      <c r="B68" s="20"/>
      <c r="C68" s="4"/>
      <c r="D68" s="4"/>
    </row>
    <row r="69" spans="2:4" x14ac:dyDescent="0.2">
      <c r="B69" s="20"/>
      <c r="C69" s="4"/>
      <c r="D69" s="4"/>
    </row>
    <row r="70" spans="2:4" x14ac:dyDescent="0.2">
      <c r="B70" s="20"/>
      <c r="C70" s="4"/>
      <c r="D70" s="4"/>
    </row>
    <row r="71" spans="2:4" x14ac:dyDescent="0.2">
      <c r="B71" s="20"/>
      <c r="C71" s="4"/>
      <c r="D71" s="4"/>
    </row>
    <row r="72" spans="2:4" x14ac:dyDescent="0.2">
      <c r="B72" s="20"/>
      <c r="C72" s="4"/>
      <c r="D72" s="4"/>
    </row>
    <row r="73" spans="2:4" x14ac:dyDescent="0.2">
      <c r="B73" s="20"/>
      <c r="C73" s="4"/>
      <c r="D73" s="4"/>
    </row>
    <row r="74" spans="2:4" x14ac:dyDescent="0.2">
      <c r="B74" s="20"/>
      <c r="C74" s="4"/>
      <c r="D74" s="4"/>
    </row>
    <row r="75" spans="2:4" x14ac:dyDescent="0.2">
      <c r="B75" s="20"/>
      <c r="C75" s="4"/>
      <c r="D75" s="4"/>
    </row>
    <row r="76" spans="2:4" x14ac:dyDescent="0.2">
      <c r="B76" s="20"/>
      <c r="C76" s="4"/>
      <c r="D76" s="4"/>
    </row>
    <row r="77" spans="2:4" x14ac:dyDescent="0.2">
      <c r="B77" s="20"/>
      <c r="C77" s="4"/>
      <c r="D77" s="4"/>
    </row>
    <row r="78" spans="2:4" x14ac:dyDescent="0.2">
      <c r="C78" s="4"/>
      <c r="D78" s="4"/>
    </row>
  </sheetData>
  <mergeCells count="20">
    <mergeCell ref="F32:F36"/>
    <mergeCell ref="F38:F42"/>
    <mergeCell ref="F44:F48"/>
    <mergeCell ref="F50:F54"/>
    <mergeCell ref="F56:F60"/>
    <mergeCell ref="F2:F6"/>
    <mergeCell ref="F8:F12"/>
    <mergeCell ref="F14:F18"/>
    <mergeCell ref="F20:F24"/>
    <mergeCell ref="F26:F30"/>
    <mergeCell ref="B32:B36"/>
    <mergeCell ref="B38:B42"/>
    <mergeCell ref="B44:B48"/>
    <mergeCell ref="B50:B54"/>
    <mergeCell ref="B56:B60"/>
    <mergeCell ref="B2:B6"/>
    <mergeCell ref="B8:B12"/>
    <mergeCell ref="B14:B18"/>
    <mergeCell ref="B20:B24"/>
    <mergeCell ref="B26:B30"/>
  </mergeCells>
  <phoneticPr fontId="10" type="noConversion"/>
  <pageMargins left="0.75" right="0.75" top="1" bottom="1" header="0.5" footer="0.5"/>
  <pageSetup scale="65" orientation="portrait"/>
  <headerFooter alignWithMargins="0"/>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B2:D55"/>
  <sheetViews>
    <sheetView showGridLines="0" zoomScale="80" zoomScaleNormal="80" workbookViewId="0">
      <pane ySplit="795" activePane="bottomLeft"/>
      <selection pane="bottomLeft" activeCell="D10" sqref="D10"/>
    </sheetView>
  </sheetViews>
  <sheetFormatPr defaultColWidth="9" defaultRowHeight="12.75" x14ac:dyDescent="0.2"/>
  <cols>
    <col min="2" max="2" width="17" customWidth="1"/>
    <col min="3" max="3" width="30.7109375" style="81" customWidth="1"/>
    <col min="4" max="4" width="80.28515625" style="82" customWidth="1"/>
  </cols>
  <sheetData>
    <row r="2" spans="2:4" ht="22.5" customHeight="1" x14ac:dyDescent="0.2">
      <c r="B2" s="83" t="s">
        <v>40</v>
      </c>
      <c r="C2" s="84"/>
      <c r="D2" s="85" t="s">
        <v>41</v>
      </c>
    </row>
    <row r="3" spans="2:4" ht="12.75" customHeight="1" x14ac:dyDescent="0.2">
      <c r="B3" s="131" t="s">
        <v>17</v>
      </c>
      <c r="C3" s="86" t="s">
        <v>42</v>
      </c>
      <c r="D3" s="87" t="s">
        <v>43</v>
      </c>
    </row>
    <row r="4" spans="2:4" ht="12.75" customHeight="1" x14ac:dyDescent="0.2">
      <c r="B4" s="131"/>
      <c r="C4" s="88" t="s">
        <v>44</v>
      </c>
      <c r="D4" s="89" t="s">
        <v>45</v>
      </c>
    </row>
    <row r="5" spans="2:4" ht="12.75" customHeight="1" x14ac:dyDescent="0.2">
      <c r="B5" s="131"/>
      <c r="C5" s="88" t="s">
        <v>46</v>
      </c>
      <c r="D5" s="89" t="s">
        <v>47</v>
      </c>
    </row>
    <row r="6" spans="2:4" ht="27.75" customHeight="1" x14ac:dyDescent="0.2">
      <c r="B6" s="132" t="s">
        <v>28</v>
      </c>
      <c r="C6" s="86" t="s">
        <v>48</v>
      </c>
      <c r="D6" s="87" t="s">
        <v>49</v>
      </c>
    </row>
    <row r="7" spans="2:4" ht="12.75" customHeight="1" x14ac:dyDescent="0.2">
      <c r="B7" s="133"/>
      <c r="C7" s="88" t="s">
        <v>50</v>
      </c>
      <c r="D7" s="89" t="s">
        <v>51</v>
      </c>
    </row>
    <row r="8" spans="2:4" ht="12.75" customHeight="1" x14ac:dyDescent="0.2">
      <c r="B8" s="133"/>
      <c r="C8" s="88" t="s">
        <v>52</v>
      </c>
      <c r="D8" s="89" t="s">
        <v>53</v>
      </c>
    </row>
    <row r="9" spans="2:4" ht="13.5" customHeight="1" x14ac:dyDescent="0.2">
      <c r="B9" s="134"/>
      <c r="C9" s="90" t="s">
        <v>54</v>
      </c>
      <c r="D9" s="91" t="s">
        <v>55</v>
      </c>
    </row>
    <row r="10" spans="2:4" ht="12.75" customHeight="1" x14ac:dyDescent="0.2">
      <c r="B10" s="131" t="s">
        <v>31</v>
      </c>
      <c r="C10" s="86" t="s">
        <v>56</v>
      </c>
      <c r="D10" s="87" t="s">
        <v>57</v>
      </c>
    </row>
    <row r="11" spans="2:4" ht="12.75" customHeight="1" x14ac:dyDescent="0.2">
      <c r="B11" s="131"/>
      <c r="C11" s="88" t="s">
        <v>58</v>
      </c>
      <c r="D11" s="89" t="s">
        <v>59</v>
      </c>
    </row>
    <row r="12" spans="2:4" ht="25.5" customHeight="1" x14ac:dyDescent="0.2">
      <c r="B12" s="131" t="s">
        <v>32</v>
      </c>
      <c r="C12" s="88" t="s">
        <v>48</v>
      </c>
      <c r="D12" s="89" t="s">
        <v>60</v>
      </c>
    </row>
    <row r="13" spans="2:4" ht="12.75" customHeight="1" x14ac:dyDescent="0.2">
      <c r="B13" s="131"/>
      <c r="C13" s="88" t="s">
        <v>50</v>
      </c>
      <c r="D13" s="89" t="s">
        <v>61</v>
      </c>
    </row>
    <row r="14" spans="2:4" ht="12.75" customHeight="1" x14ac:dyDescent="0.2">
      <c r="B14" s="131"/>
      <c r="C14" s="88" t="s">
        <v>52</v>
      </c>
      <c r="D14" s="89" t="s">
        <v>62</v>
      </c>
    </row>
    <row r="15" spans="2:4" ht="13.5" customHeight="1" x14ac:dyDescent="0.2">
      <c r="B15" s="135"/>
      <c r="C15" s="90" t="s">
        <v>54</v>
      </c>
      <c r="D15" s="91" t="s">
        <v>63</v>
      </c>
    </row>
    <row r="16" spans="2:4" ht="12.75" customHeight="1" x14ac:dyDescent="0.2">
      <c r="B16" s="131" t="s">
        <v>33</v>
      </c>
      <c r="C16" s="86" t="s">
        <v>64</v>
      </c>
      <c r="D16" s="87" t="s">
        <v>65</v>
      </c>
    </row>
    <row r="17" spans="2:4" ht="12.75" customHeight="1" x14ac:dyDescent="0.2">
      <c r="B17" s="131"/>
      <c r="C17" s="88" t="s">
        <v>66</v>
      </c>
      <c r="D17" s="89" t="s">
        <v>67</v>
      </c>
    </row>
    <row r="18" spans="2:4" ht="12.75" customHeight="1" x14ac:dyDescent="0.2">
      <c r="B18" s="131"/>
      <c r="C18" s="88" t="s">
        <v>68</v>
      </c>
      <c r="D18" s="89" t="s">
        <v>69</v>
      </c>
    </row>
    <row r="19" spans="2:4" ht="13.5" customHeight="1" x14ac:dyDescent="0.2">
      <c r="B19" s="135"/>
      <c r="C19" s="90" t="s">
        <v>70</v>
      </c>
      <c r="D19" s="91" t="s">
        <v>71</v>
      </c>
    </row>
    <row r="20" spans="2:4" ht="17.25" customHeight="1" x14ac:dyDescent="0.2">
      <c r="B20" s="131" t="s">
        <v>34</v>
      </c>
      <c r="C20" s="86" t="s">
        <v>48</v>
      </c>
      <c r="D20" s="87" t="s">
        <v>72</v>
      </c>
    </row>
    <row r="21" spans="2:4" ht="12.75" customHeight="1" x14ac:dyDescent="0.2">
      <c r="B21" s="131"/>
      <c r="C21" s="88" t="s">
        <v>50</v>
      </c>
      <c r="D21" s="89" t="s">
        <v>73</v>
      </c>
    </row>
    <row r="22" spans="2:4" ht="12.75" customHeight="1" x14ac:dyDescent="0.2">
      <c r="B22" s="131"/>
      <c r="C22" s="88" t="s">
        <v>52</v>
      </c>
      <c r="D22" s="89" t="s">
        <v>74</v>
      </c>
    </row>
    <row r="23" spans="2:4" ht="13.5" customHeight="1" x14ac:dyDescent="0.2">
      <c r="B23" s="135"/>
      <c r="C23" s="90" t="s">
        <v>54</v>
      </c>
      <c r="D23" s="91" t="s">
        <v>75</v>
      </c>
    </row>
    <row r="24" spans="2:4" ht="12.75" customHeight="1" x14ac:dyDescent="0.2">
      <c r="B24" s="131" t="s">
        <v>35</v>
      </c>
      <c r="C24" s="86" t="s">
        <v>76</v>
      </c>
      <c r="D24" s="87" t="s">
        <v>77</v>
      </c>
    </row>
    <row r="25" spans="2:4" ht="12.75" customHeight="1" x14ac:dyDescent="0.2">
      <c r="B25" s="131"/>
      <c r="C25" s="88" t="s">
        <v>78</v>
      </c>
      <c r="D25" s="89" t="s">
        <v>79</v>
      </c>
    </row>
    <row r="26" spans="2:4" ht="12.75" customHeight="1" x14ac:dyDescent="0.2">
      <c r="B26" s="131"/>
      <c r="C26" s="88" t="s">
        <v>80</v>
      </c>
      <c r="D26" s="89" t="s">
        <v>81</v>
      </c>
    </row>
    <row r="27" spans="2:4" ht="13.5" customHeight="1" x14ac:dyDescent="0.2">
      <c r="B27" s="135"/>
      <c r="C27" s="90" t="s">
        <v>82</v>
      </c>
      <c r="D27" s="91" t="s">
        <v>83</v>
      </c>
    </row>
    <row r="28" spans="2:4" ht="12.75" customHeight="1" x14ac:dyDescent="0.2">
      <c r="B28" s="131" t="s">
        <v>36</v>
      </c>
      <c r="C28" s="86" t="s">
        <v>84</v>
      </c>
      <c r="D28" s="87" t="s">
        <v>85</v>
      </c>
    </row>
    <row r="29" spans="2:4" ht="12.75" customHeight="1" x14ac:dyDescent="0.2">
      <c r="B29" s="131"/>
      <c r="C29" s="88" t="s">
        <v>86</v>
      </c>
      <c r="D29" s="89" t="s">
        <v>87</v>
      </c>
    </row>
    <row r="30" spans="2:4" ht="12.75" customHeight="1" x14ac:dyDescent="0.2">
      <c r="B30" s="131"/>
      <c r="C30" s="92" t="s">
        <v>88</v>
      </c>
      <c r="D30" s="93" t="s">
        <v>89</v>
      </c>
    </row>
    <row r="31" spans="2:4" ht="28.5" customHeight="1" x14ac:dyDescent="0.2">
      <c r="B31" s="128" t="s">
        <v>37</v>
      </c>
      <c r="C31" s="86" t="s">
        <v>90</v>
      </c>
      <c r="D31" s="87" t="s">
        <v>91</v>
      </c>
    </row>
    <row r="32" spans="2:4" ht="27" customHeight="1" x14ac:dyDescent="0.2">
      <c r="B32" s="131"/>
      <c r="C32" s="88" t="s">
        <v>92</v>
      </c>
      <c r="D32" s="89" t="s">
        <v>93</v>
      </c>
    </row>
    <row r="33" spans="2:4" ht="12.75" customHeight="1" x14ac:dyDescent="0.2">
      <c r="B33" s="131"/>
      <c r="C33" s="90" t="s">
        <v>94</v>
      </c>
      <c r="D33" s="91" t="s">
        <v>95</v>
      </c>
    </row>
    <row r="34" spans="2:4" ht="12.75" customHeight="1" x14ac:dyDescent="0.2">
      <c r="B34" s="128" t="s">
        <v>38</v>
      </c>
      <c r="C34" s="86" t="s">
        <v>96</v>
      </c>
      <c r="D34" s="87" t="s">
        <v>97</v>
      </c>
    </row>
    <row r="35" spans="2:4" ht="12.75" customHeight="1" x14ac:dyDescent="0.2">
      <c r="B35" s="131"/>
      <c r="C35" s="88" t="s">
        <v>98</v>
      </c>
      <c r="D35" s="89" t="s">
        <v>99</v>
      </c>
    </row>
    <row r="36" spans="2:4" ht="12.75" customHeight="1" x14ac:dyDescent="0.2">
      <c r="B36" s="135"/>
      <c r="C36" s="90" t="s">
        <v>100</v>
      </c>
      <c r="D36" s="91" t="s">
        <v>101</v>
      </c>
    </row>
    <row r="37" spans="2:4" x14ac:dyDescent="0.2">
      <c r="B37" s="20"/>
      <c r="C37" s="94"/>
      <c r="D37" s="95"/>
    </row>
    <row r="38" spans="2:4" x14ac:dyDescent="0.2">
      <c r="B38" s="20"/>
      <c r="C38" s="94"/>
      <c r="D38" s="95"/>
    </row>
    <row r="39" spans="2:4" x14ac:dyDescent="0.2">
      <c r="B39" s="20"/>
      <c r="C39" s="94"/>
      <c r="D39" s="95"/>
    </row>
    <row r="40" spans="2:4" x14ac:dyDescent="0.2">
      <c r="B40" s="20"/>
      <c r="C40" s="94"/>
      <c r="D40" s="95"/>
    </row>
    <row r="41" spans="2:4" x14ac:dyDescent="0.2">
      <c r="B41" s="20"/>
      <c r="C41" s="94"/>
      <c r="D41" s="95"/>
    </row>
    <row r="42" spans="2:4" x14ac:dyDescent="0.2">
      <c r="B42" s="20"/>
      <c r="C42" s="94"/>
      <c r="D42" s="95"/>
    </row>
    <row r="43" spans="2:4" x14ac:dyDescent="0.2">
      <c r="B43" s="20"/>
      <c r="C43" s="94"/>
      <c r="D43" s="95"/>
    </row>
    <row r="44" spans="2:4" x14ac:dyDescent="0.2">
      <c r="B44" s="20"/>
      <c r="C44" s="94"/>
      <c r="D44" s="95"/>
    </row>
    <row r="45" spans="2:4" x14ac:dyDescent="0.2">
      <c r="B45" s="20"/>
      <c r="C45" s="94"/>
      <c r="D45" s="95"/>
    </row>
    <row r="46" spans="2:4" x14ac:dyDescent="0.2">
      <c r="B46" s="20"/>
      <c r="C46" s="94"/>
      <c r="D46" s="95"/>
    </row>
    <row r="47" spans="2:4" x14ac:dyDescent="0.2">
      <c r="B47" s="20"/>
      <c r="C47" s="94"/>
      <c r="D47" s="95"/>
    </row>
    <row r="48" spans="2:4" x14ac:dyDescent="0.2">
      <c r="B48" s="20"/>
      <c r="C48" s="94"/>
      <c r="D48" s="95"/>
    </row>
    <row r="49" spans="2:4" x14ac:dyDescent="0.2">
      <c r="B49" s="20"/>
      <c r="C49" s="94"/>
      <c r="D49" s="95"/>
    </row>
    <row r="50" spans="2:4" x14ac:dyDescent="0.2">
      <c r="B50" s="20"/>
      <c r="C50" s="94"/>
      <c r="D50" s="95"/>
    </row>
    <row r="51" spans="2:4" x14ac:dyDescent="0.2">
      <c r="B51" s="20"/>
      <c r="C51" s="94"/>
      <c r="D51" s="95"/>
    </row>
    <row r="52" spans="2:4" x14ac:dyDescent="0.2">
      <c r="B52" s="20"/>
      <c r="C52" s="94"/>
      <c r="D52" s="95"/>
    </row>
    <row r="53" spans="2:4" x14ac:dyDescent="0.2">
      <c r="B53" s="20"/>
      <c r="C53" s="94"/>
      <c r="D53" s="95"/>
    </row>
    <row r="54" spans="2:4" x14ac:dyDescent="0.2">
      <c r="B54" s="20"/>
      <c r="C54" s="94"/>
      <c r="D54" s="95"/>
    </row>
    <row r="55" spans="2:4" x14ac:dyDescent="0.2">
      <c r="C55" s="94"/>
      <c r="D55" s="95"/>
    </row>
  </sheetData>
  <mergeCells count="10">
    <mergeCell ref="B20:B23"/>
    <mergeCell ref="B24:B27"/>
    <mergeCell ref="B28:B30"/>
    <mergeCell ref="B31:B33"/>
    <mergeCell ref="B34:B36"/>
    <mergeCell ref="B3:B5"/>
    <mergeCell ref="B6:B9"/>
    <mergeCell ref="B10:B11"/>
    <mergeCell ref="B12:B15"/>
    <mergeCell ref="B16:B19"/>
  </mergeCells>
  <phoneticPr fontId="10" type="noConversion"/>
  <pageMargins left="0.75" right="0.75" top="1" bottom="1" header="0.5" footer="0.5"/>
  <pageSetup scale="65" orientation="portrait"/>
  <headerFooter alignWithMargins="0"/>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74"/>
  <sheetViews>
    <sheetView showGridLines="0" tabSelected="1" topLeftCell="W1" zoomScale="115" zoomScaleNormal="115" workbookViewId="0">
      <selection activeCell="AO17" sqref="AO17"/>
    </sheetView>
  </sheetViews>
  <sheetFormatPr defaultColWidth="9" defaultRowHeight="12.75" x14ac:dyDescent="0.2"/>
  <cols>
    <col min="2" max="2" width="17" customWidth="1"/>
    <col min="3" max="3" width="13.85546875" customWidth="1"/>
    <col min="4" max="4" width="11.5703125" customWidth="1"/>
    <col min="5" max="5" width="11" customWidth="1"/>
    <col min="6" max="6" width="11.5703125" customWidth="1"/>
    <col min="7" max="7" width="2.140625" customWidth="1"/>
    <col min="8" max="10" width="11.5703125" customWidth="1"/>
    <col min="11" max="11" width="2.85546875" customWidth="1"/>
    <col min="12" max="14" width="11.5703125" customWidth="1"/>
    <col min="15" max="15" width="3" customWidth="1"/>
    <col min="16" max="16" width="11.5703125" customWidth="1"/>
    <col min="17" max="17" width="11" customWidth="1"/>
    <col min="18" max="18" width="11.5703125" customWidth="1"/>
    <col min="20" max="20" width="25.5703125" customWidth="1"/>
    <col min="21" max="21" width="12" customWidth="1"/>
    <col min="22" max="24" width="9.42578125" customWidth="1"/>
    <col min="25" max="26" width="9.28515625" customWidth="1"/>
    <col min="31" max="31" width="17.85546875" customWidth="1"/>
    <col min="32" max="32" width="13.28515625" customWidth="1"/>
    <col min="33" max="33" width="13" customWidth="1"/>
    <col min="34" max="34" width="12.140625" customWidth="1"/>
    <col min="35" max="35" width="2.28515625" customWidth="1"/>
    <col min="36" max="36" width="12.85546875" customWidth="1"/>
    <col min="37" max="37" width="14" customWidth="1"/>
    <col min="38" max="38" width="12.140625" customWidth="1"/>
  </cols>
  <sheetData>
    <row r="1" spans="2:38" x14ac:dyDescent="0.2">
      <c r="T1" s="14" t="s">
        <v>102</v>
      </c>
      <c r="U1" s="142" t="s">
        <v>103</v>
      </c>
    </row>
    <row r="2" spans="2:38" x14ac:dyDescent="0.2">
      <c r="B2" s="128" t="s">
        <v>104</v>
      </c>
      <c r="C2" s="1"/>
      <c r="D2" s="136" t="s">
        <v>105</v>
      </c>
      <c r="E2" s="136"/>
      <c r="F2" s="136"/>
      <c r="G2" s="1"/>
      <c r="H2" s="138" t="s">
        <v>106</v>
      </c>
      <c r="I2" s="136"/>
      <c r="J2" s="136"/>
      <c r="K2" s="1"/>
      <c r="L2" s="138" t="s">
        <v>107</v>
      </c>
      <c r="M2" s="136"/>
      <c r="N2" s="137"/>
      <c r="T2" s="36">
        <v>3</v>
      </c>
      <c r="U2" s="142"/>
      <c r="V2" s="140" t="s">
        <v>108</v>
      </c>
      <c r="W2" s="141"/>
      <c r="X2" s="136" t="s">
        <v>109</v>
      </c>
      <c r="Y2" s="136"/>
      <c r="Z2" s="136" t="s">
        <v>110</v>
      </c>
      <c r="AA2" s="137"/>
      <c r="AE2" s="128" t="s">
        <v>17</v>
      </c>
      <c r="AF2" s="1"/>
      <c r="AG2" s="43" t="s">
        <v>111</v>
      </c>
      <c r="AH2" s="2" t="s">
        <v>19</v>
      </c>
      <c r="AI2" s="2"/>
      <c r="AJ2" s="2" t="s">
        <v>112</v>
      </c>
      <c r="AK2" s="2" t="s">
        <v>113</v>
      </c>
      <c r="AL2" s="26" t="s">
        <v>114</v>
      </c>
    </row>
    <row r="3" spans="2:38" x14ac:dyDescent="0.2">
      <c r="B3" s="129"/>
      <c r="D3" s="3" t="s">
        <v>115</v>
      </c>
      <c r="E3" s="3" t="s">
        <v>116</v>
      </c>
      <c r="F3" s="3" t="s">
        <v>117</v>
      </c>
      <c r="H3" s="3" t="s">
        <v>115</v>
      </c>
      <c r="I3" s="3" t="s">
        <v>116</v>
      </c>
      <c r="J3" s="3" t="s">
        <v>117</v>
      </c>
      <c r="L3" s="3" t="s">
        <v>115</v>
      </c>
      <c r="M3" s="3" t="s">
        <v>116</v>
      </c>
      <c r="N3" s="27" t="s">
        <v>117</v>
      </c>
      <c r="V3" s="37" t="s">
        <v>118</v>
      </c>
      <c r="W3" s="38" t="s">
        <v>119</v>
      </c>
      <c r="X3" s="38" t="s">
        <v>118</v>
      </c>
      <c r="Y3" s="38" t="s">
        <v>119</v>
      </c>
      <c r="Z3" s="38" t="s">
        <v>118</v>
      </c>
      <c r="AA3" s="50" t="s">
        <v>119</v>
      </c>
      <c r="AE3" s="129"/>
      <c r="AG3" s="63"/>
      <c r="AH3" s="64"/>
      <c r="AI3" s="64"/>
      <c r="AJ3" s="64"/>
      <c r="AK3" s="64"/>
      <c r="AL3" s="65"/>
    </row>
    <row r="4" spans="2:38" x14ac:dyDescent="0.2">
      <c r="B4" s="129"/>
      <c r="C4" s="4" t="s">
        <v>120</v>
      </c>
      <c r="D4" s="113">
        <v>25</v>
      </c>
      <c r="E4" s="113">
        <v>35</v>
      </c>
      <c r="F4" s="113">
        <v>45</v>
      </c>
      <c r="H4" s="113">
        <v>35</v>
      </c>
      <c r="I4" s="113">
        <v>45</v>
      </c>
      <c r="J4" s="113">
        <v>55</v>
      </c>
      <c r="L4" s="5">
        <v>65</v>
      </c>
      <c r="M4" s="5">
        <v>80</v>
      </c>
      <c r="N4" s="28">
        <v>95</v>
      </c>
      <c r="U4">
        <f>IF(T$2=1,W4,IF(T$2=2,Y4,AA4))</f>
        <v>75.323547775964002</v>
      </c>
      <c r="V4" s="37">
        <f>(F4-D4)/6</f>
        <v>3.3333333333333335</v>
      </c>
      <c r="W4" s="39">
        <v>35.8131387310261</v>
      </c>
      <c r="X4" s="38">
        <f>(J4-H4)/6</f>
        <v>3.3333333333333335</v>
      </c>
      <c r="Y4" s="39">
        <v>44.275707023036802</v>
      </c>
      <c r="Z4" s="38">
        <f>(N4-L4)/6</f>
        <v>5</v>
      </c>
      <c r="AA4" s="59">
        <v>75.323547775964002</v>
      </c>
      <c r="AE4" s="129"/>
      <c r="AF4" s="4" t="s">
        <v>20</v>
      </c>
      <c r="AG4" s="66">
        <f>AH4*U4</f>
        <v>71898.230211131275</v>
      </c>
      <c r="AH4" s="67">
        <v>954.52527574749001</v>
      </c>
      <c r="AI4" s="68"/>
      <c r="AJ4" s="68">
        <v>700</v>
      </c>
      <c r="AK4" s="68">
        <v>800</v>
      </c>
      <c r="AL4" s="69">
        <v>1000</v>
      </c>
    </row>
    <row r="5" spans="2:38" x14ac:dyDescent="0.2">
      <c r="B5" s="130"/>
      <c r="C5" s="6" t="s">
        <v>121</v>
      </c>
      <c r="D5" s="114">
        <v>35</v>
      </c>
      <c r="E5" s="114">
        <v>45</v>
      </c>
      <c r="F5" s="114">
        <v>55</v>
      </c>
      <c r="G5" s="8"/>
      <c r="H5" s="114">
        <v>27</v>
      </c>
      <c r="I5" s="114">
        <v>30</v>
      </c>
      <c r="J5" s="114">
        <v>33</v>
      </c>
      <c r="K5" s="8"/>
      <c r="L5" s="7">
        <v>8</v>
      </c>
      <c r="M5" s="7">
        <v>10</v>
      </c>
      <c r="N5" s="29">
        <v>12</v>
      </c>
      <c r="U5">
        <f>IF(T$2=1,W5,IF(T$2=2,Y5,AA5))</f>
        <v>24.6848684030154</v>
      </c>
      <c r="V5" s="40">
        <f>(F5-D5)/6</f>
        <v>3.3333333333333335</v>
      </c>
      <c r="W5" s="41">
        <v>49.488512795699798</v>
      </c>
      <c r="X5" s="42">
        <f>(J5-H5)/6</f>
        <v>1</v>
      </c>
      <c r="Y5" s="41">
        <v>29.441303665410299</v>
      </c>
      <c r="Z5" s="42">
        <f>(N5-L5)/6</f>
        <v>0.66666666666666663</v>
      </c>
      <c r="AA5" s="60">
        <v>24.6848684030154</v>
      </c>
      <c r="AE5" s="130"/>
      <c r="AF5" s="6" t="s">
        <v>26</v>
      </c>
      <c r="AG5" s="70"/>
      <c r="AH5" s="71"/>
      <c r="AI5" s="71"/>
      <c r="AJ5" s="71"/>
      <c r="AK5" s="71"/>
      <c r="AL5" s="72"/>
    </row>
    <row r="6" spans="2:38" ht="15" x14ac:dyDescent="0.2">
      <c r="B6" s="9"/>
      <c r="T6" s="14" t="s">
        <v>122</v>
      </c>
      <c r="AE6" s="9"/>
      <c r="AG6" s="73"/>
      <c r="AH6" s="73"/>
      <c r="AI6" s="73"/>
      <c r="AJ6" s="73"/>
      <c r="AK6" s="73"/>
      <c r="AL6" s="73"/>
    </row>
    <row r="7" spans="2:38" x14ac:dyDescent="0.2">
      <c r="B7" s="128" t="s">
        <v>123</v>
      </c>
      <c r="C7" s="1"/>
      <c r="D7" s="136" t="s">
        <v>124</v>
      </c>
      <c r="E7" s="136"/>
      <c r="F7" s="136"/>
      <c r="G7" s="1"/>
      <c r="H7" s="136" t="s">
        <v>125</v>
      </c>
      <c r="I7" s="136"/>
      <c r="J7" s="136"/>
      <c r="K7" s="1"/>
      <c r="L7" s="136" t="s">
        <v>202</v>
      </c>
      <c r="M7" s="136"/>
      <c r="N7" s="136"/>
      <c r="O7" s="1"/>
      <c r="P7" s="138" t="s">
        <v>126</v>
      </c>
      <c r="Q7" s="136"/>
      <c r="R7" s="137"/>
      <c r="T7" s="36">
        <v>4</v>
      </c>
      <c r="V7" s="139" t="s">
        <v>127</v>
      </c>
      <c r="W7" s="136"/>
      <c r="X7" s="136" t="s">
        <v>128</v>
      </c>
      <c r="Y7" s="136"/>
      <c r="Z7" s="136" t="s">
        <v>129</v>
      </c>
      <c r="AA7" s="136"/>
      <c r="AB7" s="143" t="s">
        <v>130</v>
      </c>
      <c r="AC7" s="144"/>
      <c r="AE7" s="128" t="s">
        <v>28</v>
      </c>
      <c r="AF7" s="1"/>
      <c r="AG7" s="74" t="s">
        <v>111</v>
      </c>
      <c r="AH7" s="75" t="s">
        <v>19</v>
      </c>
      <c r="AI7" s="75"/>
      <c r="AJ7" s="75" t="s">
        <v>112</v>
      </c>
      <c r="AK7" s="75" t="s">
        <v>113</v>
      </c>
      <c r="AL7" s="76" t="s">
        <v>114</v>
      </c>
    </row>
    <row r="8" spans="2:38" x14ac:dyDescent="0.2">
      <c r="B8" s="129"/>
      <c r="C8" s="4"/>
      <c r="D8" s="3" t="s">
        <v>115</v>
      </c>
      <c r="E8" s="3" t="s">
        <v>116</v>
      </c>
      <c r="F8" s="3" t="s">
        <v>117</v>
      </c>
      <c r="H8" s="3" t="s">
        <v>115</v>
      </c>
      <c r="I8" s="3" t="s">
        <v>116</v>
      </c>
      <c r="J8" s="3" t="s">
        <v>117</v>
      </c>
      <c r="L8" s="3" t="s">
        <v>115</v>
      </c>
      <c r="M8" s="3" t="s">
        <v>116</v>
      </c>
      <c r="N8" s="3" t="s">
        <v>117</v>
      </c>
      <c r="P8" s="3" t="s">
        <v>115</v>
      </c>
      <c r="Q8" s="3" t="s">
        <v>116</v>
      </c>
      <c r="R8" s="27" t="s">
        <v>117</v>
      </c>
      <c r="V8" s="37" t="s">
        <v>118</v>
      </c>
      <c r="W8" s="38" t="s">
        <v>119</v>
      </c>
      <c r="X8" s="38" t="s">
        <v>118</v>
      </c>
      <c r="Y8" s="38" t="s">
        <v>119</v>
      </c>
      <c r="Z8" s="38" t="s">
        <v>118</v>
      </c>
      <c r="AA8" s="38" t="s">
        <v>119</v>
      </c>
      <c r="AB8" s="38" t="s">
        <v>118</v>
      </c>
      <c r="AC8" s="50" t="s">
        <v>119</v>
      </c>
      <c r="AE8" s="129"/>
      <c r="AF8" s="4"/>
      <c r="AG8" s="66"/>
      <c r="AH8" s="68"/>
      <c r="AI8" s="68"/>
      <c r="AJ8" s="68"/>
      <c r="AK8" s="68"/>
      <c r="AL8" s="69"/>
    </row>
    <row r="9" spans="2:38" x14ac:dyDescent="0.2">
      <c r="B9" s="129"/>
      <c r="C9" s="4" t="s">
        <v>120</v>
      </c>
      <c r="D9" s="115">
        <v>1</v>
      </c>
      <c r="E9" s="115">
        <v>4</v>
      </c>
      <c r="F9" s="115">
        <v>7</v>
      </c>
      <c r="H9" s="115">
        <v>7</v>
      </c>
      <c r="I9" s="115">
        <v>10</v>
      </c>
      <c r="J9" s="115">
        <v>13</v>
      </c>
      <c r="L9" s="120">
        <v>38</v>
      </c>
      <c r="M9" s="120">
        <v>40</v>
      </c>
      <c r="N9" s="120">
        <v>42</v>
      </c>
      <c r="P9" s="10">
        <v>22</v>
      </c>
      <c r="Q9" s="10">
        <v>23</v>
      </c>
      <c r="R9" s="30">
        <v>24</v>
      </c>
      <c r="U9">
        <f>IF(T$7=1,W9,IF(T$7=2,Y9,IF(T$7=3,AA9,AC9)))</f>
        <v>10.1687597504175</v>
      </c>
      <c r="V9" s="37">
        <f>(F9-D9)/6</f>
        <v>1</v>
      </c>
      <c r="W9" s="39">
        <v>3.12414241279739</v>
      </c>
      <c r="X9" s="38">
        <f>(J9-H9)/6</f>
        <v>1</v>
      </c>
      <c r="Y9" s="39">
        <v>8.7522633634921192</v>
      </c>
      <c r="Z9" s="38">
        <f>(N9-L9)/6</f>
        <v>0.66666666666666663</v>
      </c>
      <c r="AA9" s="39">
        <v>19.8563471792786</v>
      </c>
      <c r="AB9" s="38">
        <f>(R9-P9)/6</f>
        <v>0.33333333333333331</v>
      </c>
      <c r="AC9" s="59">
        <v>10.1687597504175</v>
      </c>
      <c r="AE9" s="129"/>
      <c r="AF9" s="4" t="s">
        <v>20</v>
      </c>
      <c r="AG9" s="66">
        <f>AH9*U9</f>
        <v>8414.9352154278931</v>
      </c>
      <c r="AH9" s="77">
        <v>827.52817668668001</v>
      </c>
      <c r="AI9" s="68"/>
      <c r="AJ9" s="68">
        <v>700</v>
      </c>
      <c r="AK9" s="68">
        <v>800</v>
      </c>
      <c r="AL9" s="69">
        <v>1000</v>
      </c>
    </row>
    <row r="10" spans="2:38" x14ac:dyDescent="0.2">
      <c r="B10" s="130"/>
      <c r="C10" s="6" t="s">
        <v>121</v>
      </c>
      <c r="D10" s="116">
        <v>0.25</v>
      </c>
      <c r="E10" s="116">
        <v>0.4</v>
      </c>
      <c r="F10" s="116">
        <v>0.55000000000000004</v>
      </c>
      <c r="G10" s="12"/>
      <c r="H10" s="116">
        <v>0.5</v>
      </c>
      <c r="I10" s="116">
        <v>0.55000000000000004</v>
      </c>
      <c r="J10" s="116">
        <v>0.6</v>
      </c>
      <c r="K10" s="12"/>
      <c r="L10" s="121">
        <v>0.75</v>
      </c>
      <c r="M10" s="121">
        <v>0.8</v>
      </c>
      <c r="N10" s="121">
        <v>0.85</v>
      </c>
      <c r="O10" s="12"/>
      <c r="P10" s="11">
        <v>0.08</v>
      </c>
      <c r="Q10" s="11">
        <v>0.1</v>
      </c>
      <c r="R10" s="34">
        <v>0.12</v>
      </c>
      <c r="U10" s="44">
        <f>IF(T$7=1,W10,IF(T$7=2,Y10,IF(T$7=3,AA10,AC10)))</f>
        <v>0.71964608334873204</v>
      </c>
      <c r="V10" s="40">
        <f>(F10-D10)/6</f>
        <v>5.000000000000001E-2</v>
      </c>
      <c r="W10" s="41">
        <v>0.39970865837388098</v>
      </c>
      <c r="X10" s="42">
        <f>(J10-H10)/6</f>
        <v>1.6666666666666663E-2</v>
      </c>
      <c r="Y10" s="41">
        <v>0.584717263502888</v>
      </c>
      <c r="Z10" s="42">
        <f>(N10-L10)/6</f>
        <v>1.6666666666666663E-2</v>
      </c>
      <c r="AA10" s="41">
        <v>0.86142897262255702</v>
      </c>
      <c r="AB10" s="42">
        <f>(R10-P10)/6</f>
        <v>6.6666666666666654E-3</v>
      </c>
      <c r="AC10" s="60">
        <v>0.71964608334873204</v>
      </c>
      <c r="AE10" s="130"/>
      <c r="AF10" s="6" t="s">
        <v>26</v>
      </c>
      <c r="AG10" s="70">
        <f>U5*U10*AH10</f>
        <v>15756.068864244759</v>
      </c>
      <c r="AH10" s="78">
        <v>886.94785526490602</v>
      </c>
      <c r="AI10" s="71"/>
      <c r="AJ10" s="71">
        <f>0.85*AK10</f>
        <v>637.5</v>
      </c>
      <c r="AK10" s="71">
        <v>750</v>
      </c>
      <c r="AL10" s="72">
        <f>1.15*AK10</f>
        <v>862.49999999999989</v>
      </c>
    </row>
    <row r="11" spans="2:38" ht="15" x14ac:dyDescent="0.2">
      <c r="B11" s="9"/>
      <c r="C11" s="4"/>
      <c r="T11" s="14" t="s">
        <v>131</v>
      </c>
      <c r="AE11" s="9"/>
      <c r="AF11" s="4"/>
      <c r="AG11" s="79"/>
      <c r="AH11" s="79"/>
      <c r="AI11" s="79"/>
      <c r="AJ11" s="79"/>
      <c r="AK11" s="79"/>
      <c r="AL11" s="79"/>
    </row>
    <row r="12" spans="2:38" x14ac:dyDescent="0.2">
      <c r="B12" s="128" t="s">
        <v>132</v>
      </c>
      <c r="C12" s="13"/>
      <c r="D12" s="138" t="s">
        <v>133</v>
      </c>
      <c r="E12" s="136"/>
      <c r="F12" s="136"/>
      <c r="G12" s="1"/>
      <c r="H12" s="136" t="s">
        <v>134</v>
      </c>
      <c r="I12" s="136"/>
      <c r="J12" s="137"/>
      <c r="L12" s="145"/>
      <c r="M12" s="145"/>
      <c r="N12" s="145"/>
      <c r="T12" s="36">
        <v>2</v>
      </c>
      <c r="V12" s="139" t="s">
        <v>135</v>
      </c>
      <c r="W12" s="136"/>
      <c r="X12" s="136" t="s">
        <v>136</v>
      </c>
      <c r="Y12" s="137"/>
      <c r="AE12" s="128" t="s">
        <v>31</v>
      </c>
      <c r="AF12" s="13"/>
      <c r="AG12" s="74" t="s">
        <v>111</v>
      </c>
      <c r="AH12" s="75" t="s">
        <v>19</v>
      </c>
      <c r="AI12" s="75"/>
      <c r="AJ12" s="75" t="s">
        <v>112</v>
      </c>
      <c r="AK12" s="75" t="s">
        <v>113</v>
      </c>
      <c r="AL12" s="76" t="s">
        <v>114</v>
      </c>
    </row>
    <row r="13" spans="2:38" x14ac:dyDescent="0.2">
      <c r="B13" s="129"/>
      <c r="C13" s="4"/>
      <c r="D13" s="3" t="s">
        <v>115</v>
      </c>
      <c r="E13" s="3" t="s">
        <v>116</v>
      </c>
      <c r="F13" s="3" t="s">
        <v>117</v>
      </c>
      <c r="H13" s="3" t="s">
        <v>115</v>
      </c>
      <c r="I13" s="3" t="s">
        <v>116</v>
      </c>
      <c r="J13" s="27" t="s">
        <v>117</v>
      </c>
      <c r="L13" s="14"/>
      <c r="M13" s="14"/>
      <c r="N13" s="14"/>
      <c r="V13" s="37" t="s">
        <v>118</v>
      </c>
      <c r="W13" s="38" t="s">
        <v>119</v>
      </c>
      <c r="X13" s="38" t="s">
        <v>118</v>
      </c>
      <c r="Y13" s="50" t="s">
        <v>119</v>
      </c>
      <c r="AE13" s="129"/>
      <c r="AF13" s="4"/>
      <c r="AG13" s="66"/>
      <c r="AH13" s="68"/>
      <c r="AI13" s="68"/>
      <c r="AJ13" s="68"/>
      <c r="AK13" s="68"/>
      <c r="AL13" s="69"/>
    </row>
    <row r="14" spans="2:38" x14ac:dyDescent="0.2">
      <c r="B14" s="129"/>
      <c r="C14" s="4" t="s">
        <v>120</v>
      </c>
      <c r="D14" s="115">
        <v>50</v>
      </c>
      <c r="E14" s="115">
        <v>60</v>
      </c>
      <c r="F14" s="115">
        <v>70</v>
      </c>
      <c r="G14" s="14"/>
      <c r="H14" s="10">
        <v>65</v>
      </c>
      <c r="I14" s="10">
        <v>75</v>
      </c>
      <c r="J14" s="30">
        <v>85</v>
      </c>
      <c r="L14" s="14"/>
      <c r="M14" s="14"/>
      <c r="N14" s="14"/>
      <c r="U14">
        <f>IF(T$12=1,W14,Y14)</f>
        <v>72.167572238911902</v>
      </c>
      <c r="V14" s="37">
        <f>(F14-D14)/6</f>
        <v>3.3333333333333335</v>
      </c>
      <c r="W14" s="39">
        <v>55.731568237323899</v>
      </c>
      <c r="X14" s="38">
        <f>(J14-H14)/6</f>
        <v>3.3333333333333335</v>
      </c>
      <c r="Y14" s="59">
        <v>72.167572238911902</v>
      </c>
      <c r="AE14" s="129"/>
      <c r="AF14" s="4" t="s">
        <v>20</v>
      </c>
      <c r="AG14" s="66">
        <f>AH14*U14</f>
        <v>57593.057644792163</v>
      </c>
      <c r="AH14" s="77">
        <v>798.04621186548195</v>
      </c>
      <c r="AI14" s="68"/>
      <c r="AJ14" s="68">
        <v>700</v>
      </c>
      <c r="AK14" s="68">
        <v>800</v>
      </c>
      <c r="AL14" s="69">
        <v>1000</v>
      </c>
    </row>
    <row r="15" spans="2:38" x14ac:dyDescent="0.2">
      <c r="B15" s="130"/>
      <c r="C15" s="6" t="s">
        <v>121</v>
      </c>
      <c r="D15" s="117">
        <v>25</v>
      </c>
      <c r="E15" s="117">
        <v>35</v>
      </c>
      <c r="F15" s="117">
        <v>45</v>
      </c>
      <c r="G15" s="16"/>
      <c r="H15" s="15">
        <v>15</v>
      </c>
      <c r="I15" s="15">
        <v>18</v>
      </c>
      <c r="J15" s="31">
        <v>21</v>
      </c>
      <c r="U15">
        <f>IF(T$12=1,W15,Y15)</f>
        <v>20.1977784582241</v>
      </c>
      <c r="V15" s="40">
        <f>(F15-D15)/6</f>
        <v>3.3333333333333335</v>
      </c>
      <c r="W15" s="41">
        <v>46.076732326255097</v>
      </c>
      <c r="X15" s="42">
        <f>(J15-H15)/6</f>
        <v>1</v>
      </c>
      <c r="Y15" s="60">
        <v>20.1977784582241</v>
      </c>
      <c r="AE15" s="130"/>
      <c r="AF15" s="6" t="s">
        <v>26</v>
      </c>
      <c r="AG15" s="70"/>
      <c r="AH15" s="71"/>
      <c r="AI15" s="71"/>
      <c r="AJ15" s="71"/>
      <c r="AK15" s="71"/>
      <c r="AL15" s="72"/>
    </row>
    <row r="16" spans="2:38" ht="15" x14ac:dyDescent="0.2">
      <c r="B16" s="9"/>
      <c r="C16" s="4"/>
      <c r="T16" s="14" t="s">
        <v>137</v>
      </c>
      <c r="AE16" s="9"/>
      <c r="AF16" s="4"/>
      <c r="AG16" s="79"/>
      <c r="AH16" s="79"/>
      <c r="AI16" s="79"/>
      <c r="AJ16" s="79"/>
      <c r="AK16" s="79"/>
      <c r="AL16" s="79"/>
    </row>
    <row r="17" spans="1:38" x14ac:dyDescent="0.2">
      <c r="B17" s="128" t="s">
        <v>138</v>
      </c>
      <c r="C17" s="13"/>
      <c r="D17" s="136" t="s">
        <v>124</v>
      </c>
      <c r="E17" s="136"/>
      <c r="F17" s="136"/>
      <c r="G17" s="1"/>
      <c r="H17" s="136" t="s">
        <v>125</v>
      </c>
      <c r="I17" s="136"/>
      <c r="J17" s="136"/>
      <c r="K17" s="1"/>
      <c r="L17" s="136" t="s">
        <v>202</v>
      </c>
      <c r="M17" s="136"/>
      <c r="N17" s="136"/>
      <c r="O17" s="1"/>
      <c r="P17" s="138" t="s">
        <v>126</v>
      </c>
      <c r="Q17" s="136"/>
      <c r="R17" s="137"/>
      <c r="T17" s="36">
        <v>4</v>
      </c>
      <c r="V17" s="139" t="s">
        <v>127</v>
      </c>
      <c r="W17" s="136"/>
      <c r="X17" s="136" t="s">
        <v>128</v>
      </c>
      <c r="Y17" s="136"/>
      <c r="Z17" s="136" t="s">
        <v>129</v>
      </c>
      <c r="AA17" s="136"/>
      <c r="AB17" s="143" t="s">
        <v>130</v>
      </c>
      <c r="AC17" s="144"/>
      <c r="AE17" s="128" t="s">
        <v>32</v>
      </c>
      <c r="AF17" s="13"/>
      <c r="AG17" s="74" t="s">
        <v>111</v>
      </c>
      <c r="AH17" s="75" t="s">
        <v>19</v>
      </c>
      <c r="AI17" s="75"/>
      <c r="AJ17" s="75" t="s">
        <v>112</v>
      </c>
      <c r="AK17" s="75" t="s">
        <v>113</v>
      </c>
      <c r="AL17" s="76" t="s">
        <v>114</v>
      </c>
    </row>
    <row r="18" spans="1:38" x14ac:dyDescent="0.2">
      <c r="B18" s="129"/>
      <c r="C18" s="4"/>
      <c r="D18" s="3" t="s">
        <v>115</v>
      </c>
      <c r="E18" s="3" t="s">
        <v>116</v>
      </c>
      <c r="F18" s="3" t="s">
        <v>117</v>
      </c>
      <c r="H18" s="3" t="s">
        <v>115</v>
      </c>
      <c r="I18" s="3" t="s">
        <v>116</v>
      </c>
      <c r="J18" s="3" t="s">
        <v>117</v>
      </c>
      <c r="L18" s="3" t="s">
        <v>115</v>
      </c>
      <c r="M18" s="3" t="s">
        <v>116</v>
      </c>
      <c r="N18" s="3" t="s">
        <v>117</v>
      </c>
      <c r="P18" s="3" t="s">
        <v>115</v>
      </c>
      <c r="Q18" s="3" t="s">
        <v>116</v>
      </c>
      <c r="R18" s="27" t="s">
        <v>117</v>
      </c>
      <c r="V18" s="37" t="s">
        <v>118</v>
      </c>
      <c r="W18" s="38" t="s">
        <v>119</v>
      </c>
      <c r="X18" s="38" t="s">
        <v>118</v>
      </c>
      <c r="Y18" s="38" t="s">
        <v>119</v>
      </c>
      <c r="Z18" s="38" t="s">
        <v>118</v>
      </c>
      <c r="AA18" s="38" t="s">
        <v>119</v>
      </c>
      <c r="AB18" s="38" t="s">
        <v>118</v>
      </c>
      <c r="AC18" s="50" t="s">
        <v>119</v>
      </c>
      <c r="AE18" s="129"/>
      <c r="AF18" s="4"/>
      <c r="AG18" s="66"/>
      <c r="AH18" s="68"/>
      <c r="AI18" s="68"/>
      <c r="AJ18" s="68"/>
      <c r="AK18" s="68"/>
      <c r="AL18" s="69"/>
    </row>
    <row r="19" spans="1:38" x14ac:dyDescent="0.2">
      <c r="B19" s="129"/>
      <c r="C19" s="4" t="s">
        <v>120</v>
      </c>
      <c r="D19" s="115">
        <v>5</v>
      </c>
      <c r="E19" s="115">
        <v>12</v>
      </c>
      <c r="F19" s="115">
        <v>19</v>
      </c>
      <c r="G19" s="14"/>
      <c r="H19" s="115">
        <v>15</v>
      </c>
      <c r="I19" s="115">
        <v>20</v>
      </c>
      <c r="J19" s="115">
        <v>25</v>
      </c>
      <c r="K19" s="14"/>
      <c r="L19" s="120">
        <v>55</v>
      </c>
      <c r="M19" s="120">
        <v>65</v>
      </c>
      <c r="N19" s="120">
        <v>75</v>
      </c>
      <c r="O19" s="14"/>
      <c r="P19" s="10">
        <v>45</v>
      </c>
      <c r="Q19" s="10">
        <v>46</v>
      </c>
      <c r="R19" s="30">
        <v>48</v>
      </c>
      <c r="U19">
        <f>IF(T$17=1,W19,IF(T$17=2,Y19,IF(T$17=3,AA19,AC19)))</f>
        <v>7.0396389895773499</v>
      </c>
      <c r="V19" s="37">
        <f>(F19-D19)/6</f>
        <v>2.3333333333333335</v>
      </c>
      <c r="W19" s="39">
        <v>9.6240455909647196</v>
      </c>
      <c r="X19" s="38">
        <f>(J19-H19)/6</f>
        <v>1.6666666666666667</v>
      </c>
      <c r="Y19" s="39">
        <v>22.283031109223401</v>
      </c>
      <c r="Z19" s="38">
        <f>(N19-L19)/6</f>
        <v>3.3333333333333335</v>
      </c>
      <c r="AA19" s="39">
        <v>32.289564460258703</v>
      </c>
      <c r="AB19" s="38">
        <f>(R19-P19)/6</f>
        <v>0.5</v>
      </c>
      <c r="AC19" s="59">
        <v>7.0396389895773499</v>
      </c>
      <c r="AE19" s="129"/>
      <c r="AF19" s="4" t="s">
        <v>20</v>
      </c>
      <c r="AG19" s="66">
        <f>AH19*U19</f>
        <v>5309.3973318854805</v>
      </c>
      <c r="AH19" s="77">
        <v>754.21443340296196</v>
      </c>
      <c r="AI19" s="68"/>
      <c r="AJ19" s="68">
        <v>700</v>
      </c>
      <c r="AK19" s="68">
        <v>800</v>
      </c>
      <c r="AL19" s="69">
        <v>1000</v>
      </c>
    </row>
    <row r="20" spans="1:38" x14ac:dyDescent="0.2">
      <c r="B20" s="130"/>
      <c r="C20" s="6" t="s">
        <v>121</v>
      </c>
      <c r="D20" s="116">
        <v>0.25</v>
      </c>
      <c r="E20" s="116">
        <v>0.4</v>
      </c>
      <c r="F20" s="116">
        <v>0.55000000000000004</v>
      </c>
      <c r="G20" s="17"/>
      <c r="H20" s="116">
        <v>0.5</v>
      </c>
      <c r="I20" s="116">
        <v>0.55000000000000004</v>
      </c>
      <c r="J20" s="116">
        <v>0.6</v>
      </c>
      <c r="K20" s="17"/>
      <c r="L20" s="121">
        <v>0.54</v>
      </c>
      <c r="M20" s="121">
        <v>0.59</v>
      </c>
      <c r="N20" s="121">
        <v>0.64</v>
      </c>
      <c r="O20" s="17"/>
      <c r="P20" s="11">
        <v>5.7000000000000002E-2</v>
      </c>
      <c r="Q20" s="11">
        <v>0.11</v>
      </c>
      <c r="R20" s="34">
        <v>0.157</v>
      </c>
      <c r="U20" s="44">
        <f>IF(T$17=1,W20,IF(T$17=2,Y20,IF(T$17=3,AA20,AC20)))</f>
        <v>0.70204950083080697</v>
      </c>
      <c r="V20" s="40">
        <f>(F20-D20)/6</f>
        <v>5.000000000000001E-2</v>
      </c>
      <c r="W20" s="41">
        <v>0.39486266278396998</v>
      </c>
      <c r="X20" s="42">
        <f>(J20-H20)/6</f>
        <v>1.6666666666666663E-2</v>
      </c>
      <c r="Y20" s="41">
        <v>0.55844736890647695</v>
      </c>
      <c r="Z20" s="42">
        <f>(N20-L20)/6</f>
        <v>1.6666666666666663E-2</v>
      </c>
      <c r="AA20" s="41">
        <v>0.80849020454197995</v>
      </c>
      <c r="AB20" s="42">
        <f>(R20-P20)/6</f>
        <v>1.6666666666666666E-2</v>
      </c>
      <c r="AC20" s="60">
        <v>0.70204950083080697</v>
      </c>
      <c r="AE20" s="130"/>
      <c r="AF20" s="6" t="s">
        <v>26</v>
      </c>
      <c r="AG20" s="70">
        <f>(U$5*(1-U$10)+U$15)*U20*AH20</f>
        <v>27002.252498904967</v>
      </c>
      <c r="AH20" s="78">
        <v>1418.30668752479</v>
      </c>
      <c r="AI20" s="71"/>
      <c r="AJ20" s="71">
        <f>0.85*AK20</f>
        <v>637.5</v>
      </c>
      <c r="AK20" s="71">
        <v>750</v>
      </c>
      <c r="AL20" s="72">
        <f>1.15*AK20</f>
        <v>862.49999999999989</v>
      </c>
    </row>
    <row r="21" spans="1:38" ht="15" x14ac:dyDescent="0.2">
      <c r="B21" s="9"/>
      <c r="C21" s="4"/>
      <c r="T21" s="14" t="s">
        <v>139</v>
      </c>
      <c r="AE21" s="9"/>
      <c r="AF21" s="4"/>
      <c r="AG21" s="79"/>
      <c r="AH21" s="79"/>
      <c r="AI21" s="79"/>
      <c r="AJ21" s="79"/>
      <c r="AK21" s="79"/>
      <c r="AL21" s="79"/>
    </row>
    <row r="22" spans="1:38" x14ac:dyDescent="0.2">
      <c r="B22" s="128" t="s">
        <v>140</v>
      </c>
      <c r="C22" s="13"/>
      <c r="D22" s="136" t="s">
        <v>141</v>
      </c>
      <c r="E22" s="136"/>
      <c r="F22" s="136"/>
      <c r="G22" s="1"/>
      <c r="H22" s="136" t="s">
        <v>142</v>
      </c>
      <c r="I22" s="136"/>
      <c r="J22" s="136"/>
      <c r="K22" s="1"/>
      <c r="L22" s="136" t="s">
        <v>68</v>
      </c>
      <c r="M22" s="136"/>
      <c r="N22" s="136"/>
      <c r="O22" s="1"/>
      <c r="P22" s="136" t="s">
        <v>143</v>
      </c>
      <c r="Q22" s="136"/>
      <c r="R22" s="137"/>
      <c r="T22" s="36">
        <v>4</v>
      </c>
      <c r="V22" s="146" t="s">
        <v>144</v>
      </c>
      <c r="W22" s="147"/>
      <c r="X22" s="147" t="s">
        <v>145</v>
      </c>
      <c r="Y22" s="147"/>
      <c r="Z22" s="147" t="s">
        <v>146</v>
      </c>
      <c r="AA22" s="147"/>
      <c r="AB22" s="147" t="s">
        <v>147</v>
      </c>
      <c r="AC22" s="148"/>
      <c r="AE22" s="128" t="s">
        <v>33</v>
      </c>
      <c r="AF22" s="13"/>
      <c r="AG22" s="74" t="s">
        <v>111</v>
      </c>
      <c r="AH22" s="75" t="s">
        <v>19</v>
      </c>
      <c r="AI22" s="75"/>
      <c r="AJ22" s="75" t="s">
        <v>112</v>
      </c>
      <c r="AK22" s="75" t="s">
        <v>113</v>
      </c>
      <c r="AL22" s="76" t="s">
        <v>114</v>
      </c>
    </row>
    <row r="23" spans="1:38" x14ac:dyDescent="0.2">
      <c r="B23" s="129"/>
      <c r="C23" s="4"/>
      <c r="D23" s="3" t="s">
        <v>115</v>
      </c>
      <c r="E23" s="3" t="s">
        <v>116</v>
      </c>
      <c r="F23" s="3" t="s">
        <v>117</v>
      </c>
      <c r="H23" s="3" t="s">
        <v>115</v>
      </c>
      <c r="I23" s="3" t="s">
        <v>116</v>
      </c>
      <c r="J23" s="3" t="s">
        <v>117</v>
      </c>
      <c r="L23" s="3" t="s">
        <v>115</v>
      </c>
      <c r="M23" s="3" t="s">
        <v>116</v>
      </c>
      <c r="N23" s="3" t="s">
        <v>117</v>
      </c>
      <c r="P23" s="3" t="s">
        <v>115</v>
      </c>
      <c r="Q23" s="3" t="s">
        <v>116</v>
      </c>
      <c r="R23" s="27" t="s">
        <v>117</v>
      </c>
      <c r="V23" s="37" t="s">
        <v>118</v>
      </c>
      <c r="W23" s="38" t="s">
        <v>119</v>
      </c>
      <c r="X23" s="38" t="s">
        <v>118</v>
      </c>
      <c r="Y23" s="38" t="s">
        <v>119</v>
      </c>
      <c r="Z23" s="38" t="s">
        <v>118</v>
      </c>
      <c r="AA23" s="38" t="s">
        <v>119</v>
      </c>
      <c r="AB23" s="38" t="s">
        <v>118</v>
      </c>
      <c r="AC23" s="50" t="s">
        <v>119</v>
      </c>
      <c r="AE23" s="129"/>
      <c r="AF23" s="4"/>
      <c r="AG23" s="66"/>
      <c r="AH23" s="68"/>
      <c r="AI23" s="68"/>
      <c r="AJ23" s="68"/>
      <c r="AK23" s="68"/>
      <c r="AL23" s="69"/>
    </row>
    <row r="24" spans="1:38" x14ac:dyDescent="0.2">
      <c r="A24">
        <v>2</v>
      </c>
      <c r="B24" s="129"/>
      <c r="C24" s="4" t="s">
        <v>120</v>
      </c>
      <c r="D24" s="115">
        <v>150</v>
      </c>
      <c r="E24" s="115">
        <v>300</v>
      </c>
      <c r="F24" s="115">
        <v>450</v>
      </c>
      <c r="G24" s="14"/>
      <c r="H24" s="115">
        <f>0.9*I24</f>
        <v>222.3</v>
      </c>
      <c r="I24" s="115">
        <f>1.3*FP</f>
        <v>247</v>
      </c>
      <c r="J24" s="115">
        <f>1.1*I24</f>
        <v>271.70000000000005</v>
      </c>
      <c r="K24" s="14"/>
      <c r="L24" s="115">
        <v>100</v>
      </c>
      <c r="M24" s="115">
        <v>125</v>
      </c>
      <c r="N24" s="115">
        <v>150</v>
      </c>
      <c r="O24" s="14"/>
      <c r="P24" s="10">
        <v>90</v>
      </c>
      <c r="Q24" s="10">
        <v>100</v>
      </c>
      <c r="R24" s="30">
        <v>110</v>
      </c>
      <c r="U24">
        <f>IF(T$22=1,W24,IF(T$22=2,Y24,IF(T$22=3,AA24,AC24)))</f>
        <v>102.20803773762201</v>
      </c>
      <c r="V24" s="37">
        <f>(F24-D24)/6</f>
        <v>50</v>
      </c>
      <c r="W24" s="39">
        <v>231.94731627798501</v>
      </c>
      <c r="X24" s="38">
        <f>(J24-H24)/6</f>
        <v>8.2333333333333396</v>
      </c>
      <c r="Y24" s="39">
        <v>239.99500478298799</v>
      </c>
      <c r="Z24" s="38">
        <f>(N24-L24)/6</f>
        <v>8.3333333333333339</v>
      </c>
      <c r="AA24" s="39">
        <v>131.60140136874401</v>
      </c>
      <c r="AB24" s="38">
        <f>(R24-P24)/6</f>
        <v>3.3333333333333335</v>
      </c>
      <c r="AC24" s="59">
        <v>102.20803773762201</v>
      </c>
      <c r="AE24" s="129"/>
      <c r="AF24" s="4" t="s">
        <v>20</v>
      </c>
      <c r="AG24" s="66">
        <f>AH24*U24</f>
        <v>86301.147220261337</v>
      </c>
      <c r="AH24" s="77">
        <v>844.36751874451204</v>
      </c>
      <c r="AI24" s="68"/>
      <c r="AJ24" s="68">
        <v>700</v>
      </c>
      <c r="AK24" s="68">
        <v>800</v>
      </c>
      <c r="AL24" s="69">
        <v>1000</v>
      </c>
    </row>
    <row r="25" spans="1:38" x14ac:dyDescent="0.2">
      <c r="B25" s="130"/>
      <c r="C25" s="6" t="s">
        <v>121</v>
      </c>
      <c r="D25" s="117">
        <v>200</v>
      </c>
      <c r="E25" s="117">
        <v>250</v>
      </c>
      <c r="F25" s="117">
        <v>300</v>
      </c>
      <c r="G25" s="16"/>
      <c r="H25" s="117">
        <f>0.9*I25</f>
        <v>171</v>
      </c>
      <c r="I25" s="117">
        <f>1*FP</f>
        <v>190</v>
      </c>
      <c r="J25" s="117">
        <f>1.1*I25</f>
        <v>209.00000000000003</v>
      </c>
      <c r="K25" s="16"/>
      <c r="L25" s="117">
        <v>90</v>
      </c>
      <c r="M25" s="117">
        <v>110</v>
      </c>
      <c r="N25" s="117">
        <v>130</v>
      </c>
      <c r="O25" s="16"/>
      <c r="P25" s="15">
        <v>25</v>
      </c>
      <c r="Q25" s="15">
        <v>30</v>
      </c>
      <c r="R25" s="31">
        <v>35</v>
      </c>
      <c r="U25">
        <f>IF(T$22=1,W25,IF(T$22=2,Y25,IF(T$22=3,AA25,AC25)))</f>
        <v>92.237119662544302</v>
      </c>
      <c r="V25" s="40">
        <f>(F25-D25)/6</f>
        <v>16.666666666666668</v>
      </c>
      <c r="W25" s="41">
        <v>235.706200372648</v>
      </c>
      <c r="X25" s="42">
        <f>(J25-H25)/6</f>
        <v>6.3333333333333384</v>
      </c>
      <c r="Y25" s="41">
        <v>190.91744331807499</v>
      </c>
      <c r="Z25" s="42">
        <f>(N25-L25)/6</f>
        <v>6.666666666666667</v>
      </c>
      <c r="AA25" s="41">
        <v>115.241710787823</v>
      </c>
      <c r="AB25" s="42">
        <f>(R25-P25)/6</f>
        <v>1.6666666666666667</v>
      </c>
      <c r="AC25" s="60">
        <v>92.237119662544302</v>
      </c>
      <c r="AE25" s="130"/>
      <c r="AF25" s="6" t="s">
        <v>26</v>
      </c>
      <c r="AG25" s="70"/>
      <c r="AH25" s="71"/>
      <c r="AI25" s="71"/>
      <c r="AJ25" s="71"/>
      <c r="AK25" s="71"/>
      <c r="AL25" s="72"/>
    </row>
    <row r="26" spans="1:38" ht="15" x14ac:dyDescent="0.2">
      <c r="B26" s="9"/>
      <c r="C26" s="4"/>
      <c r="T26" s="14" t="s">
        <v>148</v>
      </c>
      <c r="AE26" s="9"/>
      <c r="AF26" s="4"/>
      <c r="AG26" s="79"/>
      <c r="AH26" s="79"/>
      <c r="AI26" s="79"/>
      <c r="AJ26" s="79"/>
      <c r="AK26" s="79"/>
      <c r="AL26" s="79"/>
    </row>
    <row r="27" spans="1:38" ht="16.5" x14ac:dyDescent="0.35">
      <c r="B27" s="128" t="s">
        <v>149</v>
      </c>
      <c r="C27" s="13"/>
      <c r="D27" s="136" t="s">
        <v>150</v>
      </c>
      <c r="E27" s="136"/>
      <c r="F27" s="136"/>
      <c r="G27" s="1"/>
      <c r="H27" s="149" t="s">
        <v>204</v>
      </c>
      <c r="I27" s="136"/>
      <c r="J27" s="136"/>
      <c r="K27" s="1"/>
      <c r="L27" s="149" t="s">
        <v>205</v>
      </c>
      <c r="M27" s="136"/>
      <c r="N27" s="136"/>
      <c r="O27" s="1"/>
      <c r="P27" s="138" t="s">
        <v>151</v>
      </c>
      <c r="Q27" s="136"/>
      <c r="R27" s="137"/>
      <c r="T27" s="36">
        <v>1</v>
      </c>
      <c r="V27" s="139" t="s">
        <v>127</v>
      </c>
      <c r="W27" s="136"/>
      <c r="X27" s="136" t="s">
        <v>128</v>
      </c>
      <c r="Y27" s="136"/>
      <c r="Z27" s="136" t="s">
        <v>129</v>
      </c>
      <c r="AA27" s="136"/>
      <c r="AB27" s="147" t="s">
        <v>130</v>
      </c>
      <c r="AC27" s="148"/>
      <c r="AE27" s="128" t="s">
        <v>34</v>
      </c>
      <c r="AF27" s="13"/>
      <c r="AG27" s="74" t="s">
        <v>111</v>
      </c>
      <c r="AH27" s="75" t="s">
        <v>19</v>
      </c>
      <c r="AI27" s="75"/>
      <c r="AJ27" s="75" t="s">
        <v>112</v>
      </c>
      <c r="AK27" s="75" t="s">
        <v>113</v>
      </c>
      <c r="AL27" s="76" t="s">
        <v>114</v>
      </c>
    </row>
    <row r="28" spans="1:38" x14ac:dyDescent="0.2">
      <c r="B28" s="129"/>
      <c r="C28" s="4"/>
      <c r="D28" s="3" t="s">
        <v>115</v>
      </c>
      <c r="E28" s="3" t="s">
        <v>116</v>
      </c>
      <c r="F28" s="3" t="s">
        <v>117</v>
      </c>
      <c r="H28" s="3" t="s">
        <v>115</v>
      </c>
      <c r="I28" s="3" t="s">
        <v>116</v>
      </c>
      <c r="J28" s="3" t="s">
        <v>117</v>
      </c>
      <c r="L28" s="3" t="s">
        <v>115</v>
      </c>
      <c r="M28" s="3" t="s">
        <v>116</v>
      </c>
      <c r="N28" s="3" t="s">
        <v>117</v>
      </c>
      <c r="P28" s="3" t="s">
        <v>115</v>
      </c>
      <c r="Q28" s="3" t="s">
        <v>116</v>
      </c>
      <c r="R28" s="27" t="s">
        <v>117</v>
      </c>
      <c r="V28" s="37" t="s">
        <v>118</v>
      </c>
      <c r="W28" s="38" t="s">
        <v>119</v>
      </c>
      <c r="X28" s="38" t="s">
        <v>118</v>
      </c>
      <c r="Y28" s="38" t="s">
        <v>119</v>
      </c>
      <c r="Z28" s="38" t="s">
        <v>118</v>
      </c>
      <c r="AA28" s="38" t="s">
        <v>119</v>
      </c>
      <c r="AB28" s="38" t="s">
        <v>118</v>
      </c>
      <c r="AC28" s="50" t="s">
        <v>119</v>
      </c>
      <c r="AE28" s="129"/>
      <c r="AF28" s="4"/>
      <c r="AG28" s="66"/>
      <c r="AH28" s="68"/>
      <c r="AI28" s="68"/>
      <c r="AJ28" s="68"/>
      <c r="AK28" s="68"/>
      <c r="AL28" s="69"/>
    </row>
    <row r="29" spans="1:38" x14ac:dyDescent="0.2">
      <c r="B29" s="129"/>
      <c r="C29" s="4" t="s">
        <v>120</v>
      </c>
      <c r="D29" s="10">
        <v>5</v>
      </c>
      <c r="E29" s="10">
        <v>12</v>
      </c>
      <c r="F29" s="10">
        <v>19</v>
      </c>
      <c r="G29" s="14"/>
      <c r="H29" s="120">
        <v>25</v>
      </c>
      <c r="I29" s="120">
        <v>35</v>
      </c>
      <c r="J29" s="120">
        <v>45</v>
      </c>
      <c r="K29" s="14"/>
      <c r="L29" s="115">
        <v>8</v>
      </c>
      <c r="M29" s="115">
        <v>10</v>
      </c>
      <c r="N29" s="118">
        <v>12</v>
      </c>
      <c r="O29" s="14"/>
      <c r="P29" s="115">
        <v>45</v>
      </c>
      <c r="Q29" s="115">
        <v>46</v>
      </c>
      <c r="R29" s="118">
        <v>48</v>
      </c>
      <c r="U29">
        <f>IF(T$27=1,W29,IF(T$27=2,Y29,IF(T$27=3,AA29,AC29)))</f>
        <v>13.3642071429294</v>
      </c>
      <c r="V29" s="37">
        <f>(F29-D29)/6</f>
        <v>2.3333333333333335</v>
      </c>
      <c r="W29" s="39">
        <v>13.3642071429294</v>
      </c>
      <c r="X29" s="38">
        <f>(J29-H29)/6</f>
        <v>3.3333333333333335</v>
      </c>
      <c r="Y29" s="39">
        <v>18.504499288693001</v>
      </c>
      <c r="Z29" s="38">
        <f>(N29-L29)/6</f>
        <v>0.66666666666666663</v>
      </c>
      <c r="AA29" s="39">
        <v>32.028909123547898</v>
      </c>
      <c r="AB29" s="38">
        <f>(R29-P29)/6</f>
        <v>0.5</v>
      </c>
      <c r="AC29" s="59">
        <v>7.4660089317633398</v>
      </c>
      <c r="AE29" s="129"/>
      <c r="AF29" s="4" t="s">
        <v>20</v>
      </c>
      <c r="AG29" s="66">
        <f>AH29*U29</f>
        <v>11561.890558990011</v>
      </c>
      <c r="AH29" s="77">
        <v>865.13853274917699</v>
      </c>
      <c r="AI29" s="68"/>
      <c r="AJ29" s="68">
        <v>700</v>
      </c>
      <c r="AK29" s="68">
        <v>800</v>
      </c>
      <c r="AL29" s="69">
        <v>1000</v>
      </c>
    </row>
    <row r="30" spans="1:38" x14ac:dyDescent="0.2">
      <c r="B30" s="130"/>
      <c r="C30" s="6" t="s">
        <v>121</v>
      </c>
      <c r="D30" s="11">
        <v>0.17</v>
      </c>
      <c r="E30" s="11">
        <v>0.2</v>
      </c>
      <c r="F30" s="11">
        <v>0.23</v>
      </c>
      <c r="G30" s="17"/>
      <c r="H30" s="121">
        <v>0.3</v>
      </c>
      <c r="I30" s="121">
        <v>0.35</v>
      </c>
      <c r="J30" s="121">
        <v>0.4</v>
      </c>
      <c r="K30" s="17"/>
      <c r="L30" s="116">
        <v>0.1</v>
      </c>
      <c r="M30" s="116">
        <v>0.15</v>
      </c>
      <c r="N30" s="119">
        <v>0.2</v>
      </c>
      <c r="O30" s="17"/>
      <c r="P30" s="116">
        <v>0.1</v>
      </c>
      <c r="Q30" s="116">
        <v>0.15</v>
      </c>
      <c r="R30" s="119">
        <v>0.2</v>
      </c>
      <c r="U30" s="44">
        <f>IF(T$27=1,W30,IF(T$27=2,Y30,IF(T$27=3,AA30,AC30)))</f>
        <v>0.38224529231297899</v>
      </c>
      <c r="V30" s="40">
        <f>(F30-D30)/6</f>
        <v>0.01</v>
      </c>
      <c r="W30" s="41">
        <v>0.38224529231297899</v>
      </c>
      <c r="X30" s="42">
        <f>(J30-H30)/6</f>
        <v>1.6666666666666673E-2</v>
      </c>
      <c r="Y30" s="41">
        <v>0.57741598943934602</v>
      </c>
      <c r="Z30" s="42">
        <f>(N30-L30)/6</f>
        <v>1.6666666666666666E-2</v>
      </c>
      <c r="AA30" s="41">
        <v>0.85053262733479396</v>
      </c>
      <c r="AB30" s="42">
        <f>(R30-P30)/6</f>
        <v>1.6666666666666666E-2</v>
      </c>
      <c r="AC30" s="60">
        <v>0.71481012087131801</v>
      </c>
      <c r="AE30" s="130"/>
      <c r="AF30" s="6" t="s">
        <v>26</v>
      </c>
      <c r="AG30" s="70">
        <f>((U$5*(1-U$10)+U$15)*(1-U$20)+U$25)*U30*AH30</f>
        <v>71965.984809593021</v>
      </c>
      <c r="AH30" s="78">
        <v>1876.7675552721601</v>
      </c>
      <c r="AI30" s="71"/>
      <c r="AJ30" s="71">
        <f>0.85*AK30</f>
        <v>459</v>
      </c>
      <c r="AK30" s="71">
        <v>540</v>
      </c>
      <c r="AL30" s="72">
        <f>1.15*AK30</f>
        <v>621</v>
      </c>
    </row>
    <row r="31" spans="1:38" ht="15" x14ac:dyDescent="0.2">
      <c r="B31" s="9"/>
      <c r="C31" s="4"/>
      <c r="T31" s="14" t="s">
        <v>152</v>
      </c>
      <c r="AE31" s="9"/>
      <c r="AF31" s="4"/>
      <c r="AG31" s="79"/>
      <c r="AH31" s="79"/>
      <c r="AI31" s="79"/>
      <c r="AJ31" s="79"/>
      <c r="AK31" s="79"/>
      <c r="AL31" s="79"/>
    </row>
    <row r="32" spans="1:38" ht="16.5" x14ac:dyDescent="0.35">
      <c r="B32" s="128" t="s">
        <v>153</v>
      </c>
      <c r="C32" s="13"/>
      <c r="D32" s="136" t="s">
        <v>154</v>
      </c>
      <c r="E32" s="136"/>
      <c r="F32" s="136"/>
      <c r="G32" s="1"/>
      <c r="H32" s="138" t="s">
        <v>155</v>
      </c>
      <c r="I32" s="136"/>
      <c r="J32" s="136"/>
      <c r="K32" s="1"/>
      <c r="L32" s="136" t="s">
        <v>206</v>
      </c>
      <c r="M32" s="136"/>
      <c r="N32" s="136"/>
      <c r="O32" s="1"/>
      <c r="P32" s="138" t="s">
        <v>207</v>
      </c>
      <c r="Q32" s="136"/>
      <c r="R32" s="136"/>
      <c r="T32" s="36">
        <v>2</v>
      </c>
      <c r="V32" s="139" t="s">
        <v>156</v>
      </c>
      <c r="W32" s="136"/>
      <c r="X32" s="136" t="s">
        <v>157</v>
      </c>
      <c r="Y32" s="136"/>
      <c r="Z32" s="147" t="s">
        <v>158</v>
      </c>
      <c r="AA32" s="147"/>
      <c r="AB32" s="147" t="s">
        <v>159</v>
      </c>
      <c r="AC32" s="148"/>
      <c r="AE32" s="128" t="s">
        <v>35</v>
      </c>
      <c r="AF32" s="13"/>
      <c r="AG32" s="74" t="s">
        <v>111</v>
      </c>
      <c r="AH32" s="75" t="s">
        <v>19</v>
      </c>
      <c r="AI32" s="75"/>
      <c r="AJ32" s="75" t="s">
        <v>112</v>
      </c>
      <c r="AK32" s="75" t="s">
        <v>113</v>
      </c>
      <c r="AL32" s="76" t="s">
        <v>114</v>
      </c>
    </row>
    <row r="33" spans="2:38" x14ac:dyDescent="0.2">
      <c r="B33" s="129"/>
      <c r="C33" s="4"/>
      <c r="D33" s="3" t="s">
        <v>115</v>
      </c>
      <c r="E33" s="3" t="s">
        <v>116</v>
      </c>
      <c r="F33" s="3" t="s">
        <v>117</v>
      </c>
      <c r="H33" s="3" t="s">
        <v>115</v>
      </c>
      <c r="I33" s="3" t="s">
        <v>116</v>
      </c>
      <c r="J33" s="3" t="s">
        <v>117</v>
      </c>
      <c r="L33" s="3" t="s">
        <v>115</v>
      </c>
      <c r="M33" s="3" t="s">
        <v>116</v>
      </c>
      <c r="N33" s="3" t="s">
        <v>117</v>
      </c>
      <c r="P33" s="124" t="s">
        <v>115</v>
      </c>
      <c r="Q33" s="124" t="s">
        <v>116</v>
      </c>
      <c r="R33" s="125" t="s">
        <v>117</v>
      </c>
      <c r="V33" s="37" t="s">
        <v>118</v>
      </c>
      <c r="W33" s="38" t="s">
        <v>119</v>
      </c>
      <c r="X33" s="38" t="s">
        <v>118</v>
      </c>
      <c r="Y33" s="38" t="s">
        <v>119</v>
      </c>
      <c r="Z33" s="38" t="s">
        <v>118</v>
      </c>
      <c r="AA33" s="38" t="s">
        <v>119</v>
      </c>
      <c r="AB33" s="38" t="s">
        <v>118</v>
      </c>
      <c r="AC33" s="50" t="s">
        <v>119</v>
      </c>
      <c r="AE33" s="129"/>
      <c r="AF33" s="4"/>
      <c r="AG33" s="66"/>
      <c r="AH33" s="68"/>
      <c r="AI33" s="68"/>
      <c r="AJ33" s="68"/>
      <c r="AK33" s="68"/>
      <c r="AL33" s="69"/>
    </row>
    <row r="34" spans="2:38" x14ac:dyDescent="0.2">
      <c r="B34" s="129"/>
      <c r="C34" s="4" t="s">
        <v>120</v>
      </c>
      <c r="D34" s="115">
        <v>90</v>
      </c>
      <c r="E34" s="115">
        <v>100</v>
      </c>
      <c r="F34" s="115">
        <v>110</v>
      </c>
      <c r="G34" s="14"/>
      <c r="H34" s="10">
        <v>120</v>
      </c>
      <c r="I34" s="10">
        <v>150</v>
      </c>
      <c r="J34" s="10">
        <v>180</v>
      </c>
      <c r="K34" s="14"/>
      <c r="L34" s="120">
        <v>300</v>
      </c>
      <c r="M34" s="120">
        <v>350</v>
      </c>
      <c r="N34" s="122">
        <v>400</v>
      </c>
      <c r="O34" s="14"/>
      <c r="P34" s="126">
        <v>100</v>
      </c>
      <c r="Q34" s="126">
        <v>120</v>
      </c>
      <c r="R34" s="126">
        <v>150</v>
      </c>
      <c r="U34">
        <f>IF(T$32=1,W34,IF(T$32=2,Y34,IF(T$32=3,AA34,AC34)))</f>
        <v>147.91611086421199</v>
      </c>
      <c r="V34" s="37">
        <f>(F34-D34)/6</f>
        <v>3.3333333333333335</v>
      </c>
      <c r="W34" s="39">
        <v>98.832863318762804</v>
      </c>
      <c r="X34" s="38">
        <f>(J34-H34)/6</f>
        <v>10</v>
      </c>
      <c r="Y34" s="39">
        <v>147.91611086421199</v>
      </c>
      <c r="Z34" s="38">
        <f>(N34-L34)/6</f>
        <v>16.666666666666668</v>
      </c>
      <c r="AA34" s="39">
        <v>233.22313215634401</v>
      </c>
      <c r="AB34" s="38">
        <f>(R34-P34)/6</f>
        <v>8.3333333333333339</v>
      </c>
      <c r="AC34" s="59">
        <v>356.69735281283198</v>
      </c>
      <c r="AE34" s="129"/>
      <c r="AF34" s="4" t="s">
        <v>20</v>
      </c>
      <c r="AG34" s="66">
        <f>AH34*U34</f>
        <v>144157.54528258814</v>
      </c>
      <c r="AH34" s="77">
        <v>974.58988368701603</v>
      </c>
      <c r="AI34" s="68"/>
      <c r="AJ34" s="68">
        <v>700</v>
      </c>
      <c r="AK34" s="68">
        <v>800</v>
      </c>
      <c r="AL34" s="69">
        <v>1000</v>
      </c>
    </row>
    <row r="35" spans="2:38" ht="13.5" thickBot="1" x14ac:dyDescent="0.25">
      <c r="B35" s="130"/>
      <c r="C35" s="6" t="s">
        <v>121</v>
      </c>
      <c r="D35" s="116">
        <v>0.4</v>
      </c>
      <c r="E35" s="116">
        <v>0.5</v>
      </c>
      <c r="F35" s="116">
        <v>0.6</v>
      </c>
      <c r="G35" s="17"/>
      <c r="H35" s="11">
        <v>0.35</v>
      </c>
      <c r="I35" s="11">
        <v>0.39</v>
      </c>
      <c r="J35" s="11">
        <v>0.43</v>
      </c>
      <c r="K35" s="17"/>
      <c r="L35" s="121">
        <v>0.63</v>
      </c>
      <c r="M35" s="121">
        <v>0.68</v>
      </c>
      <c r="N35" s="123">
        <v>0.73</v>
      </c>
      <c r="O35" s="17"/>
      <c r="P35" s="127">
        <v>0.35499999999999998</v>
      </c>
      <c r="Q35" s="127">
        <v>0.4</v>
      </c>
      <c r="R35" s="127">
        <v>0.42499999999999999</v>
      </c>
      <c r="U35" s="44">
        <f>IF(T$32=1,W35,IF(T$32=2,Y35,IF(T$32=3,AA35,AC35)))</f>
        <v>0.59468087581783902</v>
      </c>
      <c r="V35" s="40">
        <f>(F35-D35)/6</f>
        <v>3.3333333333333326E-2</v>
      </c>
      <c r="W35" s="41">
        <v>0.562048101461327</v>
      </c>
      <c r="X35" s="42">
        <f>(J35-H35)/6</f>
        <v>1.3333333333333336E-2</v>
      </c>
      <c r="Y35" s="41">
        <v>0.59468087581783902</v>
      </c>
      <c r="Z35" s="42">
        <f>(N35-L35)/6</f>
        <v>1.6666666666666663E-2</v>
      </c>
      <c r="AA35" s="41">
        <v>0.67798466642768296</v>
      </c>
      <c r="AB35" s="42">
        <f>(R35-P35)/6</f>
        <v>1.1666666666666667E-2</v>
      </c>
      <c r="AC35" s="60">
        <v>0.80261845298502499</v>
      </c>
      <c r="AE35" s="130"/>
      <c r="AF35" s="6" t="s">
        <v>26</v>
      </c>
      <c r="AG35" s="70">
        <f>((U$5*(1-U$10)+U$15)*(1-U$20)+U$25)*(1-U$30)*U35*AH35</f>
        <v>93914.381237560039</v>
      </c>
      <c r="AH35" s="78">
        <v>2548.34031543934</v>
      </c>
      <c r="AI35" s="71"/>
      <c r="AJ35" s="71">
        <f>0.85*AK35</f>
        <v>459</v>
      </c>
      <c r="AK35" s="71">
        <v>540</v>
      </c>
      <c r="AL35" s="72">
        <f>1.15*AK35</f>
        <v>621</v>
      </c>
    </row>
    <row r="36" spans="2:38" ht="15.75" thickBot="1" x14ac:dyDescent="0.25">
      <c r="B36" s="9"/>
      <c r="C36" s="4"/>
      <c r="T36" s="14" t="s">
        <v>160</v>
      </c>
      <c r="AE36" s="9"/>
      <c r="AF36" s="4"/>
      <c r="AG36" s="79"/>
      <c r="AH36" s="79"/>
      <c r="AI36" s="79"/>
      <c r="AJ36" s="79"/>
      <c r="AK36" s="79"/>
      <c r="AL36" s="79"/>
    </row>
    <row r="37" spans="2:38" x14ac:dyDescent="0.2">
      <c r="B37" s="128" t="s">
        <v>161</v>
      </c>
      <c r="C37" s="13"/>
      <c r="D37" s="138" t="s">
        <v>162</v>
      </c>
      <c r="E37" s="136"/>
      <c r="F37" s="136"/>
      <c r="G37" s="1"/>
      <c r="H37" s="136"/>
      <c r="I37" s="136"/>
      <c r="J37" s="136"/>
      <c r="K37" s="1"/>
      <c r="L37" s="138"/>
      <c r="M37" s="136"/>
      <c r="N37" s="137"/>
      <c r="T37" s="14">
        <v>1</v>
      </c>
      <c r="V37" s="139" t="s">
        <v>163</v>
      </c>
      <c r="W37" s="136"/>
      <c r="X37" s="136" t="s">
        <v>164</v>
      </c>
      <c r="Y37" s="136"/>
      <c r="Z37" s="136" t="s">
        <v>165</v>
      </c>
      <c r="AA37" s="137"/>
      <c r="AE37" s="128" t="s">
        <v>36</v>
      </c>
      <c r="AF37" s="13"/>
      <c r="AG37" s="74" t="s">
        <v>111</v>
      </c>
      <c r="AH37" s="75" t="s">
        <v>19</v>
      </c>
      <c r="AI37" s="75"/>
      <c r="AJ37" s="75" t="s">
        <v>112</v>
      </c>
      <c r="AK37" s="75" t="s">
        <v>113</v>
      </c>
      <c r="AL37" s="76" t="s">
        <v>114</v>
      </c>
    </row>
    <row r="38" spans="2:38" x14ac:dyDescent="0.2">
      <c r="B38" s="129"/>
      <c r="C38" s="4"/>
      <c r="D38" s="3" t="s">
        <v>115</v>
      </c>
      <c r="E38" s="3" t="s">
        <v>116</v>
      </c>
      <c r="F38" s="3" t="s">
        <v>117</v>
      </c>
      <c r="H38" s="3" t="s">
        <v>115</v>
      </c>
      <c r="I38" s="3" t="s">
        <v>116</v>
      </c>
      <c r="J38" s="3" t="s">
        <v>117</v>
      </c>
      <c r="L38" s="3" t="s">
        <v>115</v>
      </c>
      <c r="M38" s="3" t="s">
        <v>116</v>
      </c>
      <c r="N38" s="27" t="s">
        <v>117</v>
      </c>
      <c r="V38" s="37" t="s">
        <v>118</v>
      </c>
      <c r="W38" s="38" t="s">
        <v>119</v>
      </c>
      <c r="X38" s="38" t="s">
        <v>118</v>
      </c>
      <c r="Y38" s="38" t="s">
        <v>119</v>
      </c>
      <c r="Z38" s="38" t="s">
        <v>118</v>
      </c>
      <c r="AA38" s="50" t="s">
        <v>119</v>
      </c>
      <c r="AE38" s="129"/>
      <c r="AF38" s="4"/>
      <c r="AG38" s="66"/>
      <c r="AH38" s="68"/>
      <c r="AI38" s="68"/>
      <c r="AJ38" s="68"/>
      <c r="AK38" s="68"/>
      <c r="AL38" s="69"/>
    </row>
    <row r="39" spans="2:38" x14ac:dyDescent="0.2">
      <c r="B39" s="129"/>
      <c r="C39" s="4" t="s">
        <v>120</v>
      </c>
      <c r="D39" s="115">
        <v>0</v>
      </c>
      <c r="E39" s="115">
        <v>5.0000000000000001E-3</v>
      </c>
      <c r="F39" s="115">
        <v>0.01</v>
      </c>
      <c r="G39" s="14"/>
      <c r="H39" s="18">
        <v>40</v>
      </c>
      <c r="I39" s="18">
        <v>50</v>
      </c>
      <c r="J39" s="18">
        <v>60</v>
      </c>
      <c r="K39" s="14"/>
      <c r="L39" s="18">
        <v>35</v>
      </c>
      <c r="M39" s="18">
        <v>40</v>
      </c>
      <c r="N39" s="32">
        <v>45</v>
      </c>
      <c r="U39">
        <f>IF(T$37=1,W39,IF(T$37=2,Y39,AA39))</f>
        <v>4.7126406652342303E-3</v>
      </c>
      <c r="V39" s="37">
        <f>(F39-D39)/6</f>
        <v>1.6666666666666668E-3</v>
      </c>
      <c r="W39" s="39">
        <v>4.7126406652342303E-3</v>
      </c>
      <c r="X39" s="38">
        <f>(J39-H39)/6</f>
        <v>3.3333333333333335</v>
      </c>
      <c r="Y39" s="39">
        <v>51.104830365428597</v>
      </c>
      <c r="Z39" s="38">
        <f>(N39-L39)/6</f>
        <v>1.6666666666666667</v>
      </c>
      <c r="AA39" s="59">
        <v>40.775055325658698</v>
      </c>
      <c r="AE39" s="129"/>
      <c r="AF39" s="4" t="s">
        <v>20</v>
      </c>
      <c r="AG39" s="66">
        <f>AH39*U39</f>
        <v>3.8883905008069104</v>
      </c>
      <c r="AH39" s="77">
        <v>825.09802402124103</v>
      </c>
      <c r="AI39" s="68"/>
      <c r="AJ39" s="68">
        <v>700</v>
      </c>
      <c r="AK39" s="68">
        <v>800</v>
      </c>
      <c r="AL39" s="69">
        <v>1000</v>
      </c>
    </row>
    <row r="40" spans="2:38" x14ac:dyDescent="0.2">
      <c r="B40" s="130"/>
      <c r="C40" s="6" t="s">
        <v>121</v>
      </c>
      <c r="D40" s="116">
        <v>0</v>
      </c>
      <c r="E40" s="116">
        <v>5.0000000000000002E-5</v>
      </c>
      <c r="F40" s="116">
        <v>1E-4</v>
      </c>
      <c r="G40" s="17"/>
      <c r="H40" s="19">
        <v>0.55000000000000004</v>
      </c>
      <c r="I40" s="19">
        <v>0.6</v>
      </c>
      <c r="J40" s="19">
        <v>0.65</v>
      </c>
      <c r="K40" s="17"/>
      <c r="L40" s="19">
        <v>0.7</v>
      </c>
      <c r="M40" s="19">
        <v>0.75</v>
      </c>
      <c r="N40" s="33">
        <v>0.8</v>
      </c>
      <c r="U40">
        <f>IF(T$37=1,W40,IF(T$37=2,Y40,AA40))</f>
        <v>2.6923398573117202E-5</v>
      </c>
      <c r="V40" s="40">
        <f>(F40-D40)/6</f>
        <v>1.6666666666666667E-5</v>
      </c>
      <c r="W40" s="41">
        <v>2.6923398573117202E-5</v>
      </c>
      <c r="X40" s="42">
        <f>(J40-H40)/6</f>
        <v>1.6666666666666663E-2</v>
      </c>
      <c r="Y40" s="41">
        <v>0.61443141501861898</v>
      </c>
      <c r="Z40" s="42">
        <f>(N40-L40)/6</f>
        <v>1.666666666666668E-2</v>
      </c>
      <c r="AA40" s="60">
        <v>0.75004418354881697</v>
      </c>
      <c r="AE40" s="130"/>
      <c r="AF40" s="6" t="s">
        <v>26</v>
      </c>
      <c r="AG40" s="70">
        <f>((U$5*(1-U$10)+U$15)*(1-U$20)+U$25)*(1-U$30)*(1-U$35)*U40*AH40</f>
        <v>2.6582109876036881</v>
      </c>
      <c r="AH40" s="78">
        <v>3930.7169234063899</v>
      </c>
      <c r="AI40" s="71"/>
      <c r="AJ40" s="71">
        <v>3000</v>
      </c>
      <c r="AK40" s="71">
        <v>3500</v>
      </c>
      <c r="AL40" s="72">
        <v>4500</v>
      </c>
    </row>
    <row r="41" spans="2:38" ht="15" x14ac:dyDescent="0.2">
      <c r="B41" s="9"/>
      <c r="C41" s="4"/>
      <c r="T41" s="14" t="s">
        <v>166</v>
      </c>
      <c r="AE41" s="9"/>
      <c r="AF41" s="4"/>
      <c r="AG41" s="79"/>
      <c r="AH41" s="79"/>
      <c r="AI41" s="79"/>
      <c r="AJ41" s="79"/>
      <c r="AK41" s="79"/>
      <c r="AL41" s="79"/>
    </row>
    <row r="42" spans="2:38" x14ac:dyDescent="0.2">
      <c r="B42" s="128" t="s">
        <v>167</v>
      </c>
      <c r="C42" s="13"/>
      <c r="D42" s="138" t="s">
        <v>168</v>
      </c>
      <c r="E42" s="136"/>
      <c r="F42" s="136"/>
      <c r="G42" s="1"/>
      <c r="H42" s="138" t="s">
        <v>203</v>
      </c>
      <c r="I42" s="136"/>
      <c r="J42" s="136"/>
      <c r="K42" s="1"/>
      <c r="L42" s="138" t="s">
        <v>170</v>
      </c>
      <c r="M42" s="136"/>
      <c r="N42" s="137"/>
      <c r="T42" s="36">
        <v>1</v>
      </c>
      <c r="V42" s="139" t="s">
        <v>171</v>
      </c>
      <c r="W42" s="136"/>
      <c r="X42" s="136" t="s">
        <v>172</v>
      </c>
      <c r="Y42" s="136"/>
      <c r="Z42" s="143" t="s">
        <v>173</v>
      </c>
      <c r="AA42" s="144"/>
      <c r="AE42" s="128" t="s">
        <v>37</v>
      </c>
      <c r="AF42" s="13"/>
      <c r="AG42" s="74" t="s">
        <v>111</v>
      </c>
      <c r="AH42" s="75" t="s">
        <v>19</v>
      </c>
      <c r="AI42" s="75"/>
      <c r="AJ42" s="75" t="s">
        <v>112</v>
      </c>
      <c r="AK42" s="75" t="s">
        <v>113</v>
      </c>
      <c r="AL42" s="76" t="s">
        <v>114</v>
      </c>
    </row>
    <row r="43" spans="2:38" x14ac:dyDescent="0.2">
      <c r="B43" s="129"/>
      <c r="C43" s="4"/>
      <c r="D43" s="3" t="s">
        <v>115</v>
      </c>
      <c r="E43" s="3" t="s">
        <v>116</v>
      </c>
      <c r="F43" s="3" t="s">
        <v>117</v>
      </c>
      <c r="H43" s="3" t="s">
        <v>115</v>
      </c>
      <c r="I43" s="3" t="s">
        <v>116</v>
      </c>
      <c r="J43" s="3" t="s">
        <v>117</v>
      </c>
      <c r="L43" s="3" t="s">
        <v>115</v>
      </c>
      <c r="M43" s="3" t="s">
        <v>116</v>
      </c>
      <c r="N43" s="27" t="s">
        <v>117</v>
      </c>
      <c r="V43" s="37" t="s">
        <v>118</v>
      </c>
      <c r="W43" s="38" t="s">
        <v>119</v>
      </c>
      <c r="X43" s="38" t="s">
        <v>118</v>
      </c>
      <c r="Y43" s="38" t="s">
        <v>119</v>
      </c>
      <c r="Z43" s="38" t="s">
        <v>118</v>
      </c>
      <c r="AA43" s="50" t="s">
        <v>119</v>
      </c>
      <c r="AE43" s="129"/>
      <c r="AF43" s="4"/>
      <c r="AG43" s="66"/>
      <c r="AH43" s="68"/>
      <c r="AI43" s="68"/>
      <c r="AJ43" s="68"/>
      <c r="AK43" s="68"/>
      <c r="AL43" s="69"/>
    </row>
    <row r="44" spans="2:38" x14ac:dyDescent="0.2">
      <c r="B44" s="129"/>
      <c r="C44" s="4" t="s">
        <v>120</v>
      </c>
      <c r="D44" s="10">
        <v>75</v>
      </c>
      <c r="E44" s="10">
        <v>80</v>
      </c>
      <c r="F44" s="10">
        <v>85</v>
      </c>
      <c r="G44" s="14"/>
      <c r="H44" s="115">
        <v>110</v>
      </c>
      <c r="I44" s="115">
        <v>120</v>
      </c>
      <c r="J44" s="115">
        <v>130</v>
      </c>
      <c r="K44" s="14"/>
      <c r="L44" s="115">
        <v>140</v>
      </c>
      <c r="M44" s="115">
        <v>150</v>
      </c>
      <c r="N44" s="118">
        <v>160</v>
      </c>
      <c r="U44">
        <f>IF(T$42=1,W44,IF(T$42=2,Y44,AA44))</f>
        <v>98.689783429840801</v>
      </c>
      <c r="V44" s="37">
        <f>(F44-D44)/6</f>
        <v>1.6666666666666667</v>
      </c>
      <c r="W44" s="39">
        <v>98.689783429840801</v>
      </c>
      <c r="X44" s="38">
        <f>(J44-H44)/6</f>
        <v>3.3333333333333335</v>
      </c>
      <c r="Y44" s="39">
        <v>81.433943226900595</v>
      </c>
      <c r="Z44" s="38">
        <f>(N44-L44)/6</f>
        <v>3.3333333333333335</v>
      </c>
      <c r="AA44" s="59">
        <v>71.671021518283496</v>
      </c>
      <c r="AE44" s="129"/>
      <c r="AF44" s="4" t="s">
        <v>20</v>
      </c>
      <c r="AG44" s="66">
        <f>AH44*U44</f>
        <v>79004.223515017613</v>
      </c>
      <c r="AH44" s="77">
        <v>800.53092396521697</v>
      </c>
      <c r="AI44" s="68"/>
      <c r="AJ44" s="68">
        <v>700</v>
      </c>
      <c r="AK44" s="68">
        <v>800</v>
      </c>
      <c r="AL44" s="69">
        <v>1000</v>
      </c>
    </row>
    <row r="45" spans="2:38" x14ac:dyDescent="0.2">
      <c r="B45" s="130"/>
      <c r="C45" s="6" t="s">
        <v>121</v>
      </c>
      <c r="D45" s="11">
        <v>0.8</v>
      </c>
      <c r="E45" s="11">
        <v>0.84</v>
      </c>
      <c r="F45" s="11">
        <v>0.89</v>
      </c>
      <c r="G45" s="17"/>
      <c r="H45" s="116">
        <v>0.505</v>
      </c>
      <c r="I45" s="116">
        <v>0.55500000000000005</v>
      </c>
      <c r="J45" s="116">
        <v>0.60499999999999998</v>
      </c>
      <c r="K45" s="17"/>
      <c r="L45" s="116">
        <v>0.8</v>
      </c>
      <c r="M45" s="116">
        <v>0.85</v>
      </c>
      <c r="N45" s="119">
        <v>0.9</v>
      </c>
      <c r="U45">
        <f>IF(T$42=1,W45,IF(T$42=2,Y45,AA45))</f>
        <v>0.67982003828992998</v>
      </c>
      <c r="V45" s="40">
        <f>(F45-D45)/6</f>
        <v>1.4999999999999994E-2</v>
      </c>
      <c r="W45" s="41">
        <v>0.67982003828992998</v>
      </c>
      <c r="X45" s="42">
        <f>(J45-H45)/6</f>
        <v>1.6666666666666663E-2</v>
      </c>
      <c r="Y45" s="41">
        <v>0.77256815725737904</v>
      </c>
      <c r="Z45" s="42">
        <f>(N45-L45)/6</f>
        <v>1.6666666666666663E-2</v>
      </c>
      <c r="AA45" s="60">
        <v>0.88185329760728504</v>
      </c>
      <c r="AE45" s="130"/>
      <c r="AF45" s="6" t="s">
        <v>26</v>
      </c>
      <c r="AG45" s="70">
        <f>((U$5*(1-U$10)+U$15)*(1-U$20)+U$25)*(1-U$30)*(1-U$35)*(1-U$40)*U45*AH45</f>
        <v>124791.50467414204</v>
      </c>
      <c r="AH45" s="78">
        <v>7308.2762092869398</v>
      </c>
      <c r="AI45" s="71"/>
      <c r="AJ45" s="71">
        <f>0.85*AK45</f>
        <v>5780</v>
      </c>
      <c r="AK45" s="71">
        <v>6800</v>
      </c>
      <c r="AL45" s="72">
        <f>1.15*AK45</f>
        <v>7819.9999999999991</v>
      </c>
    </row>
    <row r="46" spans="2:38" ht="15" x14ac:dyDescent="0.2">
      <c r="B46" s="9"/>
      <c r="C46" s="4"/>
      <c r="T46" s="14" t="s">
        <v>174</v>
      </c>
      <c r="AE46" s="9"/>
      <c r="AF46" s="4"/>
      <c r="AG46" s="79"/>
      <c r="AH46" s="79"/>
      <c r="AI46" s="79"/>
      <c r="AJ46" s="79"/>
      <c r="AK46" s="79"/>
      <c r="AL46" s="79"/>
    </row>
    <row r="47" spans="2:38" x14ac:dyDescent="0.2">
      <c r="B47" s="128" t="s">
        <v>175</v>
      </c>
      <c r="C47" s="13"/>
      <c r="D47" s="138" t="s">
        <v>176</v>
      </c>
      <c r="E47" s="136"/>
      <c r="F47" s="136"/>
      <c r="G47" s="1"/>
      <c r="H47" s="138" t="s">
        <v>169</v>
      </c>
      <c r="I47" s="136"/>
      <c r="J47" s="136"/>
      <c r="K47" s="1"/>
      <c r="L47" s="138" t="s">
        <v>177</v>
      </c>
      <c r="M47" s="136"/>
      <c r="N47" s="137"/>
      <c r="T47" s="36">
        <v>3</v>
      </c>
      <c r="V47" s="139" t="s">
        <v>178</v>
      </c>
      <c r="W47" s="136"/>
      <c r="X47" s="136" t="s">
        <v>179</v>
      </c>
      <c r="Y47" s="136"/>
      <c r="Z47" s="136" t="s">
        <v>180</v>
      </c>
      <c r="AA47" s="137"/>
      <c r="AE47" s="128" t="s">
        <v>38</v>
      </c>
      <c r="AF47" s="13"/>
      <c r="AG47" s="74" t="s">
        <v>111</v>
      </c>
      <c r="AH47" s="75" t="s">
        <v>19</v>
      </c>
      <c r="AI47" s="75"/>
      <c r="AJ47" s="75" t="s">
        <v>112</v>
      </c>
      <c r="AK47" s="75" t="s">
        <v>113</v>
      </c>
      <c r="AL47" s="76" t="s">
        <v>114</v>
      </c>
    </row>
    <row r="48" spans="2:38" x14ac:dyDescent="0.2">
      <c r="B48" s="129"/>
      <c r="C48" s="4"/>
      <c r="D48" s="3" t="s">
        <v>115</v>
      </c>
      <c r="E48" s="3" t="s">
        <v>116</v>
      </c>
      <c r="F48" s="3" t="s">
        <v>117</v>
      </c>
      <c r="H48" s="3" t="s">
        <v>115</v>
      </c>
      <c r="I48" s="3" t="s">
        <v>116</v>
      </c>
      <c r="J48" s="3" t="s">
        <v>117</v>
      </c>
      <c r="L48" s="3" t="s">
        <v>115</v>
      </c>
      <c r="M48" s="3" t="s">
        <v>116</v>
      </c>
      <c r="N48" s="27" t="s">
        <v>117</v>
      </c>
      <c r="V48" s="37" t="s">
        <v>118</v>
      </c>
      <c r="W48" s="38" t="s">
        <v>119</v>
      </c>
      <c r="X48" s="38" t="s">
        <v>118</v>
      </c>
      <c r="Y48" s="38" t="s">
        <v>119</v>
      </c>
      <c r="Z48" s="38" t="s">
        <v>118</v>
      </c>
      <c r="AA48" s="50" t="s">
        <v>119</v>
      </c>
      <c r="AE48" s="129"/>
      <c r="AF48" s="4"/>
      <c r="AG48" s="66"/>
      <c r="AH48" s="68"/>
      <c r="AI48" s="68"/>
      <c r="AJ48" s="68"/>
      <c r="AK48" s="68"/>
      <c r="AL48" s="69"/>
    </row>
    <row r="49" spans="1:38" x14ac:dyDescent="0.2">
      <c r="B49" s="129"/>
      <c r="C49" s="4" t="s">
        <v>120</v>
      </c>
      <c r="D49" s="115">
        <v>15</v>
      </c>
      <c r="E49" s="115">
        <v>20</v>
      </c>
      <c r="F49" s="115">
        <v>25</v>
      </c>
      <c r="G49" s="14"/>
      <c r="H49" s="115">
        <v>25</v>
      </c>
      <c r="I49" s="115">
        <v>30</v>
      </c>
      <c r="J49" s="115">
        <v>35</v>
      </c>
      <c r="K49" s="14"/>
      <c r="L49" s="10">
        <v>50</v>
      </c>
      <c r="M49" s="10">
        <v>60</v>
      </c>
      <c r="N49" s="30">
        <v>70</v>
      </c>
      <c r="U49">
        <f>IF(T$47=1,W49,IF(T$47=2,Y49,AA49))</f>
        <v>63.2907011272031</v>
      </c>
      <c r="V49" s="37">
        <f>(F49-D49)/6</f>
        <v>1.6666666666666667</v>
      </c>
      <c r="W49" s="39">
        <v>20.808495191395298</v>
      </c>
      <c r="X49" s="38">
        <f>(J49-H49)/6</f>
        <v>1.6666666666666667</v>
      </c>
      <c r="Y49" s="39">
        <v>29.479617493949</v>
      </c>
      <c r="Z49" s="38">
        <f>(N49-L49)/6</f>
        <v>3.3333333333333335</v>
      </c>
      <c r="AA49" s="59">
        <v>63.2907011272031</v>
      </c>
      <c r="AE49" s="129"/>
      <c r="AF49" s="4" t="s">
        <v>20</v>
      </c>
      <c r="AG49" s="66">
        <f>AH49*U49</f>
        <v>52795.295248911949</v>
      </c>
      <c r="AH49" s="77">
        <v>834.17143922616299</v>
      </c>
      <c r="AI49" s="68"/>
      <c r="AJ49" s="68">
        <v>700</v>
      </c>
      <c r="AK49" s="68">
        <v>800</v>
      </c>
      <c r="AL49" s="69">
        <v>1000</v>
      </c>
    </row>
    <row r="50" spans="1:38" x14ac:dyDescent="0.2">
      <c r="B50" s="130"/>
      <c r="C50" s="6" t="s">
        <v>121</v>
      </c>
      <c r="D50" s="116">
        <v>0.7</v>
      </c>
      <c r="E50" s="116">
        <v>0.75</v>
      </c>
      <c r="F50" s="116">
        <v>0.8</v>
      </c>
      <c r="G50" s="17"/>
      <c r="H50" s="116">
        <v>0.8</v>
      </c>
      <c r="I50" s="116">
        <v>0.85</v>
      </c>
      <c r="J50" s="116">
        <v>0.9</v>
      </c>
      <c r="K50" s="17"/>
      <c r="L50" s="11">
        <v>0.997</v>
      </c>
      <c r="M50" s="11">
        <v>0.998</v>
      </c>
      <c r="N50" s="34">
        <v>0.999</v>
      </c>
      <c r="U50">
        <f>IF(T$47=1,W50,IF(T$47=2,Y50,AA50))</f>
        <v>0.93178558953738899</v>
      </c>
      <c r="V50" s="40">
        <f>(F50-D50)/6</f>
        <v>1.666666666666668E-2</v>
      </c>
      <c r="W50" s="41">
        <v>0.75010013840215595</v>
      </c>
      <c r="X50" s="42">
        <f>(J50-H50)/6</f>
        <v>1.6666666666666663E-2</v>
      </c>
      <c r="Y50" s="41">
        <v>0.82163204352409702</v>
      </c>
      <c r="Z50" s="42">
        <f>(N50-L50)/6</f>
        <v>3.3333333333333365E-4</v>
      </c>
      <c r="AA50" s="60">
        <v>0.93178558953738899</v>
      </c>
      <c r="AE50" s="130"/>
      <c r="AF50" s="6" t="s">
        <v>26</v>
      </c>
      <c r="AG50" s="70">
        <f>((U$5*(1-U$10)+U$15)*(1-U$20)+U$25)*(1-U$30)*(1-U$35)*(1-U$40)*(1-U$45)*U50*AH50</f>
        <v>131896.57017758995</v>
      </c>
      <c r="AH50" s="78">
        <v>17601.4018206529</v>
      </c>
      <c r="AI50" s="71"/>
      <c r="AJ50" s="71">
        <f>0.85*AK50</f>
        <v>17000</v>
      </c>
      <c r="AK50" s="71">
        <v>20000</v>
      </c>
      <c r="AL50" s="72">
        <f>1.15*AK50</f>
        <v>23000</v>
      </c>
    </row>
    <row r="51" spans="1:38" x14ac:dyDescent="0.2">
      <c r="B51" s="20"/>
      <c r="C51" s="4"/>
    </row>
    <row r="52" spans="1:38" x14ac:dyDescent="0.2">
      <c r="B52" s="20"/>
      <c r="C52" s="4"/>
      <c r="AE52" s="61" t="s">
        <v>39</v>
      </c>
      <c r="AF52" s="62" t="s">
        <v>26</v>
      </c>
      <c r="AG52" s="80">
        <f>((U$5*(1-U$10)+U$15)*(1-U$20)+U$25)*(1-U$30)*(1-U$35)*(1-U$40)*(1-U$45)*(1-U50)*AH52</f>
        <v>13714.702585888635</v>
      </c>
      <c r="AH52" s="61">
        <v>25000</v>
      </c>
    </row>
    <row r="53" spans="1:38" x14ac:dyDescent="0.2">
      <c r="B53" s="20"/>
      <c r="C53" s="4"/>
      <c r="P53" s="35"/>
      <c r="S53" s="45"/>
      <c r="T53" s="46" t="s">
        <v>181</v>
      </c>
      <c r="U53" s="47">
        <f>AG4+AG9+AG14+AG19+AG24+AG29+AG34+AG39+AG44+AG49</f>
        <v>517039.61061950662</v>
      </c>
    </row>
    <row r="54" spans="1:38" x14ac:dyDescent="0.2">
      <c r="C54" s="4"/>
      <c r="S54" s="48"/>
      <c r="T54" s="49" t="s">
        <v>182</v>
      </c>
      <c r="U54" s="50"/>
    </row>
    <row r="55" spans="1:38" ht="15.75" x14ac:dyDescent="0.25">
      <c r="B55" s="21" t="s">
        <v>183</v>
      </c>
      <c r="C55" s="4"/>
      <c r="P55" s="35" t="s">
        <v>184</v>
      </c>
      <c r="Q55" t="s">
        <v>185</v>
      </c>
      <c r="R55">
        <v>190</v>
      </c>
      <c r="S55" s="51"/>
      <c r="T55" s="52" t="s">
        <v>186</v>
      </c>
      <c r="U55" s="53">
        <f>AG10+AG20+AG30+AG35+AG40+AG45+AG50+AG52</f>
        <v>479044.12305891101</v>
      </c>
    </row>
    <row r="56" spans="1:38" ht="28.5" customHeight="1" x14ac:dyDescent="0.2">
      <c r="A56" s="22" t="s">
        <v>187</v>
      </c>
      <c r="B56" s="150" t="s">
        <v>188</v>
      </c>
      <c r="C56" s="151"/>
      <c r="D56" s="23">
        <f>IF(AND(Design_Decision&gt;1,DR_Decision&lt;3),1,0)</f>
        <v>0</v>
      </c>
      <c r="T56" s="54"/>
    </row>
    <row r="57" spans="1:38" x14ac:dyDescent="0.2">
      <c r="A57" s="24"/>
      <c r="B57" s="25"/>
      <c r="C57" s="4"/>
      <c r="S57" s="55"/>
      <c r="T57" s="56" t="s">
        <v>189</v>
      </c>
      <c r="U57" s="57">
        <f>U53+U55</f>
        <v>996083.73367841763</v>
      </c>
    </row>
    <row r="58" spans="1:38" ht="25.5" customHeight="1" x14ac:dyDescent="0.2">
      <c r="A58" s="22" t="s">
        <v>190</v>
      </c>
      <c r="B58" s="150" t="s">
        <v>191</v>
      </c>
      <c r="C58" s="151"/>
      <c r="D58" s="23">
        <f>IF(AND(Code_Decision&lt;3,CR_Decision&lt;3),1,0)</f>
        <v>0</v>
      </c>
    </row>
    <row r="59" spans="1:38" x14ac:dyDescent="0.2">
      <c r="A59" s="24"/>
      <c r="B59" s="25"/>
      <c r="C59" s="4"/>
    </row>
    <row r="60" spans="1:38" ht="24.75" customHeight="1" x14ac:dyDescent="0.2">
      <c r="A60" s="22" t="s">
        <v>192</v>
      </c>
      <c r="B60" s="150" t="s">
        <v>193</v>
      </c>
      <c r="C60" s="151"/>
      <c r="D60" s="23">
        <f>IF(AND(CR_Decision&lt;3,UT_Decision=1),1,0)</f>
        <v>0</v>
      </c>
      <c r="T60" t="s">
        <v>194</v>
      </c>
      <c r="U60" s="58">
        <f>((U$5*(1-U$10)+U$15)*(1-U$20)+U$25)*(1-U$30)*(1-U$35)*(1-U$40)*(1-U$45)*(1-U50)</f>
        <v>0.54858810343554543</v>
      </c>
    </row>
    <row r="61" spans="1:38" x14ac:dyDescent="0.2">
      <c r="B61" s="20"/>
      <c r="C61" s="4"/>
    </row>
    <row r="62" spans="1:38" x14ac:dyDescent="0.2">
      <c r="B62" s="20"/>
      <c r="C62" s="4"/>
      <c r="T62" t="s">
        <v>195</v>
      </c>
      <c r="U62" s="58">
        <f>U5*U10</f>
        <v>17.764368864208901</v>
      </c>
    </row>
    <row r="63" spans="1:38" x14ac:dyDescent="0.2">
      <c r="B63" s="20"/>
      <c r="C63" s="4"/>
    </row>
    <row r="64" spans="1:38" x14ac:dyDescent="0.2">
      <c r="B64" s="20"/>
      <c r="C64" s="4"/>
      <c r="T64" t="s">
        <v>196</v>
      </c>
      <c r="U64" s="58">
        <f>(U$5*(1-U$10)+U$15)*U20</f>
        <v>19.038373531206386</v>
      </c>
    </row>
    <row r="65" spans="2:21" x14ac:dyDescent="0.2">
      <c r="B65" s="20"/>
      <c r="C65" s="4"/>
    </row>
    <row r="66" spans="2:21" x14ac:dyDescent="0.2">
      <c r="B66" s="20"/>
      <c r="C66" s="4"/>
      <c r="T66" t="s">
        <v>197</v>
      </c>
      <c r="U66" s="58">
        <f>((U$5*(1-U$10)+U$15)*(1-U$20)+U$25)*U30</f>
        <v>38.345710211916391</v>
      </c>
    </row>
    <row r="67" spans="2:21" x14ac:dyDescent="0.2">
      <c r="B67" s="20"/>
      <c r="C67" s="4"/>
    </row>
    <row r="68" spans="2:21" x14ac:dyDescent="0.2">
      <c r="B68" s="20"/>
      <c r="C68" s="4"/>
      <c r="T68" t="s">
        <v>198</v>
      </c>
      <c r="U68" s="58">
        <f>((U$5*(1-U$10)+U$15)*(1-U$20)+U$25)*(1-U$30)*U35</f>
        <v>36.853155235417987</v>
      </c>
    </row>
    <row r="69" spans="2:21" x14ac:dyDescent="0.2">
      <c r="B69" s="20"/>
      <c r="C69" s="4"/>
    </row>
    <row r="70" spans="2:21" x14ac:dyDescent="0.2">
      <c r="C70" s="4"/>
      <c r="T70" t="s">
        <v>199</v>
      </c>
      <c r="U70" s="58">
        <f>((U$5*(1-U$10)+U$15)*(1-U$20)+U$25)*(1-U$30)*(1-U$35)*U40</f>
        <v>6.7626619759228598E-4</v>
      </c>
    </row>
    <row r="72" spans="2:21" x14ac:dyDescent="0.2">
      <c r="T72" t="s">
        <v>200</v>
      </c>
      <c r="U72" s="58">
        <f>((U$5*(1-U$10)+U$15)*(1-U$20)+U$25)*(1-U$30)*(1-U$35)*(1-U$40)*U45</f>
        <v>17.075367857000824</v>
      </c>
    </row>
    <row r="74" spans="2:21" x14ac:dyDescent="0.2">
      <c r="T74" t="s">
        <v>201</v>
      </c>
      <c r="U74" s="58">
        <f>((U$5*(1-U$10)+U$15)*(1-U$20)+U$25)*(1-U$30)*(1-U$35)*(1-U$40)*(1-U$45)*U50</f>
        <v>7.4935264544001772</v>
      </c>
    </row>
  </sheetData>
  <mergeCells count="93">
    <mergeCell ref="Z37:AA37"/>
    <mergeCell ref="AE27:AE30"/>
    <mergeCell ref="AE32:AE35"/>
    <mergeCell ref="AE37:AE40"/>
    <mergeCell ref="AE42:AE45"/>
    <mergeCell ref="AE47:AE50"/>
    <mergeCell ref="AE2:AE5"/>
    <mergeCell ref="AE7:AE10"/>
    <mergeCell ref="AE12:AE15"/>
    <mergeCell ref="AE17:AE20"/>
    <mergeCell ref="AE22:AE25"/>
    <mergeCell ref="B56:C56"/>
    <mergeCell ref="B58:C58"/>
    <mergeCell ref="B60:C60"/>
    <mergeCell ref="B2:B5"/>
    <mergeCell ref="B7:B10"/>
    <mergeCell ref="B12:B15"/>
    <mergeCell ref="B17:B20"/>
    <mergeCell ref="B22:B25"/>
    <mergeCell ref="B27:B30"/>
    <mergeCell ref="B32:B35"/>
    <mergeCell ref="B37:B40"/>
    <mergeCell ref="B42:B45"/>
    <mergeCell ref="B47:B50"/>
    <mergeCell ref="Z42:AA42"/>
    <mergeCell ref="Z47:AA47"/>
    <mergeCell ref="D42:F42"/>
    <mergeCell ref="H42:J42"/>
    <mergeCell ref="L42:N42"/>
    <mergeCell ref="V42:W42"/>
    <mergeCell ref="X42:Y42"/>
    <mergeCell ref="D47:F47"/>
    <mergeCell ref="H47:J47"/>
    <mergeCell ref="L47:N47"/>
    <mergeCell ref="V47:W47"/>
    <mergeCell ref="X47:Y47"/>
    <mergeCell ref="D37:F37"/>
    <mergeCell ref="H37:J37"/>
    <mergeCell ref="L37:N37"/>
    <mergeCell ref="V37:W37"/>
    <mergeCell ref="X37:Y37"/>
    <mergeCell ref="X27:Y27"/>
    <mergeCell ref="Z27:AA27"/>
    <mergeCell ref="AB27:AC27"/>
    <mergeCell ref="D32:F32"/>
    <mergeCell ref="H32:J32"/>
    <mergeCell ref="L32:N32"/>
    <mergeCell ref="P32:R32"/>
    <mergeCell ref="V32:W32"/>
    <mergeCell ref="X32:Y32"/>
    <mergeCell ref="Z32:AA32"/>
    <mergeCell ref="AB32:AC32"/>
    <mergeCell ref="D27:F27"/>
    <mergeCell ref="H27:J27"/>
    <mergeCell ref="L27:N27"/>
    <mergeCell ref="P27:R27"/>
    <mergeCell ref="V27:W27"/>
    <mergeCell ref="X17:Y17"/>
    <mergeCell ref="Z17:AA17"/>
    <mergeCell ref="AB17:AC17"/>
    <mergeCell ref="D22:F22"/>
    <mergeCell ref="H22:J22"/>
    <mergeCell ref="L22:N22"/>
    <mergeCell ref="P22:R22"/>
    <mergeCell ref="V22:W22"/>
    <mergeCell ref="X22:Y22"/>
    <mergeCell ref="Z22:AA22"/>
    <mergeCell ref="AB22:AC22"/>
    <mergeCell ref="D17:F17"/>
    <mergeCell ref="H17:J17"/>
    <mergeCell ref="L17:N17"/>
    <mergeCell ref="P17:R17"/>
    <mergeCell ref="V17:W17"/>
    <mergeCell ref="AB7:AC7"/>
    <mergeCell ref="D12:F12"/>
    <mergeCell ref="H12:J12"/>
    <mergeCell ref="L12:N12"/>
    <mergeCell ref="V12:W12"/>
    <mergeCell ref="X12:Y12"/>
    <mergeCell ref="Z2:AA2"/>
    <mergeCell ref="D7:F7"/>
    <mergeCell ref="H7:J7"/>
    <mergeCell ref="L7:N7"/>
    <mergeCell ref="P7:R7"/>
    <mergeCell ref="V7:W7"/>
    <mergeCell ref="X7:Y7"/>
    <mergeCell ref="Z7:AA7"/>
    <mergeCell ref="D2:F2"/>
    <mergeCell ref="H2:J2"/>
    <mergeCell ref="L2:N2"/>
    <mergeCell ref="V2:W2"/>
    <mergeCell ref="X2:Y2"/>
    <mergeCell ref="U1:U2"/>
  </mergeCells>
  <phoneticPr fontId="10" type="noConversion"/>
  <pageMargins left="0.75" right="0.75" top="1" bottom="1" header="0.5" footer="0.5"/>
  <pageSetup orientation="portrait"/>
  <headerFooter alignWithMargins="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workbookViewId="0"/>
  </sheetViews>
  <sheetFormatPr defaultColWidth="9" defaultRowHeight="12.75" x14ac:dyDescent="0.2"/>
  <sheetData/>
  <phoneticPr fontId="10"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12</vt:i4>
      </vt:variant>
    </vt:vector>
  </HeadingPairs>
  <TitlesOfParts>
    <vt:vector size="18" baseType="lpstr">
      <vt:lpstr>CB_DATA_</vt:lpstr>
      <vt:lpstr>Units of measure</vt:lpstr>
      <vt:lpstr>Process Description</vt:lpstr>
      <vt:lpstr>Model</vt:lpstr>
      <vt:lpstr>Sheet2</vt:lpstr>
      <vt:lpstr>Sheet3</vt:lpstr>
      <vt:lpstr>AT_Decision</vt:lpstr>
      <vt:lpstr>Code_Decision</vt:lpstr>
      <vt:lpstr>CR_Decision</vt:lpstr>
      <vt:lpstr>Design_Decision</vt:lpstr>
      <vt:lpstr>DR_Decision</vt:lpstr>
      <vt:lpstr>FP</vt:lpstr>
      <vt:lpstr>IT_Decision</vt:lpstr>
      <vt:lpstr>'Process Description'!Print_Titles</vt:lpstr>
      <vt:lpstr>RD_Decision</vt:lpstr>
      <vt:lpstr>RR_Decision</vt:lpstr>
      <vt:lpstr>ST_Decision</vt:lpstr>
      <vt:lpstr>UT_Decision</vt:lpstr>
    </vt:vector>
  </TitlesOfParts>
  <Company>Software Engineering Institute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Stoddard</dc:creator>
  <cp:lastModifiedBy>瑜 秦</cp:lastModifiedBy>
  <cp:lastPrinted>2007-09-18T20:30:00Z</cp:lastPrinted>
  <dcterms:created xsi:type="dcterms:W3CDTF">2007-03-01T18:20:00Z</dcterms:created>
  <dcterms:modified xsi:type="dcterms:W3CDTF">2025-06-09T08:43:59Z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B8E87D64DEE9454DB777CFD384C669A6</vt:lpwstr>
  </property>
  <property fmtid="{D5CDD505-2E9C-101B-9397-08002B2CF9AE}" pid="3" name="KSOProductBuildVer">
    <vt:lpwstr>2052-11.1.0.11115</vt:lpwstr>
  </property>
</Properties>
</file>