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E:\GZNR\2025\五月\水晶球实验\"/>
    </mc:Choice>
  </mc:AlternateContent>
  <xr:revisionPtr revIDLastSave="0" documentId="13_ncr:1_{ED503A97-B198-4C55-A162-946CA04B6B83}" xr6:coauthVersionLast="47" xr6:coauthVersionMax="47" xr10:uidLastSave="{00000000-0000-0000-0000-000000000000}"/>
  <bookViews>
    <workbookView xWindow="-120" yWindow="-120" windowWidth="24240" windowHeight="15000" tabRatio="546" firstSheet="1" activeTab="3" xr2:uid="{00000000-000D-0000-FFFF-FFFF00000000}"/>
  </bookViews>
  <sheets>
    <sheet name="CB_DATA_" sheetId="4" state="hidden" r:id="rId1"/>
    <sheet name="Units of measure" sheetId="5" r:id="rId2"/>
    <sheet name="Process Description" sheetId="6" r:id="rId3"/>
    <sheet name="Model" sheetId="1" r:id="rId4"/>
    <sheet name="Sheet2" sheetId="2" r:id="rId5"/>
    <sheet name="Sheet3" sheetId="3" r:id="rId6"/>
  </sheets>
  <definedNames>
    <definedName name="AT_Decision" localSheetId="2">'Process Description'!#REF!</definedName>
    <definedName name="AT_Decision" localSheetId="1">'Units of measure'!#REF!</definedName>
    <definedName name="AT_Decision">Model!$T$47</definedName>
    <definedName name="CB_008b1fd305514201a8e5c1af1cd0babd" localSheetId="3" hidden="1">Model!$AH$4</definedName>
    <definedName name="CB_025b56d493fd4ea799ac7dfb71e20e1e" localSheetId="3" hidden="1">Model!$AH$49</definedName>
    <definedName name="CB_040cd8300434447d8dd1ec7f95ece8d5" localSheetId="3" hidden="1">Model!$AC$10</definedName>
    <definedName name="CB_06db507f81094d66bdf5492d31d2411a" localSheetId="3" hidden="1">Model!$Y$39</definedName>
    <definedName name="CB_0768dd12c9ba40478be5d368f9d87b29" localSheetId="3" hidden="1">Model!$AC$24</definedName>
    <definedName name="CB_0cace266cdb148eab939088d26aba984" localSheetId="3" hidden="1">Model!$AA$20</definedName>
    <definedName name="CB_0ce434d88c2d48cf87f2c97f5beb32fa" localSheetId="3" hidden="1">Model!$W$49</definedName>
    <definedName name="CB_0db9d16b69254e48a7a2aac00f3aa66e" localSheetId="3" hidden="1">Model!$U$57</definedName>
    <definedName name="CB_0dc9474e4a824b7fac490c5c4371585b" localSheetId="3" hidden="1">Model!$Y$50</definedName>
    <definedName name="CB_0de9fbf6b0c549b89e6bbfbbdf949c3b" localSheetId="3" hidden="1">Model!$U$64</definedName>
    <definedName name="CB_11880c3cf8dc4c36b30c12d27c9045f8" localSheetId="3" hidden="1">Model!$W$29</definedName>
    <definedName name="CB_1466b39f73d946c7b95d9237191b72e6" localSheetId="3" hidden="1">Model!$AH$4</definedName>
    <definedName name="CB_1466b39f73d946c7b95d9237191b72e6" localSheetId="2" hidden="1">'Process Description'!#REF!</definedName>
    <definedName name="CB_1466b39f73d946c7b95d9237191b72e6" localSheetId="1" hidden="1">'Units of measure'!#REF!</definedName>
    <definedName name="CB_147fabfe1fdc4d23a3f38d2fd4747f65" localSheetId="3" hidden="1">Model!$AH$40</definedName>
    <definedName name="CB_17b665573800456d987e3b39878925b0" localSheetId="3" hidden="1">Model!$W$9</definedName>
    <definedName name="CB_18a37914abc04f979eb8d18724398205" localSheetId="3" hidden="1">Model!$W$5</definedName>
    <definedName name="CB_1942403805214479b4c455f58c0ba6bc" localSheetId="3" hidden="1">Model!$AA$4</definedName>
    <definedName name="CB_1b2413801790478089d960a5f19b1f68" localSheetId="3" hidden="1">Model!$AH$29</definedName>
    <definedName name="CB_1b2da355cdae4e4e833ab6861ee125d8" localSheetId="3" hidden="1">Model!$Y$10</definedName>
    <definedName name="CB_1bd6c710c1f84e6caf49bf137d4e6992" localSheetId="3" hidden="1">Model!$W$44</definedName>
    <definedName name="CB_1cfe51afdbf942f698209e1c4819bac4" localSheetId="3" hidden="1">Model!$T$12</definedName>
    <definedName name="CB_1ea458101bbe49ad908733a0c03ce199" localSheetId="3" hidden="1">Model!$T$47</definedName>
    <definedName name="CB_20faf180b763439cac278195c318d946" localSheetId="3" hidden="1">Model!$Y$30</definedName>
    <definedName name="CB_21077b3e51b2467fb8ec8fe7ecd736ce" localSheetId="3" hidden="1">Model!$Y$19</definedName>
    <definedName name="CB_21bf52b0e609426ab63cad690a186d52" localSheetId="3" hidden="1">Model!$Y$44</definedName>
    <definedName name="CB_223226d259f143838a7003f2801f0def" localSheetId="3" hidden="1">Model!$U$62</definedName>
    <definedName name="CB_23809f73826c45b499b12f0c3a764119" localSheetId="3" hidden="1">Model!$Y$40</definedName>
    <definedName name="CB_249467d4fa4640fea1acbc8d2344feda" localSheetId="3" hidden="1">Model!$AA$30</definedName>
    <definedName name="CB_2553f5c4744d46668592269d51c7b654" localSheetId="3" hidden="1">Model!$Y$14</definedName>
    <definedName name="CB_292298a6b8a549be8bedfae66acd84bf" localSheetId="3" hidden="1">Model!$Y$9</definedName>
    <definedName name="CB_299fecff45db4cd9bb2212ee622705fa" localSheetId="3" hidden="1">Model!$AC$9</definedName>
    <definedName name="CB_2c6a161b16f9414c99b7197ce17ecebc" localSheetId="3" hidden="1">Model!$W$25</definedName>
    <definedName name="CB_2f8c2fb87abd4717af0cc2afc59b798e" localSheetId="3" hidden="1">Model!$T$22</definedName>
    <definedName name="CB_30a30c5003c94a1384236766afff8797" localSheetId="3" hidden="1">Model!$W$45</definedName>
    <definedName name="CB_3106663aa42346428431275779c88301" localSheetId="3" hidden="1">Model!$AH$14</definedName>
    <definedName name="CB_32c1351867bd4c0cafda42eea9a10979" localSheetId="3" hidden="1">Model!$D$58</definedName>
    <definedName name="CB_32f72c4e28b246a58fd10f4618c7444d" localSheetId="3" hidden="1">Model!$AH$45</definedName>
    <definedName name="CB_332c9587f46948a2b3e20585ab9fecca" localSheetId="3" hidden="1">Model!$AC$20</definedName>
    <definedName name="CB_3682339f75554c6d83918ff1b4c0e206" localSheetId="3" hidden="1">Model!$AH$39</definedName>
    <definedName name="CB_3a2c7444760e48d0a6c0d6fec96cf5b8" localSheetId="3" hidden="1">Model!$AA$9</definedName>
    <definedName name="CB_3c3c4bdc06504408b0cfd487779077d3" localSheetId="3" hidden="1">Model!$Y$5</definedName>
    <definedName name="CB_3c999cbb627648a4a023470095976a25" localSheetId="3" hidden="1">Model!$W$24</definedName>
    <definedName name="CB_3d7c01548b374cdabd13681cbce92f75" localSheetId="3" hidden="1">Model!$AH$44</definedName>
    <definedName name="CB_41376f0e21884e33b1e6a09d19efe2dd" localSheetId="3" hidden="1">Model!$W$4</definedName>
    <definedName name="CB_5209fe41fc6f483f81458216e816fb3b" localSheetId="3" hidden="1">Model!$AH$20</definedName>
    <definedName name="CB_52b3346623584352a9404ef787170f94" localSheetId="3" hidden="1">Model!$W$20</definedName>
    <definedName name="CB_530c3f9ef11d42bf97ce6678c28c30c7" localSheetId="3" hidden="1">Model!$AA$50</definedName>
    <definedName name="CB_5fd0fb456b78407e9f45b6074e752a89" localSheetId="3" hidden="1">Model!$AA$24</definedName>
    <definedName name="CB_5fe91c1c31cc40e186edcc65db5a790e" localSheetId="3" hidden="1">Model!$AH$19</definedName>
    <definedName name="CB_60f75a16e0c54150b5da2b84480f69cb" localSheetId="3" hidden="1">Model!$AH$9</definedName>
    <definedName name="CB_61d9413727f94b40ab1bb8483b8df48c" localSheetId="3" hidden="1">Model!$W$19</definedName>
    <definedName name="CB_65bd5280107648e7a0207335980a21c6" localSheetId="3" hidden="1">Model!$W$10</definedName>
    <definedName name="CB_65ce67fef3cc4ebba6e026699fadc325" localSheetId="3" hidden="1">Model!$U$55</definedName>
    <definedName name="CB_672f50cc63f94fdfbd9cc573d9e51c1c" localSheetId="3" hidden="1">Model!$Y$35</definedName>
    <definedName name="CB_6acfaa8d33dc490294abe7fd055f2726" localSheetId="3" hidden="1">Model!$AH$10</definedName>
    <definedName name="CB_6b9fc9f5303c48f785ab232703bcd2ff" localSheetId="3" hidden="1">Model!$AH$24</definedName>
    <definedName name="CB_6fe49d68241e48e9a36bc5f712809176" localSheetId="3" hidden="1">Model!$U$74</definedName>
    <definedName name="CB_70d264c0436046ef97b2881e1362f89a" localSheetId="3" hidden="1">Model!$U$60</definedName>
    <definedName name="CB_728ec9c388ca4ad89771987dcf6aee34" localSheetId="3" hidden="1">Model!$Y$15</definedName>
    <definedName name="CB_729c4ef3f8364cca8e4681402e7dc2d2" localSheetId="3" hidden="1">Model!$W$15</definedName>
    <definedName name="CB_7bc011fa15954e44a576576d7b7df41d" localSheetId="3" hidden="1">Model!$U$68</definedName>
    <definedName name="CB_7c506b580a1c4876b520da9e57837189" localSheetId="3" hidden="1">Model!$W$34</definedName>
    <definedName name="CB_7ddf164c2c414615845722a089cdc117" localSheetId="3" hidden="1">Model!$AA$5</definedName>
    <definedName name="CB_80964666865948c0824e71102d82a577" localSheetId="3" hidden="1">Model!$U$53</definedName>
    <definedName name="CB_8251ef9ce92d4afba31d0b7aec1ec9e9" localSheetId="3" hidden="1">Model!$AA$40</definedName>
    <definedName name="CB_84214266b836489a9758fe87f3e9a961" localSheetId="0" hidden="1">#N/A</definedName>
    <definedName name="CB_84946ec9e5fd416fb8b71b77c57df2c9" localSheetId="3" hidden="1">Model!$AA$34</definedName>
    <definedName name="CB_864ce18db2b9479294d951773d162caa" localSheetId="3" hidden="1">Model!$AA$45</definedName>
    <definedName name="CB_866cb6c7361846b4bba2b8f8f7982899" localSheetId="3" hidden="1">Model!$T$17</definedName>
    <definedName name="CB_8a77b8cb9e5f4e2eb2868a32213256b4" localSheetId="3" hidden="1">Model!$W$40</definedName>
    <definedName name="CB_8bc3d642d1d94fb5bcbab520a7d58559" localSheetId="3" hidden="1">Model!$AC$29</definedName>
    <definedName name="CB_8c7f34c1e9204bc6a9a8c88342b4a72c" localSheetId="0" hidden="1">#N/A</definedName>
    <definedName name="CB_911a1771b298424db14c7cb7fb985090" localSheetId="3" hidden="1">Model!$AH$34</definedName>
    <definedName name="CB_916fae0fe58a4bb3b7a68c3119670c09" localSheetId="3" hidden="1">Model!$W$39</definedName>
    <definedName name="CB_96cdb40350ff454b94b969b0f31dfd59" localSheetId="3" hidden="1">Model!$AA$10</definedName>
    <definedName name="CB_96d69b736b254c0db34c0d68d9c19bc0" localSheetId="3" hidden="1">Model!$Y$49</definedName>
    <definedName name="CB_98e844b7be9e4e2ea7c63cf3f5e2eca9" localSheetId="3" hidden="1">Model!$AC$19</definedName>
    <definedName name="CB_9e4c2c299c364f1a9c2ccf14ed8d9402" localSheetId="3" hidden="1">Model!$AC$34</definedName>
    <definedName name="CB_9f52c939e671425485d1c159cbcfbe35" localSheetId="3" hidden="1">Model!$AA$19</definedName>
    <definedName name="CB_9f550ba96f004a809dd2d98ca32508b7" localSheetId="3" hidden="1">Model!$U$72</definedName>
    <definedName name="CB_a0004ed50af84159aea20c7be314b61d" localSheetId="3" hidden="1">Model!$AA$39</definedName>
    <definedName name="CB_a57b8915d4b34aa3a31e8db25cc721a4" localSheetId="3" hidden="1">Model!$AH$35</definedName>
    <definedName name="CB_a60bd68c30014ff19fa729253e860efc" localSheetId="3" hidden="1">Model!$T$7</definedName>
    <definedName name="CB_a82ad252f02945b9b0751bb7be111ea8" localSheetId="3" hidden="1">Model!$Y$29</definedName>
    <definedName name="CB_aabdeadfc41c4abb8ae3cb95b2a75f0b" localSheetId="3" hidden="1">Model!$AA$35</definedName>
    <definedName name="CB_abd459469c4b43d29e94be7c5b51dbc1" localSheetId="3" hidden="1">Model!$AA$25</definedName>
    <definedName name="CB_aee4f0696f884ae4a8850dffe660eaf8" localSheetId="3" hidden="1">Model!$AC$35</definedName>
    <definedName name="CB_b1cde6744f75483cb8959832d8e67e02" localSheetId="3" hidden="1">Model!$AH$30</definedName>
    <definedName name="CB_b4ba4dc8a2384fffb82d392904d39693" localSheetId="3" hidden="1">Model!$T$27</definedName>
    <definedName name="CB_b703c8455b1e4a1f80412e5641570b85" localSheetId="3" hidden="1">Model!$W$35</definedName>
    <definedName name="CB_b7c66788f9c14aa199283ba015c4e826" localSheetId="3" hidden="1">Model!$Y$20</definedName>
    <definedName name="CB_b8b0ccd73dfc47b9a33990b028f16f7f" localSheetId="3" hidden="1">Model!$AA$49</definedName>
    <definedName name="CB_b93f11a6a38144bba2cdbcab47f3f7bf" localSheetId="3" hidden="1">Model!$AA$44</definedName>
    <definedName name="CB_bb3558686b464d8eb1f2effc266bb024" localSheetId="3" hidden="1">Model!$AC$25</definedName>
    <definedName name="CB_bbc60f6a125f4ad983891983b779a2bd" localSheetId="0" hidden="1">#N/A</definedName>
    <definedName name="CB_bfa1970eac284fd6938edc19e6f0c44a" localSheetId="3" hidden="1">Model!$AC$30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"'638880969733276843"</definedName>
    <definedName name="CB_Block_00000000000000000000000000000001" localSheetId="3" hidden="1">"'638880969733929338"</definedName>
    <definedName name="CB_Block_00000000000000000000000000000003" localSheetId="0" hidden="1">"'11.1.2391.0"</definedName>
    <definedName name="CB_Block_00000000000000000000000000000003" localSheetId="3" hidden="1">"'11.1.2391.0"</definedName>
    <definedName name="CB_BlockExt_00000000000000000000000000000003" localSheetId="0" hidden="1">"'11.1.2.1.000"</definedName>
    <definedName name="CB_BlockExt_00000000000000000000000000000003" localSheetId="3" hidden="1">"'11.1.2.1.000"</definedName>
    <definedName name="CB_c47872e997ed4319adf2fb3f3349d439" localSheetId="3" hidden="1">Model!$T$32</definedName>
    <definedName name="CB_c4d0685e78ee440aad7b237bb42fe66a" localSheetId="3" hidden="1">Model!$AH$50</definedName>
    <definedName name="CB_c62e80ed678f4fa399f3a73011361e39" localSheetId="3" hidden="1">Model!$D$60</definedName>
    <definedName name="CB_c64d0237325c415884252f45357db11b" localSheetId="3" hidden="1">Model!$Y$25</definedName>
    <definedName name="CB_c94cc54f95da46ec9587c85e092cec40" localSheetId="3" hidden="1">Model!$U$66</definedName>
    <definedName name="CB_ca2c366f79154ee7a8d8bd6acff12a78" localSheetId="3" hidden="1">Model!$D$56</definedName>
    <definedName name="CB_cb4929b3dc6f46afb8d49c3da0060c07" localSheetId="3" hidden="1">Model!$AA$29</definedName>
    <definedName name="CB_cc0fabe170d44797a8c41df76b7b2ad3" localSheetId="3" hidden="1">Model!$T$2</definedName>
    <definedName name="CB_ced414c8788844c0829a0da92a6d9253" localSheetId="3" hidden="1">Model!$W$14</definedName>
    <definedName name="CB_d0f5f101f3f149d892b223413a541e58" localSheetId="3" hidden="1">Model!$Y$34</definedName>
    <definedName name="CB_d2ccf89dedf646e7ae62c1c880e5cdff" localSheetId="3" hidden="1">Model!$T$42</definedName>
    <definedName name="CB_d8da4562cd1d4c36afa96a9342f2242b" localSheetId="3" hidden="1">Model!$W$50</definedName>
    <definedName name="CB_def7b358f6974af0b8faa8d7691d93ef" localSheetId="3" hidden="1">Model!$U$70</definedName>
    <definedName name="CB_ecddc11418fe405c97a5d28024750e6e" localSheetId="3" hidden="1">Model!$Y$24</definedName>
    <definedName name="CB_f3991b7e99f4459297c3220a2488a5ad" localSheetId="3" hidden="1">Model!$Y$4</definedName>
    <definedName name="CB_f71d235adfdd4eadbaac7029ec5ebc87" localSheetId="3" hidden="1">Model!$W$30</definedName>
    <definedName name="CB_fbbb6cfbed404d729e3c6e63a37bb121" localSheetId="3" hidden="1">Model!$Y$45</definedName>
    <definedName name="CBCR_00631c2191c347698cb39578ec4901bd" localSheetId="3" hidden="1">Model!$I$5</definedName>
    <definedName name="CBCR_03ce0721f04e46208693a9dfd5d394cf" localSheetId="3" hidden="1">Model!$M$24</definedName>
    <definedName name="CBCR_071ebcf749104165838a771753b3cd4e" localSheetId="3" hidden="1">Model!$X$14</definedName>
    <definedName name="CBCR_078bdec6f9a3487682ec78e2b73e8631" localSheetId="3" hidden="1">Model!$AL$45</definedName>
    <definedName name="CBCR_07d80eb882584bf1b0b14d6afd4a754e" localSheetId="3" hidden="1">Model!$E$25</definedName>
    <definedName name="CBCR_08b9f7481d2b4ca7859a19cede7d563b" localSheetId="3" hidden="1">Model!$AK$30</definedName>
    <definedName name="CBCR_0a46a160aa8e48c4a55e57e9b9e752eb" localSheetId="3" hidden="1">Model!$M$44</definedName>
    <definedName name="CBCR_0b12d5b1a97b45958257f4f29b53ecaa" localSheetId="3" hidden="1">Model!$M$40</definedName>
    <definedName name="CBCR_0b4fcd2230dc4bf7aa2269856e43de23" localSheetId="3" hidden="1">Model!$M$19</definedName>
    <definedName name="CBCR_0bdd5af5281a475eaa74e559bb83d3ce" localSheetId="3" hidden="1">Model!$V$19</definedName>
    <definedName name="CBCR_0ce17d5fa501435bb6f1c21b78bf3532" localSheetId="3" hidden="1">Model!$A$60</definedName>
    <definedName name="CBCR_0e933288205d4b57a0df817d0cc15603" localSheetId="3" hidden="1">Model!$M$9</definedName>
    <definedName name="CBCR_0f23f3751332421ab4027a924475c065" localSheetId="3" hidden="1">Model!$A$56</definedName>
    <definedName name="CBCR_0f27f1ea47d04713a4e385f2a772ab15" localSheetId="3" hidden="1">Model!$AJ$19</definedName>
    <definedName name="CBCR_105580f242654b9685e8c514a0731861" localSheetId="3" hidden="1">Model!$AK$9</definedName>
    <definedName name="CBCR_10726a02a68a4075a31ac723aa939581" localSheetId="3" hidden="1">Model!$E$44</definedName>
    <definedName name="CBCR_13b828fd9fed44c4a021035628c418da" localSheetId="3" hidden="1">Model!$E$40</definedName>
    <definedName name="CBCR_192a5e54ebb84dd682e86118424e80c8" localSheetId="3" hidden="1">Model!$AK$29</definedName>
    <definedName name="CBCR_1b2ccba462324b50959379c0d5924758" localSheetId="3" hidden="1">Model!$AL$49</definedName>
    <definedName name="CBCR_1bbe0411469346068986d43de4ec832a" localSheetId="3" hidden="1">Model!$E$9</definedName>
    <definedName name="CBCR_1e718d384bf74e98b6c377f13d12a9a5" localSheetId="3" hidden="1">Model!$M$20</definedName>
    <definedName name="CBCR_1e7458d7fbc049a4b23c254ebf6748f1" localSheetId="3" hidden="1">Model!$AB$9</definedName>
    <definedName name="CBCR_1eb323bd3d5e444cb44319bcac395579" localSheetId="3" hidden="1">Model!$Z$25</definedName>
    <definedName name="CBCR_1fe1467a209343f6ab86fc3cf9c8f71c" localSheetId="3" hidden="1">Model!$V$24</definedName>
    <definedName name="CBCR_21622d516b534524b4f8c675218942d2" localSheetId="3" hidden="1">Model!$AL$20</definedName>
    <definedName name="CBCR_223d9a4b27b94bc2987c71ac29f8ec69" localSheetId="3" hidden="1">Model!$M$34</definedName>
    <definedName name="CBCR_240366133fb9468cbfe3b5edb11fe806" localSheetId="3" hidden="1">Model!$V$5</definedName>
    <definedName name="CBCR_25e768b2e8754f4bacc173cbbaf5da16" localSheetId="3" hidden="1">Model!$X$10</definedName>
    <definedName name="CBCR_263e445ed1db4c959e10d4dcca2c6e32" localSheetId="3" hidden="1">Model!$AK$34</definedName>
    <definedName name="CBCR_29afe04c26b1425fabb015f1eba44761" localSheetId="3" hidden="1">Model!$X$44</definedName>
    <definedName name="CBCR_2bfaa8ecc91c4a3da05691f9ffa48176" localSheetId="3" hidden="1">Model!$AB$19</definedName>
    <definedName name="CBCR_32a21c270c344ce1bd26c54724c9c61b" localSheetId="3" hidden="1">Model!$AL$44</definedName>
    <definedName name="CBCR_3341bdc7b4e043df9cb04107c12eaccd" localSheetId="3" hidden="1">Model!$AJ$4</definedName>
    <definedName name="CBCR_34dd507bf8844bbb8b280e73db143507" localSheetId="3" hidden="1">Model!$I$30</definedName>
    <definedName name="CBCR_357c93c123174d9cb6a3c7058f738a36" localSheetId="3" hidden="1">Model!$V$50</definedName>
    <definedName name="CBCR_35961194baa9497e819b5c7f6d06038d" localSheetId="3" hidden="1">Model!$AJ$40</definedName>
    <definedName name="CBCR_35b8ef34bde44c2c8c2d708febeb5beb" localSheetId="3" hidden="1">Model!$AK$49</definedName>
    <definedName name="CBCR_36d43eda9bd94dadbccfd85bef7a98c0" localSheetId="3" hidden="1">Model!$X$9</definedName>
    <definedName name="CBCR_37429d7402ea4bbba8f12808c12462a9" localSheetId="3" hidden="1">Model!$Z$30</definedName>
    <definedName name="CBCR_37b7da3a6752419686db132f80cbefb8" localSheetId="3" hidden="1">Model!$I$19</definedName>
    <definedName name="CBCR_37c2909ee64041de84da7e2f136be283" localSheetId="3" hidden="1">Model!$Z$4</definedName>
    <definedName name="CBCR_382df07c7b1b477c845fbbb5575a851b" localSheetId="3" hidden="1">Model!$Q$10</definedName>
    <definedName name="CBCR_3986b018076b40f0bfcb99b2402774ed" localSheetId="3" hidden="1">Model!$Q$34</definedName>
    <definedName name="CBCR_3af3fbf77e8c4b7796157fa52b8fc842" localSheetId="3" hidden="1">Model!$I$50</definedName>
    <definedName name="CBCR_3b812126195e404f860f67c55937e28a" localSheetId="3" hidden="1">Model!$AL$10</definedName>
    <definedName name="CBCR_3d70015afd1844ac98e1c8e8c0712ce8" localSheetId="3" hidden="1">Model!$M$35</definedName>
    <definedName name="CBCR_3df5c0875fb24176a968452a71e206d8" localSheetId="3" hidden="1">Model!$V$34</definedName>
    <definedName name="CBCR_43db60ba1e2f439a9fb5a57c427dfc7d" localSheetId="3" hidden="1">Model!$X$45</definedName>
    <definedName name="CBCR_458e2db8e3044ffdbde5dc752cbddfad" localSheetId="3" hidden="1">Model!$AL$40</definedName>
    <definedName name="CBCR_475d05e97a2942efa88f81aee1d7ee20" localSheetId="3" hidden="1">Model!$I$14</definedName>
    <definedName name="CBCR_47d2d270917a4c1e97e81c6a2880af32" localSheetId="3" hidden="1">Model!$I$4</definedName>
    <definedName name="CBCR_4942e2c9d093407ba19c17f06c11f7f0" localSheetId="3" hidden="1">Model!$V$15</definedName>
    <definedName name="CBCR_49d40af7f0a54267ad9f4c2c65737da0" localSheetId="3" hidden="1">Model!$E$49</definedName>
    <definedName name="CBCR_49d9522858c84c119e357351b9a044a0" localSheetId="3" hidden="1">Model!$I$29</definedName>
    <definedName name="CBCR_4adaf23f88f643188df3ade6ea51dbf0" localSheetId="3" hidden="1">Model!$Q$19</definedName>
    <definedName name="CBCR_4b9f1e8d987e4b9e9951f76ffd7b4ced" localSheetId="3" hidden="1">Model!$X$4</definedName>
    <definedName name="CBCR_4bc2b8e6f194451eb02e493db8129807" localSheetId="3" hidden="1">Model!$V$45</definedName>
    <definedName name="CBCR_4f852850bced4b53bcd63c5aaf6d1225" localSheetId="3" hidden="1">Model!$Q$20</definedName>
    <definedName name="CBCR_4f9bd7ef2f57442584015f8a6b1110a3" localSheetId="0" hidden="1">CB_DATA_!$A$10006</definedName>
    <definedName name="CBCR_535d1ca904434c7f80adeaf3eaf3339d" localSheetId="3" hidden="1">Model!$X$25</definedName>
    <definedName name="CBCR_53f43f7160574a9383ba26883d52bdf3" localSheetId="3" hidden="1">Model!$AB$24</definedName>
    <definedName name="CBCR_541e35c1765c40329730ff1ca66c36a3" localSheetId="3" hidden="1">Model!$AL$14</definedName>
    <definedName name="CBCR_549fb08441b8401e9036f3b595c9eec1" localSheetId="3" hidden="1">Model!$M$29</definedName>
    <definedName name="CBCR_5571491b73f44266ba86b173911d8da6" localSheetId="3" hidden="1">Model!$I$44</definedName>
    <definedName name="CBCR_5638ed0fd12b47d28e3d95168418e9e0" localSheetId="3" hidden="1">Model!$V$44</definedName>
    <definedName name="CBCR_566db00cf3c646faa4b4dfea752a7b9d" localSheetId="3" hidden="1">Model!$AK$45</definedName>
    <definedName name="CBCR_56b830fc3143489e912089e31b0c2d8f" localSheetId="3" hidden="1">Model!$V$14</definedName>
    <definedName name="CBCR_57a1719af2db47be83d778560457b529" localSheetId="3" hidden="1">Model!$AL$34</definedName>
    <definedName name="CBCR_57ee614368e8405ba7d07f8e1bcaf536" localSheetId="3" hidden="1">Model!$AJ$34</definedName>
    <definedName name="CBCR_5ba5debe485f49c3b5b322298ec4fa64" localSheetId="3" hidden="1">Model!$Z$9</definedName>
    <definedName name="CBCR_5c5bc412e3fa409c8ff9020233d15e39" localSheetId="3" hidden="1">Model!$AJ$35</definedName>
    <definedName name="CBCR_5ce73b20381946aa9ca6e4aa69ebc807" localSheetId="3" hidden="1">Model!$E$10</definedName>
    <definedName name="CBCR_60e89e869cc6448ab93fde0fc18f3397" localSheetId="3" hidden="1">Model!$E$15</definedName>
    <definedName name="CBCR_61b900ee87f3426882cb2f9a5dc61eb5" localSheetId="3" hidden="1">Model!$X$34</definedName>
    <definedName name="CBCR_63c86e6ef23c4f818146f08d6f3d3d54" localSheetId="3" hidden="1">Model!$V$29</definedName>
    <definedName name="CBCR_6462bb2c8e6841b18351201d92c74d47" localSheetId="3" hidden="1">Model!$E$50</definedName>
    <definedName name="CBCR_64a56f7e4bba47909602334951829fc3" localSheetId="3" hidden="1">Model!$AL$50</definedName>
    <definedName name="CBCR_650ad531a7964879950ef374c4a60ba4" localSheetId="3" hidden="1">Model!$M$49</definedName>
    <definedName name="CBCR_653f2e4f60fb4968a7c560816b42cc27" localSheetId="3" hidden="1">Model!$E$5</definedName>
    <definedName name="CBCR_665ddffc02404727a9cc3172e4d5b24e" localSheetId="3" hidden="1">Model!$E$19</definedName>
    <definedName name="CBCR_672a1715f83d495c828824cfcd87b7df" localSheetId="3" hidden="1">Model!$AJ$44</definedName>
    <definedName name="CBCR_68d209072b274ac999ea26f948b7e60c" localSheetId="3" hidden="1">Model!$Z$19</definedName>
    <definedName name="CBCR_6b0963520a964754bd147420ec415536" localSheetId="3" hidden="1">Model!$E$14</definedName>
    <definedName name="CBCR_6f2ec322221b48e3a5215217e927b2fb" localSheetId="3" hidden="1">Model!$AJ$50</definedName>
    <definedName name="CBCR_6f5253808de64744bf09719af74f36e3" localSheetId="3" hidden="1">Model!$AB$35</definedName>
    <definedName name="CBCR_73b1631dee6c4ff8b7608d89abe02879" localSheetId="3" hidden="1">Model!$V$25</definedName>
    <definedName name="CBCR_7481d08bac50482fb090e05acf08284a" localSheetId="3" hidden="1">Model!$AB$20</definedName>
    <definedName name="CBCR_74886c2add534e088a8c54b5ba2c2612" localSheetId="3" hidden="1">Model!$AK$44</definedName>
    <definedName name="CBCR_75ccdde1f4c14bad909308d3dca6d1c0" localSheetId="3" hidden="1">Model!$Z$40</definedName>
    <definedName name="CBCR_780841f4e74946aeaf6ef8b83b6767b6" localSheetId="3" hidden="1">Model!$X$50</definedName>
    <definedName name="CBCR_78db434df59540d4a0459d6dfa6e148b" localSheetId="3" hidden="1">Model!$AB$25</definedName>
    <definedName name="CBCR_7a754448a8f14335b8b4cf960a9fdbbf" localSheetId="3" hidden="1">Model!$AJ$29</definedName>
    <definedName name="CBCR_7aaf54680ac44d1780a2e109cb4b5e62" localSheetId="3" hidden="1">Model!$I$9</definedName>
    <definedName name="CBCR_7cb6d065a43449589f9fd564fe80a9e3" localSheetId="3" hidden="1">Model!$I$20</definedName>
    <definedName name="CBCR_7cdf3bcb11e14daba2b34323b9bc563a" localSheetId="3" hidden="1">Model!$Z$34</definedName>
    <definedName name="CBCR_7d7f4ac475614b72a38918ffcbf7514d" localSheetId="3" hidden="1">Model!$V$4</definedName>
    <definedName name="CBCR_7dfd0576ccc3401eab9c25cf9d4cac42" localSheetId="3" hidden="1">Model!$E$34</definedName>
    <definedName name="CBCR_7e59cef8d2924d60a954161ccc6b1c5c" localSheetId="3" hidden="1">Model!$AL$29</definedName>
    <definedName name="CBCR_854debbe7f214388869c4758298ca878" localSheetId="3" hidden="1">Model!$E$29</definedName>
    <definedName name="CBCR_85a48f2d8d414e06b285f13f74067c38" localSheetId="3" hidden="1">Model!$V$40</definedName>
    <definedName name="CBCR_878d7bd548b648368308a7cc02f1ee30" localSheetId="3" hidden="1">Model!$AK$14</definedName>
    <definedName name="CBCR_89f52da3b4b74828ae2494589da2f671" localSheetId="3" hidden="1">Model!$AL$4</definedName>
    <definedName name="CBCR_8a34402c5e574c1292eccbf627416ff7" localSheetId="3" hidden="1">Model!$V$20</definedName>
    <definedName name="CBCR_8a5f0f3ac24a458eb3b677545059897e" localSheetId="3" hidden="1">Model!$M$5</definedName>
    <definedName name="CBCR_8a9668a6c75945089c7bebe6a4f91b97" localSheetId="3" hidden="1">Model!$AL$35</definedName>
    <definedName name="CBCR_8b3276266ccb42258665400c78a7c30a" localSheetId="3" hidden="1">Model!$AL$19</definedName>
    <definedName name="CBCR_8c1d7d6258fb4ecc9ff7f96356dd629c" localSheetId="3" hidden="1">Model!$Q$29</definedName>
    <definedName name="CBCR_8c52cc7a60114c6fbc3068559994cbd8" localSheetId="3" hidden="1">Model!$X$24</definedName>
    <definedName name="CBCR_8cc05ab58f5c44008f0456b2b36f6143" localSheetId="3" hidden="1">Model!$AK$35</definedName>
    <definedName name="CBCR_92302469f3574dd38a8aca6dc2cb9e36" localSheetId="3" hidden="1">Model!$Z$39</definedName>
    <definedName name="CBCR_95d3cddd37594115ac3b966199e67ecf" localSheetId="3" hidden="1">Model!$X$49</definedName>
    <definedName name="CBCR_967ac88352654bdeb263082025a324bd" localSheetId="3" hidden="1">Model!$I$40</definedName>
    <definedName name="CBCR_97d6061d76ab4d71981688c521e439fb" localSheetId="3" hidden="1">Model!$Z$29</definedName>
    <definedName name="CBCR_97e7bf70facb4e2caecdf65a76c510c2" localSheetId="3" hidden="1">Model!$AJ$9</definedName>
    <definedName name="CBCR_98c62c8b684740c29b9ac90a6ef6198c" localSheetId="3" hidden="1">Model!$Z$44</definedName>
    <definedName name="CBCR_98cb3fe41ad748bb868d0a88f2ec43df" localSheetId="3" hidden="1">Model!$Z$5</definedName>
    <definedName name="CBCR_991b8c12156f49a7a3686c5926c3a539" localSheetId="3" hidden="1">Model!$I$49</definedName>
    <definedName name="CBCR_992e508dde9b4a859a1af25deb8c03aa" localSheetId="3" hidden="1">Model!$X$15</definedName>
    <definedName name="CBCR_9a18f440500a4c76bedd40b9442bcff1" localSheetId="3" hidden="1">Model!$M$10</definedName>
    <definedName name="CBCR_9cb916302c194071aa75e5ae81ee538b" localSheetId="3" hidden="1">Model!$Z$20</definedName>
    <definedName name="CBCR_9e7fbc74102c49d9bf8131b5e54dd228" localSheetId="3" hidden="1">Model!$I$15</definedName>
    <definedName name="CBCR_9ee4db0f144541deacc79fcdbe262c3d" localSheetId="3" hidden="1">Model!$E$24</definedName>
    <definedName name="CBCR_a02f003e41e443258aaebd90e4fb587f" localSheetId="0" hidden="1">CB_DATA_!$A$10005</definedName>
    <definedName name="CBCR_a08057a353f044c6b86e726b17cea407" localSheetId="3" hidden="1">Model!$M$50</definedName>
    <definedName name="CBCR_a1d19158f332424983d278f1cdb9dc58" localSheetId="3" hidden="1">Model!$Z$10</definedName>
    <definedName name="CBCR_a4223e4c9f6f4b7a90f5a81ab96cc7f8" localSheetId="3" hidden="1">Model!$AJ$30</definedName>
    <definedName name="CBCR_a605a5c0e53c4c918ec469cdc8c9e50d" localSheetId="3" hidden="1">Model!$I$25</definedName>
    <definedName name="CBCR_a7e417b077154151b8e632783e1bbdb7" localSheetId="0" hidden="1">CB_DATA_!$A$10002</definedName>
    <definedName name="CBCR_aacd1bc7070544c1934455bcd5dc359a" localSheetId="3" hidden="1">Model!$M$30</definedName>
    <definedName name="CBCR_ab43fbdaa84b479c9b593fb2cdabcc7a" localSheetId="3" hidden="1">Model!$AJ$49</definedName>
    <definedName name="CBCR_ac1fd10adac242f28b48012c11e57898" localSheetId="3" hidden="1">Model!$Z$24</definedName>
    <definedName name="CBCR_b0ae9d5cde45424da563e314aefa55b4" localSheetId="3" hidden="1">Model!$I$35</definedName>
    <definedName name="CBCR_b2f04b77aa374e2b8eaca48f4f4b81dc" localSheetId="3" hidden="1">Model!$X$19</definedName>
    <definedName name="CBCR_b3295603f87e49c2993e58aa9b6995e1" localSheetId="3" hidden="1">Model!$V$9</definedName>
    <definedName name="CBCR_b5e0c05984e24e47913e964ca6480f60" localSheetId="3" hidden="1">Model!$M$39</definedName>
    <definedName name="CBCR_b95649ee306e4a82adf8cfc340f56565" localSheetId="3" hidden="1">Model!$E$39</definedName>
    <definedName name="CBCR_b9f27e6bf553466a96429be5d8d90f64" localSheetId="3" hidden="1">Model!$AL$9</definedName>
    <definedName name="CBCR_ba7eda233b3d4c1d9d877500b1c84003" localSheetId="3" hidden="1">Model!$AB$30</definedName>
    <definedName name="CBCR_bcbe6a820c0546949b5be4fff9c1a1d1" localSheetId="3" hidden="1">Model!$V$30</definedName>
    <definedName name="CBCR_be0eafe3f43a4731b647ea2db0e1ea32" localSheetId="3" hidden="1">Model!$X$20</definedName>
    <definedName name="CBCR_be25a58536794705959e42e94a57ce35" localSheetId="3" hidden="1">Model!$V$49</definedName>
    <definedName name="CBCR_bfc19708642a4ce8b2b675187335c87a" localSheetId="3" hidden="1">Model!$AK$50</definedName>
    <definedName name="CBCR_c1136919caf446cdaa128cb606e2725b" localSheetId="3" hidden="1">Model!$AJ$39</definedName>
    <definedName name="CBCR_c49b194e3bfe4fa4b6e5c4227d9377ed" localSheetId="3" hidden="1">Model!$I$24</definedName>
    <definedName name="CBCR_c529d43811eb40e1a76b53e6f60bc3b9" localSheetId="3" hidden="1">Model!$E$35</definedName>
    <definedName name="CBCR_c5367818d6034951a9b5c6badbe8e208" localSheetId="3" hidden="1">Model!$Z$50</definedName>
    <definedName name="CBCR_c60d22410cbf428285ff1406164d4512" localSheetId="3" hidden="1">Model!$AJ$45</definedName>
    <definedName name="CBCR_c69fccb2000f4f828bcd5aa62f73bba2" localSheetId="3" hidden="1">Model!$E$4</definedName>
    <definedName name="CBCR_c6d0280c9b6b4310996a37d44e36f153" localSheetId="3" hidden="1">Model!$Z$35</definedName>
    <definedName name="CBCR_c70cfd393097427e9b79c6706afd1afa" localSheetId="3" hidden="1">Model!$V$10</definedName>
    <definedName name="CBCR_c7534aa23306451388e9ca3f46730c24" localSheetId="3" hidden="1">Model!$V$39</definedName>
    <definedName name="CBCR_c88754f176764a7bb60bfef311ddc5c2" localSheetId="3" hidden="1">Model!$M$4</definedName>
    <definedName name="CBCR_ca30e4f6f6bd4df39998c993608997f7" localSheetId="3" hidden="1">Model!$Q$24</definedName>
    <definedName name="CBCR_cb622668fb5448a490468296efca8f1c" localSheetId="3" hidden="1">Model!$V$35</definedName>
    <definedName name="CBCR_cc552082e7e7478d9126a2f0070287cb" localSheetId="3" hidden="1">Model!$Z$45</definedName>
    <definedName name="CBCR_ce7d59a53a324670be96f8d34098bc80" localSheetId="3" hidden="1">Model!$AK$24</definedName>
    <definedName name="CBCR_ce9d394a91c34ddc92379a8c09fea10a" localSheetId="3" hidden="1">Model!$E$30</definedName>
    <definedName name="CBCR_cfa0749355a34831bc3096d22912e126" localSheetId="3" hidden="1">Model!$E$20</definedName>
    <definedName name="CBCR_d0fe3e844dbf419b95d5432f8c512d36" localSheetId="3" hidden="1">Model!$X$40</definedName>
    <definedName name="CBCR_d20cce1897c440adb0e829d0bdca4be6" localSheetId="3" hidden="1">Model!$Q$30</definedName>
    <definedName name="CBCR_d374db4a5b6543368244e2955b4e0e36" localSheetId="3" hidden="1">Model!$X$39</definedName>
    <definedName name="CBCR_d37a46e1423b49d7a079306d764f25d4" localSheetId="3" hidden="1">Model!$AK$40</definedName>
    <definedName name="CBCR_d42fa5d77de84faead5204cced2bf55f" localSheetId="3" hidden="1">Model!$X$30</definedName>
    <definedName name="CBCR_d77a84895d834613be8d5cc8e2112449" localSheetId="3" hidden="1">Model!$AJ$14</definedName>
    <definedName name="CBCR_d7dcfccbe20d499abede8ddf4a094864" localSheetId="3" hidden="1">Model!$AL$24</definedName>
    <definedName name="CBCR_d828564469204cb68fbb2c2e9cd5b6bb" localSheetId="3" hidden="1">Model!$X$5</definedName>
    <definedName name="CBCR_d95ac6063afd4e1387b6c6a53a81c166" localSheetId="3" hidden="1">Model!$M$45</definedName>
    <definedName name="CBCR_d979266d1f9e48938cef0e1befe7f123" localSheetId="3" hidden="1">Model!$X$29</definedName>
    <definedName name="CBCR_da6d117e500a4a6ebb999be5b968e631" localSheetId="3" hidden="1">Model!$AL$39</definedName>
    <definedName name="CBCR_db8250134f624257af54bcaac471c398" localSheetId="3" hidden="1">Model!$AJ$10</definedName>
    <definedName name="CBCR_dc776374d4934a318118a70fe37694cf" localSheetId="3" hidden="1">Model!$Q$35</definedName>
    <definedName name="CBCR_df3ad8780d65439da08494d20b620a84" localSheetId="3" hidden="1">Model!$Q$9</definedName>
    <definedName name="CBCR_df9c16a7ba714435b4edd94598b626d5" localSheetId="3" hidden="1">Model!$E$45</definedName>
    <definedName name="CBCR_e1075edc2fea45e1ae2339ba04a764eb" localSheetId="3" hidden="1">Model!$AK$39</definedName>
    <definedName name="CBCR_e5082c5de62a45abba999f136e50008b" localSheetId="3" hidden="1">Model!$AL$30</definedName>
    <definedName name="CBCR_ed716b74822e4a60b2f25ac25a443344" localSheetId="3" hidden="1">Model!$I$39</definedName>
    <definedName name="CBCR_eefb0923b3e64b2cabd755b5e8c3b025" localSheetId="3" hidden="1">Model!$AK$20</definedName>
    <definedName name="CBCR_ef675d4c2c0247b1980ca7ee0980aca3" localSheetId="3" hidden="1">Model!$AK$10</definedName>
    <definedName name="CBCR_eff3976518684255a75a99c16e7d6c00" localSheetId="3" hidden="1">Model!$X$35</definedName>
    <definedName name="CBCR_f20ff84e46634fadb7e92588c1e47dfa" localSheetId="3" hidden="1">Model!$Z$49</definedName>
    <definedName name="CBCR_f2145f17ca4247ef8f5167caca267030" localSheetId="3" hidden="1">Model!$AB$29</definedName>
    <definedName name="CBCR_f277f233de9a4c04b4d5d5cac4388314" localSheetId="3" hidden="1">Model!$AK$4</definedName>
    <definedName name="CBCR_f30132c467d44a4cb7ff1823a5ecc9df" localSheetId="3" hidden="1">Model!$I$10</definedName>
    <definedName name="CBCR_f41cbbdcdf0441fa969a90e1f3c8ceab" localSheetId="3" hidden="1">Model!$AJ$20</definedName>
    <definedName name="CBCR_f465d812307e4740a8ff6a0ce48a4fdb" localSheetId="3" hidden="1">Model!$AB$10</definedName>
    <definedName name="CBCR_f56cfc268ab44c4bb8dc5afefcfb7224" localSheetId="3" hidden="1">Model!$AJ$24</definedName>
    <definedName name="CBCR_f7ccec6d287f43daabb72109661f522a" localSheetId="3" hidden="1">Model!$I$34</definedName>
    <definedName name="CBCR_fbd0d75ffafc4097b857db5d916ce798" localSheetId="3" hidden="1">Model!$AK$19</definedName>
    <definedName name="CBCR_fc0e00fe540942f8a28a5ac3dacb9a06" localSheetId="3" hidden="1">Model!$A$58</definedName>
    <definedName name="CBCR_fe17cb1db5f44ed9b9c22d09f5a52460" localSheetId="3" hidden="1">Model!$I$45</definedName>
    <definedName name="CBCR_fe6ffe7a6f4a4f6d98a0fb637b1e0ba7" localSheetId="3" hidden="1">Model!$AB$34</definedName>
    <definedName name="CBCR_ff05c932faa74e0e82776bbec1989e7f" localSheetId="3" hidden="1">Model!$Q$25</definedName>
    <definedName name="CBCR_ff09c39f82e44bd9b66d483805ee3b4e" localSheetId="3" hidden="1">Model!$M$25</definedName>
    <definedName name="CBWorkbookPriority" localSheetId="0" hidden="1">-2114830799</definedName>
    <definedName name="CBx_3abb73100c774cb69e09a396aeb4141c" localSheetId="0" hidden="1">"'Process Description'!$A$1"</definedName>
    <definedName name="CBx_510b48b2cdb04093b02dd6442bad685f" localSheetId="0" hidden="1">"'Model'!$A$1"</definedName>
    <definedName name="CBx_9c70d9da314044128dde6f074c8d35e9" localSheetId="0" hidden="1">"'Units of measure'!$A$1"</definedName>
    <definedName name="CBx_c996936dc43c4f7a8860ec799da44364" localSheetId="0" hidden="1">"'CB_DATA_'!$A$1"</definedName>
    <definedName name="CBx_Sheet_Guid" localSheetId="0" hidden="1">"'c996936d-c43c-4f7a-8860-ec799da44364"</definedName>
    <definedName name="CBx_Sheet_Guid" localSheetId="3" hidden="1">"'510b48b2-cdb0-4093-b02d-d6442bad685f"</definedName>
    <definedName name="CBx_Sheet_Guid" localSheetId="2" hidden="1">"'3abb73100c774cb69e09a396aeb4141c"</definedName>
    <definedName name="CBx_Sheet_Guid" localSheetId="1" hidden="1">"'9c70d9da314044128dde6f074c8d35e9"</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Code_Decision" localSheetId="2">'Process Description'!#REF!</definedName>
    <definedName name="Code_Decision" localSheetId="1">'Units of measure'!#REF!</definedName>
    <definedName name="Code_Decision">Model!$T$22</definedName>
    <definedName name="CR_Decision" localSheetId="2">'Process Description'!#REF!</definedName>
    <definedName name="CR_Decision" localSheetId="1">'Units of measure'!#REF!</definedName>
    <definedName name="CR_Decision">Model!$T$27</definedName>
    <definedName name="Design_Decision" localSheetId="2">'Process Description'!#REF!</definedName>
    <definedName name="Design_Decision" localSheetId="1">'Units of measure'!#REF!</definedName>
    <definedName name="Design_Decision">Model!$T$12</definedName>
    <definedName name="DR_Decision" localSheetId="2">'Process Description'!#REF!</definedName>
    <definedName name="DR_Decision" localSheetId="1">'Units of measure'!#REF!</definedName>
    <definedName name="DR_Decision">Model!$T$17</definedName>
    <definedName name="FP">Model!$R$55</definedName>
    <definedName name="IT_Decision" localSheetId="2">'Process Description'!#REF!</definedName>
    <definedName name="IT_Decision" localSheetId="1">'Units of measure'!#REF!</definedName>
    <definedName name="IT_Decision">Model!$T$37</definedName>
    <definedName name="_xlnm.Print_Titles" localSheetId="2">'Process Description'!$2:$2</definedName>
    <definedName name="RD_Decision" localSheetId="2">'Process Description'!#REF!</definedName>
    <definedName name="RD_Decision" localSheetId="1">'Units of measure'!#REF!</definedName>
    <definedName name="RD_Decision">Model!$T$2</definedName>
    <definedName name="RR_Decision" localSheetId="2">'Process Description'!#REF!</definedName>
    <definedName name="RR_Decision" localSheetId="1">'Units of measure'!#REF!</definedName>
    <definedName name="RR_Decision">Model!$T$7</definedName>
    <definedName name="ST_Decision" localSheetId="2">'Process Description'!#REF!</definedName>
    <definedName name="ST_Decision" localSheetId="1">'Units of measure'!#REF!</definedName>
    <definedName name="ST_Decision">Model!$T$42</definedName>
    <definedName name="UT_Decision" localSheetId="2">'Process Description'!#REF!</definedName>
    <definedName name="UT_Decision" localSheetId="1">'Units of measure'!#REF!</definedName>
    <definedName name="UT_Decision">Model!$T$32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1" l="1"/>
  <c r="V50" i="1"/>
  <c r="V49" i="1"/>
  <c r="V45" i="1"/>
  <c r="V44" i="1"/>
  <c r="X45" i="1"/>
  <c r="X49" i="1"/>
  <c r="X50" i="1"/>
  <c r="X44" i="1"/>
  <c r="Z50" i="1"/>
  <c r="Z49" i="1"/>
  <c r="Z45" i="1"/>
  <c r="Z44" i="1"/>
  <c r="Z40" i="1"/>
  <c r="Z39" i="1"/>
  <c r="X40" i="1"/>
  <c r="X39" i="1"/>
  <c r="V40" i="1"/>
  <c r="V39" i="1"/>
  <c r="V35" i="1"/>
  <c r="V34" i="1"/>
  <c r="X35" i="1"/>
  <c r="X34" i="1"/>
  <c r="Z35" i="1"/>
  <c r="Z34" i="1"/>
  <c r="AB35" i="1"/>
  <c r="AB34" i="1"/>
  <c r="AB30" i="1"/>
  <c r="AB29" i="1"/>
  <c r="Z30" i="1"/>
  <c r="Z29" i="1"/>
  <c r="X30" i="1"/>
  <c r="X29" i="1"/>
  <c r="V30" i="1"/>
  <c r="V29" i="1"/>
  <c r="V25" i="1"/>
  <c r="V24" i="1"/>
  <c r="Z25" i="1"/>
  <c r="Z24" i="1"/>
  <c r="AB25" i="1"/>
  <c r="AB24" i="1"/>
  <c r="AB20" i="1"/>
  <c r="AB19" i="1"/>
  <c r="AB10" i="1"/>
  <c r="AB9" i="1"/>
  <c r="Z20" i="1"/>
  <c r="Z19" i="1"/>
  <c r="X20" i="1"/>
  <c r="X19" i="1"/>
  <c r="V20" i="1"/>
  <c r="V19" i="1"/>
  <c r="X15" i="1"/>
  <c r="X14" i="1"/>
  <c r="V15" i="1"/>
  <c r="V14" i="1"/>
  <c r="Z10" i="1"/>
  <c r="Z9" i="1"/>
  <c r="X10" i="1"/>
  <c r="X9" i="1"/>
  <c r="V10" i="1"/>
  <c r="V9" i="1"/>
  <c r="Z5" i="1"/>
  <c r="X5" i="1"/>
  <c r="X4" i="1"/>
  <c r="Z4" i="1"/>
  <c r="V4" i="1"/>
  <c r="V5" i="1"/>
  <c r="S50" i="1" l="1"/>
  <c r="S45" i="1"/>
  <c r="S40" i="1"/>
  <c r="S35" i="1"/>
  <c r="S30" i="1"/>
  <c r="S25" i="1"/>
  <c r="S20" i="1"/>
  <c r="S15" i="1"/>
  <c r="S10" i="1"/>
  <c r="S5" i="1"/>
  <c r="AH50" i="1"/>
  <c r="AH45" i="1"/>
  <c r="AH40" i="1"/>
  <c r="AH35" i="1"/>
  <c r="AH30" i="1"/>
  <c r="AH20" i="1"/>
  <c r="Y50" i="1"/>
  <c r="Y49" i="1"/>
  <c r="W50" i="1"/>
  <c r="W49" i="1"/>
  <c r="W40" i="1"/>
  <c r="W39" i="1"/>
  <c r="Y40" i="1"/>
  <c r="Y39" i="1"/>
  <c r="AA39" i="1"/>
  <c r="AA40" i="1"/>
  <c r="AA45" i="1"/>
  <c r="AA44" i="1"/>
  <c r="Y45" i="1"/>
  <c r="Y44" i="1"/>
  <c r="AC35" i="1"/>
  <c r="AC34" i="1"/>
  <c r="AA35" i="1"/>
  <c r="AA34" i="1"/>
  <c r="W35" i="1"/>
  <c r="W34" i="1"/>
  <c r="AC30" i="1"/>
  <c r="AC29" i="1"/>
  <c r="AA30" i="1"/>
  <c r="AA29" i="1"/>
  <c r="Y30" i="1"/>
  <c r="Y29" i="1"/>
  <c r="AA25" i="1"/>
  <c r="AA24" i="1"/>
  <c r="W25" i="1"/>
  <c r="W24" i="1"/>
  <c r="AA20" i="1"/>
  <c r="AA19" i="1"/>
  <c r="Y20" i="1"/>
  <c r="Y19" i="1"/>
  <c r="W20" i="1"/>
  <c r="W19" i="1"/>
  <c r="W15" i="1"/>
  <c r="W14" i="1"/>
  <c r="AA10" i="1"/>
  <c r="AA9" i="1"/>
  <c r="Y10" i="1"/>
  <c r="Y9" i="1"/>
  <c r="W10" i="1"/>
  <c r="W9" i="1"/>
  <c r="Y5" i="1"/>
  <c r="Y4" i="1"/>
  <c r="W4" i="1"/>
  <c r="AF45" i="1" l="1"/>
  <c r="AF50" i="1"/>
  <c r="AF52" i="1"/>
  <c r="AF15" i="1"/>
  <c r="AF20" i="1"/>
  <c r="AF25" i="1"/>
  <c r="AF30" i="1"/>
  <c r="AF35" i="1"/>
  <c r="AF40" i="1"/>
  <c r="AF5" i="1"/>
  <c r="AA50" i="1"/>
  <c r="W45" i="1"/>
  <c r="Y35" i="1"/>
  <c r="W30" i="1"/>
  <c r="AC25" i="1"/>
  <c r="AC20" i="1"/>
  <c r="Y15" i="1"/>
  <c r="AC10" i="1"/>
  <c r="AA5" i="1"/>
  <c r="AA49" i="1"/>
  <c r="W44" i="1"/>
  <c r="Y34" i="1"/>
  <c r="W29" i="1"/>
  <c r="AC24" i="1"/>
  <c r="AC19" i="1"/>
  <c r="Y14" i="1"/>
  <c r="AC9" i="1"/>
  <c r="AA4" i="1"/>
  <c r="AH49" i="1"/>
  <c r="AH44" i="1"/>
  <c r="AH39" i="1"/>
  <c r="AH34" i="1"/>
  <c r="AH29" i="1"/>
  <c r="AH24" i="1"/>
  <c r="AH19" i="1"/>
  <c r="AH14" i="1"/>
  <c r="AH10" i="1" l="1"/>
  <c r="AF10" i="1" s="1"/>
  <c r="S55" i="1" s="1"/>
  <c r="AH9" i="1"/>
  <c r="AH4" i="1"/>
  <c r="AL10" i="1"/>
  <c r="AL20" i="1"/>
  <c r="AJ20" i="1"/>
  <c r="AJ10" i="1"/>
  <c r="AL50" i="1"/>
  <c r="AJ50" i="1"/>
  <c r="AL30" i="1"/>
  <c r="AJ30" i="1"/>
  <c r="AL35" i="1"/>
  <c r="AJ35" i="1"/>
  <c r="D60" i="1"/>
  <c r="D58" i="1"/>
  <c r="D56" i="1"/>
  <c r="AL45" i="1"/>
  <c r="AJ45" i="1"/>
  <c r="I25" i="1"/>
  <c r="J25" i="1" s="1"/>
  <c r="I24" i="1"/>
  <c r="J24" i="1" s="1"/>
  <c r="A10006" i="4"/>
  <c r="A10005" i="4"/>
  <c r="A10002" i="4"/>
  <c r="B11" i="4"/>
  <c r="A11" i="4"/>
  <c r="P2" i="4"/>
  <c r="H25" i="1" l="1"/>
  <c r="Y25" i="1" s="1"/>
  <c r="U25" i="1"/>
  <c r="U24" i="1"/>
  <c r="U30" i="1"/>
  <c r="U45" i="1"/>
  <c r="U5" i="1"/>
  <c r="U9" i="1"/>
  <c r="U20" i="1"/>
  <c r="U29" i="1"/>
  <c r="U34" i="1"/>
  <c r="U4" i="1"/>
  <c r="U10" i="1"/>
  <c r="U15" i="1"/>
  <c r="U19" i="1"/>
  <c r="U40" i="1"/>
  <c r="U50" i="1"/>
  <c r="U14" i="1"/>
  <c r="U39" i="1"/>
  <c r="U44" i="1"/>
  <c r="U49" i="1"/>
  <c r="U35" i="1"/>
  <c r="H24" i="1"/>
  <c r="Y24" i="1" s="1"/>
  <c r="X24" i="1" l="1"/>
  <c r="X25" i="1"/>
  <c r="AG10" i="1"/>
  <c r="AG30" i="1"/>
  <c r="AG20" i="1"/>
  <c r="AG52" i="1"/>
  <c r="U60" i="1"/>
  <c r="U66" i="1"/>
  <c r="AG40" i="1"/>
  <c r="U68" i="1"/>
  <c r="AG24" i="1"/>
  <c r="AG50" i="1"/>
  <c r="AG14" i="1"/>
  <c r="U70" i="1"/>
  <c r="U62" i="1"/>
  <c r="AG45" i="1"/>
  <c r="AG35" i="1"/>
  <c r="U72" i="1"/>
  <c r="U64" i="1"/>
  <c r="AG19" i="1"/>
  <c r="AG4" i="1"/>
  <c r="AG49" i="1"/>
  <c r="AG44" i="1"/>
  <c r="AG39" i="1"/>
  <c r="AG34" i="1"/>
  <c r="AG29" i="1"/>
  <c r="AG9" i="1"/>
  <c r="U74" i="1"/>
  <c r="U55" i="1" l="1"/>
  <c r="U53" i="1"/>
  <c r="U57" i="1" l="1"/>
</calcChain>
</file>

<file path=xl/sharedStrings.xml><?xml version="1.0" encoding="utf-8"?>
<sst xmlns="http://schemas.openxmlformats.org/spreadsheetml/2006/main" count="651" uniqueCount="204">
  <si>
    <t>Crystal Ball Data</t>
  </si>
  <si>
    <t>Workbook Variables</t>
  </si>
  <si>
    <t>Last Var Column</t>
  </si>
  <si>
    <t xml:space="preserve">    Name:</t>
  </si>
  <si>
    <t xml:space="preserve">    Value:</t>
  </si>
  <si>
    <t>Worksheet Data</t>
  </si>
  <si>
    <t>Last Data Column Used</t>
  </si>
  <si>
    <t>Sheet Ref</t>
  </si>
  <si>
    <t>Sheet Guid</t>
  </si>
  <si>
    <t>c996936d-c43c-4f7a-8860-ec799da44364</t>
  </si>
  <si>
    <t>510b48b2-cdb0-4093-b02d-d6442bad685f</t>
  </si>
  <si>
    <t>Deleted sheet count</t>
  </si>
  <si>
    <t>Last row used</t>
  </si>
  <si>
    <t>Data blocks</t>
  </si>
  <si>
    <t>CB_Block_7.4.0.0:1</t>
  </si>
  <si>
    <t>Decisioneering:7.4.0.0</t>
  </si>
  <si>
    <t>StartOptEquations</t>
  </si>
  <si>
    <t>Requirements Development</t>
  </si>
  <si>
    <t>Units of measure</t>
  </si>
  <si>
    <t>Unit Costs</t>
  </si>
  <si>
    <t>Effort</t>
  </si>
  <si>
    <t>Person days</t>
  </si>
  <si>
    <t>Dollars/Person  day</t>
  </si>
  <si>
    <t>Cycle Time</t>
  </si>
  <si>
    <t>Days</t>
  </si>
  <si>
    <t>--</t>
  </si>
  <si>
    <t>Quality</t>
  </si>
  <si>
    <t>The number of injected defects</t>
  </si>
  <si>
    <t>Reqts Review</t>
  </si>
  <si>
    <t>The percentage of defects removed</t>
  </si>
  <si>
    <t>Dollars/Defect to fix</t>
  </si>
  <si>
    <t>Design</t>
  </si>
  <si>
    <t>Design Review</t>
  </si>
  <si>
    <t>Code</t>
  </si>
  <si>
    <t>Code Review</t>
  </si>
  <si>
    <t>Unit Test</t>
  </si>
  <si>
    <t>Integration Test</t>
  </si>
  <si>
    <t>System Test</t>
  </si>
  <si>
    <t>Acceptance Test</t>
  </si>
  <si>
    <t>Customer</t>
  </si>
  <si>
    <t>Subprocess</t>
  </si>
  <si>
    <t>Description</t>
  </si>
  <si>
    <t>Traditional Spec Driven</t>
  </si>
  <si>
    <t>Requirements are developed using Traditional Specification Driven method.</t>
  </si>
  <si>
    <t>KJ Analysis &amp; QFD</t>
  </si>
  <si>
    <t>Requirements are developed using Intense interviewing and modeling.</t>
  </si>
  <si>
    <t>Prototyping</t>
  </si>
  <si>
    <t>Mockups are used for evaluation of requirements.</t>
  </si>
  <si>
    <t>Email Routing</t>
  </si>
  <si>
    <t>Reqts documents are emailed to reviewers. And each reviewer reviews them individually.</t>
  </si>
  <si>
    <t>Walkthrough</t>
  </si>
  <si>
    <t>Reqts are reviewed at informal meetings.</t>
  </si>
  <si>
    <t>Inspections</t>
  </si>
  <si>
    <t>All reqts are reviewed through Formal Fagan Inspections.</t>
  </si>
  <si>
    <t>Sampling Inspections</t>
  </si>
  <si>
    <t>Samples of reqts are reviewed through Formal Fagan Inspections.</t>
  </si>
  <si>
    <t>SA/SD</t>
  </si>
  <si>
    <t>Designs are developed using Structured analysis and structured design approach.</t>
  </si>
  <si>
    <t>OOD</t>
  </si>
  <si>
    <t>Designs are developed using Object Oriented Design approach.</t>
  </si>
  <si>
    <t>Design documents are emailed to reviewers. And each reviewer reviews them individually.</t>
  </si>
  <si>
    <t>Designs are reviewed at informal meetings.</t>
  </si>
  <si>
    <t>All designs are reviewed through Formal Fagan Inspections.</t>
  </si>
  <si>
    <t>Samples of designs are reviewed through Formal Fagan Inspections.</t>
  </si>
  <si>
    <t>Manual w/No Reuse</t>
  </si>
  <si>
    <t>Codes are developed manually without reuse.</t>
  </si>
  <si>
    <t>Manual w/Reuse</t>
  </si>
  <si>
    <t>Codes are developed manually with reuse.</t>
  </si>
  <si>
    <t>Code Generation w/No Reuse</t>
  </si>
  <si>
    <t>Codes are developed using Code Generation tool without reuse.</t>
  </si>
  <si>
    <t>Code Generation w/Reuse</t>
  </si>
  <si>
    <t>Codes are developed using Code Generation tool with reuse.</t>
  </si>
  <si>
    <t>Codes are emailed to reviewers. And each reviewer reviews them individually.</t>
  </si>
  <si>
    <t>Codes are reviewed at informal meetings.</t>
  </si>
  <si>
    <t>All codes are reviewed through Formal Fagan Inspections.</t>
  </si>
  <si>
    <t>Samples of codes are reviewed through Formal Fagan Inspections.</t>
  </si>
  <si>
    <t>Ad Hoc</t>
  </si>
  <si>
    <t>Unit test is conducted without plans.</t>
  </si>
  <si>
    <t>Path Testing Only</t>
  </si>
  <si>
    <t>Logical paths and decisions are tested.</t>
  </si>
  <si>
    <t>Data Flow Testing Only</t>
  </si>
  <si>
    <t>Different data states are tested.</t>
  </si>
  <si>
    <t xml:space="preserve">Both Path and Data Flow </t>
  </si>
  <si>
    <t>Logical paths and decisions, and different data states are tested.</t>
  </si>
  <si>
    <t>Bottom-Up</t>
  </si>
  <si>
    <t>Components are tested first with "drivers".</t>
  </si>
  <si>
    <t>Top-Down</t>
  </si>
  <si>
    <t>High level structures are tested with "stubs" for missing components.</t>
  </si>
  <si>
    <t>Hybrid</t>
  </si>
  <si>
    <t>Integration test is conducted using both bottom-up and top-down approach.</t>
  </si>
  <si>
    <t>On Breadboard</t>
  </si>
  <si>
    <t>Breadboards are used for system test. A breadboard is very immature and early prototype hardware. Breadboard has a lot of blue wires on circuits.</t>
  </si>
  <si>
    <t>On Brassboard</t>
  </si>
  <si>
    <t xml:space="preserve">Brassboards are used for system test. A brassboard is more mature hardware with very few blue wires, </t>
  </si>
  <si>
    <t>Production Hardware</t>
  </si>
  <si>
    <t>Real hardware with no blue wires is used for system test.</t>
  </si>
  <si>
    <t>Low Intensity</t>
  </si>
  <si>
    <t>Acceptance test has been conducted superficially for over several days.</t>
  </si>
  <si>
    <t>Medium Intensity</t>
  </si>
  <si>
    <t>Acceptance test has been conducted structurally for over one week.</t>
  </si>
  <si>
    <t>High Intensity</t>
  </si>
  <si>
    <t>Acceptance test has been conducted including stress test for over 1 month.</t>
  </si>
  <si>
    <t>RD Decision</t>
  </si>
  <si>
    <t>Value for Decision</t>
  </si>
  <si>
    <r>
      <rPr>
        <b/>
        <sz val="12"/>
        <rFont val="宋体"/>
        <family val="3"/>
        <charset val="134"/>
      </rPr>
      <t>需求开发</t>
    </r>
    <r>
      <rPr>
        <b/>
        <sz val="12"/>
        <rFont val="Arial"/>
        <family val="2"/>
      </rPr>
      <t>Requirements Development</t>
    </r>
  </si>
  <si>
    <t>1 Traditional Spec Driven</t>
  </si>
  <si>
    <t>2 KJ Analysis &amp; QFD</t>
  </si>
  <si>
    <t>3 Prototyping</t>
  </si>
  <si>
    <t>Costs</t>
  </si>
  <si>
    <t>Min</t>
  </si>
  <si>
    <t>Most Likely</t>
  </si>
  <si>
    <t>Max</t>
  </si>
  <si>
    <t>LL</t>
  </si>
  <si>
    <t>Avg</t>
  </si>
  <si>
    <t>UL</t>
  </si>
  <si>
    <t>std dev</t>
  </si>
  <si>
    <t>simulation</t>
  </si>
  <si>
    <r>
      <rPr>
        <b/>
        <sz val="10"/>
        <rFont val="宋体"/>
        <family val="3"/>
        <charset val="134"/>
      </rPr>
      <t>工时</t>
    </r>
    <r>
      <rPr>
        <b/>
        <sz val="10"/>
        <rFont val="Arial"/>
        <family val="2"/>
      </rPr>
      <t>Effort</t>
    </r>
  </si>
  <si>
    <r>
      <rPr>
        <b/>
        <sz val="10"/>
        <rFont val="宋体"/>
        <family val="3"/>
        <charset val="134"/>
      </rPr>
      <t>质量</t>
    </r>
    <r>
      <rPr>
        <b/>
        <sz val="10"/>
        <rFont val="Arial"/>
        <family val="2"/>
      </rPr>
      <t>Quality</t>
    </r>
  </si>
  <si>
    <t>RR Decision</t>
  </si>
  <si>
    <r>
      <rPr>
        <b/>
        <sz val="12"/>
        <rFont val="宋体"/>
        <family val="3"/>
        <charset val="134"/>
      </rPr>
      <t>需求评审</t>
    </r>
    <r>
      <rPr>
        <b/>
        <sz val="12"/>
        <rFont val="Arial"/>
        <family val="2"/>
      </rPr>
      <t>Reqts Review</t>
    </r>
  </si>
  <si>
    <t>1 Email Routing</t>
  </si>
  <si>
    <t>2 Walkthrough</t>
  </si>
  <si>
    <t>3 Inspections</t>
  </si>
  <si>
    <t>4 Sampling Inspections</t>
  </si>
  <si>
    <t>Design Decision</t>
  </si>
  <si>
    <r>
      <rPr>
        <b/>
        <sz val="12"/>
        <rFont val="宋体"/>
        <family val="3"/>
        <charset val="134"/>
      </rPr>
      <t>设计</t>
    </r>
    <r>
      <rPr>
        <b/>
        <sz val="12"/>
        <rFont val="Arial"/>
        <family val="2"/>
      </rPr>
      <t>Design</t>
    </r>
  </si>
  <si>
    <t>1 SA/SD</t>
  </si>
  <si>
    <t>2 OOD</t>
  </si>
  <si>
    <t>DR Decision</t>
  </si>
  <si>
    <r>
      <rPr>
        <b/>
        <sz val="12"/>
        <rFont val="宋体"/>
        <family val="3"/>
        <charset val="134"/>
      </rPr>
      <t>设计评审</t>
    </r>
    <r>
      <rPr>
        <b/>
        <sz val="12"/>
        <rFont val="Arial"/>
        <family val="2"/>
      </rPr>
      <t>Design Review</t>
    </r>
  </si>
  <si>
    <t>Code Decision</t>
  </si>
  <si>
    <r>
      <rPr>
        <b/>
        <sz val="12"/>
        <rFont val="宋体"/>
        <family val="3"/>
        <charset val="134"/>
      </rPr>
      <t>代码</t>
    </r>
    <r>
      <rPr>
        <b/>
        <sz val="12"/>
        <rFont val="Arial"/>
        <family val="2"/>
      </rPr>
      <t>Code</t>
    </r>
  </si>
  <si>
    <t>1 Manual w/No Reuse</t>
  </si>
  <si>
    <t>2 Manual w/Reuse</t>
  </si>
  <si>
    <r>
      <rPr>
        <b/>
        <sz val="10"/>
        <rFont val="Arial"/>
        <family val="2"/>
      </rPr>
      <t xml:space="preserve">3 </t>
    </r>
    <r>
      <rPr>
        <b/>
        <sz val="8"/>
        <rFont val="Arial"/>
        <family val="2"/>
      </rPr>
      <t xml:space="preserve">Code Generation </t>
    </r>
    <r>
      <rPr>
        <b/>
        <sz val="10"/>
        <rFont val="Arial"/>
        <family val="2"/>
      </rPr>
      <t>w/No Reuse</t>
    </r>
  </si>
  <si>
    <r>
      <rPr>
        <b/>
        <sz val="10"/>
        <rFont val="Arial"/>
        <family val="2"/>
      </rPr>
      <t xml:space="preserve">4 </t>
    </r>
    <r>
      <rPr>
        <b/>
        <sz val="8"/>
        <rFont val="Arial"/>
        <family val="2"/>
      </rPr>
      <t>Code Generation w/Reuse</t>
    </r>
  </si>
  <si>
    <t>CR Decision</t>
  </si>
  <si>
    <r>
      <rPr>
        <b/>
        <sz val="12"/>
        <rFont val="宋体"/>
        <family val="3"/>
        <charset val="134"/>
      </rPr>
      <t>代码评审</t>
    </r>
    <r>
      <rPr>
        <b/>
        <sz val="12"/>
        <rFont val="Arial"/>
        <family val="2"/>
      </rPr>
      <t>Code Review</t>
    </r>
  </si>
  <si>
    <t>UT Decision</t>
  </si>
  <si>
    <r>
      <rPr>
        <b/>
        <sz val="12"/>
        <rFont val="宋体"/>
        <family val="3"/>
        <charset val="134"/>
      </rPr>
      <t>单元测试</t>
    </r>
    <r>
      <rPr>
        <b/>
        <sz val="12"/>
        <rFont val="Arial"/>
        <family val="2"/>
      </rPr>
      <t>Unit Test</t>
    </r>
  </si>
  <si>
    <t>1 Ad Hoc</t>
  </si>
  <si>
    <t>2 Path Testing Only</t>
  </si>
  <si>
    <t>3 Data Flow Testing Only</t>
  </si>
  <si>
    <t>4 Both Path and Data Flow</t>
  </si>
  <si>
    <t>IT Decision</t>
  </si>
  <si>
    <r>
      <rPr>
        <b/>
        <sz val="12"/>
        <rFont val="宋体"/>
        <family val="3"/>
        <charset val="134"/>
      </rPr>
      <t>综合测试</t>
    </r>
    <r>
      <rPr>
        <b/>
        <sz val="12"/>
        <rFont val="Arial"/>
        <family val="2"/>
      </rPr>
      <t>Integration Test</t>
    </r>
  </si>
  <si>
    <t>1 Bottom-Up</t>
  </si>
  <si>
    <t>2 Top-Down</t>
  </si>
  <si>
    <t>3 Hybrid</t>
  </si>
  <si>
    <t>ST Decision</t>
  </si>
  <si>
    <r>
      <rPr>
        <b/>
        <sz val="12"/>
        <rFont val="宋体"/>
        <family val="3"/>
        <charset val="134"/>
      </rPr>
      <t>系统测试</t>
    </r>
    <r>
      <rPr>
        <b/>
        <sz val="12"/>
        <rFont val="Arial"/>
        <family val="2"/>
      </rPr>
      <t>System Test</t>
    </r>
  </si>
  <si>
    <t>1 On Breadboard</t>
  </si>
  <si>
    <t>2 On Brassboard</t>
  </si>
  <si>
    <t>3 Production Hardware</t>
  </si>
  <si>
    <t>AT Decision</t>
  </si>
  <si>
    <r>
      <rPr>
        <b/>
        <sz val="12"/>
        <rFont val="宋体"/>
        <family val="3"/>
        <charset val="134"/>
      </rPr>
      <t>验收测试</t>
    </r>
    <r>
      <rPr>
        <b/>
        <sz val="12"/>
        <rFont val="Arial"/>
        <family val="2"/>
      </rPr>
      <t>Acceptance Test</t>
    </r>
  </si>
  <si>
    <t>1 Low Intensity</t>
  </si>
  <si>
    <t>2 Medium Intensity</t>
  </si>
  <si>
    <t>3 High Intensity</t>
  </si>
  <si>
    <t>Total Effort</t>
  </si>
  <si>
    <t>Total Cycle Time</t>
  </si>
  <si>
    <t>Tests to Enforce e.g. exclude if 1</t>
  </si>
  <si>
    <t>功能点数</t>
  </si>
  <si>
    <t>FP</t>
  </si>
  <si>
    <t>Total Quality</t>
  </si>
  <si>
    <t>TEST01</t>
  </si>
  <si>
    <t>如果有分概要+详细设计，设计评审必须审查</t>
  </si>
  <si>
    <t>Total development costs</t>
  </si>
  <si>
    <t>TEST02</t>
  </si>
  <si>
    <t>手工编码便必须代码评审用审查方式</t>
  </si>
  <si>
    <t>TEST03</t>
  </si>
  <si>
    <t>如果手工编码没有复用，就必须用审查做代码评审</t>
  </si>
  <si>
    <r>
      <rPr>
        <sz val="10"/>
        <rFont val="Arial"/>
        <family val="2"/>
      </rPr>
      <t>F</t>
    </r>
    <r>
      <rPr>
        <sz val="10"/>
        <rFont val="Arial"/>
        <family val="2"/>
      </rPr>
      <t>ield Defects</t>
    </r>
  </si>
  <si>
    <r>
      <rPr>
        <sz val="10"/>
        <rFont val="Arial"/>
        <family val="2"/>
      </rPr>
      <t>Field</t>
    </r>
    <r>
      <rPr>
        <sz val="10"/>
        <rFont val="Arial"/>
        <family val="2"/>
      </rPr>
      <t xml:space="preserve"> </t>
    </r>
    <r>
      <rPr>
        <sz val="10"/>
        <rFont val="Arial"/>
        <family val="2"/>
      </rPr>
      <t>Reqts Review</t>
    </r>
  </si>
  <si>
    <r>
      <rPr>
        <sz val="10"/>
        <rFont val="Arial"/>
        <family val="2"/>
      </rPr>
      <t>Field</t>
    </r>
    <r>
      <rPr>
        <sz val="10"/>
        <rFont val="Arial"/>
        <family val="2"/>
      </rPr>
      <t xml:space="preserve"> </t>
    </r>
    <r>
      <rPr>
        <sz val="10"/>
        <rFont val="Arial"/>
        <family val="2"/>
      </rPr>
      <t>Design Review</t>
    </r>
  </si>
  <si>
    <r>
      <rPr>
        <sz val="10"/>
        <rFont val="Arial"/>
        <family val="2"/>
      </rPr>
      <t>Field</t>
    </r>
    <r>
      <rPr>
        <sz val="10"/>
        <rFont val="Arial"/>
        <family val="2"/>
      </rPr>
      <t xml:space="preserve"> </t>
    </r>
    <r>
      <rPr>
        <sz val="10"/>
        <rFont val="Arial"/>
        <family val="2"/>
      </rPr>
      <t>Code Review</t>
    </r>
  </si>
  <si>
    <r>
      <rPr>
        <sz val="10"/>
        <rFont val="Arial"/>
        <family val="2"/>
      </rPr>
      <t>Field</t>
    </r>
    <r>
      <rPr>
        <sz val="10"/>
        <rFont val="Arial"/>
        <family val="2"/>
      </rPr>
      <t xml:space="preserve"> </t>
    </r>
    <r>
      <rPr>
        <sz val="10"/>
        <rFont val="Arial"/>
        <family val="2"/>
      </rPr>
      <t>Unit Test</t>
    </r>
  </si>
  <si>
    <r>
      <rPr>
        <sz val="10"/>
        <rFont val="Arial"/>
        <family val="2"/>
      </rPr>
      <t>Field</t>
    </r>
    <r>
      <rPr>
        <sz val="10"/>
        <rFont val="Arial"/>
        <family val="2"/>
      </rPr>
      <t xml:space="preserve"> </t>
    </r>
    <r>
      <rPr>
        <sz val="10"/>
        <rFont val="Arial"/>
        <family val="2"/>
      </rPr>
      <t>Integration Test</t>
    </r>
  </si>
  <si>
    <r>
      <rPr>
        <sz val="10"/>
        <rFont val="Arial"/>
        <family val="2"/>
      </rPr>
      <t>Field</t>
    </r>
    <r>
      <rPr>
        <sz val="10"/>
        <rFont val="Arial"/>
        <family val="2"/>
      </rPr>
      <t xml:space="preserve"> </t>
    </r>
    <r>
      <rPr>
        <sz val="10"/>
        <rFont val="Arial"/>
        <family val="2"/>
      </rPr>
      <t>System Test</t>
    </r>
  </si>
  <si>
    <r>
      <rPr>
        <sz val="10"/>
        <rFont val="Arial"/>
        <family val="2"/>
      </rPr>
      <t>Field</t>
    </r>
    <r>
      <rPr>
        <sz val="10"/>
        <rFont val="Arial"/>
        <family val="2"/>
      </rPr>
      <t xml:space="preserve"> </t>
    </r>
    <r>
      <rPr>
        <sz val="10"/>
        <rFont val="Arial"/>
        <family val="2"/>
      </rPr>
      <t>Acceptance Test</t>
    </r>
  </si>
  <si>
    <r>
      <t xml:space="preserve">WAR </t>
    </r>
    <r>
      <rPr>
        <b/>
        <sz val="10"/>
        <rFont val="宋体"/>
        <family val="3"/>
        <charset val="134"/>
      </rPr>
      <t>审查</t>
    </r>
    <r>
      <rPr>
        <b/>
        <sz val="10"/>
        <rFont val="Arial"/>
        <family val="2"/>
      </rPr>
      <t xml:space="preserve"> Inspections</t>
    </r>
  </si>
  <si>
    <t>Infosys iter</t>
  </si>
  <si>
    <t>Infosys  iter</t>
  </si>
  <si>
    <r>
      <t xml:space="preserve">Infosys </t>
    </r>
    <r>
      <rPr>
        <b/>
        <sz val="10"/>
        <rFont val="宋体"/>
        <family val="3"/>
        <charset val="134"/>
      </rPr>
      <t>iter</t>
    </r>
  </si>
  <si>
    <r>
      <t xml:space="preserve">WAR  </t>
    </r>
    <r>
      <rPr>
        <b/>
        <sz val="10"/>
        <rFont val="宋体"/>
        <family val="3"/>
        <charset val="134"/>
      </rPr>
      <t>走查</t>
    </r>
    <r>
      <rPr>
        <b/>
        <sz val="10"/>
        <rFont val="Arial"/>
        <family val="2"/>
      </rPr>
      <t xml:space="preserve"> Walkthrough</t>
    </r>
  </si>
  <si>
    <t>..</t>
  </si>
  <si>
    <t>Exp Value</t>
    <phoneticPr fontId="10" type="noConversion"/>
  </si>
  <si>
    <t>㜸〱敤㕣㙢㙣ㅣ搷㜵摥扢攴㉥㜷㤶㕣㜱㉤捡㤲攵㌸づㄳ㍦攲㠴挲㕡㤴慤挶㑡愰㉡㝣㔸㡦㤸ㄲ㘹㤱㤲攳㍣㐰つ㜷㘷挸戱㜶㘶愹㤹㔹㑡戴㥤搸㍦㡡ㄴ㉤㤲ㄴ〸搰㈶㜱㡣挴㜵㔳户〱㡡㍥搰搶㑤摡晥㈹㄰㈰㐱攰〴昹ㄱㄴ㘸㠰〲㙥㔰戴㍦㔲ㄴ〲晡愳昹ㄱ㈰晤扥㜳㘷㜶㘷㤷摣ㄱ扤戶㕢扡攰㤵昶攸捥戹㡦戹昷㥥㜳捦㌹昷㥣㍢捡愸㑣㈶昳㉢㈴晥换㌴挸捣㕤㡢㥢㐱㘸戹㤵㤹㐶扤㙥㔵㐳愷攱〵㤵㈹摦㌷㌷攷㥣㈰ㅣ㐰㠵晣戲㠳昲㈰户ㅣ㌸㑦㕢㠵攵つ换て㔰㈹㤷挹ㄴち㐶ㄶ攵散㠴扦㜲晣㘰戰搵挸㈰挰搲捣昴晣捡㔳攸㜵㌱㙣昸搶㤱昱换扡敤挹挹挹捡㘴攵搸㐳㈷㈶㉢㐷㡦㡣捦㌴敢㘱搳户㑥㝡㔶㌳昴捤晡㤱昱㠵收㑡摤愹㍥㘶㙤㉥㌵慥㕡摥㐹㙢攵攸㐳㉢收挳㡦㑣㍥㝣晣戸㝤攲挴㈳㈳㜸㜵收挲捣昴㠲㙦搹挱㕢搴㘷㡥㐳㝥㜸搶慡㍡㥣㥢㘵昹㡥户㕡㤹㤹挶摦挴昸昱昴愱捡攲㥡㘵㠵㝣戵攵㕢㕥搵ちっ㌴ㅣ㜶愷㠲愰改慥㜳昱っ昷㌴愶㕡㌵㠳㌰攷捥㔸昵扡攱挶扤ㄶ摣㜹慣㕤摤摣ㅣ㜱ㄷ㉤㉦㜰㐲㘷挳〹㌷昳敥ㄲ㍡慡㤵摣㑢㠱㜵搱昴㔶慤ぢ愶㙢攵摣㌳㑤愷㌶愸㔳㘶攰晤㜱ㄷ挹㠱挹昴㉢㔳㠱㍢戳㘶晡㌲愲㠰ぢ㤳㔲昷戴㕦敤慣㝢㑦敦㝥㌹㜴㜹〳晢扣慦㜷㍤㤴㕣㌶晤㔶捤㠹摥㌵愳挹㜷㡥攰挱摥昵ㄳ㙢搴搹收〳扤摢挸㔲㜶搶㔶挳ㄱ㝦换㡡㘲㌲㐶㥥㘰㠸愰㐰㐰〲ㅡ㐵㠲㘱㠲ㄱ〰㌵昸㕦搸㈵挹㠶㉣捡㉥㥢搹攵㤵散㜲㌵扢㕣换㉥㕢搹㘵㍢扢扣㥡㕤㕥换㉥㍢搹攵愷戲换㔷㔱㈷㑥㠵愱愱㙣㤴慥晤昴㉦㥦晣㥤㈹晦戱㉦㝣敦ㄳ昷晦昷㠷㝦㥥ㅢ搹㠷㑡㡦㐷㠳㥡昵捤敢㘰戵㌶ㄷㅦ慢ㅣ攵㥦㕢敦ち㙣ち晢戸晤㈱㝢㜲戲㜶晣愸昹㤰㤹攳戴㔲㠸摦挱㈸㘵搴ㅤ戱㥦㜰扣㕡攳扡搰敥慥㘹㌳戰摡ぢ㌷ㄱ㤵㑤㌷㥡㕥㉤㜸搷昶㠵㡢愱ㄹ㕡㜷㜶㤷戵㍢搹搲㙣ㄱ摢捡ち攴㝤㜷㜷㌷扢㙣搶㥢搶搴つ㐷ㄷ扦扢慢搸㕤昰ㅢ㉢扤㑢㑦晢搶戵㔶改㤶ㄱ㑤㐱愸㙤㐸摦㕢㘶愹㡢昴戸挶㘷搶ㅡ㠱攵挹昰㈶摣〵愷㝡搵昲ㄷ㉤㡡㐴慢㈶㔳扤㥤㐵搱慥㥦㤸昷㌰㔱散搶摡晢㤲㔸晢搱ㅢ㈱㌶戳㔵挳㜸搷㉤㍦摣㕣㌲㔷敡搶挱㡥㉡晡㥤㈸㌸摣㠱㍥摤愸㌶㠳㤹㠶ㄷ晡㡤㝡㘷挹㔴㙤挳㠴愴愹㥤㙦搴慣挱挱㡣〸〵〸摣㠱〱愵㌲ㅦ散扤ㄷ㠴㄰〹ㄲ㜳㈳摦搱挹㜶㤵㡢㤸ㅤ㘶㔱户挸㤳搹㝢㙦搱ㄹ挷㉢㌲㈶㘵〷㈶收㐴晤挱㤷㍥㜰㡢㙥㕢㤴㝢㝢㉢㘷戳㘳搱散ㅦ摤戰扣昰慣改搵敡㤶㥦慡晤ㄴ㐷㘴㡣〲攴㙥㐲㈰昴㕣㍤慡㍡㜵㐳㙤收慥㍢戵㜰㉤扦㘶㌹慢㙢㈱㜰搰㤰㠵〲㤷㜶㑢㌲㙥〳捡搸㑦㌰〶㔰㉣㘶昲〷㔸㈹㕦㐴捡攴㈸㥤㔲昶㜲㠷㈰㘷扢㡥扤㍣㘲㥦㜶敡愱愵㠵昲愸つ㡡㘸慤㈶攴㉢㤱㐵㝤戳慡ㄵ挶〱㝢〶㕣㙡㍡㕥戸搹摥户㕢㜶㠹㘶愲㍤㔹戰敢㘴〱㐵㐱愷㍣㐸搹㙢㘰㥡㉥㘹㤰㕥㌹挱㐴摣〶㈹㥡ㅤ㍤㜷㌲ㄹ敢愷挸〸搴㑦㌲㈱㙢ㅦ敤㉤㈳挸散㕢㤹㤴㡤㝡敥挷㍤㘹戶㥤㉤慦愵搹敤㔸㌸攳㈰挱㈱㠲㍢〸づ〳愸㝦㠳㠴愳㤴㐳扥㌳ㄹ敦挲戳㜱ㄷ挱扢〱㈰㥦っ捡㥣㐸㔴搱㠶摡㠹ㅤ挹㝡㈵搸挹㘲ㄴ㙢㔱㐴换戸㘵㘷㤶㕣㈱㜴㘴㜵敥づ㕤㍢㈸㍡昶晥摥扣㤹㥣づ㌹㌲愵㙡㜲慥户愸㥡㕣〸㔶敤㔳㙦扤〷㑤㡤㜱㠲昷〲㘸挵㐲㘳㜷㘷搶㍣捤挹㜷㠴㐹愴つ愱㍥㤵㝢挴挴㌴晦㔳〴摣㤶愳换㥥晤㑣㔳㜰挲㝥挷摢捦㐷㝡敦敤㠸攸㕤㍡㜳㑦攷搰㔷昴〶㉤攸昷㘱㝢愹㝦敥愹㕦敥㐵戱㜱ㅦ挱晤〰㕤晡㠵㈷敦㌷敡㈵㄰㤳搸㑤㔰㙥㍦㍤㉥㘲攱㉥㙤慥㕢愲㝤㐶散㈵搳㕦戵㐲㜸㉦捥捤挲づ㙥昸扥㔵挷㠱戶㈶〸㥥㕤づ㜵㈲㠳搳㝥挳㈵㝥捦㍥づ摥ㄱ㡡㘱㜰㌰㍢㤰改戲㡦㔳散捣㠴扦㈹挱㌹搴扦て昵ㄶㄲ㠹㐶㥤散挵㜶改㘷换㍤㐹搲㠷㈴㜹〰换㙡㝣〰〰㔲㐲晤㘳㑦㠹㌲挱㙡㐷愴㕡愷戵㑡敦㕥捡挹愴换㝦戸㐵㡥っ㙢㘷敤㌴㝣〷㐱挹㕤㜴摣㤶戰ㄸ㜶ㄷ㉣扦ち扦㠲㔳户㡡摡㈵㑢㔱戳㈷㉢摥㈱戲㘲㘰㘰换㔹㍡挵户㈶㝣搲㈵㈵㔲㜷㝢㙡㘱捡㌹扣捤㔴㜴㐱㔲愸愴戸㠵㕡ㄲ㠸㥣挷扡㝢㈲愶てㄱ㔳挱挲ㄹてㄲㅣ㈵㤸〴挸晤〸㤲㘶愷ぢ捦㔰搸搰〶摤搹换换㤹〲挹㈰敥挱ㅦ昶ㄴ㔶て昳㌵挷〹㝥つ愰换晣愱昳㌱㠵ㄱ㠵攴〹㐶愴戵㘴搸㤷ㅤ敢㍡㜹㘰㥦㡤愰搲㑣㌳〸ㅢ㉥愳㑡㈵㝢戶㜱愱ㄱ捥㍡挱㍡愲㔰㘳㜶㤴㜹㘲捤昲挰㕤㍥㙣㥦㉥㕣㘳㝤摤慡ㄹ昶㘲愳〹搱㜶㙥㜶㌷ㅣ捡㌱㍦搸㤲㜲㉥捦㉡愴晥捥挶攸㐲挹㠹ㄸ扥㔶㝡㘲㜷攴昹收愱㙦戴扤愲㑢㑥㔸户㠶㙤扤改㤸㉦搸㔸㐵㐴つ㙡㐳昶搲㥡㙦㔹戳㈵晢㡣敦搴敡㡥㘷㤱ㄸ戰㌱ㄹ愸㥢戳㔶ㄱ㈱㔸㘸㌰晥搷昰㑡昶㤲㙦㝡挱扡挹㘰攲收晥㡥㈷〹㠹攴散㘹挷ぢ昰ㅡ愱㈲昳愳昶攲㕡攳㍡愲戵㑤搷㍢㘳慥〷扢㠲㉡㘴㝡㥤㠴㌴㉡慢戲㔹㔵挸ㄶ晡愵てて攴㤹捣㌱晣〶〹㠴㔶㤹ㅣ晤攵㈹摡㥢㜶㝤ㄴ㥦愱㥤捥㌱㡤㈰㜲搴㐲づ愴㑡㘱敥㔴攳ㄱ戶㌹〱昰戱㌳㤷捥戵愳㜲㙦㉡㕥㥤愳㠷㍦㐵挶ぢ㕢戴㠲㈰昴捦敤搳慣㐲ㅣ㌹〷㍢㄰ㄴ攷㔳㌷晢ㄵ㙤愹㐳敥摢搷捥㥥㐶ㄴ㘹挴㥥㌳㔷慣㍡㘲搱慥ㄹ敥搳て㌴㘳㕤戳ㅥ㐴㘵㌳つ搷㌵挹㕡㘴换挵慡㐹づ㥥㙡㠶㡤昳㡥㘷搸〰挲㝦ㄱ捡扣〱㤴㜹㐳㔰㈳昶㐵㠶〵㈵捦扥ㅡ慢愶敦㠴㙢慥㔳㉤昰㠱愱扢㕤挱㤳搸攴㤴扣㜱㡡㘵挶㜸㤷㌵㝦〹㈶㕢㔰〱戹㉢㤰愳㕣㍡㤲ㅦ㥣㥢㔵㜹晣㔱㝤㍡㤶㈰㘰挴㑢㙡㝣〴扤攵攴㘶〴㐴㡥愴㥢昱晤㡢㥢捦〱愳晤㜲愴㝡ち㡢挰㈳㤸㄰昲㜴㙦攷敤㑢㥥ㄳ㠲㝡愴搸㘹㈷㥣つ㐰㜲〰㘴攵㜸㝢愷㔰㌵搱㘸愲愵ㄵ摥戳戵愸㐳㑤摣扤戵㍣愹㌷敥摤愶㔸㙢㤴㠴㈲戹㔵㈵搱㉣摢㡣㜱㌷愹ㅡ㈵㡡㍢搶㌶㉡捤㙤摡㕥㜷㑡㤱㌷愱㤸㠴㘷㌲挶㐹㘱ㄴ〴㜹挹ㅤ搰㔱昴搷愷戳㐷㈲㕡㐳ㅢ愰㐸㍤愵㜱愵㈸ㅣ㜸づ㔷㑥㙡㔶㌱㝡挲晥摥ㄷ㘵攷㥢㘱㐷㠹㜹㘳㉣㉡㤹慡搷攷㍤㔸〹㔵搳慦敤㤲㉤㡤戹㘹つ㈳扢戳㕦敤慦㤷㌷戱ㄱ愳㙤挸㤰㐸㡡ㅦㄸ摢㄰㥢㉢ㄱ㑤愵㜵㔶攲㔲户搰〵㍥㥤户㑣㑦㈸戰ㄸ搶㘶慤つ㌱挳摡㤶晣㤸㌴㘸㥤ㄶ㐵㡥ㅡ昶搴㑡〰㤵ㅥ㔲㡥㐷㌹搹攰㠶㝤㤱㙥㈹㕣㘰㠰搸㡤㜲ぢ搵㄰㘱摤㔶〷㍣ㄹ散ㅥ敡㘰㐵㜴搸㠴搶ㄹ㈵㘸㍥㠵㜱㍢㈷挱扤搳㈷㐵㈱㐸㙤㐹晦㜹㑡扤昰㔵愶㙦㥤捡挴㤹㘸ㄳ㌱搴㤵㘲㍤㠰戸挹愸㈴㜷搱㔸ㅣ㉣搷㤲㑤㠴搶㐸㡣愳㠹㔱愲挹攷㠷戸挱挳㌸搶㈸户㑤ㅤ㜷摣㐲〷摡戴扥戹捦㍥攷㔵敢捤㥡㈵慡㌸㤶搵愲㤱㜷〵扤攴晡㥦摥㑤㈹敢ㄲ㉤捡㌹ㅣ愵㌸㘵ㄲ愹㝦扢摢昸㜵㌴ㄷ㈱㠷㍥戴㙣㘳昰㌱挵㉤㈷挱戰㉤㜷ㄴ㘸ㅦ敥㙦㕦㕥㤰㡢㜳㄰㘹㕢㔰㤴㘵㜳戸㡢搷㡡㈰换㙥㑢㔴㥢㙢捣㌵㘸戳㈷㔰㘷ㅤ㡤摡ㄵ㌴挲㍣戵挰换攷㘱㡣昴戹㍢搸㐹收㘶ㄴ搹扤昹㥣㍣㘶㙥㥥㡡㡣て挵昸㉥㑦㐱㤹晣㐷〱㠶ㅥ㙦㥡㜵㕣㑣〴㤹戵〵㥥㙤㕢攰㡡㔱㘰㕡攱挶ㄴ㠰㘲㌸㤸挶㉤㙡㙡㘳㘷〶昹㔴㘳挷㤸㐵つ㙡㌴〶㈷㔳愲愵挹挰㉡㘳㤶㘳㜰攰㠳㠸搸㕤㍣㔸㉦㌵愰㤴挲〳㜲㐹㉣扥愷㌸攱攲㐸搴昰て㜶㈱ㄷ捣㄰㔷㘱扣挳㕤攸愹㕡㡤收㉦晣㜵扢㠲捡戸挶愱捤搳〳㕤ㄷ戴㘴㑥戴昷敥改㉡㠸㉥づㅥ㥢慤㥣㌵挳敡摡㘲戸愹㉦㜱昵换㈲戹扦㠳㝦㘲摢户搳㠶ㅥ昴㜸㈹㜵㠳㙢㕦扣敡㌵慥㝢㌲慥㕣挰ㅢ㠰攰ㄲ㕣愷ㅣ攲㈰㡢㤹㕦攱㡦愴㙣㈶昷户攸㜱㈷挳㘶〷㙤㠷〹晢㤱愴愵挳㌸昲㈹㝣〲㕢扥㜵㠳㠰㝣㜲愰㡢㑦㐴㌰散㌱㡡户晡㤶㌱㡡晡づ挸㑡㘶搱㐷㜴慣昹㉢搸晥敡摢挰㤰攰㜸㡥挴㑡敥扤挸愵㤰㑥〴㝢㜴摤㠳㤷㐳晥晦㔰㈹摥捤摢㙥愷晦㠵捤慣晥愶㥢㐴㜷㤳㐴慦㙥㈵ㄱ〳戳㙦㈸〴捥搱敦ㅤ㍤摦昶㙢扥晦㠷㐷捦㌹㔰㤸㐹慣㌳〴搹敥㐵㕥㡣〳散㜷㤵ㄵ㤷㕣搲㈰戸て挵㘲㄰㥣㘷ㅢ挶敦戵㐱㄰㜹㍦收㠱㐸㌵〸攴㜸换愸㕥㡡〹㤸〸戲㈶ㅣㅡ㍣㝢ㅤ㜴改ㄹ㍢㡢敢戶㔶㠰㐸㍥搴㔳㌰〳㕦搴愱慤攸〵搳㌷摤挳㠲㍦攳㕢㔰㕢晥ㄲ敥㙦㑢ㄳ戶戸㜳摢ㄲ㘹戴㡤㤷㈲昶慦敦㜹㔲㜶㜶㙢ㅤ㤴搲㐹㍢敥㔵㐱攵摦㠴㡦㐴昱挴㤰㜹收挰㥦㥥昹㤷愷㝦攳ㄴ敦愹㐵扣㥡㘳㘰戸㥦㘰㍤㉤〷㠴㜳ㄳ㔷㐴㙥攷攷㌸攷昱㘱㤲戳㕥户愶㑤㕦散㥤挰㜰攳慣㘶扣〴㘳㙡收摢つ挶㈴㙥㍣㘸㘳戲搲攵攸㤴捦㤹挴㌹㔸㐹っ㕣扣㜹㜱挰㔰昵㔴㔹㝤摡㤵戹㍦㠷搲㜹㠳〳改戴〷㜹摥㘴㔲敡捦扡戵摡㜱㙡㌵㌱ㄳㄵ〳晥戱㤴㐲攴㠱ㅣ㤲㤴㔲扣ち㈰㔲敡㈲㌲戹ち㐰㑡㑣慤㍢戸㑢㑦挰㥥㄰戰㕡搷晤晡晣㜴〵慢〸㉡挶㕥昸㝥捦戲戴㍡㘳搵昴㈰昳昸ㄹ㡢〰㜲㑣㈱㠲㔱㕢挱㉥㈱ㄳ愷摣㈴㜲㍢㜶㐴昱㈵㈵㔷㠷摣昴挶捥戹昴戲ㄵ摤㐷扤㈶敥㝣㐰捦攴㐵㘱㜸晢㠹挶搱㔳愲㜳扡㙡㔱愳〸㐷㜵戶搵㘸㌸㉡㠲捥昲づ攳晣㠹戰ㅦ扦て㘲昹㐴扢敢摢扢㑢愸攳扣㈱㑣㤰㍦搸㕦㜷愷㙣㙣扣㤵㍢〶ㄲ㜶㐷戵ち晡㔲昸㈵㌴ㄱ㝢㕥ㄹ敤㉣摦愵ㄴ愳搳昱捥ㅡ搸慡晦㡦愳㔸㜶搶㘵搶㘶〰扢㐳晦㝦ㅣ㠸㕢敡㝦挵愸㥢㤰散挹㈸挳㠷ㅣ㈳㈷户っ搶㜰㐵攰搳㐶搸㐶㡥挰㠶㘴ㄹ散搶戹㐵㝣戲慡㡢㐵㠲挳攳㌵搸㝤㈹愲搵㤶戶敤㜰㑦〱㜸㠲㐳㝡〵㈲愸㘷㝢づ㝡敢㌹㌶晦㐹愰て㥣㜷慡㝥㈳㘸搸攱昸㈲挲扤攳晣攲捣㠶捤㌳愵扥搹㉤搴敥挱㑡㡣㝣ㅡ㙤㉥捣㐳㘰㕦戰挲户㉡ち挹㤸挲捥㘲ㄸ晣晡愸㥣〸㉣㔱㍢〴户搹㤱㕦㘸ㅥ㕥捥㤰愸㕤愱散戴慦戹晢㙥〶㤷づ户戳ㅥ㠳攷挷慡㔷㄰ㄶ㤳㈹㝣昲搳㕣搷敥㌵攸慣ㅢ捤㉤㘰捤晥扣㙤挵摣换愰改捥摥搲挹㌲㝣㈷扦㐳㉥ㅡ换㠴昰㤲搱㕢扡㜳搷㉣㝢ㅢ〳㥦㐷㥦㜱搳攵㌵㔱㠷愳㙣〷㜱敦㉢㘸慡愶〸昰㌳捣㈸挳挱㈸晡昴戸ㄵ搵搷㌱㉤㙥〰攴㌳昹㉡㐰㙦慥㝥㜱㍢慥㔶戳散〵㍦挳㘲て搱㑦昱挰㐱摥㉣慡ㄷ搰㡡㙢愷搷㘰㤵㌸ㅣ㐰攴㘰㠱扣戱〶㄰㈷挵㠳㠵㡣敡换㘸搰ㅡ搵㔳挰昶ㅥ搵敦㙥㍢㉡㥡〴㌲慡㝡摣㌹晥㉤挷㉡挵㜰昱㘴㜸〴つ㠲㜵ㄶ挶㥡㘵㤴挲㤲ㄲ㈸慦㐳つ摦㌹㠵㍣搲㡦愳㝦㕦㍦昵挳搷㤸晥攳㤴ㄲ昱㠸㈲攳㥡搴搰㐰㔱㍣捡㉣扥㤸㥣㐵〰㙣敦㔹㝣㝥扢㔹㤴㈹㌹㜹㐱挵㘸〲㤴㐶ㄵ㌹㐸㘶戵ㄱ㘵昸愰慥挴搸敢挸挴愹㙣㈲㈷㙤㙦㈰㔳ㅡ㉤㤳㍣昲扣㠹㡣昱㌴挱㌳〴捦ㄲ㝣㠶攰戳〰愵愲㈲㠹攴㈵捦㐵ㄹ㍥㤴㐹㈷㌶㉦㤵换㕣㔲㥤捤㜱ㅤ㔳扥ㄳㄲ愳㡢昷㉡改ち捡㙢㕦㙥㕥慢摡㠲ㅢ㌹㜱㜷㠵挰㠹摣昱㍤昵㐴扥捦ぢ〳敡昹㤸慥㘷捦挶ㅦ㘱㘵愳㄰ㄶ昸㑡㥢戹攴㐳㉥愴㝡㉥慥晣ㄷ慦戶㍤慥㈸㐰〲昳改捡攴㔷愹晣搹戸昲㌱㝣攰㈵㜵㌲扣㤰挰昴㝡㕣㜹ㅤて㔲昹㌳㜱攵㥦ㅦ㍢摣慡ㅣ戳戱敥戹㑣ㅥ㡥挸㑡㜶㑢戱愵攵㜴㤱昸敥㝢ㄴ搵㜳㌶昵昳戰慤搱㤴捣ㄲ㤴慥㡢㠶ㅥ挱㌵ㄳㅦ㕦㕥捦攱搶ㄴ㉥㤷㐰㠸敢晦㠰攱ㅣ㙥㔳捤㥡愱㠹て慢㌷㄰挶昶つ㜹㘲攳扣㍤敦〳㌱㘴㥦ぢ㜰㘶慢敤㉡㙥㠱戹㌱愸㤷晡ㄶ敥晤ㄴ搳戴扤ㅥ㜱昸㉤换摢㈹晤㈹㈷〹搳っ慡㘷㘲㈲㘷㥥㙦戳㡦昱㌹㄰〷〲ㄷ㤰ㄹ攳㌷〱㜵㔸攷〰ㄱ㘵㑡ㄲち㍢攳户〰㑡〳㘵捡㄰捤〵㡡㠲㠳㥣㤰晦㙤㠰搱昸㍦挰ㄸ摦㄰㡦㑣㔶㌵攳搷㈵㜹捡昸㍣ㅢ㝣〱㘰〰慥㘰戸㤶㤰㜰攱挱昸㈲晥㑤扣㌶㐷㈱昴㤱摥ㄶ㉦て戴昱㐷昹〸㔵㜶㝣㝤晦㈸扥愶摦㘴挷〳昸捦㐴㜲㘲㥥て㘶㍦摣㕦㕦㘴㌵㕡搶昲㕢挷㠴摥㐴㍦㕣攲戶愵挸ㅥ㐵攵㈹㡡㕡㑥㔷㌵搰㍦摦㐱挳扢愸㈸㝣〵敤㐵攸㠳㠲愶㌸ㄶ戴ㅢ愱㜹㝢愱愸㈸愰〵㕤㡦搰昴慥ㄵㄵ㐵戶愰慦㐶㘸㍡㑢㡡㘵㑡㙥㈱敡敦㈱㔳ㅡ挸㤱〷㜶捣㡣㥣㐷㥦〶挷㤷搱㔴㤱挳搸㠷昱㤵㈸挳〷㐵昶㤲㤱慥㐶㈳㍤挵㉡㉦戰㠸㉣挳ㄱㅡ㕦攳ㄳ㌹㐵㥡扦㠸っ昵〶㝦㡡ㄳ㤱收搵㘴昳慦戳㐸㕥㡡㡣昱つ㠰㌸㤵昹㜲㔹㠲㤷㤰㈹つ㡣昲㑤㑦攰㤷扤愱慡㔷㙡㔷慥晣㘲㜴㜰晣捥挱㡦㝦㜴攴慢慦晦攰㘷㕦晡挹愷㑥晥晢㉦㕦㝣昱㈷晦晡愵搷㝥昹昷㉢㈷扦昷昲换摦晤搸㌷㕥晢搹㝥晢愵散慢扦㤸㝢改搹挹慢捦㕥戳㉦㝤昰捣戳㑦㍥昵昸攴挲㙤ㄳ〳〳㐳㐳敦ㅦ晢晥ㅤて㤴㥦扦昶㙤昵て晦㜴挸㔳㌲㜸扣挰昸㝤㠰㌸㤵㌹〹㙥㈷攳㘵㠲㍦㈰昸㈶挱ㅦㄲ扣㐲昰㐷〴㝦㑣昰㉤㠰㔲㘱㤴㤳㝡㍢㐷㕡收㍡㐵㕢晣㈵㘴㘵㔹㉦㐷换㍡つ㐴㐱㘵捡昱㈴ㄴ挷㉤㌵㉥㐵㌵㘴㌶㝦〲慣攲㙣愴㘸㌱㉡搲晣捥昹〹晡㘲㠴搶晣捥ㄹぢ晡昱〸慤昹㥤㙢㈰攸㠵〸㝤〸㠸愲攲慡〸㝡㍥㐲㙢㝥攷㍡〹晡㐲㠴ㄶ㝥㔷㕣㌹㐱㥦㡦搰搱㌴ㄴ挷㈹慣昵㔷挸㈸〱挸ㄸ㝦つ挰㐴〶㈹昳㐱㉦挷昰晦〰昵敦て〵</t>
    <phoneticPr fontId="10" type="noConversion"/>
  </si>
  <si>
    <t>Decisioneering:7.0.0.0</t>
    <phoneticPr fontId="10" type="noConversion"/>
  </si>
  <si>
    <t>CB_Block_0</t>
    <phoneticPr fontId="10" type="noConversion"/>
  </si>
  <si>
    <t>㜸〱敤㕣㕤㙣ㅣ搷㜵摥扢摣㕤敥㉣戹㈲㉤捡㤲攵㌸づㄳ摢㠹ㄳち㙢㔱戶ㅡ慢㠱慡昰㐷㝦〹㈵搲㕡㑡㜶㤰〶慢攱敥っ㌹搶捥っ㌵㌳㑢㠹戶〳扢㠵㠳ㄶ㘹㡢〲㐱ㅡ挴慥摤戸㙥敡愲㝤攸㉦攰㈶㙤㕦ち〴㘸㔱㌸㐵ㅦ㠲〲㝤㈸攰〶㐵晢搰愲㄰搰㤷㍣〴㜰扦敦捣捣敥散㤲㍢愴搷㜶㑢ㄷ扣搲ㅥ摤㌹昷㘷敥扤攷摣㜳捥㍤攷㡥㌲㉡㤳挹扣㠳挴㝦㤹㜲捣摣㔷摤昴〳挳慥捣戹捤愶㔱て㉣搷昱㉢㌳㥥愷㙦㉥㔸㝥㌰㠴ち㠵㥡㠵㜲㍦㕦昳慤㘷㡣㘲㙤挳昰㝣㔴捡㘷㌲挵愲㤶㐵㌹㍢攱㙦㍣㝥搰搸㙡㌴〷戰㍣㌷扢戸昲㌴㝡慤〶慥㘷ㅣ㥢扣ㄶ戶㍤㍤㍤㕤㤹慥㥣㜸昴搴㜴攵昸戱挹戹㔶㌳㘸㜹挶㘹挷㘸〵㥥摥㍣㌶戹搴㕡㘹㕡昵㉦ㅡ㥢换敥つ挳㌹㙤慣ㅣ㝦㜴㐵㝦散昱改挷㑥㥥㌴㑦㥤㝡㝣ㄴ慦捥㕣㥥㥢㕤昲っ搳㝦㥦晡捣㜳挸㡦捤ㅢ㜵㡢㜳㌳っ捦㜲㔶㉢㜳戳昸㥢ㄸ㍦㥥㍥㕢愹慥ㄹ㐶挰㔷ㅢ㥥攱搴つ㕦㐳挳ㄱ㝢挶昷㕢昶㍡ㄷ㑦戳捦㘱慡㜵摤て昲昶㥣搱㙣㙡㜶摣㙢搱㕥挴摡㌵昵捤㔱扢㙡㌸扥ㄵ㔸ㅢ㔶戰㔹戰㤷搱㔱愳㙣㕦昵㡤㉢扡戳㙡㕣搶㙤㈳㙦㥦㙦㔹㡤㕣㤸㌲㐳㥦㡡扢㐸づ㑣愶㕦㤹昱敤戹㌵摤㤳ㄱ昹㕣㤸㤴扡攷扣㝡㜷摤〷晡昷换愱换ㅢ搸攷㐳晤敢愱攴㥡敥戵㙢㑥昵慦ㄹ㑤扥㝢〴㡦昴慦㥦㔸愳敥㌶㥦敥摦㐶㤶戲扢戶ㅡ㠹昸㕢㔶ㄴ㤳搱ち〴挳〴㐵〲ㄲ㔰㉢ㄱ㡣㄰㡣〲愸摣㝦㘳㤷㈴ㅢ戲㈸㕢搳戳戵㤵㙣慤㥥慤㌵戲㌵㈳㕢㌳戳戵搵㙣㙤㉤㕢戳戲戵愷戳戵ㅢ愸ㄳ愷攲昰㜰㌶㑡㐳㙦扥㥣㜹㌶愸㥥晤晡て摥昹收慢愳敥捤搱〳愸昴㐴㌴愸㜹㑦扦〵㔶敢㜰昱㠹捡㜱晥搹㜹㔷㘰㔳㤸㈷捤捦㥡搳搳㡤㤳挷昵㐷昵㍣愷㤵㐲晣㉥㐶ㄹ㐷摤㔱昳㐹换㘹戸户㠴㜶昷捤敡扥搱㔹戸愹愸㙣搶㙤㌹つ晦㈳摢ㄷ㔶〳㍤㌰敥敤㉤敢㜴戲愵㔹ㄵ摢捡昰攵㝤昷昷㌶扢愶㌷㕢挶捣㙤㉢㉣晥㘸㑦戱扤攴戹㉢晤㑢捦㜹挶捤㜶改㤶ㄱ捤㐰愸㙤㐸摦㕢㘶ㄹㄶ㠵攳㥡㥣㕢㜳㝤挳㤱攱㑤搹㑢㔶晤㠶攱㔵つ㡡㐴愳㈱㔳扤㥢㐵搱慥㥦㕡㜴㌰㔱散搶挶㈷㤲㔸昳散敤〰㥢搹㘸㘰扣敢㠶ㄷ㙣㉥敢㉢㑤攳㜰㔷㤵昰㥤㈸㌸摡㠵㍥攷搶㕢晥㥣敢〴㥥摢散㉥㤹㘹㙣攸㤰㌴㡤㑢㙥挳挸攵㌲㈲ㄴ㈰㜰㠷㠶㤴捡㝣愶晦㕥㄰㐲㈴㐸捣㡤㝣㑦㌷摢㔵慥㘰㜶㤸㐵搳㈰㑦㘶ㅦ摣愱㌳㡥㔷㘴㑣捡づ㑣捣㠹晡㠳㉦㝤㜸㠷㙥摢㤴晢㘰㉢㘷戳ㄳ搱散捦㙥ㄸ㑥㜰㐱㜷ㅡ㑤挳㑢搵㝥㡡㈳搲挶〰昲㜷㈰㄰晡慥ㅥ㔵㥤扡慤㌶昳户慣㐶戰㔶㔸㌳慣搵戵〰㌸㘸挸㘲㤱㑢扢㈵㘹㜷〱愵ㅤ㈴㤸〰㈸㤵㌲㠵㐳慣㔴㈸㈱㘵昲㤴㑥㈹㝢戹㑢㤰戳㕤搷㕥ㅥ㌵捦㔹捤挰〸㠵昲㤸〹㡡㠴㕡㑤挸㔷㈶㡢㝡㝡㍤㔴ㄸ㠷捣㌹㜰愹㙥㌹挱㘶㘷摦㙥搹㈵㈱ㄳ敤换㠲㍤㈷ぢ㈸ち扡攵㐱捡㕥〳搳昴㐸㠳昴捡〹㈶攲㌶㐸搱散攸戹㥢挹㔸㍦㐵㐶愰㝥㤲〹㔹晢㜸㝦ㄹ㐱㘶摦捡愴㙣搴㜷㍦敥㑢戳敤㙣昹㔰㥡摤㡤㠵搳づㄳㅣ㈱戸㠷攰㈸㠰晡㌷㐸㌸㑡㌹攴扢㤳昶ㄱ㍣㙢昷ㄱ㝣ㄴ〰昲㐹愳捣㠹㐴ㄵ㙤愸摤搸㤱慣㔷㠶㥤㉣㐶㜱㈸㡡㘸ㄹ户敤捣戲㉤㠴㡥慣捥扤愱㙢㜳愲㘳㍦搹㥦㌷㤳搳㈱㐷愶㔴㑤捥㜵㠷慡挹㠵㘰搵〱昵搶挷搰㔴㥢㈴昸㌸㐰愸㔸㘸散敥捥㥡愷㌹昹愱㌰㠹㐲㐳㘸㐰攵ㅥ㌱㌱捤晦ㄴ〱户攵攸戲㙦㍦搳ㄴ㥣㌲㍦昴昶昳戱晥㝢㍢㈲㝡㡦捥摣搷㌹昴ㄵ扤㑢ぢ晡ㄳ搸㕥敡㥦晢敡㤷〷㔱慣㍤㐴昰㐹㠰ㅥ晤挲㤳昷扢昵ㄲ㠸㐹㙣㈷㈸㜷㤰ㅥㄷ戱㜰㤷㌷搷つ搱㍥愳收戲敥慤ㅡ〱扣ㄷㄷ攷㘱〷扢㥥㘷㌴㜱愰㙤〸㠲㘷㤷㈳摤㐸晦㥣攷摡挴敦摢挷晥㠷㐲㌱攴㜲搹愱㑣㡦㝤㥣㘲㘷㈶晣㑤〹捥愱晥㝤戴扦㤰㐸㌴敡㘶㉦戶㑢㍦㕢敥㑢㤲〱㈴挹挳㔸㔶敤搳〰㤰ㄲ敡ㅦ晢㑡㤴㈹㔶㍢㈶搵扡慤㔵㝡昷㔲㑥㈶㍤晥挳㉤㜲㘴㈴㜴搶捥挲㜷攰㤷敤慡㘵户㠵挵㠸扤㘴㜸㜵昸ㄵ慣愶㔱ち㕤戲ㄴ㌵晢戲攲㐳㈲㉢㠶㠶戶㥣愵㔳㝣㙢挲㈷㍤㔲㈲㜵户愷ㄶ愶㥣挳㍢㑣㐵ㄷ㈴㠵㑡㡡㕢愸㉤㠱挸㜹慣扢㉦㘲〶㄰㌱ㄵ㉣㥣昶〸挱㜱㠲㘹㠰晣摦㐳搲散㜶攱ㄹちㅢ摥愰㍢扢㔶换ㄴ㐹〶㜱て晥戰慦戰㝡㡣慦㌹㐹昰㌳〰㍤收て㥤㡦㈹㡣㈸㈴㑦㌰㈲慤㈵捤扣㘶ㄹ户挸〳〷㑣〴㤵收㕡㝥攰摡㡣㉡㤵捤㜹昷戲ㅢ捣㕢晥㍡愲㔰ㄳ㘶㤴㜹㜲捤㜰挰㕤ㅥ㙣㥦ㅥ㥣扢扥㙥㌴㌴戳敡戶㈰摡㉥捥敦㠵㐳㌹收〷㕢㔲捥攵㔹㠵㌴搸搹ㄸ㕤㈸㌹ㄱ挳搷㑡㑦散慥㍣摦㍣昴㡤㜵㔶㜴搹ち㥡挶㠸ㄹ㙥㍡收㡢㈶㔶ㄱ㔱㠳挶戰戹扣收ㄹ挶㝣搹㍣敦㔹㡤愶攵ㄸ㈴〶㙣㑣〶敡ㄶ㡣㔵㐴〸㤶㕣挶晦㕣愷㙣㉥㝢扡攳慦敢っ㈶㙥ㅥ散㝡㤲㤰㐸摥㥣戵ㅣㅦ慦ㄱ㉡㌲㍦㘶㔶搷摣㕢㠸搶戶㙣攷扣扥敥敦〹慡㤰改挳㈴愴㔱㔹㤵捤慡㘲戶㌸㈸㝤㜸㈰捦㘴㑥攰㤷㈳㄰㕡㘵昲昴㤷愷㘸㙦摡昵㔱㝣㠶㜶㍡挷㌴㡡挸㔱ㅢ㌹㤴㉡㠵戹㔳戵挷搹收ㄴ挰ㄷ捥㕦扤搸㠹捡扤愷㜸㜵㥥ㅥ晥ㄴㄹ㉦㙣搱づ㠲搰㍦㜷㈰㘴ㄵ攲挸㌹搸㠱愰㌸㥦㝡搹慦㘴㑡ㅤ㜲摦㠱㑥昶ㅣ愲㐸愳收㠲扥㘲㌴ㄱ㡢戶昵攰㐰昸㐰㌳搶搶㥢㝥㔴㌶攷摡戶㑥搶㈲㕢㔶敢㍡㌹㜸愶ㄵ戸㤷㉣㐷㌳〱㠴晦㈲㤴㝥ㅢ㈸晤戶愰㐶捤㉢っぢ㑡㥥㝤戹慢扡㘷〵㙢戶㔵㉦昲㠱愱扢㍤挱㤳搸攴㤴扣㜱㡡㘵挶㘴㡦㌵㝦ㄵ㈶㥢㕦〱戹㉢㤰愳㕣㍡㤲ㅦ㥣㥢㔵〵晣㔱〳㍡㤶㈰㘰挴㑢慡㝤づ扤攵攵㘶〴㐴㡥愴㍢昱晤㡢㍢捦〳ㄳ晡攵㐸昵ㄴㄶ㠱㐷㌰㈱攴改摥㉥㤸㔷ㅤ㉢〰昵㐸戱㜳㔶㌰敦㠳攴〰挸捡昱昶㕥愱㙡愲搱㔴㕢㉢㝣㙣㙢㔱㤷㥡戸㝦㙢㜹㔲㙦㍣戸㑤㜱愸㔱ㄲ㡡㘴愷㑡愲㔹戶ㄹ攳㕥㔲㌵㑡ㄴ㜷慣㙤㔴㥡摢戴戳敥㤴㈲敦㐱㌱〹捦㘴戴搳挲㈸〸昲㤲㍢愰愳攸慦㑦㘷㡦㐴戴㠶㌶㐰㠹㝡㉡挴㤵愳㜰攰㐵㕣㌹㘹ㄸ愵攸〹晢晢㐰㤴㕤㙣〵㕤㈵晡敤㠹愸㘴愶搹㕣㜴㘰㈵搴㜵慦戱㐷戶㌴收ㄶ㙡ㄸ搹㥤㠳㙡晦㜰㜹ㄳㅢ㌱摡㠶っ㠹愴昸㠱戱つ戱戹ㄲ搱㔴㕡㘷㘵㉥㜵ㅢ㕤攴搳㈵㐳㜷㠴〲搵愰㌱㙦㙣㠸ㄹ搶戱攴㈷愴㐱晢戴㈸㜲㔴㌳㘷㔶㝣愸昴㠰㜲㍣捡挹〶搷捣㉢㜴㑢攱〲〳挴㙥㤴㕢慡〷〸敢戶㍢攰挹㘰敦㔰〷㉢ㄲ㠶㑤㘸㥤㔱㠲ㄶ㔲ㄸ户㝢ㄲ摣㍢〳㔲ㄴ㠲搴㤴昴㕦㘷搴换㉦㌱晤晥㤹㑣㥣㠹㌶ㄱ㐳㕤㈹搶〳㠸㥢㡣㑡㜲ㄷ㑤挴挱昲㔰戲㠹搰ㅡ㡤㜱㌴㌱捡㌴昹扣〰㌷㜸ㄸ挷ㅡ攳戶㘹攲㡥㕢㘰㐱㥢㌶㌷て㤸ㄷ㥤㝡戳搵㌰㐴ㄵ挷戲㕡㌴昲㥥愰㤷㕣晦ぢ㜷㔳捡扡㐴㡢㜲ㄱ㐷㈹㑥㤹㐴ㅡ摣敥搶㝥づ捤㐵挸愱㡦㔰戶㌱昸㤸攲㤶㤳㘰搸㤶㍢ち戴てて㜶㉥㉦挸挵㌹㠸戴㉤㈸捡戲〵摣挵㙢㐷㤰㘵户㈵慡㉤戸ぢ㉥㙤昶〴敡㠲ㄵ愲昶〴㡤㌰捦㔰攰ㄵち㌰㐶〶摣ㅤ散㈴㜳㈷㡡散摥㜹㕥ㅥ㌳㜷捥㐴挶㠷㘲㝣㤷愷愰㑣攱昳〰挳㑦戴昴㈶㉥㈶㠲捣愱〵㥥敤㔸攰㡡㔱㘰㕡攱摡っ㠰㘲㌸㤸挶㉤㙡㠶挶捥ㅣ昲愹挶㡥㌶㡦ㅡ搴㘸っ㑥愶㐴㑢㤳㠱㔵挶㉣㈷攰挰〷ㄱ戱扢㜸戰㕥㜶愱㤴㠲㐳㜲㐹㉣扥愷㌸㘵攳㐸攴㝡㠷㝢㤰㑢㝡㠰慢㌰捥搱ㅥ昴㑣愳㐱昳ㄷ晥扡㍤㐱㘵㕣攳〸捤搳㐳㍤ㄷ戴㘴㑥戴昷ㅥ攸㈹㠸㉥づ㥥㤸慦㕣搰㠳晡㕡㌵搸っ㉦㜱つ捡㈲昹扦㠴㝦㘲摢户搳㠶捥㌹扣㤴扡挱戵㉦摤㜰摣㕢㡥㡣㉢敦昳〶㈰戸〴搷㈹㠷㌹挸㔲收ㅤ晣㤱㤴捤攴晦〲㍤敥㘶搸散愰攳㌰㘱㍦㤲㐲改㌰㠹㝣ち㥦挰㤶㙦摦㈰㈰㥦ㅣ敡攱ㄳㄱっ晢㡣攲慣扥㙦㡣愲扥て戲㤲㔹挲㈳㍡搶晣つ㙣㝦昵㍤㘰㐸㜰㍣㐷㘲㈵晦㜱攴㔲㐸㈷㠲㍤扡敥挱换㈱晦㝦愸ㄴ敦收㙤户搳晦挲㘶㔶㝦摥㑢愲晢㐹愲㌷户㤲㠸㠱搹㜷ㄵ〲攷攸昷㡦㥥ㅦ昸㌵摦晦挳愳攷〲㈸捣㈴搶ㄹ㠲㙣て㈲㉦挶〱昶扢捡㡡㑢㉥㘹㄰㍣㠴㘲㌱〸㉥戱つ攳昷愱㐱㄰㜹㍦ㄶ㠱㐸㌵〸攴㜸换愸㕥㡡〹㤸〸戲㈶ㅣㅡ㍣㝢ㅤ戶改ㄹ扢㠰敢戶㠶㡦㐸㍥搴㤳㍦〷㕦搴㤱慤攸㈵摤搳敤愳㠲㍦敦ㄹ㔰㕢摥㌲敥㙦㑢ㄳ戶戸㜷摢ㄲ㘹戴㡤㤷㈲昶慦敦㝢㔲㜶㜷㙢ㅤ㤴ち㔳攸戸㔷㐵㔵㜸て㍥ㄲ挵ㄳ㐳收搹㐳㝦㜸晥㕦㥥㜹昱っ敦愹㐵扣㥡㘷㘰㜸㤰㘰㍤㉤〷㠴㜳ㄳ㔷㐴敥收攷㌸㤷昰㘱㤲戵摥㌴㘶㜵㑦散ㅤ㕦戳攳㙣挸㜸〹挶っ㤹㙦㉦ㄸ㤳戸昱㄰ㅡ㤳㤵ㅥ㐷愷㝣捥㈴捥挱㑡㘲攰攲捤㡢〳㠶慡慦捡ㅡ搰慥捣晦㌱㤴捥扢ㅣ㐸户㍤挸昳㈶㤳㔲㝦搴慢搵㑥㔲慢㠹㤹愸ㄸ昰㡦愵ㄴ㈲て攴㤰愴㤴攲㔵〰㤱㔲㔷㤰挹㔷〰㔲㘲㙡扤挱㕤㝡〲昶㠵㠰搱扥敥㌷攰愷㉢㔸㐵㔰㌱昶挲て㝡㤶愵搵ㄹ慢愶㐷㤸挷㑦慢〲挸㌱㠵〸㐶㙤〵扢㡣㑣㥣昲搳挸敤摡ㄱ挵㤷㤴敤㌰攴ㄶ㙥散扣㑤㉦㕢挹㍥敢戴㜰攷〳㝡愶㈰ち挳㌹㐸㌴㡥㥥ㄲ㥤ぢ慢㤶㐲ㄴ攱㔸㤸㙤㌷ㅡ㠹㡡愰戳㥣愳㌸㝦㈲散挷敦㠳㔸㍥搵改晡敥摥ㄲ敡㌸㘷ㄸㄳ攴て昶搷晤㈹ㅢㅢ㙦攵㡥㠱㠴摤㔵慤㘲㜸㈹晣㉡㥡㠸㍤慦戴㑥㤶敦㔲㡡搱改㜸㘷つ㙤搵晦㈷㔱㉣㍢敢ㅡ㙢㌳㠰摤愵晦㥦〲㘲㐷晤慦ㄸ㜵ㄳ㤲㝤㈹捡昰㈱捦挸挹㡥挱ㅡ慥〸㝣摡〸摢挸ㄱ㔸㤳㉣㠳摤㘱慥㡡㑦㔶挳㘲㤱攰昰㜸攵㝡㉦㐵戴摢搲戶ㅤ改㉢〰㑦㜱㐸㙦㐰〴昵㙤捦㐱㙦㍤挷ㄶ扥っ昴愱㑢㔶摤㜳㝤搷っ㈶慢〸昷㑥昲㡢㌳ㄳ㌶捦㡣晡㙥慦㔰㝢〰㉢㌱晡ㄵ戴戹扣〸㠱㝤搹〸摥慦㈸㈴㘳ち扢㡢㘱昰敢愳昱㐴㘰㠹摡挱扦换㡣晣㐲㡢昰㜲〶㐴敤〹㘵ㄷ晡㥡㝢敦㘶㜰改㜰㍢敢㡢昰晣ㄸ捤ち挲㘲㌲㠵㉦㝦㠵敢摡扢〶摤㜵愳戹昹慣㌹㤸户慤㤴㝦ㅤ㌴摤摤㕢扡㔹㠶敦攴㜷挸㈵慤㐶〸㉦ㄹ扤愵扢㜷捤戲户〹昰㜹昴ㄹ㌷㕤㕥㔳㑤㌸捡㜶㡥㝢㤷搴っ摡戲扤㜶㍤捡㠸㥦㤷晥㍣㙥㐳昵ㅤ㑣㠹捣㡦㝣愶戰〲搰㥦愳㕦㐵戵㉥晦〰㌹㕡捤戳ㄷ晣戴〶㝢㠸㝥㡡㠷つ昲㘵㐹晤㈶㕡㜱摤挲昹㘳㙦㜰晥㑡づㄵ挸㙢慢〰㜱㔲㍣㔴挸愸扥㡤〶敤㔱㔹挰昶ㅦ搵户戶ㅤㄵ捤〱ㄹ搵㡤戸㜳晣㍢ㅥ慢ㄳ慤㠹㈷捤㈶㜰〸㕣ㄶ挶㕡㘵㡣㠲㤲搲愷㄰㠶ㄹ扥㝦〶㜹愴㝦㠸晥㝤晢捣て摦㘲晡捦㌳㑡㐴㈳㡡戴㜵愹ㄱ〲㐵搱㈸戳昸昵攴㉣㍣㘰晢捦攲搷戶㥢挵㌸愵㈶㉦愷㘸〱㐰㜹㑣㤱㝢㘴㔶慤㈸挳㠷昱敢〴昸㘹ㅢ〰攵戱㜱ㄲ㐲㥥㙦ㄱ㜹㥢㘰㤳攰ㄹ㠲㘷〹㥥〳㈸㤷ㄴ㠹㈱摤㝤㌵捡㐸㜷愴〸㥢㤷挷挷戹㜸㘱㌶捦ㄵ㑢昹ㅡ㐸㑣㉢摥㥥愴挳愷㄰㝡㙣ぢ愱㐲㉤摡㤱慢㜶㑦㠸㤵挸改摥㔷ㅢㄴ〶扣ㄶ愰㝥㌱愶攰㠵ぢ昱愷㔶搹㈸㔰〵づち㡤㔹㜲ㅣㄷ㔲晤㐲㕣昹㑦摥散昸㔵㔱㠰〴㌶ぢ㉢㤳㌳愵昲ぢ㜱攵ㄳ昸㡣㑢敡㘴㜸敤㠰改敤戸㌲㌹㔸㉡㍦ㅦ㔷晥㡦ㄳ㐷摢㤵㘳㠶つ㝢ㅥ㕦㐷攵㠸慣㘴慣ㄴ㡢㔹捥㄰㠹慦扢挷㔰㍤㙦㔲ぢ㡦㤸㈱㥡昲㔷㐲捦㑤搱挳愳戸㑣攲攱晢敡〵摣㡤挲ㄵㄲ㠸敡昰扦㔹戸㠸㍢㔳昳㝡愰攳昳改つ〴慢㍤㑤㥥搸戸㘰㉥㝡㐰っ㥢ㄷ㝤㥣捣ㅡ㝢㡡㕢㘰㔴攴挲愵摥挱㠹㥦㘲㠰㜶搶㈳づ戲㘵㜹〷㘵㌰ㄵ㈴挱㤸㥣晡㙡㑣攴捣ぢㅤ昶搱㕥〴㜱㈰㕡〱㤹搱扥〶ㄸ〶㙦づㄱ㌱㑥㤹㐱戱愶晤ㄲ㐰㜹㐸㔱㕡㤰晣㠵㕦〶ㄸ㡢晦㙦㡢挹つ㜱戶㘴搵慤昸ㅤ㐹㐶搲扥捥〶扦〲㌰〴㉦㉦扣㐶㐸戸换愰晤㉡晥㑤扣㉢㑦挹昳戹晥挶㉣捦慡昱昷昶㠸㐲㜶㝤㔸㝦ㄶㅦ捡㙦戲攳㈱晣㍦㈱㜹戱扣㜳搹㥦ㅤ慣㉦昲ㄷ搵㥤晣㍣㑣攸㍤昴挳㜵敤ㄸ㠱散㔱㌴㥡愲㝣攵㜴搵㑤昴捦㜷搰愶㉥㈹㑡㕣㐱慦㐷攸挳㠲愶っㄶ戴ㅢ愱㡦〸㥡㔲㔹搰㑥㠴愶攳慣愴㈸愷〵㙤㐷㘸晡㐱㑡攳ㄴ搷㐲挹㙦㈲㔳ㅥ捡㤳昰扢收㐰捥㘳㌰㕢㐲晢つ㌴㔵㘴㉢昶愱㝤㉢捡昰㐱㤱愷㘴愴㔶㌴㔲㉡㑢敤摢㉣㈲换㜰㠴摡㑢㝣㈲愷㐸昳㤷㤱愱戲攰㑦㜱㈲搲摣㐸㌶㝦㠵㐵昲㔲㘴戴㔷〱攲㌴捥㤷换ㄲ晣ㄶ㌲攵愱㌱扥改㐹晣戲户㔵晤㝡攳晡昵㥦㡣攵㈶敦捤㍤昵昹搱㤷摥晥扢ㅦ㝦攳㐷㍦㝦晡摦㝦晡捡㉢㍦晡搷㙦扣昵搳扦㕡㌹晤㌷慦扦晥㠳㉦㝣攷慤ㅦㅦ㌴㕦换扥昹㤳㠵搷㥥㥢扥昱摣㑤昳敡㘷捥㍦昷愵愷㥦㤸㕥扡㙢㙡㘸㘸㜸昸㔳ㄳ㝦㝢捦挳攳㉦摣晣㥥晡敢㝦㍡攲㈸ㄹ㍣㕥搰㍤っ㑥㠲㤲㔴㝢㡤攰户〹㕥㈷昸ㅤ㠲敦ㄲ晣㉥挱ㅢ〴扦〷㔰㉥㡥㜱㔲ㅦ攴㐸挷攳㜵㔲㕣ㅡ㔹搴愷愲㐵㥤〵愲〸㤳敤戵戸攰挹愸㐰愶昰〷挰㉡㑥㐱摡㕣㡤㡡㐲㈶攷愴〴扤ㅣ愱㐳㈶攷㌴〵㕤㡤搰㈱㤳㜳攲㠲扥ㄲ愱㡦〰㔱㔲㕣ち㐱㍦ㄱ愱㐳㈶攷攲〸㝡㈹㐲ぢ㤳㉢㉥㤷愰ㄷ㈳㜴㍣㝡㡥昳㐵晣戴㍦〵㔰〲昸昴㘷〰㑣㌹晣挶昹㄰㙡戸㤱晦〱㤳㈹ぢ㈵</t>
    <phoneticPr fontId="10" type="noConversion"/>
  </si>
  <si>
    <t>㜸〱攵㔸㙢㙣ㅣ㔷ㄵ摥搹挷散摥昵㙢㔲〸てㄵ㠱㐳ㄳ㠹㘲㘷扢㙢敦㝡㙤ㄳ搳慣搷㑥散㈴昶㍡戶㤳〶㠴㌴㤹搹扤㙢慦㍤戳攳捥捣㕡㜶㜱㘸㈰愸㉤ㄲ㔲㠵㔲攸㐳攲㑦㡡㐸㡢〴慡㄰ㄲ㔴愸〲㈴ㄴ〱ㄲ〲晥㈰昸㡦㐰㤵摡ㅦ㔵㠵挴㉦捡昹敥捣慣搷昶㝡搳㔶ㄱ愸㘲愴㍤㝢敦㌹㘷捥㍤㜳敥㌹摦㝤㠴愴㔰㈸昴づ㍤昸挷ㄳ㐵攳ㄳ㑢摢㡥换捤㔴搱㌲っ㕥㜶㙢㔶摤㐹ㄵ㙣㕢摢扥㔰㜳摣〸㈹挸㙡㡤攴㑥㑣㜵㙡㡦昱㠴扡挹㙤㠷㤴㘲愱㔰㈲挱挲㈴㠷づ㝥㑡搰㘱攸戱㈸〸㘹㠵扡㘵㈲换挵挹㤲扥㐶昶㤷㕣换收㠳晤㤷㍤㉢ㄳ㤹㑣㉡㤳ㅡㅡㅥ换愴搲㠳晤挵㠶攱㌶㙣㍥㔱攷つ搷搶㡣挱晥㠵㠶㙥搴捡攷昹昶戲戵捥敢ㄳ㕣㑦て敢㕡㜶㌴㤳捤攵慡㘳㘳愳摤㜱戲㍣㕦㉡㑥愶收戹㝢㡦㙣挶攰㝣㘶㡡㤷㙢昸㑡捥敤㕡㝤㈵㐵㈳散昱㍦㔵摡㜰㔳愵愵㐵晥㘸愳㘶㜳㤳搷㕤㜸搲慤㉥搸扣捡㙤㕥㉦㜳愷㔷㥤摥㉡㜳愳挸つ㘳㤱㔷㥤㉥昵慣㙤㌵㌶㘶敢ㄵ扥ㄵ㔵㉦㙢㜶㐲㍤摢愸㔵收戴㡤ㅥ昳㤲挳ㄷ戵晡ち㥦搷㑣ㅥ㌳挱づ㐷㐳搱㐸㈸㜲㔷㌷㡡㤳昹搴㥥㘱㄰敡㐴晦㍥敦ㄱ㈰㜲昸㍣户敢摣㐸㤱搳㜰戶摤戴捦㘸捥慡慢改〶㤷扡晣愴㠰㌳戰㤹㘴〹愲㜸ㄸ〳㐹ㄲ㤱愲晦愴㕣㙡搵散㈲㙥㔸搵挲慡ㅥ㔶换㘱戵ㄲ㔶㜹㔸慤㠶搵㤵戰扡ㅡ㔶㙢㘱㜵㉤慣慥㤳㑥昰㈴攲昱戰晦晣㉡晢昸㌷晢㕦扦㜳晥攵㤷㝥㜳㘳昲㈷户〷㈵愴て愶㈲挹扡㝤㜵搶㐳つ搶㑢㐴㤲摥愲㤱㌱晡㕡摦㥤㥦慢昷晤昵摣㡤㙦㝣晣挶㑦户㙦扤ㄶ㐳挲㍤戴敦晢て㤹㍤㉦ㅦ㙢㥢晣㠳㌳㜷攴昲晢㤹㍢㈵㠸攰ㄱ㐴昰㍥ㄱ挱㌷晤〸㔶㈷㡦㝤㝤攴㘷㉦捣㍣㝢攵摦㑦扥晤晡换㕡っㄳ晤摥ㄳて戵捦㐴敥㔲戵㍡㌱昳㡣㘵㍢㤱㐸挷㈴敢㈸㐴搲戱て㠳ㅣ㈵ㄲ㐳搲摤㌵慤㍦㐲㑡㤲㈶改㜱㤳戲㝤㙥挵㡥㤹㕥㐵㑤㜱愷捣㑣慡㌹㔱㝤㌲戵㡣〶敦㌶㡢㔶摤攵㕢敥㤴收㙡㜱㜳㐱愳戲㜵㝢改㐵搲ㅢ昰つ㜴〷㕤搸㘹㜶㘰㑥〹㈴㠱搵㥥㕤〶ㄹ晦㔰搰㙢ㄹ愳㘹摢ㅢ㡡㠹㜱㘰搸㙢挱㙡㡦攰〵㈶㤳㝥㡦散㈹愲搹㘲慣㑢㌰㍣㑢挰㜱〲昲㐸搴晦昳㍡戲晣挰扥㌲搸ぢ〳攴㈱㠵〸搹㤴㤰㍢捥挴昱㜶㘶捡晡㈵户㘶㌸㈹㜲㐳攰ㅡ散晣户挷扢㔷㝥挳㜷敦昹搷㍢挱㝦㔲㐶㌲㈹㝢㈰㝥㍣㍢㉥㝦ㄴち㔴㌹扥㈲愵攷挷㠸㤱㑣㌲愸㌳㐸てち㍢挹愲〰搲㡥攱㠷㜷挹ぢ㤶㔶㌹愳㤵㘹改㡣晢ぢ㘷愲㘸㤹ㅢ㤴戳戶〲搰㉥㕡ㄵ扥㘰㕢㥢戵ち户ㄳ㘰㉣搱㔲ㅤ㐵㈵捡㈲搹ㅤ㑡㡦㐸㈸ㄶ敢㑡戴ㅢ㙢㌶戰㜵扣捤㔶㘰昶㠰晤㌷㉥㡥㍥摣〷慦㤲挰㝢昶㈹㤰㝥㈲ㄲ㠰ㅡ攸挱㡥㠱㝣ㅡ㉣〱搹搴昰㥥搶昸㍥㐰慣㝤昱ㅤㅡ㍦ㄸ挱ㄳ愴㐶攱㠵昶㈱挲㑥㌲〹慢〵㐲っ㥦攱㡢敦昳㈰捣㥤㈴㈲〱ㅡ㠵捦㈹戰ㅥ㈲ㄲ〳㐸㜶挶ㅡ㠲攱晦㔳慣㠹〶㈰戳〷㙢ㅥ㙣〷ㄱ捤つ㐷㜳㥤㍤搳愸㈳㥢〷摥㥤昶昲昶〶㜷晥ㄷ戸昲㐱挶戱㘴散㡦〴㐰敦㈵挲㌸〲挴㌷戱㈲慡㙡㈸㠱㜸㘳㈹㑦捡ㄹ愲扤愵愵收攴㡤户慢捥㘱愸㈶ㄹ㜴て㔶愷㄰㜶㤲㐹搸㠹〴搵搹㠲㈸攳㌰昷㌹㈲ㄲ㌶〰㠱〲ㅣ昵换昷ㄴㄴ㈶愰㠰捤㐱ㅢ㠵捦㐳攱㘱㈸〸㜸愶〶〰㘰ㄹ捡ㅥ㘸㥤愶㈶㉢㄰㔱〰㕦㌰㥤〰ち㠴㤴㝥㈲攸戲㐹㌴㡥ㄱ㘹㘳扥〸㠵㈹㈸〰攴摡㈸㑣㐳攱っㄴ〴㝥㔱〳攳㥦㠵戲㌷㍥㥡㙣㠶㠸〲㈸㙡ㄹ㕦㠰ㄲ㠴戳攰〳㤴摡㤸㍦〷㠵昳㔰〰㘰戵㔱戸〰㠵㌹㈸㠸㐹愰〶挶扦㑡晦晥昸昳搴㘴㈵㈲ち㠲摤㌲扥〸㍢㠴ぢ㄰㈲搰㄰捡ㄷ㠹㥣㈸㑥ㄶㄷ搵㙣㜵㑣慦攴㜹㜵愸㥡换㘷戳㐳戹搱㙣㍡㤳慢㡥㙡㈳㝡㈶㤳㐹㙢挳㡡㤸ㄷ㔲㘷㡢㐴ㄴ捣〴㉣戰㈵昴挴㤴愰㈷㘴愷愹㠵晤扡㝣㠹挸㤱攲愴敡㈵摢㙣㠵㜶㘲㌵㜷㕢扥㑣散㕥戰㌷摣㈵㍡㘹攱㔸㈵㍦㐲扣ㅥ㡦㔷愸㙣㉥戹㥡㉢㕦㈱㔶㕣㥤㝥㤴ㄶ挰つ昹ぢ扢㜲㍡ㄸㄹ㡤ち㔷ち挴挲㌰散㡢㐴扣㘹ㄶ挹㉡㝦㠹晡㡢改㔳ㄳ㕦摥㔹戴㉣㜷㠷戶慣扣慣㌹慥戳㠳昵搰㜲㙡㌸ぢ昷㑦㙦㘹收㠶挱㑦㕥㙣㘸〶㌹㜵㤲㥣昹摢㉦㝥昴昷㘷㕥捤愷戶っ㘷㙢㘷㡥㤶㕥㘳㘷愲㤰ㅢ㐹捤ㄵ慥㕣㍢㌵㤱㑥㐸愱㌸戲㐷㝣㌷㡡㈹搲㝡㐶㤲㕥愴〲挵搱挵ㅡㄹ晣摤搱敤㝦捣扦昴㤷搷搶晥昰搶㘷户愴㕢扥攰挷㌳㕤ㄷ㕦昹晤捤搳慦㥣晣昳搴挰て㔷㔵〵改㈶㘶㐱愵㠶㌷ぢ㕡㥥㘷㌳㜹㍤㥤捦㘷㜲搹㑣㉥愳㡦昲㤱攱愱晣攸㌰捦攸㝡㐵捦㉢㈲㍢㐹㥤㕤㈵愲㈰ㅦ挵㉣㘸攸㠹挴愴㠶㈷㐳㉡㡡昰㘰ㄶㄸ㘲捥㄰㘴㠶戰㌲㠴㔳㐱㥥ち㡤㔵㙡㈴攸昳㐸㠰慤㡥扣㐶攴㥥〵㜰㈴摤ㅡ㐰愴晦㈱〱晣戶ㅦ愷㌷慦愷敥㍣扤昲㘲改昹户㙦愷㡦㡣㝣㜲㑣㝡收戰〰㥥昳㙤挹㈶㌵晣〰愶㠷慡改昴㌰㐵㤱㘷戳挳㤴挶㥡挶昵捡㔸㥡㘷慢㝡㙥㌴㕦㔵㐴㜹㤱㍡慢ㄳ㔱㔰㔰攲扢㉤昴㐴㘵㌵㘵愸愵捥〱㐴愱〹㡤㑤㙡戴㘶攰ㄶ昵戵㝢㤰㝥㈵扡㤴搱っ愳晦慣愵ㄹ愹㠵改挵攲昴晣昲散㠵改捦愴㔳㘳戹〷慦㈱㈱㔱捥㠷挴昳㐹㍦㙣敢㝦㝡戵攷㐴㙤㘶晥昶慤ㅦ晣戲㙦晣晢㜵改㠹㐳攲ㄹ㐳昵愶昷慤攲〷づ搹晢敦㈶㜰愲㍢㙡捥㍡㜴ㅢ㐲㜷㍦换㔶愱㜹攷㜱㐴散㔱㠹㍦㄰ㅣ㈰㑦散㜲ち扡㘳ㄹつ㤷〷慦㤵散收㝢㜴㕣愲㘵㑢扣㐷戵㝢㜴户搷㜲㔰扡㝦㤷㍢㕢㜷戸敤昲㑡㘰搱愱㝢㠴㘸㌸㈲攵敥昶㈵㔴昲㜴搹㐳ㄴ㠷慥攰㐲〷㥦㜳㝦㥢晤昲㘴捤ㄵ户㘷㤰㑢っ戸㈹敦㄰㘱ㄳ挷ぢ挷㌳改㜴㝡㈴㜶㠳挲晡晥挶㐴〶敥慥搵ㄸ〱㑦㤲㝤㠵愸〴㠰㠵㘹戰扡ㅦ㈷㐲攷扤㈹换搴㙡昵㝢㜵㌳〶晣摣扦戵㄰搳敥つ搳扣㈲ぢ〰ㅣ㈹摦㙤㤶捡晡戲捤挵攵㔶㐲㜴㘸㕦搷㘳㍥㘲搹敢扡㘵慤攳〰摣㉢㝡捥㉡攷㉥敥㥢扡㑣㙦ㅤ㐰㕢㤲愴挸ㅥ昸㙣㠵㔲㝣愴㝣㥤㐸㑦㠱㜲㍦戰攸挸㕦㈵㔶㠴慥戹攴慦㔱㘳攰㕤㠱㜹㑥㠰戹㜴捤捦㜸昳收㜷㝥㝢敡搷㡦㤵㥥扡晡挶昶㜷扦㔷慣㐸㍢扥攰挰㌵搵㔵ㅡ〲攵㈰㌱㠰戳晣〴㤱收㔴て㐹摢昴㕡㌰㈷㐹昶ㄴ昴㌴㈲〱㑢〲愰㈲慡散㍡〸晣㘶昰㔹㜲て昳挳昱〵晢敦扤㈴愰㤴攷〷㌰㑥㝥ㅡ愶㠲㤴换㐹ㅢ㝢晣昸ㄶ㠶〰㤰㌵晤〰㉥㌵晤㤰㙦㔲㉦㐲㜳攰昹戲㝥㤸㉦㙢扥㘰晦つ㔲ㄴ改搸愹㌴㈲㈴㡦㥢慡㠶㑢收㠴愹ㅡ扣扥攲慥㌶㉦㤶㘹ぢ㥡愰㥢攵㘷㐹〹㡢㈷ㅥ〹㤱㠳㔵昶ㅣ㤱㈶ㄷ摦㈱戸捦户㜰晢昰㈲ち㈵㐱扦㔰ㅦ㕥搸敤㐱戱搹敢晡て㤶㑢㙣挴</t>
  </si>
  <si>
    <t>CB_Block_7.0.0.0:5</t>
    <phoneticPr fontId="10" type="noConversion"/>
  </si>
  <si>
    <t>㜸〱敤㕣〹㜰㥣挵㤵㥥ㅥ㘹㝥㑤㡦㌴搲㠰戱戹㐱〶㥢挳㌶㐲昷㘱㜰㉣㔹㤲㙤㠱㙤〹挹挶㈱㐰挴㘸收ㅦ㙢昰ㅣ㘲㘶㈴慣㙣㉡㤸戰ㅢ挸㈶㔹〸㔴㌶㄰㐸昰㐲づ㡥〴〸愹㄰搸㄰〲㔴㤶愵㔲㈶换戵㌹㙡户戶㠰㐰㐸〲〱㜲ㄱ敦㉥〹晢㝤敦晦晦搱㍦㠷㘴搹㈸扢摥慡晣搲扣改㝥晤晡㜵昷敢敥搷慦㕦昷㍦ㅥ攵昱㜸摥挵挳㙦㍥㤵っㅣ㌷㌲㥤捤㤹挹㠶摥㜴㈲㘱㐶㜲昱㜴㉡摢搰㤳挹㠴愷㌷挵戳戹ち㄰ㄸ愳㜱愴㘷㝤愳搹昸㠷㑣晦攸㤴㤹挹㠲挸攷昱昸晤摡㡢㜴扦晤〹㌹ㄱ捤㕣扡㤲〰㔴ㅥ㙤㄰㔴ㄱ㤰㔴㙢㠲〰㐰㑤㌵挰搶摥㜵㠳㘳㤷愲攰㤱㕣㍡㘳慥慡㍦摦㘲扦愶愹愹愱愹愱戹愵慢愹愱㜱㔵㝤敦㘴㈲㌷㤹㌱搷愴捣挹㕣㈶㥣㔸㔵㍦㌴㌹㤶㠸㐷捥㌵愷户愶㜷㥡愹㌵收㔸㘳换㔸戸戵戳愹戵慤㉤搶搵搵㔹㔳〳捥㕢㝡搷つ㘵捣㔸㜶愱㜸〶挹㜳戰㜷㕤挳ㄶ㌳户㔰㍣㙢挱ㄳ㉣晢搲挹㜰㍣戵㐰㑣㝤ㄴ㝦㔳㥦ㄹ㠹戳㥦㑣㌳ㄳ㑦敤㘸㐰戵ぢ〴㡤㔸㐷〳㘸捥て㘷㝡捤㐴㘲搸㡣戱㙦㙡㤳摢戲㘶敦㘴㌶㤷㑥㙥〹㈷捤㥡㈴〵㘸㘶捣㔴挴捣搶㈶晢㜷㐵捣㠴㑤㥤昵㈷㤱㤵㐴㤵っ搴㈵慤㑥ㅣ㠸㥡愹㕣㍣㌷ㅤ㈴愳攱㜰㙡㠷㐹ㄲ㕦㜲挳㘴㍣敡愹慣㔴㤵㤵㥥ち戵扣㕣摤愴慢散ㅡ㐹㤸㕤㌸慦㔶ㄴ㔴㡢㐳敡攴㈲晥散戳挱㠹摣戹㘶㈶㘵㈶散㈲搸㤹㉢㡢攸㐴㐶㔶㔷攴㠵攵㌴㠸ㅤ愵慡敤愹挲搶戰㈰愵敢〰㜵〸挰㌸っ愰扡㘷敢愸挳㔳ㅦ捥愴㐵〰慡昲㜵捣戹攲扣摥搱戰㜷㜴捣㍢ㅡ昱㡥㐶扤愳愶㜷㌴收ㅤ摤攱ㅤㅤ昷㡥挶扤愳㤷㝡㐷㜷㈲愷昳昸慢慡扣昶ㄳ㝡晦ㄷ㑦㜸攴搸慦つ㕣㜷㜵换㥥㐷捦㝥昱㈶ㅦ愷㔹㥢㔳攸㕣㥤摤㤳捤㑥㈶㈷㌸扦㕤ㅤ慥㤳㝤搹摣㔰㌸㤳捣㉥㙣㕦愳愳愵慦㑦㉤㔷㌳慢慢㝢戲挹摥昱㜰㈶昷ㅥ㍢扢扥愸〴㜶昶㐸㍣㘹㜷㌶ち㔹㤰㥥㌶ㄶ㐳捣㑢戶愴㌳㐹㘸㥦捤㘶㌸戵愶㜵搵㐸㉥摡㘷㑥慤㘹搲㑢㤰愶㡦〴㌰㡥〲愸捤挶㤳㤳㠹㌰〵扤扡愹㜱戵㍥㥡愹挷〰㈸昵ち挶〱挷挲㜶昳㠱㈳㍤㥤挹晥ㅢ㍦㜲㔶搷搵ㅦ㕦㝥㥦愲㥡㘴㐷ㅡ挷〱慣㜰ㄷ搳搸㤰㉦愸戱愱戱慤戱攰㘹搲挷㠳㕥㥦挰㥣㈷〲ㄴㄴ摤扣㕡搷㌳㜵㈹㠰㔲晦㘱ㄷ扤㝢昸㍢收㔴攸搵㡤㝢敡戳㙤㌷〶㤶㍥愱愸㥣愹㌰㤴㍥㤹搴换〰㡣攵〰挱摥㜴搴㥣ㄹ捤愷㌰昱㔴〰愵㝥㙣戳㝡昰捣㑦㥥昹㥤てㅤ戹攱摥㥡挷敦晤愷㥢愷晦㑥㔱挵㕢慣㑥㈷昵ち〰㘳㈵㐰昵㠸㙢㕡慣㘲搲ㄹ〰㑡㍤㙢㌳晡晣扥扤捦扥晤慢㔷搷摦㌳昶搸㤳扢㕦㜹敡㕤㐵㔵㘴㌱㍡㤳搴㡤〰㐶ㄳ㐰昵㜰摦㑣㡤㥡㤹搴〲愰搴㕥㥢搱㡢㜷搷敤㝤㝥攲戳ㅢ敥昸摥昱㝦搸昹㔷㉢㥥昳㜱愹㘹㈹ㅡ㈰㘵㌵攱㝡慣㍤㤱㜰㌶㘷㑦つ戶㘴㘱㈷挴晥攷挳晡㑣攴捦㍦ㅦ㔰挸㠲捣〷摤㐶改户〳ㄸㅤ㤴搵㈰慣㠲㜰㈲㔱扦㈱ㅤ㑥攸㑥愶㜵〱㈸昵㠴摤㌳㍢㥦㜹㈸戸㍣扥㜱换㔷㙥扢敢搱扡搵㕦㑥㈹慥晦㌲攲捦㐲攰㌴昷㠸㙦㙤㜳㘶㔶㑢㐳㑢攱搳愶捦㈶敢㌵〰挶晢〰㠲慥愹搶戲㕡慦㘵㘲㌷㠰㔲摦戵换㍤㘲晡昶愳ㅥ扤晢戳㠳㕦㜸昰㤹慢㤷㜵㝤搴攷愳挲㥥摦晡挳㠹㔱摦㍢㥥捥㥡㈹㔱㔱㉢㤳㐳昱挸㑥㌳㌳㘲搲㑣㌲愳㈳戹㜰捥㕣捣㈴㝢㠱㕣㌹㤸㐲〷㘲挹㡢㥥攴挶挶晡㜷攵捣㔴搴㡣づ㘵搲ㄳ㘶㈶㌷扤㌵㍣㤶㌰㤷ㄴ㤰昴挰敥㥡㌲㤱㜰㜴〱㝡㝤㍡㌲㤹敤㑤愷㜲㤹㜴愲㌰愵㈷㍡ㄵ挶愲ㅣ摤㡣㐹敡愹愸㔰捡攳㕤㘴㉦㑥晤㔳㔸㠲㌷㠶㔳搱㠴㤹㤹搳戶㔳㕣㘱慢〲㜸㍣㍥㉥㘱〷扥搸搲攰搳戲戶挳ㄲ换晡㤲㤸㐵搹㡡㡡㜲㠵㙥っ㘷挷㜳㙣昷㥣㠹㕣㔳昵㍡㠲㕥〰ㅦ㔷搰昹慣攵搴戰㉡慣挶㔴㐴㐵㤵㔹㤵挴㕡扦㜹㐷挶㈷㈶㡣㉦搹㘷㘶㈳㥡㌶捡〰㍡㘱㤷㠱㔰㘲ㄲ㤶つ挵㙡敥捡昵㠵㜳攱慡㈴㔶㐰〸慤ㄶㄹ㐱户搲㘶㔰攳㐴挵ㄴ㜲㈲㘴ㄷ㜲㈲づ搷攰っ〲捣ㄷ㌹㌱㔷ㄹ㜹摥㔶㔱㕡捡㈱㘳㉢㐴慥㐱挱㌹㉣〳㜶っ晣㐲ㄲ㜴㌱慢ㄶ㠴挵〹㙤愷㈱て㑢扥〲㍡㐶扥㉣㘸昰㤹㕢㝣愸㈷〴㐵㠵攰㌷收散㤸㘵㐵㍡㔴㉣慡挸搸戶㕣㍣㤱㙤㐰㘵㌶㘴搲㤳ㄳ攴昳扦㕤摥㐲搵㥢㜵户㥥户愸㐵昰昸扢攵㉢晦敤攰㍤摤〱愳て㐹㙥㕢捦攸户㘸㘷愰㕥㡦㜰㈰愰㐹愹㡢㔳慤挴戹搲㝣戴ㅢて挴㍣愵〱㔱㤳ㅣ㡣㡣㙤捤㤸㘲㜲晢㈵㌲㍤㘱〶㤳摢搳㤹㥤㘳改昴㑥㡥戶㕡㠹㘵挷㑤㌳㈷㐶慣㙤戶㌳慣㤴慡愸㈸戰㔲㕤搶㉥捤㕦㘳㌳㐰戰〷㕡摥攱㤸㌵戶㄰㡦挱㠱㌱㘰っ㈲㍣戴㜴愸㝦㜸敢㘸晦慥㜰㜲㈲㘱㥥㜱摥㘴㌸㠱摤挰ㄹㄸ㘸晤搹晡愹挶搶晡搳㥡摢ㅡ㕢㥢ㅢ捤散改慦摣昳㠹㥦敦扥昲㤵〷慦㜹攵摡㑦晦㘲昷㤵慦㝥昵慢㉦㍦戸晢搵㡦㕦戳戹愷攵㘷㥦戹敦㘷㥦扡愷㘱㔷㈲扢㑢摤㘷㙢昲晢㌷㔶㥦㜷摦㔳㌷㜴摦㜷挶て晢㔶㝥㙤㝣㔴摤㙢㈷ㄴ㕢挴㌵挳愸挷㜹㜶摤晢㌲攱换戱晤㤹搹㔹㌵㌷挰㡣㥡捦㤶ㄲ㍢捡㔸㕢慣㈳搶搴ㄴ㙤㙢っ户㠴㝤戴昲收㙢捥㔲㥤搶挴戶挷㔳搱昴攵搴攸搹攳搶㠵戱戱捡㥢扢㉢敤戴㜵改挹㔴㌴㝢㙣昹㐴㔹㘰㡥㈹㑥㥢㘱㔲㤲㙤〴㕢㍤㌳㉢攵㥤㔰㥣㑤戴㕥捦慥戸㤵㝣㝣㔱㌲昶㜹改戱搹㔳搷㘷捣换昲愹㈵㌵戲ㄶ㉦愶㤷戴搲㑡戲敡昵晦㘲㉤挵晥戴㤲㡦㐷㔹慢敡㡡㈲挵㈷挶愳㐸戸㐱㍡挲搵挵㕣㑤㡦㉡ㅣ㜶つ挳戰ㄴ㘰ㄱ㈴㑣㡥㐹㙦戱ㄶ㉤㘶㈶㝣挹收昴搹㑢㈵㡤㙤㙦搰㍦㐳敡搳㘶愷㤶㍡收㝢敥捦㑢散㍤㐸ぢ㐴㡦愰つ扥慦㘲㌶捦㉡㍤ㅡ㡡㙡㤷㥡昶㕤ㅥ㡦收挶㡤㜱㌳扥㘳㍣〷ㅣ㍣㔰㝥㍦㐵㕢昲攸㙤㐰改昳〹戶〳挰挴ㄱ㉤㙣〴昴〵㔶㔴㜱扦挶㘹慡㍦㐰㜰㈱㠰㡦㜶挴㝥户㤳㌴㈰㉢戹㙢づ挲戲㠸㠵攱㤸㤲愹愵挲〷㙥㙦㉣㥣ㄱ㠰㔱敢㕥晡攷㙥〴敢㡥㐶ㄸ挵愳慣㜰攷っ攷㑤㜴㠳㤹摡㡡㈵㈴㑢昲㠵㕡㘹ㄷ㡡て敢愴㉦〲㜰ㅥ摦敤ㄸ㐲昳㙦ㄳ㕤㥦㔵㔳戴〵㐷㐷㍤㝥㜲㈳挶昸㈰㐰挱㌶ㅡ㍢㜸慥摦攰晤㉥扥攴搱㤷攰㉢愰㐹㍡㑢㥡攲㝥㥦㙢戸摥っ㘰㤸〰ㄵ㜰㐵㘸㉥㤱敡㈶戰愲ㄷ愰㘴㐵扢搱㑥㈸㜱て㜰㤷㉦㑥㠶㌸昳晦㍤挸㌸㕤㄰㉥㝣㌴㝤㐶㍡㐱㤰〴㜰つ晡戴ㄵ㔵昴ㄴ挸愰㥦㈰搱㘵〰慡ㅥ㠰〳㕦㘷〰㥣㐷㝤ち晣㈹㑦㤱〹愷㕡㠱㑣攰㕡㈸㤱挹ㄴ㠸〲㥡愴戳愴愹愵㐸换换㐴㔳㈶㤶㍣慥㐲㌹㘵攵昱㔱㍢愱挴㘷㐱㑦〵攷愱戵㜹㔱换㄰㤴㔶㕤㐱㥥扢〱ㄴ摤ㄵ㠷攳㘳㍤㡥敤戶捦㤶㔹愸扢㄰敦㠷㑤㜷㈵㔰㐵㍥て戶搱晤攸慢㄰㠳㔱㐷㔲㘹㘴㘹攲㕣㘹㡡敥㤳ㄹ〱搰㜴戲〴㤰㥤㑤〰ㄹ㍢愱挴搳㐲晦㡡㑢〰昴戴㠸〰慥㈵捦敢〰搴㉡㠰㔲〱㌸㠲㜰㡣㕢㈷㑥愳昶搳挸㔱攰愹㈹㘹晥つ愰㐰昳㐹㔸摡㝣㐹㥣㉢㑤㥤㠱㝣攵㥡ㅦ㤹慤昹㘳㜶㐲㠹㝦攸㑣㜰㜲㌵扦ㄱ㔱㘹晥慤慣搹ㅥ〰搵っ㔰摡㝣愷搹捥户搳晣ㄷ扥ㅢ搰昴㉦㤵㡥摣摢㠱㐵㤳攷㐸㥣㉢㑤戵㈰㝢戹㈶㡦捣搶攴㘱㍢愱挴㤳㐵㝦换ㅣ搶㘷㠱昳攸〸搰ㄶ㔸㥦㌵戱昵昱㐴捥捣㠸㠱㔱ㄷ挳㤷㜵㌶㈰昱㈰ㅤㄴ㤹㜰挴㜲挴ㅥㄱ敢㠵㡦〲㠷ㄱ戹改ㄹ㑢戳挴慥戳捣㥥扦㔸慦㠷㤸㈷㐸㑣搷㈲ぢ㜶づ敢㄰㠳愶挸㝥㥤㥢搸㌵㠸㘸㑡㤶摤㥦捡㤰㙡〰攷挲㐱㐶晡攲戵搹㘵晥㠲摥㍤〸㐹摤㌸扢㔵换挱㕥㍡㐸㤹㘹㔶ぢ㜲ㄸ㠹㝦戱扦㡢㑦㜷挵〳愸敦㠵㙣昴㝤〴㕦㈷戸㥦攰ㅢ〰㙡ㄳ㤴ㄱつつ㥡摦昵昸㝣慥挲攳戹ㄳ㍥㍦愵扦㠹㤸㝥㠰攰㕢〰㉥㐳攳㈱㐴㡤㝦〴愸㜳㍣敡昵搶㄰ぢ㈸搵づ戴愸改㙦㈳愰ㅦ〶愸昹づ挰㤶㡤㘶〲㝥搱㠵㍡愶昵搱晢㍣户〱㡣昱挳戵㘱㐹㜲㘴㍡ㄵㄹ捦愴㔳㌸搷愶ㅦ戰㈷㠲㘳捥慣ちㅢ挹㑤改摥挹㥣㤱摣ㄸ挷㔷㑤㜲搸㥣㌰挳戹㕥散搵㘱昴㙦挲㈹㠱㔸晣〳搱㕤晦㤷㈶扦㜸捦攱改愶摦捦㠶挵戳搷㜲捦搹攲㙤攸㑢攳捣摣㤴㤳㝤㡡摤㌰戰㜷㕡㈰慦摦㐲昱〹愲㕥ㅥ晤〸挰慤扦扥敢慣攵㥦扦昷㕤晢晢ち㡣㐲㜹㡣敦㈲戱昰戴愱挴ㄲ㝤っ㈴〱㑤挲搲昵㕣搲㔴ㄷ搲昲换戲昱〴㘲ㄵㄸㄳ㤶㌱搶㠹㜲捡㕡愳ㅤ㜶㐲挹㔱〶捦㈴挴㍡晦㍥〲慡つ㘴㥣㌴〸ㄷ㍥㝡㉦攲晡㈹㠲ㅦ〰戸㈶捤搳㔶㔴昱㕣㐳㈶挸㌳㈴㝡ㄶ㐰慤〵㄰敢晣㌹〴㥣㐷慤〲晦扣㜵晥慦㐰ㄷㅤ㠴㤴㠸攴㐷愰〹㘸㔲㤶㡡㐴搲㔴㌷搲昲㈲㜱ㄹ攷㈷搹慤㉥搹慣㉣戵ㄳ㡡㑦㔸㉡改扦㥦搳㤹捣挳戵挰愶㜴㌸扡ㅥ㐶㐷㍡㔳㘵摦昸昰昷愶㤳ㄳ昰挳㘷㐲㍣㉣攰改㈳㥣㔲㔳昱愸㤹昱ㄳ㌱㠲㐹㕡挹㘳〶㐳㘶㕦ㄶ㝤㔶攱昱昹慡晤攵捡ㅡ㜰㜸㉤戳ㅤ㌲敥换㉤〳㈵晣㕦㍦慦㤳㠲㐶㥦挸〹挴ぢ〸敡ㄷ〱㔴㉦〰摢㔳㐴昰ㄲ〹㝥㑡〲扡㜹ㅤ㠲㉦㘲㉥〶〲昴㉢攸㤷〹㕥〱昰㡤〰ㅣ㠰ㄳ㐹捡㡦㥤ㅦ㌷㉦攷挶扢㌶㔶㜰ㅤ㈳ㄸ敢㑢㙦㐹攷晡攲搹㠹㐴㜸㝡㔱捣づ㙣ㅦ㌷㔳昰ㄵ㘶㜰㈶㔵㠴㑢㑦㑣㤸㔱ㅤㅢ㐹㑦㘶㈲收㐰摦㈱㜱㔸〵㜹㜸攰㘸㠶捡昲挲攳慣づ敥搴ち㝡㑦㐱搶㜲㜴戵つっ攷攵㔹攳搴慡㥢㤱攸搶㜸㉥㘱㔶挷挴捡㤵戰㍦〶㈹攲㠴㉦㕡ㄵ摢㍡づ㌷㝡㕦㌰戶㈱ㄳ㡦㈶攲㈹㤳㥤〱换㤸晥摢㑤收づ㥣收つ愵戳㜱㥥昰〷㘳㕢㌳攱㔴㤶攳㌶ㄵ㤹㍥扣㈰㈶攳搴ㄷ㕢ㄷ㑦㘵㔱㡣㕣慡㘱戸㉥㌶㌲㥥扥ㅣ〳㜲㌲㤹摡㄰㥥挸ㅥㄲ扤㠲愱㙢㍦搲㌵捡慢扣㕥攵昷晡て戶㝦㡣㥦㠱摤㈲敢㔸户ㅥ攳㌴㤷㠹㡦㑤㔲㘰㔲㑡㌳㘰㈵㠱昴愱挷㜷㍥㐲㜳㔸㠷戴㈹㕤㍥㑦搶戵攰㜰扥散㠹㘳晥ちㅢ敤㐲晤㉡昳晣ㅣ攰㥣つ摢〶㘶㑥〳摥搳㈵㌳摦㜶昰㉢㕥㜳㕤㐶㙤愱昳㜵㌱㠸㙢慤㈱㐴㠷㉣㐷ㄴ㘶㈶㐶〲㘳挵挳㌲㄰ㄳㅡ㡥搰摡㤹攰㝡ㅣ㔹搶挴㌶㠵挷捣〴慣慢㘴㌸㔷㙢㐵㘸㈹攳㕥㑡搶㑥㠳敥㑢㠶㌹攴㌸㕣㐷㈲攱㠴改㡦昵㑣收搲㥢攳㈹ㅤ〳㤰㜱㘹愳挲扢㠰ち敦ㄲ㔴㑤㙣㤸挷ㄱ㤶㝡〵慦昴㡥㜰㈶㥥ㅢ㑦挶㈳㝥㐶㜸㘴㜰㐸㡣㔵攸て㕡愴捥攳攸㤲㘲㥢捦戲㝥搰摤つ戰㐰㈹㍡㜶㍦㐶戴㔷ㄹ昸㔳〷改慤㠶收㤱㈵㔴晦ㄲ摣㝣㕥〰慡㈲㜹摥㜲敥㔵扥㜵㠵慣〴㔸攱搵〵㈴挰㐷扦㘶〷ㄸ㔱㜴㌹㍢慢挶ち㠴敤㜵攷㜵〴昵慦㐸㐰㜷㜴ㄹ㠲㌷㐸昰㈶㠰㡦㡥捦攲〶ㄷ晡㙦攱攵攵敤㤷㑡㥥晡㔵昲㜸搹㡦㌳㍡㌹〲昷㐹て㔷扢捥㤳つ敢㈸搹㡦㍣〸㈵戳挶〸㠶㡥ㄹつ㔸㑡㡢愶㌱摢攸昵㔶㐲㝥㐶戱ㄷ愲愴㔸戲ㄸ㌱挵挷慣㘸搱ㄹ㙦〱㉣攱〸〴㝦㕣㈲㉤戸ㅤ㔵㙣慡挰搹昲ㅢ㤰㝢〲敡ㄲ㐰㐷〶㐳挴㔸㡢昳㙦ㄱ搴扦〳㔰㜴㠶㜲㜹㜵㉤〶㡡ㅥ㔰㉥〸ㅥ攳昷〰昳㔵㐰㉡〱㘲㉡㈱晤㌶㠰㑡〲㜰㙥攷晢㝡ㅦ挲晢敦敢㌴㜳攰愳晦搳づ㐸㕦㑦㈰攲㌴挳搵搷晦㐵挲晦㈶攱㘵攵〹摥㈱挱ㅦ㐹㤰〱㘰㝦ㅢ㝦〲㈸㉢挷㌲晥㔸挸㔱㉡ㄳ㔰㔳挸攵㔴挰㈵㐷昶愸昶〲愸㉢㕣〴〸㍡㠲慥㈰〱㙦〸慢摤攵〹㝣㈴㌰㐸㜰㤵㡢攰㈸㉦㌹㠸ㄵ㔴㐵〲㍦〹慥㜵ㄱ㈰攸ㄴ愱㐹㄰㈰挱㜵攵〹慡㐹㔰㐳㠲ㅢ㕣〴晢㠰戰㡢〸㤲愰㤶〴户扡〸㄰㜴㡡愸㈳㐱㠸〴㝢捡ㄳㅣ㐶㠲挳㐹㜰扢㡢㠰摤㙦ㄷ戱㠸〴㐷〰昸戸㔱㥥㐳摦㘳ぢ攱㜲愷搴㠲搸㠸㙤㑢挵㜳㔰挵ㅣ晣敢攳㌹㡣晦㥡ㄸ〰㠲攲㈷㌹㐶㔴戴㉢搳捡扣改㜷㘲㘹㔲㠱㉤㜸㐲㘹扡摢㌸㕣㔶㈶搹㌲ㅢ㕤搶攲晥㠸挴㝣㉣㔳挷㐳挹㥥㔴搶㍥搸㌶㈹攷扣㕡㍣㈳㜷㥡〴敦挱晡㤴〵挰愳㤷㘰㑣㘰㡥搱㄰搵㐷㈲っ㝤敦扢㙦扦㐳挴攵㐴愳戱ㅦ愰㐱㙡攱㠲戶㤷㜶㈰㤵挵慥㈷㘰挷戰㘰搷摡挱挱挹㕣㐱㑡㜸搷㈲㍢〵㤷㌲〶㔳㌰戳㈲攱㑣昴㄰㔹愳搱㌶换㤴㤴攵昶㈰捤㝣㌰攱攳㕡㔹㈱㘵捡㤹㥥慡〳昱㍦搶㠱㍥㐸㔱攷摤㤲㝥挶㜸㤳㔷㝡挰扡换㉢晢慤㈱ㄳ㥢㈵㕣㘲㑦㤸㡢㈴㐳㍥㉡换愶㡥昵㡣㘵㘱扢攷㘸㤸搹㈱㤹攴㍡㌶㙣昲搶敦㤴〹㍢捡づつ㐵㜲昰戶攷ㄹ昰㐲挷愱搳㍢㤰㐸愵摤㐳㑡晡挸㤸㐳户ㄵ㌶㠲昳攷㈰㝢ㄴ昳㈴㈶捦ㅢ㙢搵攷㙥攲㜳攷㕡㡦ㄳ㘰摦愲㜳敦〷晢㌹戶〳搰戳㙥㘷㌱㘷搱㈲攷っ挳搲㙥愲戸㙡ㅣㅣ敦㐹〴戹户换攴㜰ㄵ㠸㌷㝣敢㌸㙤ㄲ昰㍢攴攲㌰㡦ㄳ搳戵戱㠱㔴㈴㌱ㄹ㌵挵戶㜶昴戵㤸搸㠷㐴㝦挹㝢㍡㔶㕦捤㈱ㄷ㕢㈸〳㜸㔹挷戹ㅡ㜲昰ㅢ㙣㝤ㄴ㝡㑡ㄴㅤ㜸〴昴㌱戶㝥晢〶㠴㝤挰㥥昹〰㌲ㅤ㍥㜳慥㈴慦㠵㐰慤㤵愰愸捦攸㕥捤㍢昷㘵挶戹挸㌶愵㌷愵戹㐱㜷愱㌶挶㉤搴㈱搱㑦㘸愷愵昴㜰昳昲㘰㕤ㅢㅦ㝢昱搹搷㉥昸搲戲㥥㥥㝢㝥㝡㐱挵攳㉢㝡昲戳挵搲㝣敡㥢㈸㐳㉣㕣昱㜰㜲〱昲㜰㈷敤㈵戰㐹ㅥ㐰㐸慣搹攳㤰愸扥㠵㤸㘵捤㕡晤愹㑦〰㜶㑥㙢㔶㥦㘸昵戶㝡〸㔹ㄱ昴攸㝡㘶㐱㠰ㅦ㐵昷扤㘳㔰㈲㠸㐲㌹〵昵㔲搰攸㤳〰搴挳攵〹㑥㈶挱㌲㜲愲㠷户㔸搹捣敡慣慥〰㌱㙥昱㘲ㄳ攲㑦搲〹㠸愹㙡攰昶㉥㥣昱㜰㈴ㅡ搵㝥㍡戳昵㜲戰㝤㙡敦㕥㝡㔰㍤敡㌱〰愷㠲㉥㡢昷ㄴ㤶㝦㉡㠰晡㍥〸㡡㜷づ㝢㠱戳㜶づ愷㠱㘴摥㍢〷晡㜳㐵搶愷㤳㌱ㅤ扢㤶慣敤㕤攲㑡㘰攷㤴㌵ㄵ㥥㝡ㅡ搹㐰攸搱慢挸挴㡥㈸㝡㠱㥤㘶戸㜶づ㘷㠰㐰㌷㤰昰搹昲〴㘷㤲愰㤱〴捦㠱㐰㜶づ㑤㠸㉤㉥戳〳挳愵昹㌲ㅢ戰ㄶ㔰㘳〳昶㈳ㄷ㝢㤷ㄸ㕢挹扥つ㈰昴〲〸昸㠴㕥戴扥㍤愱㤷㥣〰㥤愳㝣㐲昴㠴搲攱㙢戴㌳㐷敦扡搱〲㉢搶攸〰㌶㌸㙡敤㌳㉤挷㠳搱〹㔴㉤〸㕤㕥ㅦ愳㡢㘴挰㘱ぢ摢ㄳ㡤㘶㜰㑡㘳慣〶敡㌰愰ち摦㍢㌳捥〲扡㐶㈸㜱戳㘷ㄸ㌷㉦㡤戳㠱愹收㙢㈳挸㑣慦㑢攸ㄵ扢㑡㝥㉡㌶ㅡ〶挶晢㐰昲扥㔳㉦㕣㑡慦戱敤搸㉢㝦㠵昵搵㙦㕦昵昲㐳㝢㥡捤㙣戳㕣㑥扤㤸搷敦ㄳ愷㉥摤摡摡愱搷㠲㠷扣〹收攷㡥挷愳攸㜱㘲㐰昷〰ち〶ㄱ摦㉦〱㡡昷敤㈵㡥ち㝡㌷㘰晥挱㘵㌱㤲㥢㑥挰㑤挴愰摣ㄵ户㤰㤸〴㔶㌲㥣㠸改っㄶ㠷捡攲㜳捦㝣摥㘱戰慡㍥愲攸㔶愲㘴㘳ち㍤㈲扥㐷晥㔴㝡昳㉥㥦㥦ㄵ㥦戹㈵挵㍣㝣㡣㕥攰㡦搸ㅣ㡦㘴搲搹㜴㉣㔷㍦〲ㄷ㘸㍤㙦㜹挶戰㍡昴昸ㅥ〶挷戲㘵戲㘱㤵㈹扥㄰㌸挵㡢㔷㠱㥤愹昴攵㈹愹㡤㉦换户㈹㔸㥡慥慡㘲㌱㕣㌳攴㌹ㄹ挲ぢ扤㠶㘰〸ㅦ摤て㤲㘰㕤攸㜵㠴扤昸ㄸ敢ㄱ㕦摥扢慥㜷㜸㜴慣愵戹慢慤ㅤ㤷㜶㍢㍢捣搶慥㐸㜳㔷㔷㡢搹搶ㄹづ㜷㡤戵㜷㜵戵㤹㑤挶㠶㍣㘹搳搸㤸搹搸摡搴搴摡摥搵搲摡摥搸摥搹搵搹ㅥ㙤㙤㠹㥡慤㘶愴戳愵㌹ㅣ愲て㠶散昵㐶攴搱〳〰㈱扡㕥〴㜵づ㔱攷ㄲ昵愶㠳捡㔳昹㝥〳搴㝣晤㈳ㄴ㠶昳捥㐲㘵㔵㔵挹搶愵挴慦挲挱㉢㔷昱っ㠳㙥ㄵ摦晤㄰㜳昱慢㉣攵㌳愱戶慥㕥㘴㘶㉡㔵㍤挸愶っ〱〴㐲扦戵㜱挶㜹㠸㤶㤹㔶挳㐰ㄷ㑥慢ㄱ㘰㡡愶㘹㠸㙥ㄹ攱扣ㄵ㠹昲㐶㥣扣ㅢ愷摥〶ㅥㄸ摣挵〴㘴㐰㍥昴慡㜰㍥愸㍢搰㄰㡥㐲㠴㍤挶〵㐸㥢㜵㘸愹㉦㠳㡣挳慢㜰㜸搰攱㈲挳攳㐲㘴挶昰愰㜳㐵㠶挷㐵㠸㕢挳㈳搲搱ㄸ㠹㐵㕢扡㕡ㅡ扢㍡㕡㥢㍢捣慥戱㡥慥㐸㝢㐷㘳㝢㌸ㄶ㙤ち挷挲挶挵㜹搲戶㠸搹搱㌲搶摣搸搲搹搴搵摡㡥ㄱㄴ〹户㥢慤攱㜰㝢㤷㌹ㄶ改㙣散〸搱㙤㈳㘳攱㠳挸愳㐷〱㐲昴搶〸敡ㄲ愲挲㐴搱㜷㔳㐸挵扤愲㠷㐳㐴摤㠲㈶戰晢㐴㔸ㅣ昶㍡〶㄰〸搱㈹㈳㌸㜶㠳愶搰㌵攵ㅣ愲㥦㐶昰㤷ㄲ挵㕢㝣昲收㕦㠸㍥ㅡ㍥㈱戱㄰ㄹ昰㌹ㄸ㍡㘶昸㠴攸㠵愱〶搶搴挰㥡ち㔷㔳挵㙡敡㔴㑤㉤慡愹㌳㌵搵㘴㠸慡㡢戴愲ㅡ㑦㐶挰㤸〴收㍤愹挶收㘶㍤㐵晥换挸㔶㔴㘳㠸㙥ㅦ㍥㈱扡㝥㈴㐰㍦㡦〴攸敢㤱〰ㅤ㍢昳慤㌵晤㍦昹㕡昳㙡㥣戱ㅢ㤸昷㔴敢搶㘶㝤㈵㜸挸㍢㡣㜶慤改㐹㤲慡搱㥢㈴〱扡㡥㈴㐰昷㤱〴攸㉢㘲㑤㡣慢㄰㈸㕤敤晥ㅡ搸愲搵敥㙦㠰㉡㥡㐶挶挷㐸㔶戸摡㕤つ㔴㤹㘹㜹つ搰㠵搳昲攳挰ㄴ慣㜶昴㕣攵㠵㜳㈶敢昶〹㘰搶扣㤷搵慥㔹㝦ㄲ㉣攴戵㑣㑢㌶㍥扡㐲㡡㔵㤱敢㈴挴攵昲㘲㔵㐲㉥㝦㤸㈸戵挳㘲昶㡢㈲㠳搸㤸攵㠸㍡ㄴ捣昹㑡㙢㝢扣㕦㝤㉥㑤戸昰㘲慡搵㘲ㄹㄴ慡㘳扢㙤愲挳て㙥晢ㅣ昰㘵愰㌵收㔷ち扡愴㡣搲て攸㙢㤱㐰愳昳㐸㝣㤳㐶㕦㐷㘸㍦㍥㙥晢收扦挷㘴捥㐵㔸挰敤ㅦ㡥攰ㄱ搱捡〴㝦㌶愲摣愱㝣攱㠹摣愷㤱㔷㜱㕢㐹ㅥ晡㝡㐰㉡㑢㝥㤴㙣㕢㠸扤挱㑥愶敡㔳摣戶挸㜲㤱㠰〸昲换挵㘷㠰㥤㝤戹戸ㄴ愴㈵换㠵攲昶〶晦ㅥ晤㔹㐰〳〱㝥㐲昵㠸挸㈲㜲㈳〲晡㈶㠲捦ㄱ摣㑣㜰ぢ㐰戰㍡戴ㄴ㕦㝣㐲摣攷㐸㠰㥢ㅡ〹㜰㘳挳愷㙥㌹〲㕣㥥挸㜴㐱㥦搰㈹攰㕣㙥㜵攰㥥㐶昰㝢㄰㤰㤷㜲攵昵㕣㈵㕢ㄲ㔴㐱摦づ㍣晥慤て户㈴㈲挷㡢㕣㜲搴扤㑣㠷昱愶㍥㔰㑥㘴㈱㙥㑣㐴㌸㕦㐱〰㉢㉣㌷㈱散㉢攳づ〴慣ㄵ戶戹戵戱愵扤扤愹愵㈵㌶㠶㘵戳㌳㌲ㄶ㌳㕢挶摡捣攸㔸㔳㔳捣散㙣㙣㌷敥捣㤳戶户戵挴㥡捤搶㔸㝢㘳㙣慣戵慢扤㌳摣ㄱ㠱改搶搹搴㍥搶摡ㅣ㠹㌴㜷㠴戸扤㤱戵昳㉥〴昴摤〰㈱敥㙡〴㌵㘳㠰㜱㡦㔳㐸愵㕡㠰㤲ㄵ㜶〸捤挸慦戰㕦〷㔶摦て㄰〸㜱昷㔲㑥㠶摣搰〸晥〱搲㜲ㅦ㈹敦ㅡ㉢㥡昵㡢ㄸ摢㑣戰㠵㘰㄰㐰昵㠱㝦搹㙢㐲扤㜶㐲昱㙢㘹愱ㅥ㜰ㄲㄱ㍥㠲㐰戰捥搷㡦慦戳㘶扦攴攸摡晥慣㠴㘷愷攰つ攲㝥扣ㄱ㍣捤㤶㔷攰㐲㡣㜵㥣㔷改㕤㝤㜰扣愸扤攸捦攳挷搷㠳捡扦〷㍥㘸㤱㑢攵㤰攳㠹昸攸㐷㠱昷㙤〴㈸敢㌹㜲晤晡ぢ㝥㜵愳愳挱晤㜳ㅥ㥣㐳㡢㤳〳㔹㙣攴㜰㐳㜰㙢扡㈷晦㤳㈲㠷挹㙥ㄱ昸㤵捥晢挷换㘷㌰㡥㘳搶挹㌶㤸挹攷挳㑢戶搶挶㜰㈵摦㔶㕥㍣ㄳ㜳ㅤ㠷ㅥ㍢㠳㠵㉦ㅥ㕥㐲㌳敡㜰捣攲㑣戰搲㕢愱㡡扤ㄷ戲搸搹㍦ㅤ挲昳㑦㜲挳㑢摢〳㔱ㅥ〳ㅤ㕢收ㄲ搲扡㜸㑥昴㈱㕤㈷㑡慦㠷㜰㡣挷㈹愶㌵换捥㕦搶攵㕢㠳㝥㤸㜷ㄱ挸收㤲㍡ぢ攴㐰づ攸敦㈱㐱つ〰㔰昴㑡㙦〰㌴㥥〰㐰ㄹ晤换扡㔴ㄷ捡㘰㌹ㅣ㐷〱晤㈴㘹㌸戵㠸㘲㝥㜵慥ㅤ㘱㝡ㅤ户ち㜴晥ㄴ㈹㌵攷〲扤愷ㅢ㘹㜸晣摤昲攵〹㜵搷㜱㕦㈱㌹㉥㔶㑢慦敦昱扤㜰㐵昱㤵㍥㠷搲晡㝥㙢慤攲愶㘱㘶慡㤹挰㕢㔳慤ㄵ㌵㉡㍢搵㕡散㠴攲昷㘵㐲摣㘶挸㔴晢〱〲挱㍡挵㙤〱愷㥢㙡㐲づ㡥㜱ㄹ㤶㑦ㄳ㐳ㄳ摥㤲て昷ち挶戳〴散㠳愶㐶㜵〶〸ㅤ㘹〴昴昳愴愶慤㙦㔱㜳扢㘰晣搰愲敥㈷昵改㌶戵㈵捥ㅦ㤳晡ㄲ〰㠷〱摥㑦户㈲㈲㑥ㄳ㤱〳ㄳ㘷捣挹㌱㥢㌸㉤ㅦ晡㑦搶摥㙣㍢搵搵愵挸㔱㑥㥣换㔰搱戲攲㍣搹㑥㈸㜹摤㠶昶晢っ愷ㄹㅤ㜸攲㙣㥣㑥戰ㄳ㑡摥㕢愱㑤㕤㡥搳㌱戳㜱㍡摡㑥㈸㜹〵㠴ㄶ㘸㌹㑥㡢㘷攳㜴㠴㥤㔰晣㘶㠵愲㍤㠴㝦摣扣戰〳㡣㠴ㅣ愳㐸㠹㥤挲攴㌷㠸挷㈳挹戴㔷㘴㠴扤㠹㠰㝥ぢ㈰㔸ㅢ愲戹㈲挸㕦㌳㕥ㄷ愲㜹㈱昱摦㈰愰㝦㑢昰㍢㠲摦ㄳ扣㑤昰〷㠰㘰㐰搱攲㤰昱改㐷㈵㌹㍥戹挳挳ㅥ㑣搱ち㤱㠴㉡㍢㠱戳摢㙦㑦挲㝤敦㉡ㅡ㈸㤲㙥搸改㜴㘷戹搲㘹扢㐸扡捦㑥㍦戶㌰㥤㘶㡤愴㔷摡改㌲㌱晥〸慣摡〳㌰㈳攰㈷㤰捦㥡㡤敦晥㜱㤶攱昳㈷㍢愱昸㝥㙣㠸搶㠷㠸愱〲㘳ㅦ戳㤱㈶㠴ㄴ晡づ㜲攴㘷㈳扤愴㡡换扤㌵扦敥㐰挸愸〲㑥㌴㘲㥢摡〷㕡㘷㉥〵㌴㝦㜷㑣搱㉣戰㠸㘹㔹ㄸ搵ㄶ㜱晦戲㌶昵㍢㥢ㄸㄸ愸戶㈰扥敡㘸〲ㅣ搸㡣愳扤戰㝦〵戶㝢㝤昷摤㜷昱〹㜴㉢㥡づ㌳㈲㥢㔱㘰㙦摡㤲㈹戹㐳晢㠶㥤㔰㝣㠷搶㐷ㄳ㘱㝦户㐶㕤㙦㝢戳搷㝤㌱㝡〸慢㘳ㄶ㥡慢扡㥣㈰㈷挴扤㔶㠳㑢㕥ㄹ晣㜶挹㈶摣㘵挴㌵㌱晣㍥㤲敤㌶挵ㅤ㐷㝡搶㥤㥢戶㕡㘲捣㙣挴〶㌳戸㝡㕢ㄵㅢ挸挲㘳ㅢ昵攳㈷㌲㜲㜸㠳㈸㜵㈸㙣捣攰昰慣㘴搷㘲愱㤳㝢愴㘵㝤㡤㜴㈲㤶㕤㐲攵收㐵挳㡣㍣㥣戳㌲慦ㄷ㜷挳づ㙥㕢㘶㉣㐲㜵㥣㈳㠳愸敢戶㘳愵㝡ㅤ㕤㙣敤㐰㜶㝢挴挱㐵㤳㔵㉦〶扤戱〴愰〲㙦㠵㡡㐶〱挰㉤〲㘰慣摢㘵晤㙣㥤敦㔱っ㠳攲挶昱〸㘴㍤攸㍣㐵㉦㐳㔷㔷戳挵捥㔳挹挵㝦㉥扢㠳㑢㝣㔵㜲㌴捣ㅦ晡昳㈷㐷ㄳ㘶㙡㐷㙥㍣晦攳㝥搸愵攳敤〰㝤㌴捡㘱㔱晣愸㈷挱㤱㕣昵㌱㙥㉣㔷㔸㡥㔶攳㔸㘰换㡢攰攵戲㈲㌸ㅥ昴挶〹〰㠵㈲㌸ㄱㄸ㤷〸ㄴㄷ㘹㡡挱㜹ㄴ搷㘱愹挶㔲㔰攲摦慡ㅣ搷㕢挱㥥攴挲㠶愸搱改㘶搵㈷〳ㅢ慣〸㔱㠵㔳ㄳ〵㐳㡡㝡㕢㤴搰扦愳㜶㔴㐲㑢㠰昷挳㐳㐷㕤㉥〹晦㘶㈷ㅣ挹〴㍦㙥扢扦慢愸搷愵戱愷㠰摦捣ㅢ㉥㔳㌴㈹戳㕥昵ㄳ愷愱慦㌵ㅦ㍤搳搷愷㠱搶㌸ㅤ㠰敦ㄸ㈸㝣㐳㤶攸敢ㄵ〸戹ㅢ捡㌵㐲捡㝤摥㉥㔷㡣㌸挵㔵㐳搰捦搹攸挳㤰㍦愰戸㡥〸晡㔹ㅢ捤敡〷ㄴ㔷ㄶ㐱㍦㘳愳㔹昹㠰攲㕡㈳攸愷㙤昴㘹㠲收敡㈳攸㝦戱搱昴㥤〵ㄴ搵㍦㐵㝥攷摡㕦㜴㝦愴晢㙦㝢ㄴ昵戶㌴扢ㄹ㠱昲㝤晣ㄴ㌸㤴づ昳㔶搰ㅢ㙤〰㠵㝤摣づ㡣扢改㔴晤〵㝤㑣昵㉥扤搹㠹〰晥慤㍥愶ㅥㄷ㙣㤷ぢ敢攳㔴㥡昷㍣㐷慢づ搶㕦戱ㅡ攵㈸㑥㔰昲搰㘷戹慡㔰挷㘹㐲慣㥦㕤㔶挷改㤱㡦㈹づ㜳㔶㔱㥦㑤㌴㐷户攴㕦㠳〰晥攵㔳挷㤱㥣捦㔱挷ㄱ㥣㡦㈹㡥㕣改愳挷敤㍥㕡换攲搷㤲㠶〳㑢㔸㜷㌳挶昱㈴慣㝢㄰昰戳㌶昸㈸昶㠰搰慣㘳㌲〵㉦㌴扤〸攰摦㉡㥥㐲捥ㄷ㔸㐷攱收㘳㑡㕡捤ㄲ晢㐸㙥㍦㈱戶㕥㔶昴㝥〴㌴戵㔱戰㔶㐹〳㐱愱㌷戸㐹搹㔰㈱摤㐸搲〱㈱慤㘳昵户㠳搴扢㑢㐵㉥㠹㕥㜲挹扥扡捡晡㘳㉡摦摦㕤㜳搳ぢ摦㝦改晡攷㉦㕡昳敡㍢户摣昲晣换搷敦㝤攷攱戱㌵晦㝣摢㙤摦㍢攷搶扤㉦ㅤㅥ摢攳㝤㘰摦愶㍤ㅦ㙥摡昹攱换㘲摢㔶㙣昸昰〵㤷㥥搷㌴㜴搸捡㡡㡡慡慡㔳ㄷ㍤㜹搴㘹愱摤㤷㍤愸ㅥ晢挹㤱㈹㈵ㄲ㘱㕤捥㐱㐹㝣㜸㐴ㅢ愲㘴愴㉥攷㈲愰㌷ㄱ㙣㈶搸㐲㌰㐸㌰㐴㜰ㅥ挱㌰㐰搰慦㐴㙣挸慢㐷㄰㜷㥥㄰挵㈷㡣戶㤲㜴ㅢ㐹㙢㐳㤴㄰㤱㔰㉥ㄴ㡢㜴摡㕤㜶愷〹昱㜶㘰ㄵ㠵㈵㐹㜷搸㐹敢㤰〵㝡㈷㐴愹搹搹㈹㉡愱昹㡡㍢晢〷㠰㔵ㄴ愰㈴㝤愹㈸㍢ㅢ㙡㘷㘷敢㠴收㡢敥散ㄷ㌳㍢摢㉣㐹户搹㐹㤶㤲愱ㄴ〴晤て㌶摡㔲㌲㤴㡢愰昷搸㘸㑢挹㔰㔲㠲扥搵㐶㕢㑡㠶戲ㄳ昴ㄷ㙣戴愵㘴㈸㑤㐱㝦摥㐶㕢㑡㠶昲ㄵ昴㉤㌶㝡㥤㉤〷ち摡㙥〸愵㉢㌴㌷摢㌴㌳㘲愴捣㈵改愶挲散㡡㐲收㠰て㈸捡换ち戱改っ改㜱〰㈵〰㠵改㌸㘲捥ㄳ㘲挴㉡戶晡㝦〰㥥〰昹敢</t>
    <phoneticPr fontId="10" type="noConversion"/>
  </si>
  <si>
    <t>Decisioneering:7.0.0.0</t>
    <phoneticPr fontId="10" type="noConversion"/>
  </si>
  <si>
    <t>CB_Block_7.0.0.0:4</t>
    <phoneticPr fontId="10" type="noConversion"/>
  </si>
  <si>
    <t>㜸〱敤㝤〷㤸ㄴ㔵搶昶摣㘱愶㤸㙡挲㤴ㄲ捣ち〸㉢〸㘲挷改ㅥ㕤㈴㈳㈸㔱㔰㌱㘲㠷㙡ㄸ㥤㠰㌳〳㠲ㄱ捣㌹㈷㕣〳敡慥慢慥慥㘱捤㌹愷㌵慦㥦㜹搵㜵㡤㙢挲㌵㝣㤸晦昷㍤㜵慢扡扡扢㝡〰搷晤ㅦ晦攷昹㡢改㐳摤㜳摦㝢敡搶㝢敦㍤㜵敢搶改敡㉡㔵㔵㔵昵ㄳ㌶晥捦慤㠶㍢㥢捥㕥摡搱㘹户㡣ㅣ摦搶摣㙣㘷㍢㥢摡㕡㍢㐶㡥㙤㙦㑦㉦㥤摡搴搱搹つ〰㘳㕥ㄳ昲㍢㙡攷㜵㌴ㅤ㙣搷捤㕢㙣户㜷〰㔴㕢㔵㔵㔷㘷㔶㈳㝦㈳晤戱摣㠴挹㔲㘶つ〵㔰㔵愶㐱搱㥤愲㡥挲愴〸㔱昴愰攸㐹搱㡢愲㌷㐵㍤㠵㐵戱ㅥ挵晡ㄴ㝤㈸晡㔲昴愳攸㑦戱〱挵㠶ㄴ㍣扥戹㌱挵㈶㄰㍤㌷㠵㤸㌳㝥摣㡣捣晥㌸㥢搹㥤㙤敤昶㠸〱扢㌹㜵ㅥㄵ㠹㡣㡣㡣㡣挶ㅡ㈳㈳挳㈳〶㡣㕦搴摣戹愸摤ㅥ搵㙡㉦敡㙣㑦㌷㡦ㄸ㌰㜳㔱愶戹㈹扢戳扤㜴㑥摢〱㜶敢㈸㍢ㄳ㡥㘵搲昱㔴㈴㥥㐸攴ㅢㅢ㔳㍤㌷㠳攵改攳挷捤㙣户昳ㅤ扦㤴捤捤㘹㜳挶昸㜱㈳愷摢㥤扦㤴捤㉤㘰ㄳ㈶㈷戴戵愴㥢㕡㝦㈱愳戵㙣搳挴〴㍢摢挴挶户敤昶愶搶昹㈳㔱敤㈲愲㤱㑡㡥ㅣ摢搱戱愸㘵㈱晢搱㜸扢戹㜹ㄷ㍢㉦㡤摥㌲愱愳㜳㘶扡扤愵愳㘷ぢ昹戳摢敤搶慣摤搱扢㘵攲㤲慣摤慣㠱ㅤ㜵㉤扢愵摢愷愷㕢散ㅡ敥搴户㌸㙤㌸㈵㘷户㜶㌶㜵㉥敤搵戲㙢㠷扤㑢扡㜵扥㑤㐸㙤换㡥㡢㥡㜲慡愶〶㝦㔵摤戶ち慡㤹㌴ㄴ敡搳㌲㝥㐱扡扤㔳㔲㙣挲㐸㄰搶搷㕤攴㉣㡡敡挵㉥㌵愰愴ㄴ摢㙣㜶㔳换捥㜶㝢慢摤捣㠳戰㈵㠷㤷㠰㠴㈰愷ㅤ㍣愶摣搳㘱㉢愹ㅥ㝡昰昱㕣㜸ㄴ㘳〰慤捣㘹㙦挲㘹㉥㙡㑥户㡦㤸搶搴㍡㉡ㄶて㠷㐷㑣㙤㍡挰㙥㙥戲㍢㍡㐷㈱ㄵㅥ㌱㉤扤㘴㔴扣㈱ㅣ㌶〷愲㠰㌹㠸㐵户㠴愸ㄹ㍢㌹ㅡ㌷〷㔳㌷〴㐲搵扣㡡攱敥㍦〸㠷㕣昵扣㜴昵扣㑣昵扣㙣昵扣㕣昵㍣扢㝡㕥扥㝡摥晣敡㜹ぢ慡攷㌵㔵捦摢扦㝡摥〱挰戸㕢㕤昷敥搵㝡ㅢ晢愳戹㑢摢昷愳㈷㉦㥦㜸㘴晦て晡㝦户㝤㉤㐷昸㕡㤱〹㔶搰㥥扥敥搰㥢㑤㌹㝥㔱㐷㘷㕢ぢ摢昲㤷敤ㄳ㔵扡㑦愸㈱㐱慤攱㜴ち愷㐶晦㘱㤷搸戲挴㍥扢挴㡣㠵㥤扡㑢㌸㠷昸㐵㝡㠵㌲户〲搵收㔰〸㘳ㄸ㐴㡦〹扢捣㜳㡦㙤㙥捤慣攱㄰㑡扤㠰挶㘶㠳㍦㝡㑢昳戱ㅢ㌶摣㌴改捥换㙥㕢晤扦攷て㕤愱攸㠶挵㤵㙦㠳㥤愱搳摢摡㕢攰敦愶搹改搶㔱昱挴㠸搹㥤戹〹昶攲㔱戱㤱戱攲㉤㘱㡥愴改㙤㈱㡣㌰㐴慦㡥愶ㄶ昴㐹㡥散敤攲摢㤹ㄱ㘶㐶㈱㤴㝡㑡ㅦ昷昰㑤㔶㝣昱攵㡡㌳㈷㥥昷攰愰搰攰攳晦㜰慤愲攷㤷攳挶戱㌳慣愴㕢㈷㡢㝡㜵㑡㜷敡〸㝡户㤹愰敤〶〸㈳〹㠱㑥ㅤ㘹㌰㔳搴㌵㐲㈸昵㠸㍥摥㜶㜹㈳戲攵敦挷㑤㍡㍡戲搵敥㑢ㅦ㍢㑡搵昲㈲ㄳ㜳㤹改捡㐹㑤挲㘵㈱㥢敥攸搴㝤㤲攵㝥搹㑥戸㘶扦㌴愹㍤晢摦昷㑢㌸挸㉦搲〳捤敤挹晥㙦㈱㡣㔱㄰㌵愳挶㌶㠴捤ㅤ愸ㅢつ愱搴㝤扡㐵㍥㔹㌶昲㤱搳收㕦㍥㘳挵ㄷ㝦っ慦搷戰㜹愳愲昳㤷ㅥ㌰ㄶ㍢㐵㍤㉦搶㔵捦ㅢ㐷搳攳㈱㡣〹㄰扤㝤㍤㉦㤲搸捥㥣挸摣㐹㄰㑡摤慥て晣挵昴ぢ摢ㅢ㔶㍦㌱昵搴㐹换挷㡣㍣散㠱攷ㄵ㘷ㄹ㜲攰挹搸ㄹ攱敦昲攱㤱〹敦搰攱㤱攱㐸㐳昱ㄶ㌳愷搰晣㑥㄰挶捥㄰晥㠳挷愳摢㤹㔳㤹㍢つ㐲愹ㅢ昵挱㡦㥦晦挸慤昷㝦㜳改㑥㉢㠶㙥扦戲摦㐳ㅦ晣㐶㜱㜶㈳〷㥦㠱㥤㜵攸昷㌳㘹㝢ㄶ㠴戱ぢ㉤㡣㥤ㅣ㌷㘷㔳㌵〷㐲愹㍦改挳晤㙤㡢㤳慡㘶搵慡㜱㔷扥㝢晦㜵㥢㍥㝢挷摤㡡㑥㥤㕤搸摣㡤㘲㜷〸㘳㉥〴㕡㈹搱㘰敥㐱摤㥥㄰㑡晤㐱ㅢ㘸㙢ㄸ昱㐴扦愵敦㑦扦昲攵扢昷㝦收昳慤㤷㈸捥挱愴扥㝢㘳㘷㜸㌱㔹愹㤴敢㈱捡挹㑡㤹晢搰晡扥㄰挶㍣〸㍦㔷戱搸㜶收㝥捣㑤㐳㈸㜵戱㍥昶捣㥥㤷㠷ㅦ敦搶㘷愷愳户㥣㥦扦敥愷攳捥㔳㥣晡挹戱戳搸㈹敡㈱搱戰㝢攴挸挸攲㌶㙡㐸㥡㌹㥡戶㈱㡣㍣㠴晦挰昱昰㜶收㝣收㉥㠰㔰敡㍣㝤攰ㅤづ改㍥昰挶㔹㐷㑣扡敤攳搳摥晦昸愵㠶愷ㄵ愷㥢㜲攰晤戱戳㤱晦愴㘳昰㐵摡㉢㈶挲㈶㉦㠷㘶㌳㠴搱〲攱㍦㔲愴㜱㍢戳㤵戹㙤㄰㑡㥤慥㡦㜴攷㠵㉢㝥扢㌸昳晢挹㉢户摣戱敡㥣昳昶ㅦ愲㌸愷㤵昶㌹㤰攰㜶〸愳〳愲搷愴㈶扢㌹㠷㠹㐵ㅥ㌳搵づ戳㤳㤹㡢㈰㤴㍡㔱㕢扡㉦昷晣挲晤挶㝦㌶改扣ㅢ㡦摦扣㑦㘶昵〵㡡ㄳ㘳㕥㜶㤵㜹㄰搱㑢㈰㡣愵㄰㍤㜶㥤㔳戸㈲ㅣ捣慣㐳㈰㤴㍡㕡ㅢ晡戰㝤挹㐳㥦㥣户搱昸㙢晦晤摤攸搸㤴ㄷㅡㄵ㈷搷㜲昲㠷㘱愷㘴㜸ㄴ㐶㘶㜹㡢㈷㘳收攱㌴㝦〴㠴戱っ挲捦㐷㍣戵㥤戹㥣戹㐷㐲㈸㜵㤸㍥昸戲捦扦ㅤ㤰扤昵挲昱搷㙣戵晣㥣〷㌷㝣㘵㤲攲愴㕥づ㝥㌴㜶㠶昹㤹㠷昷㜷㤹て戸ㅥㅤ㐳摢挷㐲ㄸ挷㐱昸㡦ㅣ㠵㔷㌸㥥戹㈷㐰㈸戵㔸ㅦ㜹敥〱㌳て摤㌴戴㜸昲捤〳㕥扤㜸昷愳づ㍣㐱昱㑥㐲㡥㝣ㄲ㜶㡡㡥ㅣ㑤㜸㐷㡥㌴㤴㜴户㤴㜹㌲㙤㥦〲㘱㥣ち㔱㜴攴挸㜶收㘹捣㍤ㅤ㐲愹㌶㝤攴㑤晡敦㍦攲㥢晥㔳挷慥戸㜵愳㐳晦㜱昸搳㜷㈹摥扥㌸㉤㜷㈶搱㘷㐱ㄸ㘷㐳搴㑦戰㍢㥡收户ㄶ㕡敦ㅣ㘶㥦ぢ愱㔴㤳㌶㜶摤慣ㅦ㌷晤收戵慦挷㥤㍦攰攲㑤㈷㙦㜴挷㐳㡡户㐱搲愱捥㈷㜸〵㠴㜱〱〴〷㝣捡晣ㅤ㜵ㄷ㐲㈸㤵搵〶㌶㑣摣ㅦ扤㝢㝥捦愹搷扤㍡敥搳慢㉥㌵㤷㉡摥㐲〹てㄷ㘳㘷㠳攲ㄶ㜰ㅢ㈰㘲㕥㐲㑢㉢㈱㡣㑢㈱晣搷晦攴㜶收㘵捣扣ㅣ㐲愹扤昵㘱慥㌸㝦搰戰㍦摣㜶捦㤴㤳㍥昹昶扤晤㥦㍡晡㕥挵㥢㌴㌹捣ㅦ戰㔳攲㔷㤲㕤㌸攱㤴㜹〵慤晦ㄱ挲戸ㄲ挲㑦㜸ち㠴㕦挵摣慢㈱㤴摡㔵ㅦ晢挲捦㘶ㅤ戹捤㠷摦敤㜴昹㘶㍤づ晥㜸昳挷㍦㔴ㅢ㈲摢㈱晣ㅡ愲慦㠵㌰晥っ搱㘳扣㙦昲㜴ㅤ戳慥㠷㔰㙡㠶㌶昴搸戴㍢㙥㑡㕤昶搳㡣摢戶㘹ㅣ㔶昳户㜳捦㔲ㅢ㈱摢㌱㜴㈳搱㝦㠱㌰㙥㠲攸戱㡢捦搰捤捣扡〵㐲愹㈹摡搰挹㉦昶戸㐲㠵㍦㥦㜱挹ㅦ㠷つ搹攱搸摥摦㉢摥愳ちㅢ户㘱愷挸搳ㄵ㐶㕣㐰慦扦㥤愶敦㠰㌰敥㠴〸ㄵ慥㠵收㕤捣戹ㅢ㐲愹㜱晡愰扤摢㤲㘳㡦ㅦㄸ㥢㝥挳㝢㉢㉦摡攸戳户晦慥㌶㐱戶ㅣ昴㕥散慣搳㥤挵㝤㈸㘰摥て㘱㍣〰挱㐹㔸搸㝣㤰扡㠷㈰㤴摡㕥ㅦ昱㤴慢㥦搹晦昵㔸昵㤴戳晦昴晥て戵昳戶晡㑤捦㐷㤰㍤㑢摦搷㑣㘸㑦ㅦ㠴㍢挵挲㑤㘸㜴㈴㝣捡摡摣㝤攳收㍢㥦挸㈷昳㤱㐸㉥ㄱ㑥挷搲戵〳㘱㜶㙤㙦昳攸㈶㝢收㜷㙦㙡捤戵ㅤ㈴㤳晣㑤挷愵㜱挳攱摤〶づ搷㜹攳摡ㄶ戵收㍡㌶〹捥㥣摤㤹敥戴㌷㉥捤㉢ㄸ㈹㉢㌶ㅢ㜷挵㜶㠷ㅣ㙦昳搲㘲扢愵㥢ㄷ搹㘳㤷㌴㌹搹㥢㤵㘴攳㥥戸㉤㔳㌹㜷㔲扢㝤愰㤷㕢㔶愳戱㔸戴㔹㉣戶换捥搲挹㜲敡㌵㘰晣㠲戶づ扢㔵慡㌷扣㘵㘶㔳昶〰扢㝤戶捤㈵ㅦ㍢㈷愷摡㡦㔹晡挶㝣昸㡣㔶㥣㈸㙥戵㜳㠳晣摡晣挴㈵㥤㜶㙢捥捥愱扥ぢ敤昶捥愵㜳搲㤹㘶扢㝦ㄱ挴㌹㈶㌲㌶㉡㔲㑦㙡换㉥敡ㄸ摦搶摡搹摥搶㕣㥣㌳㌶户㌸㡤挵㠰摣戴戶㥣㡤㝢昹ㅡ㙥㔵慡慡㕢㌷愵慡戶づ㥡捣搳㙥挷㐸㘹〸㕦ㄳ㙦㠶㌶摦戰戸摢㡤摣〵㘷㠷戳㘸戶搹㈷慢〷慦挱㤸搸愵㤹㘱㤵㠱扥㜳攲晡ㄸ搱㐳㉢愳愵㡥㕥换晤㜷挱搵搵㝤昴搹㑦㕣㡣〵㤳挹改搶㕣戳摤摥攵敡㥥㘲㡤捣㐷㈱㙡㔳ㄸ捤ㄵ搹ㄳ敦户㐴㉤慤㍤愸㈹搷戹挰㔸㘰㌷捤㕦挰搹ち㔶〰敢敡㐸㙤搹㘶㍥づ㤵昹〴挵㕦㈱㐲愱㉡攳㐹㠲㡣㤰昹㤴㤳慥ㅤ㠴晦搷㙡昵愰㘸㈹愶ㅡ愵㑣㔹晡挱㍡㕤㐷㙤ぢ㙥攴㍡扡㜵ぢ㍡换挹改㡥〵㥤散㥥㕤㘷搲摥搳ㄴ捦㐰搴づ㠶㔸攳㑡て愷㜳㌵㕣搰敡搵㠲戹㕢ㅡ换㠸㌲扡㔵扡㔶㔶㌳㙡愱敤挸㥡㕣挲㥡㠲戱戲挴挰ㅥ〶㝦捦ㄶ昶㝥㝢㐹攷㠴㜴㘷扡㝢ぢㄶ挳搰㑡㈶㐰挳愵㤴戳挷㤲扤㐴攷㤶づ改ㄴ㉣㔸戲敢戳搲㐳ㄴ㡥㈵っㅣ㡣㤷慡㙥㕡㜶㝤ㄲ愸晢收㌸〹愳戴愳ㄷ㉦㙡㘱慤㉤户愳摤㍡㘷改㐲扢㠳昰㍡愳㑢㉡㑢㠷㤷㉣㠷㘴㌳扢㜶㌶㌵㜷㡣㐴㑤㜷㙣㙦㕢戴昰㤷戴㐳㕢收戳㄰敥㔶扢㉤㝡昱摡㥦ㄳ攸慡敡扥㤸㙤㌳㙦㕥㔵ㅤ慤㔱㘳㍣て挱㜵戴戰挹㉥ぢ㡢㍦攱㍦搹捣ㄷ昰㕦挸㈴愰㐲㕥敤㄰攴慤换㉡㘰㉤昰㍤㕢㘶㘴㌳㜳摡㙤㔹搷慣㤳〴㈸敦搵戲㝢㕢晢〱㤹戶戶〳戸㐴搶㕢㔲ㅤぢ㙣扢㤳㙢㠵㍤昴摡愸慣㠱㉡搵慤㕢搱ㅡ㥦㙦㔱㜱ぢ搸㌷㕥㠶攸㌵戶戹㜹㠰㙢戱挳㜸〵慡㙥㔸戵㌴㕥挵捥捣㠱㌳㈷敥㌲㘷摥挴㈵改㤶㠵捤昶㌶戳ㄶ愵㥢戱摥扡つ搶戲㈶㜶っ㔸ㅣ㡥てㄸ㡡搹㜱㍣ㅡ戶㍢㠶扤晢攷㤳㍥㔸戶晣摤摢㡥㝦昷戴㌳㍥㕣戶晣晤㙢慥㜹攷戶㘵敦㥦㜰晣戴戱戱昷捥戹晥扤㔳晥㍣㜲㐹㜳挷ㄲ㌵〴慣㜱㈵敡挶挹㍤㘶㕤晦搴㔹㘳慥摦收挵〹挳慦㕤㌰㑦つ搶ㄹ㘵㡢㠹㕢愱ㅥ㙢户㘰㘷〰昹晦挴挵捣戹㠴晤㑣户㙣㠴戰㔵愹愱㌸㔹㝡㑡昳敦ㄴ㙦㐰搴㙥つ戱㌶㑢㡦㥣户慡戴捡愸慣捡㈹扢㝢ぢ㥡㜳摡晣昶㜵昷㔱扤㔱㔰ㅣ㡤㘳愰愷㥢㤴㤵㕢㌷㐱挷㘵戹〹愰挵昳昵㉡㈸㌰挸晡戸㈹㥦〷昳㙣晦搲敥㄰攷㡥㔱散㜸挴㈲挷㘸㜰敢㥡㍥搴ㄳ㐴晤㤲㥥敡晦昶昱㝥㈹㑦㑤づ㥣慤㙥㡣昳扦㔵昲晦慡搱㙥㝥挸㜸ㄳ扢㐵㑢搳㜲挹㜷昲㐵㥡晦挰㝦愱㤰㐹愰㌸㔰㕦㕥㤵㤳搹㔵㥥ㅡづ㍣ㅤ慣㐹㠷㘶㝣㐸㠱戹ㄷ㝡㥢㐹㉦愶晡㔵㜲㍡㝤㜵㐶搹扡昸㐸ㄴㅢ㠸㡦昹〹换慦てㄸ攷㐱搸㉦摥捣捦㤰㌶㔷㔱㝣づ㠱㜱㈹戵挷㘴收ぢ㈷愹戶挵晦㌲㑣扦㈴攸㉢〸ㄵ㠱攰㜴挲晣ㅡ挲摤㤴〹晢扣㑡挹㤵㘶㌵搴晥扢㙡慣慡㤷㕤㜲扥〵㈶㘴ㄲ㔹㈱㑦㐵㤱攷戱㘲搲戱㍢㜴晣昴㘳〵ㅦ晣愳捥㈸㕢慥㑦愰慣搰搱つ搵㔳摦〳ㄶ㑣㐷㉤戲㑤㠳愲㍢㠴㡦づ搳㐹慡〶ㄸㄲ㍡㐲〴昵㠰㔰㈹愸㠴㡥㥥㐸戹㥢晡〲挷昰攸攸㡤ㅣ摥㘶挶换捦搴㐲㔶挸㈴愰㐲㥥㙡㠴捤㈰ㄶ㍥慣挴挲〷㍡愳散㈱挲昶戰搴挵㡤㘶搱扡㝤㕦㘰㡢㙥㌴㝢收㈷㌵㌵㜷摡敤㜲㉦㔱㥦挷㝦捥ㄳ㔳㐹昷攲晤㔳㝢㍡敢㍣㡢散㥢ㅦ㡦㕢㈸㍣愲敤㕣㕡戸愹㉣扢㠵㜳敥㜰晥晦㡤敡慦敥㐶㔵㙥㔳㡢㙥㔶扢戸ㄱ㐴愷㈹戹㔵敤ㅡ散敢㐴扣㐷ぢ㥣㔱㑡㤷ㅡ〹换挵㥤㡣昸搲㌹戰㍣㠷昶昰晥㑥㐸㜴戸昲つ㉣㍢㝢㜹㈷㘵愱㡡㌷㡢晦晦㔶㍢㈸㤰挶戹搵摥㠸づ㙣㘳㡡㑤㈸㌶愵搸っ㐲扤慤㝤㉤㙦〷戸慤㡦㕢敥㐵戸搷㔵收ㄶ挴っ愰ㄸ〸攱昳戵㕢㈲㘹っ㠶愸㜷ㅦ㘶づ㜰扡㔸㐸㈹㍥愸ㄳ晦㍢㠴〵㝦〳搱㜳㉢㠸改㤳敤㘶㉣摢晣㔲挱㉢戵㍢攰㌰㕤摦㘸愲晦慣て㔰晦㤶搹㑢㕢戳ぢ摡摢㕡ㄱ㐲挴晢摦戱㔹㐴㝦㜴愸戴搱㌲戵㙤晣愲㑥愳㘵㜲ㄳ晥敢搹戲㡢扤搰㑥㜷㡥挷戲ㅣ㙥慥愷攲〱慤摣㍡㑦挹㉤㔹昷㘹敢㉦㜷㙢㉤慢扦㔸昱㉣摣㕤慢搲搱敢摣攴㙡㝡㐷㑥㘸㐳㈴㤱㉤㐱㔴愴摤㌰戰㑣昲㉢扣㜷㐶㐴〱㙡㜷挹攷㔷㙦㍦攴愲敢㝥搲晦ㅦ㠱挹㠹㙣收㈸㌴㕣昹搵㜶㌸㡡㠴扡捡㔳㥣ㄱ㝡㔷㘲㈳㑣摡搰つ㥣㌹挹搳㤵慥挶㑦改㡣戲〷挸攳㘰㙤㈰㙢ㄲ㠷㈱昵㔷㍤㑥愰㈸摥捣〶㘴㥢㐹㡡ㄴ㠴㙦㥣㙣攷㈴搵㜸ㄴ㤰㌱戱㍤㐱扦㠵㔰ㄳ愱㤲㌹挹㈸愴摣㑤㍤㠰㘳㜸㜳㤲搱挸昱㍦㝤攰攳攷戲㌹摡㔸㠰㐲㈶愱ㄵ昲搴㈴㔸昷㌸昱捤搱㙥慢挴挷慤㍡愳散戹昶ㄴ㔸ㅡ㠸㡦戹ㄳづ愷㙥慥挸挷㔴搶㘶ㅡ挵㜴〸ㅦㅦ㌳㥤愴摡〹㐶㠴㡦㔹〴敤〲愱愶㐲㈵㝣捣㐶捡摤搴㌵㝥㍥㜶㐵㡥㥦て㍥ㄱ㉦攳㘳㜷㠰㐲㈶愱ㄵ昲搴㌴㔸て攲攳戲㑡㝣㕣慡㌳捡ㅥ戵捦㠴愵㠱昸㤸晢攱㜰敡㤲㡡㝣㘴㔸㥢㉣㐵づ挲挷㐷摥㐹慡㔹㌰㈲㝣捣㈷㘸〱㠴㥡つ㤵昰搱㠴㤴扢愹㜳晤㝣ㅣ㠰ㅣ㜹㑥㕦㐶㐲ぢ㜲㐲㈶昳换㐹㤰㍣㌵〷㈶㠳㐸㌸戹ㄲ〹㈷改㡣戲〰㠰摤㘰㠹搳㔶㜳㌱て㜷㄰挵ㄲ㡡愵ㄴ〷㐳愸㘳㌴㌱戵晡㌴摣ぢ㑣㤵㜹㈸㌱㠷㔱ㅣづ攱㈳㘶ㄹ㤲挶㜲㠸㠰ぢっ㘳っ㠴慣㈳㔹昰㈸〸戵〷㔴扣㈰㔴㤹㐷㈳㔹搱慢捣㈵愲㡣慣攳㔰㈴㘴㜶㤱愷昶㐴戹〲㔹昴㉡㡥㐷㘹慦㐴搶㠱㍡愳㉣搸㘱ㅦ㔸ㅡ挸㕡㥣づ㈳慡㑤ㄳ〳㐵昱㘶㥥挹㘳㥣㐵㜱㌶㠴㡦㤸㜳㥤愴摡ㄷ〵㠴㠴昳〸㍡ㅦ㐲敤〷㤵昴㤸ㄵ㐸戹㥢捡攳ㄸ㥥㐷昹ㅤ㜲晣㈳㠸㜱ㄲ㘵㝣㕣〴㔰挸㈴戴㐲㥥㑡挳㝡㠱㡦挲㕤摦摥㤵昸搸㑢㘷㤴〵㘰攴㘰㘹㈰㍥收ㄵ㌸㥣摡愳㈲ㅦ㔷戲㌶㔷㔱㕣つ攱攳攳ㅡ㈷愹㙣ㄸㄱ㍥慥㈵攸捦㄰㙡㍥㔴挲挷㜵㐸戹㥢㥡改攷攳〶攴昸昹㘰昸㐶ㄹㅦ㝦〱㈸㘴ㄲ㕡㈱㑦㌱搸㈳㠸㡦㐹㤵昸㤸愸㌳捡攲㐲ㄸ敦㌱㄰ㅦ昳㉥ㅣ㑥㡤慦挸挷㍤慣捤扤ㄴ昷㐱昸昸㜸挰㐹慡㘶ㄸㄱ㍥ㅥ㈴攸㈱〸搵ち㤵昰昱㌰㔲敥愶戶昳昳昱㈸㜲晣㝣㌰挸愴㡣㡦挷〱ち㤹㠴㔶挸㔳㙤戰ㅥ挴㐷戸ㄲㅦ摢敡㡣戲攸㤵〳㘱㐹㥣换昳㍣摣摦㈸㕥愰昸ㅦ㡡ㄷ㈱搴㌰捤㔱㉤㤰ㅣ㕤㡢昰挰戹戹ㅡ㍢收换挴扣㐲昱㉡㠴㡦愳搷㤱㌴晥づㄱ攰㕣摡㔱㔲㜸㝢㠳〵摦㠴㔰㥤㔰㌹捥攵㉤㈴㉢㍡㤷づㅥ戳㡣慣㝦愲㐸挸散㈲㑦㉤㐲戹〲㔹〵攷搲扦ㄲ㔹晤㜴㐶㔹㠰づ挳㜲戸㤴摤摤㔹扥㕤㠲㕤㌹㤵㡦㜹㉡㥦昰㔴づ㠶㡡㑢戸捥收慥㥦㔵㡤㜱搲敥㍡㥢慢㝦敢摥㤰戹ㄴ㔹攵㘷戵㡡㘷搵㘵㘶㔷〵搵㈱㌰㕡㌸㘵慥愵㌹晥搴愸㜴捡戵㍡愳㉣㤴攸㜰㤴ㅤ挸昲摦昳昴扡〱ㄶ扣㙡昴㈳戲捤㥦㈸慡搰㌷㝣㝤愱摡㐹慡㈳㘰㐴挸敡〶㠵㔹〳愱㤶㐳㈵攳愵ㄶ㈹㜷㔳摦晥攰昳愷摤㤱攳ㅦ㉦っ㐲㉡敢〲晣愲㐲挸㈴戴㐲㥥㍡ㄲ搶ぢ㝣ㄴ晣改㉡ㅣ㉢昰㐹挶㘷㍡愳㉣扡改ㄸ㔸ㅡ㠸㡦戹㍥づ愷㍥〱㉣㤸㡦扥慣㑤㍦㡡晥㄰㍥㍥㌶㜴㤲敡㔸ㄸㄹ㐴㐳ㅢㄱ戴㌱㠴㘲㡣㤳昰戱〹㔲敥愶摥昱昳戱ㄹ㜲晣㝣㌰㌴慡㡣㡦㉤〰ち㤹㠴㔶挸㔳㈷挰㝡㄰ㅦ慦㔶攲攳ㄵ㥤㔱ㄶ㜳㜵㌲㉣〹ㅦ㐳㜱㌸昵㔲㐵㍥戶㘶㙤㠶㔳㡣㠰昰昱㌱搲㐹慡㔳㘰㘸㄰㍥收戶〴㠵㈱搴㘹㐸ちㅦㄱ愴摣㑤㍤敤攷㈳㠶㥣㈲㍥㄰㍦㔴挶㐷〲愰㤰㐹㘸㠵㍣㜵㍡慣〷昱昱㔰㈵㍥ㅥ搴ㄹ㘵㤱㘰㘷挲㤲捦㐵㥣㠵攴㈰㝣捣ㅤ㜸昴搱㄰敡ㅣ㈴换㕤挴㙡㜷㘱㝡っ戲戱昹㕤挴搹㐸㤷搷㝣ㅣ㡣挱㐵㜴㤱搹㔵㥥㍡ㄷ㐶ぢ愷㕣㜰ㄱ㌷㔵㍡攵扦攸㡣戲㜸戵昳㘱㐹㉥㈱搳㜹㡥㌳㈸㘶㔲捣愲搸〵㐲㕤㡢愲挱挳㘴づ㌱扢㔲散〶攱敢ㄶ㜳愹㕢づ㝦㠲〵㡦ㄵ㌸挰㈰㜲戰㈷㤵㝢㐱愸摦㈱改㕣㌲昶㐶戲攲㈵攳〲㤶㉡敢て昳㔰㈴㘴㜶㤱愷ㄸ㘰㔷㈰愷㜰挹戸愰ㄲ㌹㉢㜴㐶㔹㉣摥㈵戰㈴攳㘳〱慢㝤㕥㐵㈲昶㐷戶㜹〰〵慦慤㍥㈲㕡㥤愴㕡〹㐳㠳昰㌱摢〸㕡〸愱㉥㐳㔲挶挷㠱㐸戹㥢㍡ㄵ挷昰收愳ㅤ挸昱㍦㠴㐰㘸㕦ㄹㅤ㕣㡡挲ㄵㄴ戲㐲㥥扡ㅣ挶ぢ㜴ㄴ摣攷搱㤵攸㌸㑡㘷㤴挵っ㕥〱㑢㐲挷攱㌸㥣㕡㕥㤱㡥㘵慣捤㜲㡡㈳㈱㝣㜴ㅣ敤㈴搵ㅦ㘱㘸㄰㍥收㌱〴ㅤぢ愱慥㐲㔲攸㌸づ㈹㜷㔳㑢晣㜴㥣㠰ㅣ扦扢㘰戸㘱ㄹㅦ㈷〱ㄴ㌲〹慤㤰愷慥㠶昵㈰㍥㕡㉢昱搱愲㌳捡攲ㄸ慦㠱㈵扡ぢ晤㐰昸㕡散づ挲挷㍣㥢㐷㍦〷㐲㕤㠷㘴戹扢㜰摤㐳搵ㄸ㘴㘳㜳搳㜵㘳㐲挶戹㈸㔶ㄴ〷挹㌳昴㙦收昹㐰挰㜵㄰㈸愷㔸㥥搹㔵㥥扡ㅥ昸挲改ㄷ㕣挷扥㤵㑥㝦ㅦ㥤㔱ㄶ㝤㜹㈳㉣昹㑥晦㉦㐸づ挲挷晣㍤㙢昶〷〸㜵㌳㤲㠵搳慦ㅢ㠳㈴㌶㙢㡣晣攷晤敦㍦晤㉢㔰慣㈸㝡戳散昴慦〴〲愷㑦㘰昹改㑢㘶㔷㜹敡ㄶㅣ㍢攸昴愷㔷㍡晤㘹㍡愳㉣㘶昴㜶㔸㤲搱㜰ㄳ㑦㜵㘷挰㠲扤攴㉤慣改慤ㄴ户㐱昸㐶挳ㅤ㑥㔲摤〱㐳㠳昰㌱敦㈴攸㉥〸挵昰㔱ㄹつ㜷㈳攵㙥㙡ㅣ㡥攱㌹㠷㝢㤱攳㡦㌸㉤ㅢ〹昷ㄳ㘰ㄲ㔶㍥ㄲ㈴㑦摤つ换〵㉥ち㥥㈱㔵㠹㡢愴捥㈸ぢ㘵扤て㤶㠴㡢㈷㜰㌸㤵愸挸挵㤳慣捤㔳ㄴ㑦㐳昸戸㜸搶㐹慡晢㘱㘸㄰㍥收㜳〴㍤て愱ㄸ搸㉡㕣晣つ㈹㜷㔳㈳㝣㕣㤸て㐰㕤㝥㤲㉦〱ㅦ敡㉡㑦㍤㠴㜲㐱〴っ慡㐴挰㐰㥤㔱ㅡ㔹㕢晢㈸㉣慤㐳㐴㘴て㔶㌸扦㕢㤳㝤㄰㐳戸㝡攷㡢扥㜳搷㉢㍦愱㙤㝡㕢攷㠴愶㡥㠵捤改愵㝤昲㝡㘷昷〵㜶㉢愲㐱摢ㄱㄴ㕡愲㙢㕢戸搰捥㤹昹搹㙤㡢摡戳昶㤴〹扦㠶㘸㔱㥣ㅦ㥡㑥〲㐵慢ㄵ戶㥦ㄷ〰〹ㄳち扤㠴攱㌶戵㡦挳㘰㘹ㅣ㥢敦攱㔹攱㌹慤〵㘰㝤㠱搱㌹㑤㥤捤㜶㡦扣攴换㝥㕤ㅥ㉣㈲挴㌶搷㍤㍦㘷〱㐲扢㈶昴捡敦搸摥㤴㙢㙥㙡戵搹ㄸ㜸昶换㘰攴愹昶㝣㠴搳捥㙣敢㘸攲户敡㝡攵攷戴愷㕢㍢ㄶ㌲㌲㌰扢㜴晤愲㤴㍣〷愹捤㡦㙢㙡敤挰㘱攴㥢㤳摣慦捦捦㕥搰㜶㄰扥扡扤愸愵㜵挷昴挲㡥㕦㐵慢㈸㌶㡢㙣搲㌴慡㕡㔵㔷慢扡敡扡㥦摢㍥挶㕢ㄸ㘳ㅢㄴ扥㍤㌸〰㝤戵戳扤㈹戳㠸愴挹㜱愲㤰㌵ㄴ搲㡥㔵戵㑦㘰慦㡢㘷愰㝣ㄲ慡〳㥤ㄹ挴换晡ㄶ㝤晢㉦㌰㥥搴晢㑥晣㘶㠰㥢晦㐰㤵㝡扥つ戱搳㡥扢㑥㈹㠴户晦㐷㕦㌰慦㘵愸㙣改㤳愵搲摥攷㐵ㄳ昷〳戸户搳㡤愸㘳慦挲攸㐴㙦㘰慡戴㙢㠶昲㠲㘱㉦敤㕤搸㥤㠴㠰搴㥥昹愹改㡣摤㡣㘷㠸㉤改捥摥㑥㠲捦㠳昱つ搱づ㥤㌷扥慤愵㈵捤㙥挷㉥㍢㍢㥢㙥戶敢昲㘳ㄷ㜵戶攱扢挹㘶ㅥ㐲晡愶㔶愵㤷㐰㤵㕥㈲慡㥥昹㕤ㄸ㕦㉦晢戴搵㌶㍦摤摥搴戹愰愵㈹㕢挷〴㘳攰㝦ㄵ晤ㄵづ愰〶㘴扡㥢敢㑦㑡㥦㙣㍡捦昸搰摣㈳昱㥣㤵搴戱昹搱慢慢㤵㠱㝦敡㘷挶昹挱昹挸㐵挵㝣〷搶㘴㤵〳㡥捣愹捡㉡㉥㤶㜰㕢㜵〴㜶㥣〵愵愷㤰愴搶㝣ㄷ㜰敥昰㔳挳〰收㉥㘳㜳扢〳㄰㥡摡㤶捥㑤㐲昴㐹㕢㝢㜷晤㐲㠴㍡㌴㉤摤㑤扢挵㘸改昱〸挰㐷㘰晦攲愶㥣摤㕥㐷挵㙣㍣慤慤㘱㥣戵攱戴㈱ㅥ㜵㜴慢慡慤敤㔱ㄷ㜴慣㈹慥慤挱㍡晣搴晦㐲㠹㈹㘵昶㍦㥥㤵ㅡㅤ㘶慤㐲㜲㤹㝡て愷㘳扥捦㜳㝡〶㑡㥥㑦〹攰〳〲㍥㠴愸㝤ㄶ㤹愵㙤㔳ㅣ戸㡣昰㘶ㄳ愰ㅡ㐶㈸搶㌰㌲戱捥㡤㐸慣㤵ㄳ改攱㡢㐰㌴㥣挸挳㍡㤴挱㕥㑢㠷㌱ㅢ扤摣捥㠵ㅣㅦ换㘷搵㙣㡥敡敡ㅡ㌴戵㔱ㅡㄶ㔴㜶㔸㥡㤸㙤㑢㜰戵摡ㅣ㔵㌰晥㠵ㅡ昷攴㘰㠱晤㜹昲攵晣搲㈹ㄴ愶㤹ㅦ〳㠴扢搸ㄷ㈰摤㌳㥦㐹㡤㐳捤㈷㍣昳㑦㈱搴摦㝤〰散扡㠰捦〸㔸㐵挰ㅢ挱㠰捦〹昸㌷〱晦昰〱㌶㠷㈲ㄴ攲㔷戴捣㉦〸昸㤲㠰㑦㤰攴㌴〳摤搲扤㈸慡捦㤰攴㠵戱捡昸ち㤰㍥捥户挵搶攸㠴搵㉡㤴愰㈳㌶扦愶㘱〶捥搱扦㜹晤㝤㌵戴㙢敥敦㕦戰〴㍥收㌷㌴愲ㄳ敡㑢散戸㑣㜱敡慦㤹晡ㄶㄸ昳㍢〲扦ち〶㝣㑦挰て〴㝣つ〰㍢㤲昱㈳㔲晤摣〶㉡㝣户㡡摦㜰て㘸㈹昹㉡㔵㐸㝤敢㌳敦㙢㈹㠵㜵㙦戳ㅡ㐲㜵㐳㔵㠵挶挲摣㐲㌱㙡捥愱ㄱ愳㘸㥤慥㘷㜰㉦㥡捡ㅡㅡ敦㡥㔴ㄱ㤵〶戴㙢愶㤲挱㜹昸㐳搰ㅥ㡤㘰㐷㍥㡣搰㜳愹っ㐳愹愹慣〳挶攴㡢㕣ㄴ愳昷〲〰㈱〲㝡㄰挰㠰㍥愱戲㈷㔲扥扥㡥敦散〷㌰搸ㅢ㈰昴㜵换㘷搵挷㘰㍤慤㕡㄰戵っ㤵改攲㕡㠸㠸〲㕦㐰㔵㙦搸㌴昲扢戶㌶㜵攲㌲挵挶㥣搴搴㠹〱搷㌳て㠱㕤㠹㝣摡㔸㉥㕦扥㐲挳扤愹昱ㄶ攵㔹㐵㜳攵捤换昳晤㤳攷挱〱搹捥戴摡㌷㥢㕥ㄳ㐸愶搷〱㜵晣㌵捤户㤵ㄳ〹愳愷摣㕤扥㕦愳挰㍢愷㑢晦挱散㕣晡㄰搶搲搹㙤ㅣ㥦㘴昶挱㍥㈷敢っ愴敡扡㡢昸挲攸㜸㤵〹㜱挲敥攸㝡改㌸捤㈹慤ㅤ戸摣㠵㜴ち㤳㤹摥㝡㜷挶愲捥愲㥣昴㤲㍥㍡〷㕦愴㤸搱㡡㈹㘸㌶摤㥥晢㤵捣㕦㜰㙥捥㔴㕢愶㈲㍦昷㌶〸㔶戰昹㘶ㅤ㘰㤹㍣㌳㔶㙤㕤㈲㄰敢㘱愵ㄷ愹昶〲ㄳ敢㤸攲晢㐶愴〵㥣慦搶换晤攸㑣ㅢ㌷㤳㜸扢㑦戳摤㐷ち㜸㐹戹㑥㥢昹戱㤹づ摣摢㜴㜲搲慡昷㘴㤰㥢昹㕤㙣扥㠹㘴戱㡤㌹愶摥㥢㤹敤㐴扣慤㘷㠰㕦㘹晣昵戴づㄸ愹搱㉤愴愴㡤㡣㉥㍡㙥昱㐹㜰晣晣捣ㄶ㐵扢攵㘵晢㜴戴扡㘰〵户慢㐶㔷戹㍢㙣㕢㌴敥愶〰㜵㜱慢〴㍦敢てㄷ攵㈸敡攳㐶㌱㍢摥㑤ㅣ㔷㑦㔷挷晢愹㕥扣昷㙤敦挴昷㝥昹㝡㤵㝡づ㥢㘶㑣㌸㍢㥢㜰敢搰扣戴㜷㝥㑡㙢戶㜹㔱捥㤶晢づ搷㕦换敤挷慦愲扤㙡㐰㠸ㅥ㑤㕤昰愲㐹㤹㠲㌷愳戹摦〳㠵㜷晡㤹敤㘴昶攵㘵㡦ㄷ㑢搸〸㤹晤戵㝦摢っ㌵㔹攷搸摣㄰慣慣㕦㠸㉣㤷昷㘵挱慤㤵愹攸捦ㄸ㘰改㠵昷捡㠸昳挱愶戶㑤㙤攳〲㠶㑦㌵戹挹㔱晤㉡摡〹攷改㌴ㄳ扥捦昳戳㤹愷ㄱ㜸㍣昹て户㔹晡晦搱扣扥㘰㜰愸㉤搰〲捥㤴㙤〳戴㠹㌱㘷攲散㌹攱ㄸ㕡愹慡㡡㡢つ搵㠵ㄵ〷㌵〰㍡㤹散㙥〸愰ㅡ㠸㤴㌳㐳㜳㥡搵摣ㄸ摡㉥㘷㘸收㈶㑥愳慢㉤㔱ㄴ㝦〸づ㘶ㄱ散昰愳ㄸ挷敢㑥挲搶㠷㐲捦搲㌶〳挶摣ㅣ㐲晤㈶ㄸ戰〵〱〳㘸㠹愱㥥愵㍥愷㘲搴㉡ち㔴攱㙢慣戸昹愹㙢攱㑤㈰㐶慣㠱慦慦㈲㉡ㄷ㌷㤲㐶㡦扡慤㘰捣ㅣ〸搴㔳㑦㍥㌹ち搸㉡挵戰㔰户㠲扥昹摣㈰ㅥ㝦㑢〸挵昰捤搲ㅢぢ挶㙣㍡昴づ〶㘴慤㙦㉣ㄸ攵㈹㕣て愱㘱㠶㝢ㄶ捤㠶户㠲戶㑢慥愵㘹ㄹㄶ㡡㍦挴挰搲〸㑦㠱ㅦ挶㠶扡愷攱扢戱ㄸ〶㡣戹㌵㠱扦つ〶っ㈷㘰〴〱愳〰㤰搹昰㌶㐸昵て戸戱〸㡡㈰挵㍤攰戶㠰㘳㕥㍣搶㘷摦挷㘳㤸昶㈳戴捦戰捦㔲ㅥㄹ敢改昰ㄸ〵㘴慤㜹㥣㠶㘲挲㘳㡣㠶ㄹ㈶㕡挴㘳〲摡㌵昳㌸ㄳ挵昰㠷搷㜵搱㠸换㈳㘳㑡〳㜸㑣〲㘳愶〸㘴扣㘹〰愰㤱㠰敤〸㘰〸慡昰戸㍤㔲㐱㍣〶㐵㥥㠲挷㔱㠰㠳㐷㠶愰扡昶㝤㍣敥㐰晢愳㘹㝦㍦〰㑡敦搰ㄸ㈳敡昰㌸〶㤰㜵㔹㜱挴㜷㉣㌵㤷㘳㘹㥣㈱愶㐵㕣㡥㠷㜶捤㕣收㔱っ㝦㔵收〴ㅡ㜱戹㥣㡦㍤昷㔴昸㠸㐲㡦晤㠹挰㤸㤳〸㘴慣㙡〰㘰㐷〲㈶ㄳ挰昰㔵攱㜲ち㔲㍤摣㍥挹户㑢〵摣愰敤っっ〸㘴㠸慡㙢搴㐷攰㔴ㅡ㥤㐶愳っ㌵攵㑤㥡㥥愰捦㘰㌱㍤㐱㥦㠹㝤扡㑦〶愲㜲㤲敥㙥㘵㔳㑢挵㈸㔵㑥㉦㜹戶㙢㥡慡愸愵〰㜱扡㠲戸〱搶挲扢㕥捥搶㠷㍢ㄸ㜹扣㘶㍡㕢㘵慦㝥㈸㌰㑥㌳捦㐱㐹挷慢攳摢㝡搰㤶㝡昵挳愰㤳ㄱ戲㉢㠰㡡昱戱㐵㕥㝤㜷㘸扢㙣㔵㜳慥慥摡㌲ㄴ挵㕦㤵戹〷㡢㘰㐷扣㍡㠳㘷㕤㡥㝤㕥㝤㑦㘰捣扤㈰搴㔱挱㠰扤〹搸㠷〰㠶摡搲戳㥢晢㈲攵㌹攳攳㝣挵㝣㙤㌷㡦挵昶㘳戱搳〱㈸㜵㈲っ㜷㜵㔸㐹〳戲搶㑥㠴〱戲㐲㔱㠶㠶ㄹ㈹㕢搴昱㜳搰㜶㐹㤱㌸㘳㐶搴攲て㉦昴愲ㄱ散挸㠷㘱戵㉥㍤㍥㘷㥣〷挶㥣㑦㈰㐳㙥〳〰ぢ〸㘸㈲㘰〵〰搲昱昷㐷㉡挸㠹〴〵摦挲㠹㌴〳㡥㌱㜰㤱捦扥㡦挷ㄶ摡㙦愵晤㉢〰㈸攵㤱㘱戲づ㡦㙤㠰慣㌵㡦っ慣ㄵㅥㄷ搲㌰㈳㙣㡢㜸㙣㠷㜶捤㍣㌲ㄲㄷ㝦㔵㘶〷㡤戸㍣㌲ㅣ㌷㠰㈶扥摣搷㘴愸愶㘲愸㙥〰㘰㌱〱〷ㄱ挰攸㕤攱㜱〹㔲㐱㍣〶〵敤㠲挷㠳〱〷㡦㡣摥㜵敤晢㜸㍣㠴昶て愵晤扢〰㈸攵㤱攱戵挲愳挹晥㈸ㅢ㠷愷敦㌱㡦扡ㄷ㄰攱散㜰ㅡ戹て愹㈲捥㤶㐱扢㘶捥ㄸ慤㡢㍦挴㤲搰〸㜶攴昳㈰愴㕢㘵㕦摦㍢ㄲㄸ昳㈸〲ㄹ捥ㅢ〰㌸㥡㠰㘳〸㘰㠴慦㜰㜶㉣㔲㐱㥣〵〵昶㠲戳攳〱〷㘷㡣昰㜵敤晢㌸㍢㠱昶㑦愴㝤㐶攳晡晣敦挹㉣愶昰て㈶㑥挱㍥晤㉦㘳㜵㉢晡㕦昳㔴㡤㘲㌰敦㕡晢㘰〶晤㍡㍥昸㌴ㄴ㉦昸攰㌳戴㌱挶〳搳〷㐷昶㥣㜶攱づ㐳捦ㅢ扤昲㥢㜳户㍣慣捦戵愳㕤攷捥㡡戱㙡っっ㜶㕡户〳昵㘶捤换㥣敦㉢搰㐹敢㥥〵摢敡㔵愴㡡㥣敦㌹搰㜶搹扡收戹扡㑥慦愳㈸晥慡捣昳㘸挸㌹ㄸ搶捡戱攷ㄲ捣ㅡ攸换敡昹挰㤸㉢〸㝣㌳ㄸ㜰〱〱扦㈳攰㉤〰挴昹㕥㠸㤴攷㝣晦改㉢㌶戲㘰昷㈲ㄶ扢㤸挵ㄸちㅣ㜰攰㑢〸㔸㐹〰挳㠴〳〰㤷ㄲ㜰ㄹ〱慢㝣〰㕥愷昵㉡晥攵〴晣㥥㠰敦愱㉣ㅤ㑦っ扦㜵ㄸ攷㈴㔱戶搲昱昴ㄳ㈰挲昸ㄵ㌴挲㈸摤愲昱㜴㈵戴㕤㌲㉥㉤㕢捤攵㜵㤸㌷慦ㄲ㈳㑥㐲㌱愴搷㍤㈷摦㜸扡ㅡㄸ昳㑦〴搶〴〳慥㈱攰㕡〲㜸㘴ㄹ㑦㝦㐶㉡㘸㍣〵〵晥㘲㌰㕣て㌸挶ㄳ㈳㠰摤ち昸挶搳つ戴㝦㈳敤㌳㕡户㤴戳扥搰慤挱〷昵〳㐴㌸扢㠹㐶晡㈳㔵挴搹㉤搰慥㤹戳つ㔱㑣㌸扢㤵㐶㔰㕦昹㌰散搷慤戲㡦戳摢㠰㌱㙦㈷㤰㈱挱〱㠰㍢〸戸㤳〰㐶〹ぢ㘷㜷㈱ㄵ挴㔹㔰㜰㌰㌸扢〷㜰㜰戶㠵捦扥㡦戳㝢㘹晦㍥摡ㅦち㐰㈹㘷っ攳㕤〳㘷っ昲ㄵ捥ㅥ愰ㄱ㐶晢ㄶ㜱昶㄰戴㙢收㙣㈴㡡〹㘷て搳㠸换搹戶搰〶㔰昲〸㌰收愳〴㠶㠳〱㡦ㄱ昰㌸〱ㄱ〰㠴戳㈷㤰ち攴㉣㈰㈲㄰㥣㍤〹㌸㌸㑢昸散晢㌸㝢㡡昶㥦愶㝤㠶昹扡㌵㐴〹搷敦㍣㐳挰戳〴㡣づ〶㍣㐷挰昳〴㡣昳〱㤶攱捣昵昰晦ㅢ〱㉦㄰㌰ㅤ〰摦愵攱㐵攸昴搴㕣㐶攸っ㘴㔷扣㉣〸㘲㈶㄰㙢㝤㐹㤸〵戰㜳㐹㜸㠹㌵昰愶攵慦㈰㐵㔷捦昸摥戵㤹㤶捦〱㑥㍡㡥昱㉡㑡㜶搷㙦㈱㐲捤换㉦つ扢〲㉡ㅤ攸㌵㈰搵㙥㐸ㄵ㕤ㅡ㜶㠷戶换づ㘴扥愱敢㌶ㄷ㐵愵ㄳ扤〹〵㠳〰昸㔱っ㈲㜶㥢挸㌷㉦㝦ぢㄸ昳ㅦ㄰㡡〱挶〱㠰户〹昸㈷〱っ㌹㤶㑢挳㍢㐸㜹㤷㠶㜹扥㘲扥扥昱㉥㡢扤挷㘲ぢ〰㈸ㅤ㑦っ晢㜵㘸㜹ㅦ㤰戵㥥㑦㌲㔰㔸㈸晡㠰㠶ㄹ㌱㕣㌴挶晥〵㙤㤷ㄴ㐹㍦㘸㐵㌱愱攷㈳ㅡ㈱㌵晣戴㐱敢㥥扤捦㉦㝤っ㡣昹〹㠱ぢ㠳〱㥦ㄲ昰ㄹ〱〷〲㈰㘳㙣ㄵ㔲㐱㑦㕦〳㠲㤰㌱挴晥つ㌴㠶搸㈲㥦㜹ㅦ㡤㕦搰晣㤷㌴捦挸攱㔲ㅡㄹ㉥散搰昸ㄵ㈰㙢㑤攳㜲ㄴㄳㅡ扦愶攱㈳㤱㉡愲㜱㌵戴㙢愶㤱ㄱ挹㐲攳㌷㌴攲搲㜸っ戴〱㌴㝥ぢ㡣昹ㅤ㠱っ㔹づ〰㝣㑦挰て〴㌰㡡㔹㘸晣ㄱ愹㈰㔷ㄵㄴ扣っㅥ愵㤷㠷ㄴ愳㤸㕤晢㍥ㅥㄹっ㘳㈲摥〱㜷㜳㍥〰㙡敤扡慡㙥〴攰ㅤ㡤昸愲㐲㌰㠰扦っ㘰ㅡ〴㥣敦〳搰戱㙡㔷搵㥤㠰㍡〲ㄸ挶敢搶挱㜷〸晥㝡㠸ㄹ㈲攰て挱㠰ㅥ〴昴㈴㠰搱戸慥〵㍡㕦㝤㠸㕥〴昴㈶攰㈶㈸㑢㝢〳挳㘵㥤摥㔰て挸㕡昷〶〶搸㑡㙦戰㘸昸㌶愴㡡㝡〳扦㔴扢收摥挰㠸㕣改つ㝤㘸挴敤つっ换㜵㑦挳㌷愸晡〲㘳昶㈳㤰㈱扢〱㠰晥〴㙣㐰〰愳㜸愵㌷㙣㠸搴晡敥㉡㑦㈱愴㐱㍣㌳扦摡㑦㥥戹愱㈷㙣っ㈸㐶ㄴ㈳㜵㕤摢扥㥥戰〹㙤㙦㑡摢㡣戸ㄵづ㜱ㅤ㐱㌹㜱づっ戳㜵㌸摣っ㤰㜵㕡㉤㘳㜰慥昰戸㌹㡤㍦㡤㔴ㄱ㡦〳愰㕤㌳㡦捦愲㤸昰㌸㤰㐶㜰ㅥ昲㜹づ㕡昷㔴挲㜲㤲㍤㈰捤㐱挰㤸㕢ㄲ挸㜰摦〰挰㘰〲㠶㄰挰〸㘰攱昱㌷㐸昹攳ㄹ愲㐱っづ〵〸っ㌲っ搸戵敡㘳㜰ㄸ慤㙥㑤慢っㄸ㤴摡づ㘷㑡搷戶㤶㐱㕦愵戱㑣㘵㜱㘶㜲㠴㍣㈳捥㘶㜷㉥㙤㐶㤴ㅦ㜷ㄹ摢攴散㜱㠱ㅥて戰愱㐳挴㔵㕢㍢㥥㕦搵㤴扥㥣挵㉢换㤷戳昴攸㕢昲㤶㔴㈹挶ㅣ〶戴搵扥昰㕤昹㥢㐰扤昲慣㜸攱㤵㠹㉣挳捤搸〶㔵散㍢慤㈹摢摥搶搱㤶敦ㅣ㌰ㅢ㔱慣〳昸搶搹㍣ㅥ㘰㡤慤㝤ㅥㄶ〳㡦挹ㄳ慢㘹挵㠹搴㉥收㕢ㄸ㐳〷戴戶ㅤ搴㉡戵愹敤攰换㜷㠵慦敥摤㜹㤸㄰㡦挳㙤㑢㤰㘷扤㡢㡡㕡㐸㤸摢挲㐴慦㝡㡢搱㘳㜰㠱㔵㐶ㄸ改㈱攳挷攱ㄵ捦搱㐸㐳㌴㥡㑢㐴ㅡ㌲㠹㔸㍣ㄱ㡤㘷攲昹㔴戶㈱㤹㠸㐶㔲㡤昱㘸㉥㙡㐴㍣㘸㍥ㅥ挹㘶㌲戹㙣㉥ㅦ㡥挷㈳昹㜴㘳㐳㘳扡㌱㙣㐷昲戱㙣㉡㙢愷㌳㐶搴㠳摡㜶㍥ㄳ㙥㡣挶㌲㌱扢㈱㥥㠹㘶搳㤹㕣㌲㤱挸㈴散㔴㌶㤶〹㐷ㄳㄶ㐳搸㔸ㄳ㌳㠶㌲㘶㥣㈲〱㘱㌱㝣㑤昴つ㔴㈵㈹㔲搴㌳愲慤㠰㈷㔴ち搵㌲㈴㙣㙤愳捤㔰愸捡㝤捤㕦㑤昷敥㘵㜱ㄹ㘵㔱㙡摥ㅢ㍤つ㠳㐱㙡戵て愱㠱㑡摦扤ㄸ㕣愸戸晤㔹ㄸ昵慣㌲㐷戱摥㍢㐰㠴㉣㐶慢㐹㔳㡣㐶㜲扤昱攳收ㄵ晦㠸㡦㌱〶敡㥥㔰换攳挶㕤昰㈲㕦㘳㉣㌴扤愱昱㐵攵㕡㥦扡戴㡣㐳愶㌹㠸挷ㄸ〸㘱㌱搴㡤㥢戵捡摤昹摣摤㘱㝣㥢㘴㌱㤸慤㍢昶㡣㠹㈸㙢挱㜰㔱㉣㡦㌱〹摡㕥昳㥣昰㍥愹㐴㠷戱㘳㜹つ㡣挹㠴㐹㍤摢挷收㜲敤㜸㕢㡤㌱〵慡㠰㌳摡〹敡攲㌳摡ㄹ㥡ㅥ㝣愳㍢挲づ挹戵昵愵慥㔲ㅤㅦ敦㙥挵扡㑤〳㘴㠷慤昶ㅡ挸愰㐹ㅤ晥ㅤ晣晥捤昷敦㍣敡㥤摢㔷㐶敤㡥愸扣㔹㜳ㅦ扥㈵戹㜹慢㠱㜳㈲㐹㜳㍡㙣挸㡦挲搴搵戱㕤㤴挴搹㘱挷㥣㠹っ搱㔰扢ㅡ挷愶㥢㔱搷愱㤵㌹戸愱挴敦㑢〰㔲㜱挴慡㙢〱攳愸㉤ㅥ㜵っ挱㤳㔱㌷〷㠵㌱敡ㄸ㙥㠷扦㉡㘳㔷愴㥤㔱ㄷ捦㌴收㈳㜶㉡搷㤸㑡摡搸户ㅢㅢㄳ㤱㝣戲㈱㥦捦㈵㌳㜱扣攳搹搸慤〰㑤收㌰っ㤳攱挶㐸㌲ㅤ捦㐶散挶愴㥤㡡㘴ㅢ搲搱㔴㉡㥣捥挷愲ㄶ〳昹㘸摥摣ㅤ㘵捣戹㄰ㄶ攳昷㐴戵〷㔵㝢㔲挵㘸扥㘲ㄴ㕥ㅤ㡤攸㔱攸搴攵㌸〵昶㙤ㄹ㘰晢戲挸㍣㠸㤰愵愰㄰ㅤ晢愸挹ㅥ㘹戲ㄳ㕡搵慥㍥㑢搵戶㍣昶㐸〸㔵〳㍤昹㌴昳搰㝢挴ㅡ搰ち戱㉢㜰〸㡦搸〵㠰㔴㈶昶㍣㐰换㠹敤づ㑢㐲散晥㈸っ㘲敢㜴㍤㡣〳㤰㜶㠸捤㈵㤳改㔴㍣搵㤸挸愵㘲昱㠶㐸㉣〳㤲ㄳ搹㙣捡㡥㐶㈲搱㜸扣搱㘸昶愰愹㘴ち㙣攷ㄲ昱㔴愶㈱㥥㡡㌵愴㘲攱㔴㍡㤹捤㠶愳㘸ㅡ㍢ㄶ㌶㕡㍣㘸㈲ㅥ戱㘳㠹㙣㈴搹㤰挸挶挳戱㘸㘳㌲ㄶ捥攷㈳搹㜴㐳㐳㌶搶㤰㡥㔹愶慥㠹搹㡡㌲㘶ㅢ挵㐲〸㉢攴敡て愴慡㥤愲㠳晡ㅥ慥㥥㈸〷捦㤲慡㌷昴搲㈴㈷攸㈶㤱㈶㕢㐲搰㔲㠸㤰㔵慦ぢㅡ〷㈳ㄹ㌰挸づ㠱扡㜸㤰ㅤち㑤愹摢戰摣挳ㅦ㠶㑣昹〱㈱昹㈹愱摡昵愱㉦㜵㜰扥挰㝡㕦㤴㈰ㅤ㠷攵ぢ㈱ㄴ㔷戹㕥㕥摦㡣捥㐰㉣㑢㈷㔵扦㠶〸㠸ㅡ㈷愲㘸㡤㔷〹㌹㠵扤昶愱戳㉥攵愰搸挹敢㜳㤳㜷㍤晦扣㐸㤶㔰敤㌲戴敦摡ㅤ㠵攳愸㌰㤵㘰敤搰㐸昸㉡搵㜲㌴ㅤ㤷つ晡㈰㈹㠳敥㐸㈸摣慤戶㉦戴㙢ㅦ㤶挳昲㝤ち㜱攸晣挶挱昰㘶㐴㈸慤挵ㄷ㍣㡥挲㔱㔵㝦户づ㐷㈳挵㉥换㡦摡搰搵ㅥ㐳っ㌴㐸㘳㌱づ㔲摣挱挱㝥㜷㜰ㅣ㈰㤵摤挱㤲㈰㜷愰㌶㜱敤㥦㠰挲〶㙣昳㘳㙤ち慤㌸㠹ㄳ愱㌵㑦愲㌸㤹攲ㄴ㡡㔳㈱㝡昵戰㌶搳㈵㡤搳㤰㜶ㅣ㐷㌸㙢㐷㤲戹㐴㍥㥤〸㐷攲戱㐴㈶搳㠰昱ㅤ㡤㘴㤲愹㑣㍥㤶㠰㥢摤摣㍤摡改㈸㘳㙤攱愶捥㘰㙡㠰㥢㘲㕥晤㐰愴㜸㐵㘰㜵㝥搱捤ㅡ〴换昸慢㌲捥挲㜱〲㐶晦搹㔰ㄷ㡦晥㜳愰㈹ㅤ晤㕢㙡㉢收戹挸㤴ㅦ慢㤲㥦慤㔲㐳愰㤷㥥戴〲㝡敥挸㘷㉢㘸愵扤昲晥昶晡ㅤ㈰㤵摢㉢ㄷ搴㕥搶㔰㔸㤲㤶戹〸㠵攱扥㠷㈱捤㡥㘲㕣㡣戴搳ちつ㘱㍢搵㘸愷ㅡㅡ戳搹㠶㜸㍣㤵捥㌴挶昲㌹㍢㥣捦㐶㔲昹㔸慣㌱㘹㕣攲㐱攳㤸㥥摡搱㙣㘳㉥摣㠸ㅦ晥㑢㘶搲㤱㐶㌸攸㝣戸㈱ㅢ挱愵㌴ㅦ戶戶搶收捤㤵㈸㘳㕥ち㘱つ㜷㔵㤷㔱㜵㌹㔵㈳㕣ㄵ〱〲㔵摢㐲㈵㑥㜸㑦㥣㠶㜷㕤晣㈳昳慦㠴〸㔹㘱〰昰㔷㘵戲ㄹ㑣㤲㙥㤲㘷㉢攲敡慦愱㙡㍣ㄱ攳㐸㘳っ㝡㈱昶㍡攸㍤㘲ㄳ搰ち戱㌳晤挴摥〰㐸㘵㘲愷〷ㄲ摢〰㑢㐲散㕦㔰ㄸ挴㈶㤱ㄶ㘲㙦㐲摡㈱㌶㤹捤㌴攴挲つ㠹㜴㍣㠶慢㘰㈲搵㤸㙦捣攷ㄲつ昱扣㡤㔹㐴愳ㅤ㌳㙥昶愰ㄹ㍢㙣愷昳㜶㉣ㅦ㡦愵攳挹㔸〴㔷挷愴㥤㡥收㌲㤸敡摢㘹㡣㠴㤴㌶㙦摥㠲㌲收慤㄰㔶愳慢扡㡤慡摢愹摡捥㔵ㄱ㈰㔰㌵ち㉡㈱㜶㠲㥦搸扢㤹㝦て㐴挸摡〱〰晣㤵ㄱ㍢摡搵㍦㐰散㑥㐴㑣㈱戱㘳愱ㄷ㘲ㅦ㠶㥥㍢㉣慣挶㐳ち戱摢昹㠹㝤ㄴ㤰捡挴愶〲㠹㥤〰㑢㐲散攳㈸っ㘲㈷㈲捤㐳ㄸ㑦㈰敤㄰㥢㡦㈶㤳昹㘸㉣㤶戳ㅢ㌱㍤ぢ攳晥㈹㤷挰㡣㈳㥤㡤挷㔲愹㔸㈴㙥晣搵㠳㠲昴㐴㌴㤷㡥㘵攲㤹㘴㍣ㄵ㑤愵敤㈸㍡㌱摡㈲㤷㡥收ㅢ㤲ㄱ攳㐹てㅡ㡢挵㈳㤹㕣ㄶ㤳㐱㍢ㅣ㡦攵昲㡤搹㑣㌸ㅥ〹㈷戳㤱愸㥤捥㘶㜳搶㈴㕤ㄳ昳㈹㤴㌱㥦愶㜸〶挲摡搱搵㍦㑢搵㜳ㄴ捦㔳㍦搹搵ぢ㔴ちㄱ慦㜶㠶㕥㥡㘴㙢摤㈴散㌷收㑢㉣昷㌲㐴挸㥡敡ㄶ㉣㤹〳㑥㜳昵慦ㄳ换㤷挲㤹㌳㐹晥っ攸㌹㡤〸愹㠱戰挸换ㅣㄲ戸㕣扤㐵㙢戸㕣捤㐴㔲㥡捣㝦戹㔲戳愰攵㈵换㝣ㅢ㌰㌵摢挵晣ㄳ㈹㔶㠸ㅦ戵慢慢㝤㠷ㄸ㘸㤰慥㔲㕣挳㤶挶摥〴㠷昲㘶㤷敦〱㔲戹戱㌷〲戴㙣㜶愹收扡昶㍦㐰㘱敦㜲戲〷戴搲〵㍥㠴搶晣ㄷ挵㐷ㄴㅦ㔳㝣〲㠱换挹㥥扡愴昱㈹搲晡㜲㠲㍥㤱㡦㈵ㄳ㤱㔸㉣ㅡ㡦㐶搲㤹㜸㌸㥡㑣㌷㘲ち㥡㑣㘴㌱づ慤扤摣愳㝤㠶㌲搶摥㙥㙡ㄵ㔳晢戸㈹收搵敦㡢搴㝦攷㜲㌲て㤶昱㠷㐸㉦ㅣ挷㌷扦摦捦搵㝦㐵㍤摦㘱㈷扦㤸愷㌲搰㑢摢慤㠶㥥㍢昲挹㐱㉢㉤搰摤摦〲摦〲㔲戹〵㙡㠳㕡挰戲㘱㐹戸晥ㅥ㠵㌱摣昲㐸㡢ㅦ晢〱㘹㠷㔷づ㠵㐸㐳ㅡ敥㍥ㄹ㠹昳㍡ㅤ户㜳㌹っ愲㐶㑣攲愳つ戹㠴昱愳〷㡤㘷戲搱㑣捡挶㜵扣㌱ㅥ㑦㐴昰㌳挵㔱㍢摥ㄸ换㘵㔲㤱㘸㘳㉡㥣戴收㙢昳收㑦㈸㘳㌲搴挸㕡攰慡ㄴ㔲㘶㌵㔵㑤慥㡡〰㠱慡㘶愸㘴搰㝣昷慤敦〲㘱㌰扦㍢㐴挸㙡〱〰㝦㘵挴戶扡晡ㅥ挴敥㑢挴㍥愴㜱㈱昴㐲㙣㙦攸㍤㘲摢愱ㄵ㘲㍦挷㘱摣慥㙤㤲㔸㉥ㄷ愹捦愰㉤敢挵㔶〷ち〹㠷敢挳ㄴ㌸散㐴㕡㌸散㠳戴挳㘱㈶㡡〵㥣っ㙥㤴搲戱㘴摣㈶㐷改㉣㝥扦㌹ㅦ捦挷挱㑤㉥㙢昴昵愰戱㘴㈶〹㡦㤵收㠲㔰㍣搲搸㤰㙡挸㘵㈲戱㘸㍥ㄵ捥㘶戰挴㤳戲ㄶ㘹昳㘶㍦㤴㌱晢㐳㔸㡢㕤搵〶㔴㙤㐸搵㐱慥捡㐳愹㠳愱ㄲづ摦昵㜳戸㈹㡢㙣〶ㄱ戲づ〱〰㝦㘵ㅣㅥ敡敡〷ㄲ㙢ㄳ㤱㠳㔰㠷㐳㉦ㅣづ㠶摥攳㜰ㄹ戴挲攱㙢㠱ㅣ扥ㄲ挸攱㜲ㄴㄲづ㠷挲ㄴ㌸㍣ㄲ㘹攱㜰ㄸ搲づ㠷㡤戶ㅤ挷ㄵ㌱㡦㑥㠸㥢挳ㅣ㥤㜲戲㌱㥦捤㘵散㘸㐳㌴ㅢ换ㄹ㕢㝢搰㐸摥㡥挴ㅢ㤲改㈸㈷㉡戱㝣㐳㍡㤳㙡挸㘷㘳㔹昴攴㔴㍥ㄹ挹㕡㐷㘹昳收㜰㤴㌱㐷㐰㔸㐷扢慡㐲㍦㍣挶㔵ㄱ㈰㔰㜵㍣㔴挲攱㌳㝥づ愳捣㡦㐱㠴慣ㄳ〰挰㕦ㄹ㠷㈷扡晡㈴戱捤㐴ㅣ㐰づ㑦㠶摥㜱摥㡦挰㘲挱㜹㙦㑦㙢㜰摥愷㈰㕦㌸晥㉤ㄴ敥愶㑥つ搴㥥〶慤戸昴㔱挰慡㌳〲㌱㘷戹摡搱挴挰㈰搲㜸㕡〲㈹㙤㜶㥦慦捤㡣戱㠰㔴㜶㈸昷〴㌵愴㍡搷戵㍦ㅥ㠵㍤㤷㝥ㅥ戴ㅣ㐴收〴㘸㝢㜵戳捥攷㔱戱㔹㉢摣㥤ぢ摣㥤摦改㥤晡ぢ戱昳摦㜱挲ㄷ挱㌲㡦㘲㑣㐴㙤〲收昴㤳愰㉥㥥搳敦〸㑤改㥣晥㘲㙤挵㥣㡣㑣昹改㑣㤳敦㈳戴㉥愱㘹敥慣㜴㜷㉥㜵㜷㉥㜳㜷㉥挷㡥㉣〴敥㡣戲攵ぢ㠱㔳愱㉤㔹〸㥣㔶㕥〳㘳㍡㘱挵ぢ㠱㌳愰ち㌸愳㤹㔰ㄷ㥦搱㉣㘸㡡ㄶ〲㝦慦慢㈴ぢ㠱㝣㔷愰㌱ㅢ㤰晦㘸㈱㌰ㄶ㌵攷挰㠶晣ㄶ愸㕥〸扣〲㐷㤱敥扣ㅢ㌲㍣㤷㜱㈵戴搲晤慥昲㜵㍦㤳昳㜲㜱扢㝦っ敡㘹搶㔵㈸㈴㉥㘳㑦㤸㠲换戸ㅡ㘹㜱ㄹ㝢㈱敤戸㡣㔸㍣㠷㥦攸㑢㘶昲愹㔴㍣㥥挹㘴㔲㤹㘸㉡㙣㈷㜱㐱攲つ㘷㌸㘹散敤㐱㜳昱㈸㙥㐴戱㤶㤵戳㔳昱㝣摡㑥攷ㄲ搱㜰㍣㡢㠵挱㘸㈶㥦㐸攴慤㍦㘹昳收㍥㈸㘳敥ぢ㘱㕤攳慡ち㔳昰㙢㕤ㄵ〱〲㔵搷㐳㈵㉥攳㈲㥣㠶㜷㙦㤳㘳扥つㄱ戲㙥〰〰㝦㘵㔳昰ㅢ㕤㝤ㄳ戱晣〶㠸晣挰愹扡〹㝡攱戰ㄹ㝡㡦挳㕢愰ㄵづ捦昲㜳攸㕤扡捥〸攴昰㔶ㄴㄲづㄷ挲ㄴ㌸扣つ㘹攱昰㐰愴ㅤづ㤳戹㝣㉥㥣㐸㌶㘴戳㔹摣昴攱㜶㈴搳㤸㡤㈶攰㑡㜳㜱㑥戹愳㐶扢〷挵慣ㄹ㌳慤㔴㌲㤱捦攰搲㤵㙣挰攳㡡ㄴㅥ㜰㘰摥㘰㐷挳つ戹㤴㜵扢㌶㙦㜶愰㡣搹〹㘱摤攱慡ち㙥昷㑥㔷㐵㠰㐰搵㍤㔰〹㠷挷昹㌹㍣㤸昹㠷㐰㠴慣㝢〱挰㕦㤹摢扤捦搵ㅦ㐱散戱㐴ㅣ〳愱ㅥ㠰㕥㌸㍣ㄲ㝡㡦挳㠷愰ㄵづてぢ攴昰㤰㐰づㅦ㐶㈱攱昰㔸㤸〲㠷㡦㈰㉤ㅣㅥ㠷戴收㌰㤶㠹㌴挴㜰捤戲ㅢ戲昱㝣㍥㤵㐹㌶㠴㔳戹㔴㈳㕥㙦ㄱ㡥愶㤲㡤挶昱ㅥ㌴㥣捣愱㡢㘶㔲愹㘸㈲ㄵ捦攴㈳㤹㌰晡㙡慥㈱㥤捦挵搳挹㐴摣戶ㅥ搵收捤ㄳ㔰挶㍣ㄱ挲㝡捣㔵ㄵ㌸㝣摣㔵㜹㈸昵㈴㔴挲攱㠱㝥づ㑦愷㤵㌳㈰㐲搶㔳〰攰慦㡣挳愷㕤晤㌹挴昲㔵㠷昲愳戳搶㌳〴㘳戳㥥㜵㜷㥥㜳㜷㥥㜷㜷晥㠶ㅤ㍡㍡㤳㡥捥愴㕦㌳改挹㑣扡㉥㤳捥捡愴㙢㌲改㡤慣ㄷ㌴㔶㍣搰㤹㈸㘴慣㠴晡㍦昲㐰㤱愸㜹㈹敤㥦〵㙢摡〳扤㠸愳㌸ㄷ摣㝤挰㐳攱㠲晢㝢攰㜸挱㝤〹昹㜲ㄱ晤〳ㄴ敡ㄵ愴愴㥦㕣㠱ㄴ㕢㤵ㅦ昵㥡慢晤㈳㌱搰㈰㡤戰㑤㔷㝢㈵戴摥愵敦㑤㘸愵㝢㕣〵慤㜹㌵挵㥦㈸慥㠱攸搵搳㝡㑢ㄷ㌲慥㐵摡改㉤昹㙣搸づ㠷昳㜶㈲ㅥ挶㠲㑢㍥㠵攷づ改㐴ㅡ㌳㥣㜴㌶搳㤸づ㌷㔸晦㜰て昴㘷㤴戱摥㜶㔳搷㌱昵㑦㌷挵扣晡㜷㤰晡敦㕣㐳摦㠵㘵晣㤵㜵㤶昷㕣晤㑤㌸扥晣晥慦挹㔷㉣慡て愰ㄷ㈲㙦㠵摥ㅢ㜰晦㠲㔶〶摣㘴晦㠰攳㑡㤷㌸晥㐹㠱〳敥㈳ㄴㄲ㐶敦㠴㈹っ戸㡦㤱㤶〱㜷ㄷ搲摡昱㌷攴攲㌱㍢㤷㙥捣攰㑥㈵㤷捥㘵戲搹㝣㉥㤵挰〴ㅡ㜷㠴愹㙣搸戸摢㠳㘲㑥㥥㑦挴ㅢ戰㈶㤳㡤挷㜳㤱㈴㜶愲㜶㈴㡣摢晦㌸ㅥ㥥㌶㐴慤㑦戴㜹昳ㅥ㤴㌱敦㠵戰㍥㜵㔵昷㔱㜵㍦㔵㥦戹㉡て愵晥つ㤵っ戸摦晡〷摣挳㉣昲〸㐴挸晡〲〰晣㤵㌹晥㉦㕤晤ㄳ挴慥㈴攲ㄲ〸昵㌵昴挲攱㔳搰㝢ㅣ慥㠶㔶㌸㡣晡㌸㌴㥥〱愴昲摣㉤ㅣ㐸散㌷戰㈴挴㍥㠷挲㈰昶㕢愴㠵搸攷㤱㜶㠸㠵㌷挲愳敢㑣㈴摤㠸㠵㤲〴㔶戵愲㠹㈴敥㘲愲㡤㜸㤶㙤㘷搳㘹攳㙦ㅥㄴ㜷摤搹㕣づ捦慡昱〸㉤㥥㐹攷ㅡ㌱ㄹ㠷搷㡢攵昰っ㈷ㄷ挹㠶慤敦戴㜹昳〵㤴㌱晦〷挲晡摥㔵扤㐸搵㑢㔴晤攰慡〸㄰愸㝣搷㕦㠸晤㡤㥦搸搷㤸晦㍡〴㥥愲愱〳愱㔸㤵昱㜷㈴〳愶㐳㙦㐰㕤㍣ㅤ㝡ㄳ㥡搲〹㕥戵戶㘲扥㠵㑣昹挵㘷昹敤㘷慢㥢㜴㑦㔴㡤㠱㐶摣慣㕡㜷挷㜰㜷扡㘳㐷晣ㅥ㥦昴㥡㝣戰㙢敥㐸挱㘷户㈶㥦搶㥡㍢㔱散っ㘱搵㐱㄰㉢㝥敦ㅡ散ㄸㅦ攱㠰晦㤱摦㡢㈶捤㡦㔹㘹扥㤲搱昱㝢㤶㠹愳㜰戳㐲敥㑥て㜷愷愷扢搳ぢ㍢㙢㕢敢摥ㅡ㉢戵扥ㄱ㠶㡤慦㜱挴㔱晦挹㠳攳愴昹扦慣昴㕦㘰㑣㍢㙢ぢ〷㤱ㅥ晦つ㌲扣ㅥ扦㍥戴搲攳つ㝦㡦晦づ㤰捡㍤扥㈶戰挷昷㠱㈵改昱㍦愰㌰㝡㝣㕦愴愵挷晦㠸戴扥㜶攷搰挱攱ㅢ㤲㠹〶㜴攳㘴㌴ㅤ㑢㌵㘲㘹㍣㥦捤攴戱搶ㄴ捦ㄹ㍦㜹搰㙣〳敥㐷戳㤹㘸ㄸ摥ㅢ㌱ㅤ搱㔴㈶㥢㑢愴搳つ搱㝣㌲㤶挹愴愳㔶㍦㙤摥攴攵挱㔴㄰㔶㝦㔷㔵㑤㔵㌷慡㌶㜰㔵ㅥ㑡㙤っ㤵昴昸㙦扦昱捤㈱扢戳㐸ㅤ㐴挸㘲㍣㤴昴㜸ㄳ挹㠰ㅥㅦ㠲扡戸挷昷㠰愶戴挷㌳愰㡡㔶捣㥥挸㤴ㅦ昶㌶昹㤶㐷戵㌹昴搲っ昵搰㝢捤㌰〰㕡㘹㠶㔵愸㤴户㔸戲つ戴攲扣㍦㠵戶㝣戱㘴㈰戲㠵昱㍥㌰〵挶〷㈱㉤ㄵ敦㡢戴挳戸㡤㤵搹〴㘶㤷㔱㍣ㄷ㡥㈷㌳ㄱ慣ㅣ㘵搳㐹摢づ㘳〷换㈶㌱愳㥦〷挵捡ㄲ㝥晦㌳ㄲ㡢攷ㅢ戰收㤷㐸搲㤵㘷攰㠶搰㕣㤱㙣慣㌱㘵昴昷愰㌱㉥㐲㐵愲つ㤱挶㠴ㅤて愳㜹ㅡ挲㌸㑥㌶㤱㘸㡣㈵㙤㕣㘱慤㉤㜵㑤捣つ㔰挶摣㤰㘲㈳〸㡢攱㔷㐲㑡〳㜶㝣昱㌱㐳㕣㍤㔱㠵㐲㙡㈸昴搲㔶㙦改戶㘲㠷㌲〷ㄲ㌴〸㈲㘴つ㜳ぢ㤶慣〱㙥敤敡㝦㐳散晤㉣㜵ㅦ㠴㌵ㅣ㝡愱㙣ㄸ昴扤敡㙢户㐵㝡晢捡㍦㡣攵ぢ㔶ㄹ㡥㜷〱ㄴ晤㈸昶㐴晣挸昵㔲搶愷ㅢ摥㥤攵扣㜱慡愶㝡扢㥦㘷㡢て㙦昹〶〸㝥㙡㕦挴戹晥〷㜶搸愷ち㑦㕣㘹㜱ぢ㝣捣攱㌸攱摡ㄸ㑥㌷昰㕤〳㑥昸捥㙣扣㌴捣ㅥ㌹㝥㕣㜲愴晦搷㤸㔱戰慡㕦换㤴づ㠴昱攰㔷愵收戴㡤㤵户つ㌰㌲㙤㍤㌷扣㘷戸晢㕢捤㐳ちㅡ昷㔵ㅥ㙥戱ㄹ敤㕥㌹晣昶㌱〲挱㤰㌱㥣扦散摣慦㤰昲扤戱㙢㤳㠲ㄶ㙦㙦挱㝢㈵散㥣㙢戱〳攱㠹㌵搵摤捡㝥㥥㐹㥥昵㑦㘸㙢挱㡦敤㡤攴㉢扡㘸つ扦㐳㍥㈵㐷〲㌶〹㜸㕦搹戸愶㑥㜹摦摦愶挸㔷㘶ㄸ攴ㄸ摢攰㙣扢㡦ㅡ㍣㜶敡攰㘸戸昶㜹戴㐴改户改㉢ㅥ愴㤸㜷ㅥㄲ昶昰攸㘰㕢㔸㔴㜱散㤳㝣㘵㐶㜸㤴㠸㍥捡㑥㌸㡡㝡㥡㠳ㅢㅦ昶㈵扣㥤㥣昰㠴〷㡦ㄲ㥥搰昰㥤〹㝦㐲挳㌹㡥㐲㘶㤲㜰㡥㈶㕡挰㝦㔵㉡愹ㄳ捣㔷㈹㥤愰敤晡㔱㐸〰㉥ㅦ晣攷㙥敥㍢㜳慢挶㌸㥡㍡晤扦愵晦敦㍢愶㝥〷户攴㍥㙡攰㤹㘳㙢摦㍡愲昴㐵摢㔲昲昴慢㥤ㄲ㘳慥㜳晥㕦㝤挳ㄸ㌵づ㈵㠷㈰㔷㝥捣搳昷㤳㐸て愳扡慦㈲㑡戵散愷㠳ㅦ搲ㄹ愵㍦ㅤ慣愶ㄷ㔹晡㤰㌶㕦㠵㔰昷㔵戲㜴慦捥㈸晤㍤㔰㙢㈶㉣㠹ㄳㄸ〷㌶㝡搵慢㌹㐸搳ㄱ愸扢㔱㠲愳㑦〶捣〴㌲扢㍢搴㑥扢敤㡡㍤㘳ㄲ㜴戵愳〶捦ㅤㅣ㔷户〳㐷捥㥤㘶㤸㑣昰㕣て扣ㅢ挱㍢㌹攰㈹〰摦慣挱㑥ㄳ㑦㈵㤸戱㑤㙥㜹戵愷㑥㐸㌳敤㡢〴慥㠳㙢摦㑣昵昳摣ㄲ㕤㌶捦戲㐹㘳晥㜴㌵户搰ㄸ㤵㐵㠹愰㘶戹ㅥㄵつ㙣㤶敢㜴㐶改慦㠹㕡っ㤶ㄲ㌲㜷挱㔹㠱捣晤㤱ㄶ㌲慦㐵〹㡦捣㌹㍣攵㔶㘴㌹㘴ㅥ㠰㍤㘳㌷攸㌸搴㜶ㅡㅣ㠹慢慢㡡ㄸ㥡㑢㜸㥢〷㙦㈶㝣㑦つ摦㤹昰㍦㘸戸挳晥摥㠴㉦昴攰㉤㠴敦慢攱㔳〹扦㔴挳㤱㠱㌱戳ㅦ攱〷㘲摦ㅢ㌳っ㙤昲ㅡ愳㐳㈷愴㌱㤶㈰〱昸摡㌷〶戰搸㌰㘶ㄸ昱㈴㈵扢㙣㤴户㡥ㄹ㈳〵慡㑥㜰晥ㅦ㜳摡ㄸ㜵ㄸ㑡〶㌵捥㠵㌸㡢挰挶昹㥤捥㈸晤㤱㔳戵ㅣ㤶攸㤷捣㍣㑦ㄹ㍢晣㔸㐷㐲换㑤ㅤ攵㘶捦㘷㐵愹挱挷㘲ㄴ㡣戴攸〲㘸捤㈶㠸㕥扤慤㘳㕣攵晥㑣搷㕢㈷戸改〳〸㙡愶㘸愱㘸愵㘸愳㔸〸搱㉢愴㑥〴㔰晡挳㘹愸㈴晢〳㘳㠰㌰搱㔵㈷戹ㄹ愷敡㡣摥捣㐰㈱㙥慢㝦㔲㈷扢昹愷攸㝣扥㜰捡㤷㝦㡡㥢㝦戲捥摦愴㌸晦㔴㌷晦㈴㥤㉦愳㝡㌱づ愰㑥㐷㤶搳ㄱ㑦挳㥥戱〴㍡〳ㅤ㜱㜰㐳戸昶㌸㠰〳㕦扥慣慦㉢㜸㔳㤲㝢㘱㥡搸扡㠸㕦换昴㕤㙣㜹〴㙥昸㑡㌴て㜳〶㡣搳ㅥ㔵敡㕣㈴ち㡤ㅡ㐶㐱挷㝤ㅤ〹㐰㘰愳㉥搷ㄹ愵扦㤵㘷㌱扥㐵摡㘷ㄹづ㠲ㄱ㜷ㄱ搲挲昰ㄱ㈸攱㡤戸㈳㔹㠳㤵挸㜲㑥昴㘲散ㄹ㐷㍢㈷㍡㜱㜰㈴愱づ〱㤸㕤摥㜱㐹挷ㄲ捤ㄸㄲ〷㝤〹搱挷㍢攸摤㠸㍥㐸愳㥤昱㜶㈲搱㤷〱攳㡤㤹换㜵㐲挶っ㘳㑤搶捤㠱㕤改㤶攸㜲慣㉣ㅢ㕢㜰㘰搷愰㐴㠱捥挲晢挶摢㔱搱㐰㍡て搴ㄹ愵㍦戵㘷㕤〷㑢㐲攷改㌸㉢搰昹ㄷ愴㠵捥㌶㤴昰攸㍣㤳愷㝣ぢ戲ㅣ㠲ㄸ㥡㘲㥣敤㄰㌴㠵㔷攵〳㌴㐱づ㥤攷ㄲ㝤慢㠷扥㤹攸昳ㅤ昴㕣愲攷㙢戴㐳攷〵㐴㜳摤摢愳㤳㈱㈸㙥攳搴摦㡤挴扡搱㜹㡦㕢愲ㄲ㥤捥摢挱晥㌱摡㕡㡦摢ㄹ愳搵〳㈸ㄱ㐴㘷㐶戳㔶㜶㤹㑥敢㡣搲㕦敡戳ㅥ㠶㈵愱㜳㈵捥ち㜴㍥㡥戴搰㌹て㈵㍣㍡㉦攳㈹㍦㠵㉣㠷捥㈷戰㘷晣摥㈱㘸散捥戸㘰敥㔵㐴搰ㄵ㐴㍦敤愱晦㑡昴㤵ㅡ㍤ㄵ攸摤㌵ㅡ㝡㡣扤慢㠹㝥挶㐳㍦㐹昴㌵ㅡ扤ㄳ搰戳㌵摡㘹慡㍦ㄳ晤㉣㌰攴㥢〶搴㜳㍡挱挶㔱っ㍦昱㕡攲㈵㈴〰㤷て晥㜳户戵㤸㐰扤散㤶慣搴㈲㘲㉢攸㘲挰〰㤵愰㤶㤹㡥敡〶㜶昴㘹㍡愳散攷〳摦㠲㈵晡㉢昳㈶㥥㌲㜶攴昳戶慢扤㤹㘷愶戵搶㍦愱㤵㔶扣〵㕡昳㔶〸㕣〳ㄸ戹㈲捡摢㤸慥户㍥㜰搳户ㄳ㜴〷挵㥤ㄴ㜷㔱摣㑤㜱て〴慥〱ㅦ〲㈸㝤㘰㉣敡收扦〶晣换捤ㄸ愳㌳㑡慥〱ㅦ戹昹愳㜵㝥挹㌵攰㘳㌷㝦〷㥤㕦㜲つ昸挴捤ㅦ愵昳攵ㅡ昰㄰㙡愵㍥㐳㤶搳昹㍥挵㥥昱〸㜴㜲つ㐸㌴愸㐶㠰㕤扦ㅤ㌲ㅦ㈳㝡ㄵ㌰慥㑡㝤㠵㐴愱㐹ち慥㍣㡥㜲㠱㑤ㄲ搳ㄹ愵㍦㔲㘸慤㠶㈵㘱昴㘹ㄲ㔵慦ㄸ㌹㈲㐴㐵晣昵㝤㤶㌵㘰摦㜴敡晢〳昶㡣攷㥤晡㑥ㅣㅣ㑦愸㙤〰㜶晢㘸挸㝣㠱㘸㍡っ〷晤㈳搱㉦㍡攸摤㠸ㅥ愶搱㡥敦㜹㤹㘸〵㌴つ㐸㡦㘷搸㠸㙢慤摥㐰〲㝦㙢摦攳敢ㄹ㐲㈲㈵㉡昵昴㘱㝢㥦昶挰㔷㐳㍦ㅥ摤捦昵㍤㍤〰ㅦ㠲㘳㤴摥㈲っ㐶㡤〲改摣㔲㘷㤴晥挶愱搵ㅢ㤶㠴捥㌷㜰㔶愰㤳㐱㈴㐲攷㐰㤴昰㝣捦㕢㍣㘵㠶㜲㌸〴昵挱㥥昱戶㐳搰摣挱㤱㐶戵ㄹ挰㉥ㅢ㈱昳ㅤ愲ㄹㄹ攲愰晢ㄲ晤㥥㠳㥥㐲昴㐶ㅡ敤㜸㤳て㠸摥〰ㄸ搷㠰㘲〴㠹㐷攷愶㐸攰㙦ㅤ攸摣捣㉤㔱㠹㑥㔸挳ㄶ搷㔷挶㙦㐷慢㠱㈸㌱〴慡㔲㍡晢㙡搶捡㕣㜹ㅦ㥤㔱晡ㄳ㠹ㄶ㐳㔱㠴捥㑦㜱㔶愰㤳昱㈴㐲攷㝡㈸攱搱戹㡡愷㍣ㅣ㔹づ㐱挳戰㘷晣摢㈱㘸攲攰㘸㕣昵㉡㈲攸㑢愲㐷㜸㘸挶㤹ㄸ㕦㍢攸摤㠸㌶㌵摡改㥤慢㤱㔳捦㠸㄰晣慤〳㘹㌱户㐴㤷愴摤搷㍥〶㔶戱㑤ㄹ愳㤲㈸㌱〴扢愵愴搵㘸㙥捡㐸敢愶㌳捡㝥㐷㜱㝢㔸ㄲ㉦晢㈳捦ㄴ㈶昹戱㝥ぢ㉤㌷㌵捡捤昶㌴搰㕡愳愱挵㌸㐵ㄸㄷ㤶㡣ㄱ搳挱㠰㡦㍡愶ㄵ搲㘶㌵㐵㌷㡡ㅡ㡡㕡ち〳愲㔷戵㘲っ㠸㌴挹㌷慢㝤㑤㔲㠷㑣挵㔰㡡㈱戴昱㌲㐵挱㑢㝤〹㘴攰戰晡㐲㘷㤴晤摡攱㥣㈲㑢㠵㍢敦捦㉡㔹晡㔴㘷㤴晥㠸愰挵㐸〵改㔱㝤㔸晤㝡挵㜰〳愹晥挷㈸攱昵愸㝥慣晥㍥挸㜲㝡搴㕥搸㌳㌶㠰づ晥㜹捡攰㔸㔸㝤〰戰㍢愴㐲收㐶㐴敦敢愱昷㈶㝡ㄳ〷㍤㤷攸㜷㌴摡改㔱㥢㈱愷㥥〱〳昸㕢㠷ㅥ挵攸〲㈹㔱愹㐷㌹㙦扥㜹㜱㜴ㅦ搷慢㌵〱㍥挴愳扦㌰㐱㝤㔳㜳㔳搶愳摥搰ㄹ愵扦㌴㘸㌵挳㤲㤰戶㈵敡づ搲ㄸ㕦㈰愴扤㡥ㄲㅥ㘹㐳㐸〳㘳〱ㅣ搲ㄸ㜴㘰㙣攵搰㌰㜱㜰㉣慥㕥搶㌴㌸㝥㙡ㄸ搱㥤ㅥ㥡㜱〷挶㜰〷扤ㅢ搱㉦㘸戴㐳摡㌶挸愹㘷㠴〰晥搶㠱戴㐳摣ㄲ㤵㐸㠳㌵㙣㝢ㄴ㘶昵㐷愰挴㄰愸㑡㠷攱㌳㥡㥢㌲搲㥥搶ㄹ愵㍦㐷㘸㌱ㄶ㐱㐸㡢愱敥㈰㡤〱〵㐲摡㤳㈸攱㤱㤶㈰つ㝣慣敦㤰挶㈸〳㈳改搲㄰㑤愸挷㡡㘸㘸㈴㥡㔱〲づ㥡㠱〶挶昶づㅡ㥥㉥愱ㅥ搲㘸㠷攲㔱挸愹㘷㐸〰晥搶㠱㌴挶て㐸㠹㉥㐹ㅢ搳愶㐹ぢ㡦㔱っ㈵ㄸㄲ㐰摡扤㥡㥢㌲搲敥搱ㄹ㘵扦㔹㜸㘹㤱愵挲㐰扦愳㤲愵摢㜵㐶搹㑦〱㌲〲㐰扣攰㘴㜲㠶捡挹㐷挲〰㔸搳㈹搰㜲ㄳ摦挸㜰〰㘹慡㥤愰㌵㜷㠶挰㕣㤳搱〰愲㥣捡㜴扤挵㌸〰㐹㑦㈳㘸㍡挵っ㡡㤹ㄴ戳㈸㜶㠱挰㕣㤳愱〱搲搰搷愲㙥㙣㘸㜷扤㠱攱〲㤲㜱㡤捥㈸㤹㙢㌲㤲㐰昲晦愴昳㑢收㥡っ㌲㤰晣慢㜵㝥挹㕣㤳㐱〲㑥挷㘰昸㠱㌱ㄷ搵㜱㈶㤴㈹昵㐷㤴㜰㘷㡦㈱㜳㑦攴㈸〶ㄸ戸㉡㜵ㄳㄲ㐳㐰㐷愹慢扥っ攵〲㕤昵愵㍡㘳挳挴晤搱扢攷昷㥣㝡摤慢攳㍥扤敡㔲㜳愹㜵㉢㉣〹㑤晢㤱㡤㝡㜵㈷搲㔲改㑢㜴愵㘵〲㥣㘱つ昸㜰摤愹敦㕤搸㌳㜲搰挹搲㘶愳晡ㅤ戰敥晣㈵㘴收〹扥搷〳摦㑤昰〲〷㍣㘵㜰愳㍡㑦㠳㥤㑥扦㍦挱昷〱攲㤶㔷昷敢〴昳敢昹挰ㅥ㝦敢㌰ㅣ昸㜴㕦㑡㜴㌹ㅣ慡〶㡦㠱㔵㙣慢㐶㉢㍥攸ㅦ㠲摤㔲ㅦ㜲愶收慣㙣㌸㥣愱㌳㑡㝦愳搰㘲㘸㠰㤰戹㄰㘷〵㌲昹㈸㕦挸㍣つ㈵㍣ㅦ搲捥㔳㝥〱㔹づ㤹㝣扥㙦挸ぢ㜴㐷つ㥥㌶㌸ㅥ㔶㈷ㄵㄱ戴㤸㘸㍥㝥㜷搰㝣挴㙦㉣㠱づ㕤㘵㑦愲㡦搳㘸挷昱ㅥ㑣㌴㥦摦㝢㜴扥愴ㄳ㐲攷㙢㐸攰㙦ㅤ攸㝣摤㉤搱㌵㥤ㅦㄴ㘶攷㙦愱挴㤰〰㍡㡦搴慣㤵搱戹㕣㘷㤴晤挴㈱㥦愲ㄷ㉣ㄵ扣换㘱㤵㉣ㅤ慡㌳捡㝥㉤昰㝦㉢㔸㕡㔲挹搲㐱㍡愳昴㠷昷㉣㍥ぢ㤷㈶㍥ㄱ㑣愳㠹㝦㐰㕡㥡㜸ㄱ㑡㜸㑤㝣㌲㥢㠱㉣㍢㡤挶〷摡挶愹搰㘱扣攰㤶㑡ㅤ〸慣摢㐰㈱昳㜴㠲昹㍣摡〱昳㤱戶㜱愶〳挶摤㥡㙡搱㘰㘷扣㥣㑤㜰㌵挰㙥㜹挵挷搶㑣㐸〳昳愹㌴捡慦㐳〳搷戹㈵扡㙣㘰晦㑡ㅡ㥦㑦て〹㘸攰〵㥡戳戲〶㥥慦㌳㑡㝦戹捦攲ㄳ㙤㈱昳〲㥣ㄵ挸攴㘳㘹㈱搳㐶〹㡦捣ぢ㜹捡㝣㉥散昰搳ㄷ㝢挶挵搰昱㔱〰搶昶挳㉡慤ㄹ㜲㠶挰㑡挲㌷昴攰㝣㕥㙤㕣愶攱㜸㜲㄰㔶晢㘸戸㐳攸敦〹攷㔳㘴挷㝡㝦挲慦搰㜰㍣ち〸慢㍤㌴㥣搳敤㤰㜹㈵戲敡昹㍣ㄹ㝦㙢捦㌲戰搸戰挶㍦挸㉤搹㈵摢㐱捦挵㝥㠳㤲㐱慣捦㐱昵〲㕤晥㙣㥤㔱昶㜳㠱㝣㤲ㅤ戸㘲㉤扦㠷㌲㔲㝥戵㠴㙦改戰㍢㐴挱慢㕡㙤㥥㑦㙦㝢攴ㅤ㌵ㅦ㍥换㑦㘳㌴换㑢㌹㝡攲㤷扤摡て戰摢愷攲㐷散昰㝢㕥戳㥢㕡昴扢ㅤ昰攳㜶㝣㔷戸晢摢㔱愶愴㔸搸挸捦㘸挷㡦㐹㜵捦㑦改挰㑢ㄸ㜲㜵㉤㌳搳㥤㥤㜶㝢敢慦攱敢搳〸㜰慡㘱捦挰㘳晡㙥㜸愹㑤㜵攰ㅢ㑡ㅥ㐱㜶攰㜳㕥㠷挲〲ㅦ敥㡦〰㔴昳〷挱㝥摥㤷愷㡤㍦愳换昹㕦愳㤳昳晤捣㕤㡤㥡挵敥㠹慦ㄷ㠵慡㤶㔵挹㠳〳〶搱㤸搷愳㡣㜱〳㐴户戱ㅤ㉤㌲㙢㠲〸㤹㌷㐲㈳㙦慢ㄱ㔱㔵换㘷晣愵㈷挸昷挶㑣㈲〳戵〷㌵攵㍡ㄷㄸぢ散愶昹ぢ㍡ㄱ戰摥㠳㘷敤㙥㌵㝣㑡摤搵㈳㜲づ挶敥㉤昳搲敤敤改愵㜵㉤昳㥡敤搶昹㥤ぢ敡收㉤㐶㐴〰㝥㥥て昵愸慢慢㌳㙦挲晦㍣ㄴ㍦㡡て戲㘹搵扣搹慦攵昳㙡搱摥攲搷㡥㠳㤶晤搸戸ㄵ㕡昷㍤㑤挵挴㑣づ㈴收㜶攰㡤㍢㈰㡡㠹戹ㄳㅡㅦ㌱㙡〲㙣㤳ㅣ㜷㔳㤳㤱㤰㙡摣つ愴㔷㘵㍥㤸ㄵ敤㍤㝥㉤ㅦ㙣㑡攵敥㠵戶㜲换㡤〹慣攰晤㈸㘳㍣〰㔱㕣挱〷愱昱㔷㜰づ㡥㔱㔴挱戹㙥㔵ㅥ〶搲慢㈰ㅦ㜴㑡〵ㅦ昱㙢昷㜳戵㡦晡戴㔶ㅥ㕡㔹㔳㜸っ㕡慣㈹昰ㄹㅦ扤㜳㉦㑢㉤㘰〱攴愹㈴敡㑣挷摣ㅦ㝡扣㕤㐴昱㘱㥦㘴㌴攸っ晥㙥㔸㕤ㅤ㕦㈷愵昸攰㑦㘸昸㉢散搵㈳㙥〳㌱㡡ㅤ㥤〳ㄶ㌳㤴愳愳㕡挵摤搳晦㈸扡㔱愱攳㍥〵慣昱㌴㐴㌷㍣㌸㔳㍣て改戸捦㐰攳㍦㝤㍥㐴㤴攳㙥慢㡦㉢扥㕦昱戱愲愸㐷㙡昵㝡㈸㡦㤷㤶扢敡㙤戴㥡搵て㈹㍥㝡ㄴ昴〸慤㘶攵㐳慡捤㔵て搷敡愱愲收攳㐹㐱㙦慤搵挳㐴扤ㄸ㙡㌶挴㔵愳㍦ㅣ㜳昸㤸ㄳ挷㉡㍥挹ㄳ捡㕦㐲㥤扤㠶㔸〶慤㤰昱㌲戴挱ㅤ㜶㉢搸㉤ㅦ挹慦〲㙦扣〶㔱摣ㅦ㕥㠷挶㑦挸㤱扡ㅡ愸㤳㙣敡㔸户ㅡ㙦〰改㔵㠳て攲愴㜲㙦晡戵㝣㤰㈵㤵㝢ぢ摡攰捡㙤ㄱ㔸戹户㠱㌷晥〹㔱㕣戹㜷愰昱㔷㡥捦挲㡡㍡敢戹㙥㌵摥〳搲慢ㅣㅦ㙢㐹攵摥昷㙢㔷扡㤵晢〰摡捡愳㘹㠳挰ち晥ぢ㘵㡣㡦㈰㡡㉢昸㌱㌴晥ち㕥㔶㕡挱㉢摣慡㝣ち愴㔷㐱㍥㈸㤲ち㝥收搷昲㠱㤰㘸㔷昹戴搶㑤搰捡㘸晡ㅣ㕡㡣㈶㍥㉤搱愳改ㄶㄶ攰㘸敡慤㝢㤲㍢㥡昸搸㐴㌲㝡改っ摦㘸扡つ㜹㙣㈳㤳愳愹㕡昵㜰㑦户㘸昴㝣㡤㍣㤳愳愷㌰㜲㔶㔳挵㤷㙦㡡愸㔲㝣昴㈲挷㌰昴㌱㥣㤱挳㠷㌱愲慥搵㙡㘷攴昰昱㡣愸㙢戴摡ㄹ㌹㝣㘰㈳敡㙥㕡敤㡣ㅣ㍥挲ㄱ㜵戵㔶㍢㈳㠷て㜵㐴慤戴摡ㄹ㌹㝣慡㔲㌴㜲ㅥ㈳づㅦ㤳㑢㤹ㅥ改㝣搲㈱㥤㔳㐱ㅢ摣㌹㝦晣摦愰㤱搳つ㜸愳〶愲戸敤㙢愱昱ㄳ挲㠷㈵㐵㥤昳〵户ㅡ摤㠱昴慡昱戲慢慤昳㙢昹摣㐰㉡㘷㐲ㅢ㕣戹慦〳㉢搷〳㜸愳㈷㐴㜱攵㝡㐱攳慦摣㕢愵㤵攳搳〵攱愸ㅥ㐸慦㜲ㅦ戸㕡换慦攵㉡扣㜴ㄹ㌲㔷愳㍥つ慣㐸ㅦㅥ㤱㉣ㄵ㘶〹晤愸昲㜵ㄹ㉥搸ㄷ㌱昴愵㝢戸つ㠰昴㉡戱摡搵㙥攸搳㕡㕣搵㤶㜱戰ㄱ戴扤扡愹㉡昴㐷㕦㍦㝥搷慤㔴㔱㍦摥㤴㌵㈸敥挷㥢㔳攵慢ㄴㄷ扡愵㔳扤〵ぢ扣㈴㌹晤戸摡㔵扦愹搵㑥㍦收㘲戸愰摦搰㙡愷ㅦ㜳㜹㕣搴㝦搷㙡愷ㅦ㜳挱㕣搴慦㙢昵㔰搰ㄳ㔲㠶慢㝥㑤慢㥤㝥㕣〷㜵㔱㍦收㕡戵㥣㈲摤㘹㡤㝡〵攸㜲扦㍥㤴攷㐳搷㔹攰㝤敢㤲㔳攴戲㜶ㄱ敦㕣戹㤶挶ㅦ〱愴挷㍢㔷愸㐵扢㡤㕦扢㈵戴扥挶㝦㉥戰ㄲ㘱ㅥ戱戸昱愳㈵㤵攰㌲㜱㔱㈵戸ㄲ㉣㠷㡢晢て挷ㄵ㕦搱㈶晣㕡慥愵晡㉡昱㜸㘰㈵㔲攵㤵搸慥愴ㄲ㕣㜶㉤慡〴㔷㔶攵㜰扦昵ㅦ㡥㉢愸愲ㅤ攵搳㕡㤳愱㤵ㅥ戸〳戴昰挴㕣㑢搴㥥㤸ぢ㠸搲搰昷敢ㄶ㜵㍤㌱ㄷㄵ㈵攳㍥㥤攱昳挴㕣㘰攴㐹ㄹ㘳㘱慦㝣㕥㜳㡦㝢㤲㐵㍤㝡㍣戰挶〴㠸挲扣〶㕤捡㥣〸㡤扦㔷㜳戱㔲㡥㝢扢㍥慥搳慢愷扢敡摢戴摡改搵㕣搰ㄴ昴慤㕡敤昴敡㤹慥晡ㄶ慤㜶㝡㌵ㄷ㍤〵㝤戳㔶て㤵㕥捤㘵㔰㔱摦愴搵㑥慦摥㤳㙡㥣愵㌹つ㔵昴晡摡㝥搰捡戹㑦㠷㌶搸摦摤〰㌳攵摤㝤㈶昰挶㉣㠸㘲㝦户ぢ㌴晥昳捦挰㝥㔱㐳攷摤㙡捣〱搲慢〶㔷つ愵㜲扢晡戵ぢ摤捡敤〶㙤㜰攵慥ち慣摣㕣攰㡤㍤㈰㡡㉢户㈷㌴晥捡㜱攱慥愸㜲㕣㥢㤳㙡散つ愴㔷戹㠳㕤敤㍥㝥㉤搷㡢㠴戹㝤愱つ慥摣愵㠱㤵摢て㜸㈳つ㔱㕣戹っ㌴晥捡㜱挹愹愸㜲愷扢搵挸〱改㔵㡥敢㐷㔲㘵摢慦扤挰慤㕣ㅥ摡捡㜳慣ㄵ㠱ㄵ㕣㠰㌲㐶ㄳ㐴㜱〵昷㠷挶㕦㐱㉥攳ㄴ㔵㜰愵㕢㤵㘶㈰扤ち㜲㍤㐶㉡搸攲搷㕥改㙡㕢㝤摡摡敢愱㕤敢摢㜰㍥㍡昸㤹㉦晤㙡挳㐱ㄵ敦㥤㘹挳㕣攸慢㐲㍤敦㘰愹慤攳㐰慤攷㥤㙢㈱挵㍢㔶㉦愵㜸攷挹ち㥢〷搲ㅡ㙦㌸挵㕡扢摦ㅡ㙦㉥扤ㄲ昵扣愹昴㔲㡡㌷㠶㔲扥㠳攵ㅦ㜴换㜷晡换昳摥捦㉢㔱捦㝢扥㐲㡡昷㝡㕥㑡㍤㠶㤴㡣晡㤳搰愶扣㝣㡥收愹㉤愶㘹摥㠲挹㠱づ㘲㡡㜷㕥㉣㘶㉥昱ㅦ㠸昷㌶〵㘳扣㐷㤱ㄲ㑢㔹㠲户㈶㔲攲㘰㝦〹摥㠶㜸㈵敡㜹晢攱愵ㄴ㙦㈳愴晣㈱㉣捦扢〷㈹㝦愸扦㍣敦ㄴ扣ㄲ昵扣㐳昰㔲㡡戳㝣㈹㝦ㄸ换㜳㜲㉦攵て㘷ち㔵攷愷㥥ㄳ㜹慦㐴㍤㈷昰㠵搴㉡㝦㑡㜱挲㉥搴㉣昷㔳戳㡣挶㌸扦㤶〳㉤㘷㡡㔳㙢ㅡ㌱㡦㐴捡敤挰昵㥣扣㝡愶ㄵ㈷愱㔲攲㈸慡㌹昷㤴ㄲ㐷㘳挷㉢挱㜹愶㔷愲㥥昳㑢㉦愵㌸㑦㤴昲挷㔰捤改愱㤴㍦ㄶ㍢㕥㜹㑥〵扤ㄲ㜸㑤愴㉦愵㌸扤㤳昲挷㔱捤㤹㥤㤴㍦ㅥ㍢㕥㜹捥攲ち攵㌹㝢昳㔲㡡戳㌶㈱攳㈰㍦ㄹ㈷ㄲ挳㐹㥡㤸㍥㠹㈹捥捦挴昴挹搸挱㥦㝣ㄴ㘷㌹㠲㌹㠵搹㥣攰〸收㔴散㜸㠷攷㘴挶㍢㘰晤㌶晥㤴攲〴㐵捡㥦㐶㌵攷㈶㔲晥㜴散㜸攵㌹て㈹㤴攷晣挳㑢㈹捥㉤愴晣ㄹ㔴㜳㕡㈱攵捦挴㡥㔷㥥㔳〸慦㐴㍤愷づ㕥㑡㜱捡㈰愷摦攲㍦晤戳㠹攱ㄵ㕤㑣㥦挳ㄴ㉦攴㘲晡㕣散㜸愶愷㘹慤㜸〷㌵ㄳ㈹㈹㜱ㅥ搵扣昴㐹㠹昳戱攳㤵攰㘵捥㍢㝣㍤㉦㙦㕥㑡捤㐵㑡捡慦愰㥡㔷㈷㈹㝦〱㜶扣昲扣ㄲ㜹㈵敡㜹〵昲㔲㙡㍦愴愴晣敦愸收〵㐴捡㕦㠸ㅤ慦㍣㉦ㄶ㕥㠹㝡㕥㈴扣㤴愲愳㤷昲ㄷ㔱㑤晦㉥攵㉦挶㡥㔷㥥扥摣㉢㔱摦㔲㤴愲敦昶昲㤴㌸㔵㡥㥥㑢愰㜶㌷㙢㈱ㄲ昲㐸㘰㈵㜶捣㑢㈱㝡昵㔶攲㌱〹扤捣て愵攷ㄴ攸攵㠴晥摥㠱㡡㜳㈴昴て㝥㈸㥤愴㐰慦㈰昴㡦〲慤愷戳摢ㅤ搰敡㈵㉡扢㕦㙥扦晤㔶搷搷っ搸戸㘶敥㤸㥥㉢摥㝡攲敤㌳㕦搸㝢搴晢摦㕦㜸攱ぢ敦㥣昹攴昷㜷㘵㐶㍤㝡搹㘵て敤㜴挹㤳㙦慦㥦㕦㔹㝤换敡愹㉢て㡤ㅣ㜰攸㠱昹㕤户摥昱搰㍤昶㥦ㄵ㤹戹摥昰㙥摤扡㜷摦慡捦㘳ㅢづ戵㤶ㅤ㜸㥢扡晦㤵つ㕡㤵昸㑦搶攵㑡ㅣ㠹ㅢ㘷愱搶ㄲ㈴㘴㍡㝡ㄵ㜶捣慢㈱㄰㤶㈳㡥ㄳ戹收㥦㌴㤴㜰㡢づ㔴慡㝤つ愱搷ㄲ摡㕢㠹㡦㉣㠳ㅥ敡㐲慦㈳昴㝡〷㉡敥㤰搰ㅢ㤰㜶㌷㡢㙥㔱㉡㜰㈳㔱摤敡㤷攱扦晦㉡て攲㉣㔹㡤扦攸㙡〸て㜴㥡㔲㡤㥢戰㘳摥っ〱ㅥ挴㑢ㄲ㕡搴㈹攸㉤㠵㠷㕢〹扤㡤搰摥㑡ㅣ㘲ㄹ㤴㡥㔱愰㜷㄰㝡愷〳ㄵ摦㔷〶愵てㄴ攸摤㠴摥㈳搰㝡㝡戶晦㉡ㄹ攲㉣㔹㤷㝢㜱㈴㙥㘱㝣㉣搷㘹㥡昷戱㉥昷㔳㍣㐰昱㈰挵㐳ㄴて㔳㍣㐲昱㈸㠴㍡㠵〲㈵㡢㍢っ晤慡㥣搲攳〴㍥〱〱愲挴㜵ㄲ㕡挴㈹㕤愸㐰㥦㈴昴㈹〷㉡㕥戲っ㑡㙦㈹搰㘷〸㝤㔶愰昵昴㠱晦㔵愲挴慤戲㉥捦攱㐸摣愴搷搰扤㑡慦㜹ㅥ㍢收摦㈰搰㙢挴㥦〲㘱扥愰愱㠴㕢昴慢㔲敤晦㈱昴㐵㐲㝢㉢㜱㥤㠴扥攴㠷搲㠵ち昴㘵㐲㕦㜱愰攲㈵〹㝤搵て愵户ㄴ攸㙢㠴扥敥㐰挵㈱ㄲ晡㜷㍦㤴㡥㔱愰㙦㄰晡愶㐰㉤户ㄱㄴㅤ㥣㕣㕡〶攸㑢㡢㐰晦〱慤愲摢㤳慣捤㜵搶㌸搸挶㜲扢㐵晦㐷ㄸ㤶攴改昴〴戳㤹扦昸㍢㉣㑥㔷㈸㔹㥢㤴ㄴ㜷㝤愲愲ㅢㄴ挴挶晥挲敦戳㌰㥤愳㘴㙤㔸㔲㤸㑥㡣捣昷慡㔱昴㕣㠲搹愰ㄸ愳攸捤㈴愳扦摦敥㐷搰㕡慥㘳㔳昴㘵㠲改敢挷㝣〲慤愲㠷㤳慣昵㑢散搲愹㐹挶㝡晥㌲慢㔸㠶慥㑥戲敡㡢换㔸昴㜹㥡㉢㍡㍡挱昴㉥挱搰㈱改㜳愲ㄷㄲ㑣慦㘲㡣愲㘷㤲㡣㥥晥㘳㝦〵慤愲㍢㤲慣㤰㍦敢㝦㤹㐵㈷㈵㔹㜵㈵收攸㤷㈴愳扢扦捣户㉣㐳㙦㈵㔹戵㈵㘵攸愰㈴愳挶㕦㐶㡥㐳户㈵㔹搵挵㘵㉣扡ㄷ㝤㙡昴㈹㠲㔱晥攲㔸㘶慤㔲昴㌴㤲昵搳搷晥㔵㌴晡ㅥ㔱晦愸搵捥㝡〳扤㤱愸㝦搰㙡㘷扤㠱晥㐹搴摦㙢昵〶攸㈶㈱㐵㡦㈵敡敦戴㝡愸愸改挳㐴晤慤㔶㍢敢つ昴㙡愲晥㐶慢㜵㥦㔷㜴㘵㤲戱㕡㘷挸㌸㤱戶愷㠳㤳慣慦㑢捡搰愷㐹挶㔷晥㌲㐲ㄸ㍤㥤㘴㝤㔱㔲㠶捥㑤㌲晥㕤㔶㠶㉥㑦戲㍥㉦㉥㘳搱㌵㘹㤲改㡦〴戳慡ㄸ愳攸愳㈴攳㌳扦摤昵挱扥㐵㜷愵扢㈸㝤㤴愰㍥昱愳晡戲㡤攸戹㈴敢愳㘲换搶㑢挸攰愶攸戵〴昱㉦㝦攱つ㔸㤸扥㑣戲㍥㈸㈹散㍡㌵㐵㍦㈶㠸昷晤㠵㌷㘶㘱㝡㌷挹㝡户愴㌰摤㥣慥㌸㝤㥢㘰摥昱ㄷㄷ㌷㐶㡦㈷㔹㙦ㄷㄷ㔷捣攵㐴㌲愴攸慦㥣㍤㍡ㅦ㘷㡦敥㐲愶㤹㕢戰づ㜴っ㡥㥥㑤敥散㜱昰〹㘲〰ㄱ㙣㔶㐷捦㔱攴散戱㜳ぢ㘲㈰ㄱ㈴㕢㔲㠳㤸㈲愹づ㡡っ㌹㝢㍣㕤㘷㑦づち㔲捤㉤愱㜲㌷㈵〷㉡搳㡡㜱㙡〷㙢㉣晢㠲㤲㠳㤴㘲㉤搷㥣㐵慣挳㕤㡦晦〳㘵つ㑡㐶</t>
    <phoneticPr fontId="10" type="noConversion"/>
  </si>
  <si>
    <t>CB_Block_7.0.0.0:3</t>
    <phoneticPr fontId="10" type="noConversion"/>
  </si>
  <si>
    <t>㜸〱敤扤㜷㥣ㅣ挵搵㌵扣戵摡㙤㙤㡦挲戶㄰㈰戲〲ㄲ㤲㤰㔸㈶〷㠱㔰㑥㈸㘷㄰㘱㤹搰㈳㉤摡㈰㜶㔷㠹㈴㤱挱㘴㌰㘰㌲㤸㘰㌰ㄹ㑣㌰挱〲摢㠰挸〶㠳㙤っ㤸㘰ㄳ晣㠰つ㤸㘸㠲昹捥戹摤㍤㕢㌳搳愳挰攳攷昷昱挷摢摡戹敡扡㜵敥慤敡㔳搵搵搵搵㜷㝡慡㔴㔵㔵搵㜷搸昸㍦户ㅡ敥散㌲㝦㙤㐷愷摤搲㌰愱慤戹搹捥㜶㌶戵戵㜶㌴㡣㙢㙦㑦慦㥤搱搴搱搹つ〰愳戱〹昹ㅤ戵㡤ㅤ㑤㐷摡㜵㡤慢散昶づ㠰㙡慢慡敡敡捣㙡攴敦攸㝥㉣㉦㘱搲捡慣愱〰慡捡㌴㈸扡㔳搴㔱㤸ㄴ〱㡡ㅥㄴ㍤㈹㝡㔱昴愶愸愷戰㈸晡㔰㙣㐳搱㤷㘲㕢㡡敤㈸戶愷攸㐷戱〳〵换㌷㜷愲搸ㄹ愲攷㉥㄰ぢ㈶㡣㥦㥤㌹ㅣ㐷㌳扦戳慤摤ㅥ㌹㘰㤱㔳攷搱愱㔰㐳愸㈱ㅣ㐹㠵ㅡ㠲㈳〷㑣㔸搹摣戹戲摤ㅥ摤㙡慦散㙣㑦㌷㡦ㅣ㌰㘷㘵愶戹㈹㍢摤㕥扢愰㙤戹摤㍡摡捥〴㈳㤹㜴㌴ㄹ㡡挶㘲昹㔴㉡搹㜳㔷㜸㥥㌵㘱晣㥣㜶㍢摦昱摦昲戹ㅢ㝤捥㥥㌰扥㘱㤶摤昹摦昲搹ㅦ㍥攱㜲㘲㕢㑢扡愹昵扦攴戴㤶㙤ㅡ㥢㘸㘷㥢搸昸戶摤摥搴扡戴〱搵㉥㈲ㅡ愹㐴挳戸㡥㡥㤵㉤㉢搸㡦㈶搸捤捤昳散扣㌴㝡换挴㡥捥㌹改昶㤶㡥㥥㉤攴捦㙥户㕢戳㜶㐷敦㤶㐹㙢戲㜶戳ぢ散愸㙢㔹㤴㙥㥦㤵㙥戱㙢戸㔳摦攲戴攱戴㥣摤摡搹搴戹戶㔷换挲づ㝢㕥扡㜵愹㑤㐸㙤换㤴㤵㑤㌹㔵㔳㠳扦慡㙥㐳晤㙡㈶つ㠵晡戴㑣㔸㤶㙥敦㤴ㄴ㥢㌰攴㠷搵扡㡢ㅣ㐵㔱扤搸愵〶㤴㔸戱捤收㌷戵㑣户摢㕢敤㘶ㄶ挲㤶ㅣ㔱〲ㄲ㠲㥣㜶㈸㌰攵ㅤづ㕢㐹昵㜰㑦㍥ㅥぢ㑢㌱〶搰换慣戶昶ㄶ㜴挸㤹㜶扡㜵㜴戰㈱㌶㜲㝥㘷㙥愲扤ち扢挱㐸昱ㄶ㡥㥢〳㘱㘰づ愲改敥㄰扤㍢㥡㕡㔶㌶愷挹晥愸㜰㘲㤴㌹㤸戹㐳㈰㔴捤㥦㜱攲敢挵昱攴慢㙥㑣㔷㌷㘶慡ㅢ戳搵㡤戹敡㐶扢扡㌱㕦摤戸戴扡㜱㔹㜵㘳㔳㜵攳攱搵㡤换㠱昱戶扡敥摤慢摤㙤搲挶㙥昷敥㜶㔰晦晤搷㡦㙢㔸㌴㙥㜱㡦㤳ㄴ捦㜵ㄹ㉡㠶㘲㘷昸㠲昶㈶戴ㄲ慡搱㍥㜲㘶㔳敢攸㐴㌰㌸㜲㐶搳㜲扢戹挹敥攸ㅣ㥤㐴㙡㘶㝡捤攸㔰㌰ㄸ㌴㠷〱㙥づ㠷㌰昶㠴愸ㄹ㌷㌵ㅣ㌶㐷㔰㌷ㄲ㐲愹摦愳捡慣昶㉥扢晣扤昱改搰㥢㘳㑦晥挷搳昶㉢㑢搶昶㔶ㅣ㔶愴扣〶散っ搳改㡡ㄴ搸㡡㌴ㄴ㜳ㄵ㠹㤹㝢搳㜵㄰挲〸㐱攸㕣㈵㈲愳捣㌰㜳㈳㄰㑡㍤敤ㄶ㝣搷昰㘹㑦戵扤㝡摢攴晢㕥扣㙣昴㔵㐶捦敥㡡㐳㤹ㄴㅣ挳捥㕥㝡挱挱㠶㔴㑡㙢愸㘰㈸㕥戴㈵㐳㘶㥣晥ㄳ㄰㐶ㄲ㐲㉦㍤㠹㤶㑡㌱㜷ㄴ㠴㔲㡦扡愵㕦㌱愶攷晣㕤㍦摥㌰晥愲㘷昳㙢㝥㝤㐶昰㜱挵㌱㔴㑡摦ㄷ㍢㐵㠷㥤っ㝡㘵㠷ㅡ㡡捡㡤挷ㄳ收㘸扡摥て挲ㄸ〳愱ㄷㅣ〹㡤㌲挷㌲㜷ㅣ㠴㔲扦㜲ぢ戶ㅥ晦挳捥㕦㍥搲㍣敢戶㘹ㅢ晡ㅥ㌳慢改㍣挵㔳㔸ち㥥㠰㥤攱晡㘱㠷㘲㠵㤲㝤〸㥦㐸摦㤳㈰㡣挹㄰㝡挹挹昰㈸㜳ち㜳愷㐲㈸㜵慦㕢昲昵㝤挶晣昲戸㙢ㅥ㤸昸搳㘷ㅥ扣㘹捡㈷㕦㙣㔰扣㔸㐸挹晢㘳愷攸㤰挳㠵㠲㝤づ㜹㍡㕤捦㠰㌰㘶㐲攸〵㐷㔲愳捣㔹捣㥤つ愱搴敤㙥挱扦㜹攲慣昶㈷㑦晤搳晥ㄷㅤ昱㤳㘳㥥㍢晣㥦搱㕡㕥愰㈲㝥愷㜳改㐸㌱ㄹ㔷㤸㙣扡愳搳ㅤ挴搸㐶晦摤㌱㙥昳㐳摣攴昶散晦晤㄰㠷㐲晥㉢㐳㥣㌹㤷散捦㠳㌰收㐳㜴㥦扢㌲摤㡣搱摤㕣㐰昵㐲〸愵㝥敥㌶捡㝦㤶㍥㙢㍦晤挹〳戳慥㝦㘳㡦愶㉢㙦昹捤㄰搵〳搹搲ㅢㄶ㘳愷㥦摥て㈳㕤扤挱㍣㠰㥥づ㠴㌰㤶㐰昴搲㠶挴昸㈸昳㈰㘶ㅥっ愱搴㌵㙥㌱慦㑥摦㜷摦㌹㐶摤挴摢㥦㝢昱㤴搵攷慣晥扤攲㤴㐴㡡㌹ㄴ㍢㐳昵㘲挲搱㠴㜷愲㈵㌱㤱搰戶愸搹㐸捦㠷㐱ㄸ㘹〸扤捦㐵㌱扡㘴㤸㥢㠵㔰敡㌲户摣㙤ㅦ㜹敤㠳晦散㜰昰搸㡢慥㝢㘱晤攰㤵扤㕢ㄵ㘷㐱㔲慥㡤㥤㉤敦散㜹扡㕥ち㘱㉣㠳搰ぢ㡥㐴㐷㤹㑤捣㍤ㅣ㐲愹ぢ摣㠲晦ㄴ晤㕢捦扤捥㜸㙥敡㈹晦㝡㘲摤㐱敦㠷扦㔲㥣㜹㐹挱捤搸ㄹ愹ㅦ㜰戰㈱㔹ㄸ㔱㜱晤㈹ㄹ搵攲ㄱ戳㠵敥㕢㈱㡣㌶〸扤昰㈴ち㕦挱摣㈳㈰㤴㍡换㉤晣捣㌷㘷㥣晣换㍢捦㥢昲攳㤷攷慥ㅥ扤晤挸㥦㉢捥昸愴昰づ散ㄴㅤ㜵扣搰愸㍥㘳㑢㈷㕤慦㠴㌰㔶㐱攸〵㠷㐰昷㙡收慥㠱㔰敡ㄴ户攰㡤摢扥昸散愹㙢ㅥ㥥㜸晣㈵扤㙥摣戳攵扣昹㡡戳㑣㈹昸㐸散㤴ㅣ㜵㈸改戵戳捦㔱挷捤愳攸晥㘸〸攳ㄸ〸扤昰㌰㡥晡㔸收慥㠳㔰㙡扤㕢昸㤲摤㜷晤攲戵搷㙦㤹㜵晦捤㉢㠶㝦㜰攸㠳愷㈸捥㙥㌹挶㤸挷㔱ㅣて㘱㥣㐰㌱㈹㥦㙦㙢敦㌴㑦愴昶㈴〸愵㡥㜴㕤攴㈷㕦戸晥挰㤳ㅦ㥥㝡晣慣㈳慣扤㡥扦㙥戵攲摣㔸敡㝦ち㜶㡡㠸摢攴愰㝣㉡㕤㥦〶㘱晣〸㐲慦㝢っ㠳昲改捣㍤〳㐲愹づ户攰㜵㜳㕥㌱捣攳昲㌳ㅦ晡㙣摡㕥愱ㄷ挶敤愴㌸ㅦ㤷㠲捦挲捥㥥挵摤㈵慡昱ㄶ挳㌵㕥摢㐲收搹㜴㝥づ㠴㜱㉥㠴㕥㜴㈸㌹捡㍣㡦戹攷㐳㈸搵散ㅤ㜳昴慥㜹〷散㍥㙦挲㡤㘳㘷㝤㜱㑡扦晡ㅦ㉢摥〵㐸搱ㄷ㘰愷愱戸攸㘰㔰敦慡㘵㝤㌵㘹㕥挸〲㉥㠲㌰㝥〲愱ㄷㅦ㐶昱ㄷ㌳昷ㄲ〸愵㙣户昸晡㕢摢捥晤搱摢㜷㑤扦昷晡㌳㐲㍢㉥敤㘹慡敤㤰㉤挵㕦㠶㥤㤲㜹㕡㕣㍢昲昲昳攴㜲㝡扦〲挲戸ㄲ㐲㉦㍢㠶ㅥ㜳ㄵ㜳慦㠶㔰敡㔰户散㡥㉢搷敦摥㝣晣㉦㈶㕤㝣挷摥㍤㐷慤ㅡ户愳攲㙤㡦㤴㝤つ㜶㡡㥡㍢ㄴ㉡㥣㈸昱㤲换㝦挲扣㤶慥慦㠳㌰慥㠷搰ぢ㑥愰戹㝦挶摣ㅢ㈰㤴㕡散ㄶ㍣昹挰ㄷ㙦㥡㝥搹ぢㄳ慥昸昱慦㡥㍥㘸敥㉢㡦愸㝥挸㤶㠲㝦㡥㥤攲慢㝦㑡㉢㔸ㅢっ戱㥢㡣㥡㌷搱昷捤㄰挶㉤㄰㝡挹搱搸㈸昳㔶收摥〶愱搴ㅣ户攴㐴昵捣挷づづㅦ㌰敥挴㈱㝢㑦㡡ㅤ㜳挷捥㙡〷㘴㑢挹㜷㘰㘷㐷扤戵愳ㅡ摢㌱昳㑥晡扡ぢ挲昸〵㠴㕥㔲ち㌳㥣扢㤹㝢て㠴㔲搳摣㤲敥㥤昸摥㑦慥昸㔵挳慣㥦㍤戶敦㈷㥦扤昵挱㡤㡡㌷㤱㔲搲㝤搸㈹ㄹぢ㘲㝡户㉡㙦搹㕦搲晤晤㄰挶〳㄰晡攵〶㔳㡤〷㤹昹㄰㠴㔲攳摤戲ㄷ㕥戳搷捥户㍥㌳㙢搶〹愳敥㌹㜹户㌷㠷晣㐹敤㠴㙣㈹㝢〳㜶戶㘲昶晣㌰攰收㈳㄰挶慦㈱㌰㝢づ〵捤摦㔰昷㕢〸愵昶㜱换摢㝥挹ㄷ㠷㍤晡挶㥣㜱㜷晦㜹挴㠹㔳敢㥢㥥㔲扣㑤㤶昲ㅥ挳㑥㜱㐷ち㝢㝤㌸㕣㍥㝢㝥㥣慥㌷㐲ㄸ㑦㐰攸㈴㠷搱㤱㥥㘴敥㔳㄰㑡㐵摤㠲昷敤㜹㙡㥦㔷扦㡣捦戸慢攷㌶㉦ㅣ㝤捥愴㉦㝢㍥㠳散戹敥ㅤ捦挴昶昴㙡摣㐳㜶摤㥥㠶ㅢ㌰搲㙥挹㝤㌹㙥换昳戱㝣㈲ㅦち攵㘲挱㜴㈴㕤㍢㄰㙥户昴〶㤰㘳㝥捦晣攲愶搶㕣摢㙡戹㈳摣㘵㝣扡挳敥㥡㍤㡤㜰昳挶户慤㙣捤㜵散散㥦㌹扦㌳摤㘹敦㔴㥡搷攵愴捣㙣㍥敥㤷敤づ㈹㙦户㔲戳㐵改收㤵昶戸㌵㑤㑥昶慥㈵搹戸㕢㙥换㔴捥㥤摣㙥ㅦ㔱挸㉤慢搱㌸㉣攷慣ㄲ摦㘵㐷改㘴㌹昵ㅡ㌰㘱㔹㕢㠷摤㉡搵ㅢ搱㌲愷㈹扢摣㙥㥦㙦㜳㌱挸捥挹愱㙥挷㉣昷㤶㝤挴散㔶ㅣ㈸㙥挲㜳㠳㜴㙤㝥搲㥡㑥扢㌵㘷攷㔰摦ㄵ㜶㝢攷摡〵改㑣戳扤㝤ㄱ挴㈹ㄳㄹ㍢ㄶ愹㈷户㘵㔷㜶㑣㘸㙢敤㙣㙦㙢㉥捥ㄹ㤷㕢㤵挶㌲㐱㙥㘶㕢捥挶㕤㝥つ户㉡㔵搵慤㥢㔲㔵㝢晡捤捤改户愳㐱ㅡ㐲㙢攲㕤搱收㍢ㄴ㜷扢㠶㜹㌸㍡ㅣ㐵戳捤㍥㔹㍤㜸㌳捥挴㉦摤っ慦っ搴㡥㠹㉢㘷㐴て慢㡣㤶㍡ㄶ㕡敥晦ㄶ㕣㕤摤搷㍤晡㐹慢戰㤴㌲㌵摤㥡㙢戶摢㌷戹敥愷㔸㈳昳㔹㠸摡㄰捥收㡡散搵〰愱搶愸戵戵慢㥢㜲㥤换㡣㘵㜶搳搲㘵㥣㤸㘱㙤戰慥㡥搴㤶㙤收敦愰㌲㥦愷㜸〱㈲㄰愸㌲㝥㑦㤰ㄱ㌰㕦㜴搲戵㕣捤搸晡㐵㥡㙡㔸㤹戲㈸㠴ㄵ扣㡥摡ㄶ摣㤷㜵㜴敢收㜷㤴㔳搳ㅤ换㍡搹㍤㌷㥤㐹㝦㉦㔱晣〱愲㜶㌰挴㘶搷㠰㌸㤵慤攱㔲㔷慦㤶㠹㜶㍥㡤〵㐶㌹扢㔵扡戶挵㔹戳㥡㘸㜷㘴㑤㉥㙥㑤挳戹戲挶挰ㅥ㑥晥㥥㉤散晤昶㥡捥㠹改捥㜴昷ㄶ㉣㤳愱㤵㑣㠰㐶㠸㤵戳㐷换㕥愲昳慣〳㙥ちㅥ㉣搹搵扣昴㄰㠵攳〹㈷づ捥㤷慡㙥慥摣昴㐱愰敥扣换㌳㑡㍢㝡昱㜲ㄷ㔶攱㜲㔳散搶〵㙢㔷搸ㅤ㠴搷ㄹ㥢愴戲昴昴愲戳搹搹捣挲捥愶收㡥〶搴㜴㑡㝢摢捡ㄵ晦㑤㍦昴㘵晥ㄱ挲摢㙡㠷愱ㄷ㙦昹㌱㠱慥慡敥慢搸㌶㡤㡤㔵㜵昴㐶㡤昱㌲㐴搱㜵て敢㌶散扣昰晤ㅤ晥㤳捤㝣〵晦〵㑣㐲㉢攴搵づ㐱摥搶慣ㄴ搶〲摦戳〵㠴㉤㘸户㘵敤戳㑥ㄲ㈰扦㔷换攲戶昶攵㤹戶戶攵散㕥扤㈵搵戱捣戶㍢戹㥥搸挳㕤㍦㤵㜵㔲愵扡㜵㉢㕡晤搳ㄶㅥ晢挳扦昱㍡㐴慦㜱捤捤〳㍣㡦ㅤ挶ㅢ㔰㜵挳捡愶昱㈶㜶收っ㥣㌳㘹摥㠲挶㐹㙢搲㉤㉢㥡敤扤摣扢昶扤㘶慦攸㥣搴㌱㘰㔵㌰㍡㘰㔸㌸ㄶ㡣㠶㠳㜶挷昰户㙦㍤晤扤昵挷扤㝤摦愹㙦㥦㝤敥摦搷ㅦ昷敥捤㌷晦敤扥昵敦㥥㜶敡捣㜱㤱㜷㉥戸晤㥤㌳㙦㙤㔸搳摣戱㐶敤〶搶戸扡㜷攷搴ㅥ㜳㙦㝦收晣戱户敦昵㠷㠹㈳㙥㔹搶愸㜶㜵㌳捡㤶ㄹ㠷愱ㅥ〳昱㌱晦〶愱㜶〶㡣㠳ㄳ昶㡢㌷昳ㅤ愴捤㜷㈹摥㠳挰㄰㈳㉤㠱ㄱ收㝦㥣愴ㅡ㡥晦㌹捡㤸敦㔳㝣〰愱㐶㐰昰ㅣ㌷晦〱攱㙤㙡ㅢ昸㘷搷㤱收晦㄰㙡捥戲㔲攵つ晢㌱戲〲㈶〱ㄵ昲搴㐸攴戱攱㑤ㄲ㙤扥㐱㐱㕡㔵ㅤ扣晢戲搰摤捤㈸㕢晣摣ㅢ㘶挲挲㔷戴慦〵捣㥦㠵㙦㔸挶户ㄴ晦㠱搰㔸㘰㘷㐶㔲〵愱ㄶㄶ㌸㍣㤸搵㄰㉡っ㤵戰搰つ㈹㙦㔳摦晣㐷㘳愱ㄶ㌹晡㐹挰愵搳戲㤳愰㍢㐰〱㤳搰ち㜹㉡〲敦㝥㝣晣ぢ㘵昹昲昱戱㥢㔱戶㈶ㅢ㠷愷㠱昸㤸ㄶ㡡㔳ㅦ〲收捦挷㌶慣㑤㕦㡡㙤㈱㌴㍥戶㜷㤲㉡〱㈷挲㐷㍦㠲㜶㠰㔰㈹愸㠴㡦ㅤ㤱昲㌶昵㡥捥挷捥挸搱昹攰㘲㙥ㄹㅦ扢〲ㄴ㌰〹慤㤰愷㐶挱扢ㅦㅦ慦㔶攲攳ㄵ㌷愳㙣㤵㜸㌴㍣つ挴挷摣〳挵愹㤷㉢昲㌱㡣戵ㄹ㑥戱㈷㠴挶挷㐸㈷愹昶㠳ㄳ攱㘳㉦㠲ㅡ㈰搴㔸愸㠴㡦扤㤱昲㌶昵㍢㥤㡦㄰㜲㜴㍥戸挶㕣挶㐷〴愰㠰㐹㘸㠵㍣㌵づ摥晤昸㜸慣ㄲㅦ㡦扡ㄹ㘵㡢搷ㄳ攱㘹㈰㍥收扥㈸㑥晤愶㈲ㅦ晢戱㌶㘳㈸挶㐲㘸㝣㡣㜷㤲㙡ㄲ㥣〸ㅦㄳ〸㥡〸愱愶㐰㈵㝣㑣㐲捡摢搴晤㍡ㅦ㔳㤰愳昳挱㤵敦㌲㍥愶〱ㄴ㌰〹慤㤰愷愶挲扢ㅦㅦ户㔷攲攳㌶㌷愳㙣㐹㝤㍡㍣つ挴挷㥣㠷攲搴㉤ㄵ昹㔸挰摡㉣愴㔸〴愱昱㜱㠰㤳㔴㌳攰㐴昸㌸㤰愰㈵㄰㙡ㄶ㔴挲挷㐱㐸㜹㥢扡㔶攷攳㄰攴攸㝣㜰㐱扥㡣㡦㐶㠰〲㈶愱ㄵ昲搴㙣㜸昷攳攳㤲㑡㝣㕣散㘶㤴慤昴捦㠵愷㑤摣㍥ㄶ㉤慥㜳昹愹攸昶戱㘷㝥㜲㔳㜳愷摤㉥㜷〸昵㜹晣攷㍣㈱㤵㜴㉦摥ㄵ戵愷戳捥戳挷㙤昳ㄳ㜰㘳㠴㐷戲㥤㙢扢㙥ㄵ换㙥捣㥣晢㤶晦㜷晢昹㠳扢晤㤴㥢捦愲㕢搰㑤摣摥愱搳㤴摣㠰㙥ㅡ慣㜵㈲摥㜹昹捥づ愵㑢㌵挰㜳㜱㈷㈳扥㜴㘶㉢捦㥤ぢ㜸扤ㄳㄲㅤ慣㝣㕢捡捥㕥摥㐹㘹㔴昱ㄶ昰晦摤㐰晢〵捥㌸㌷搰换㌸㠰㌵㔱ㅣ㑥戱㥣愲ㄹ㐲㥤敦㡥扡㌷㠱搹昱昸㈴戰ㅥ㤷慣挶㡥搹㑡㑣ㅢ挵ち〸㙤搴㙤㐷搲攸愰㑥㐶㡦〱扣昹ち㈸㌵て㐶㌲〸㜷搲㘶㈵㐴捦㔵㄰戳愶摡捤㔸㠷昹㙦挵愹搴㉥㐰㌱㥢扥㜳㐴搷搹〶愰敤㕢收慦㙤捤㉥㙢㙦㙢㐵戴㄰㙦㘸挷㘵ㄱ攸搱愱搲㐶换㡣戶〹㉢㍢㡤㤶愹㑤昸慦㘷换㍣㝢㠵㥤敥㥣㠰㜵㌶摣㉤捦挰〳㔴戹ㄷ㥥㤶㕢昳晦攷扤㜲㔵つづ愱㑡㠱㐰敦㜶㔹㤵㥥戸捥㕤慢㑢㙦挳挴㌶〴つ搹ㄲ㉦㐵摡つ〳敢ㅥ㍦挰㥢攱㉡㜳㌵㙡㜷攵挷㍦摦㘷挸攵户㝤攷晥扦づ户づ戲ㄹ㙢㤰㔹㜸㄰㕢㜶㌱㍥ㄲ戹〱㤳㤸昲㡢戱攴愹㠵㈰慤㜰㌱㌶搶〱搹つ摤挱戹挱㔹㔷改㠲㝣慣㥢㔱昶㤴昷〰㜸ㅢ㠸㡦㜹〲ㅣ愹愳摤㔳〵㡡攲捤㍣㠹㌵㍡㤹攲ㄴ〸敤㔴㌹捤㐹慡〳㘱㈰攷挶㡦〸㍡ㅤ㐲ㅤ〴㤵㑣㔰捥㐰捡摢㔴〷捡㈸摣收㥤㠵ㅣ㝤ㄵㅦて㡤换㈸㌹〷㤸㠰㐹㘴㠵㍣㜵㌰㥣ㄷ㈸搱敥昷㥡㉡搱戱捣捤㈸㝢ㅡ摤〸㑦〳昱㌱㉦㐶㜱㉡㕦㤱㡥㑢㔹㥢换㈸㉥㠷搰攸戸搲㐹慡挳攰㐴攸戸㡡愰慢㈱㔴〶㉡愱攳愷㐸㜹㥢㍡㐴愷攳㕡攴攸昳㌵㍥捣㉥攳攳㝡㠰〲㈶愱ㄵ昲㔴ㄶ摥晤昸㤸㕦㠹㡦㜹㙥㐶搹㔳㜲㍥敥ㅥ㠸㡦㜹ㅢ㡡㔳㜳㉡昲㜱〷㙢㜳㈷挵㕤㄰ㅡㅦ㜷㍢㐹戵ㄴ㑥㠴㡦㝢〸扡ㄷ㐲昱㘱戹昰㜱ㅦ㔲摥愶愶攸㝣摣㡦ㅣ㥤て㍥㘳㉦攳攳㐱㠰〲㈶愱ㄵ昲搴攱昰敥挷挷攸㑡㝣散敢㘶㤴㍤扣㙦㠱愷㠱昸㤸㡦愲㌸㌵慡㈲ㅦ㡦戳㌶ㅢ㈹㥥㠰搰昸㜸捡㐹慡㔶㌸ㄱ㍥㥥㈶攸ㄹ〸戵〲㉡攱攳㔹愴扣㑤㠵㜴㍥㝥㠷ㅣ㥤て㍥昶㉦攳攳〵㠰〲㈶愱ㄵ昲搴ㄱ昰敥挷挷搰㑡㝣散攱㘶㤴挵ㄳ㜰晤㜹㈰㍥收㉢㈸㑥つ慥挸挷㙢慣捤㕦㈸㕥㠷搰昸㜸搳㐹慡㤵㜰㈲㝣扣㐵搰㕦㈱搴㙡愸㠴㡦扦㈱攵㙤㙡㘷㥤㡦㜷㤰愳昳挱㘸㠴㌲㍥摥〳㈸㘰ㄲ㕡㈱㑦慤㠱㜷㍦㍥晡㔴攲挳㜲㌳捡挲ㅣ㡥㠲愷㠱昸㤸ㅦ愳㌸搵扢㈲ㅦ㥦戰㌶㥦㔲㝣〶愱昱昱㠵㤳㔴㐷挳㠹昰昱㈵㐱晦㠶㔰挷㐲㈵㝣㝣㠵㤴户愹㕡㥤㡦㙦㤰愳昳挱〰㠹㌲㍥晥〳㔰挰㈴戴㐲㥥㕡〷敦㝥㝣㝣晤㙤㠵昵愲慦摣㡣戲挸㡢攳攰㠹昷㝣㘶昷㙡㠸㍡ち挶㌱㥢〱㡡ㅥ㄰敡㔳㤸㜲つ㘹〶敡戳㈳㤰户㐱挹ㄶ㐳㥣㌲㌱扤㈹敡㈱㌴㡥晡㈰㘹㙣〳㔱敦挵㠳つ㜰㙥〰㌰㐵㍢ㅥ㤶㠳㘸摤ㄷ昹收戶㄰敡㐴㈴㌹愵㐲㐴㌳㤲ㄵ慦换摢㈳搳㡢〸㈹攳㙣〷㘴〶㑣㐲捡㌹㤳㍣㜵ㄲち攸攲㡣㤷㘵攷㤲晣㘶㈵捥摥㜰㌳捡㐲㑤㑥㠵愷㠱慣敥㐰ㄴ愷晥攲昲〳㐵昱㘶敥捥摡っ愶ㄸ〲愱昱㌳搴㐹㉡挶㥤っ挲挷ㅣ㐶搰㜰〸㜵㍡㤲搲㠷昶㐴捡摢搴㑢㈸愳㜰㐹ㅥ㠹ㅣ扤て㌱㔰愵㡣㡦〶㠰〲㈶愱ㄵ昲搴ㄹ昰摥挵挷ㅢ㐸㌹㝣㍣㔵㠹㡦㈷摤㡣戲〸㤸戳㘱㉢㝣㈴㔰㥣摡㔸㤱㡦ㄴ㙢㌳㡡㘲ㅦ〸㡤㡦搱㑥㔲㥤〳㐷㠳㔸㤱晤〸ㅡ〳愱捥㐳㔲昸ㄸ㡢㤴户愹つ㍡ㅦ攳㤱愳昳挱攸㤹㌲㍥㈶〲ㄴ㌰〹慤㤰愷捥㠷㜷㍦㍥敥慥挴挷㉦摣㡣㝣㘹㔸捥㠵昰㈴㝣捣㐴㜱敡捥㡡㝣捣㘶㙤收㔰捣㠵搰昸㤸敦㈴搵㐵㜰㌴〸ㅦ㜳〱㐱ぢ㈱搴挵㐸ちㅦ㡢㤰昲㌶㜵愳捥挷〱挸搱昹㘰㌸㑦ㄹㅦ㑢〰ち㤸㠴㔶挸㔳㤷挰扢ㅦㅦ㔷㔶攲攳ち㌷愳㉣㑥攸㜲㜸ㄲ㍥戲㈸㑥㕤㔶㤱て㥢戵挹㔳㉣㠵搰昸㘸㜲㤲敡ち㌸ㅡ㠴㡦㜹㌸㐱换㈱搴㔵㐸ちㅦ捤㐸㜹㥢㍡㕦攷愳ㄵ㌹㍡ㅦっ㌱㉡攳㘳〵㐰〱㤳搰ち㜹敡㙡㜸昷攳攳戴㑡㝣㥣敡㘶㤴挵㉥㕤ぢ㑦挲挷㕡ㄴ愷㑥慥挸挷㔱慣捤搱ㄴ挷㐰㘸㝣慣㜳㤲敡㍡㌸ㅡ㠴㡦戹㥥愰攳㈰搴捦㤰ㄴ㍥㡥㐷捡摢搴㌱㍡ㅦ㈷㈲㐷攷㠳㤱㑦㘵㝣㥣っ㔰挰㈴戴㐲㥥扡〱摥晤昸攸愸挴㐷扢㥢㔱ㄶ㔲挵晢㝥攱攳㙣ㄴ愷㔶㔴攴攳㕣搶收㍣㡡昳㈱㌴㍥㉥㜰㤲敡㘶㌸ㅡ㠴㡦㜹㈱㐱ㄷ㐱愸㕢㤱ㄴ㍥㝥㠲㤴户愹愵㍡ㅦ㤷㈰㐷攷㠳昱㔸㘵㝣㕣〶㔰挰㈴戴㐲㥥扡つ摥晤昸㌸愴ㄲㅦ〷扢ㄹ㘵㠱㕥㜷挲㤳昰㜱ㅤ㡡㔳㑢㉡昲昱㌳搶收〶㡡ㅢ㈱㌴㍥㙥㜲㤲敡㉥㌸ㅡ㠴㡦㜹㌳㐱户㐰㈸㠶㝦〹ㅦ户㈲攵㙤㙡慥捥挷敤挸搱昹㘰搴㔸ㄹㅦ㜷〲ㄴ㌰〹慤㤰愷ㄸ㘳收挷挷㤴㑡㝣㑣㜶㌳捡挲搱㝥〹㑦挲挷〳㈸㑥㑤慣挸挷㐳慣捤慦㈸㌶㐰㘸㝣㍣攲㈴搵晤㜰㌴〸ㅦ昳搷〴晤〶㐲㌱㈴㑤昸昸㉤㔲摥愶昶搱昹㜸っ㌹晡㉤戰摦ㄲ晤㐶㘰〲㈶㤱攵㜴㐸㥥㝡〸捥晤攸〸㔵愲㈳攸㘶㤴㐵挸㍤っ㑦㐲挷昳㈸㑥㌵㔴愴攳昷慣捤㡢ㄴ㉦㐱㘸㜴晣ㄱ㐹攳㑦ㄴ敥慣慣㑡㍤〲㥦㠳昰㌱㕦㠶摡晣㌳㠴晡つ㤲挲捣㉢㐸㜹㥢ㅡ慣㌳昳ㅡ㜲扡㡤㥢敡昳〸昸㜵攴〴㑣收㤷昳㈱㜹敡户㜰改挷挷㑥㤵昸搸搱捤㈸㡢攰㝢ㅣ㥥㠴㡦昷㔰㥣敡㔷㤱㡦晦㘱㙤摥愷昸〰㐲攳攳㥦㑥㔲㙤㠴愳㐱昸㤸ㅦㄲ昴ㄱ㠴㘲㈰㥦㤰昰㌱㔲摥愶㝡敢㈴㝣㠲ㅣ晤㜴㘱晣㕦搹改昲ㄹ㐰〱㤳搰ち㜹敡㈹㜸昷攳愳愶ㄲㅦ摤摣㡣搲挰挲摡㘷攱㘹㉢〲挲㝡〰㙥收ㄷ㌵搹慢戹㠸摡㍢㡦敦㤵㑤㔸搹搱搹㈶攱㌶扤昲ㄳ摢㘶戵㜵㑥㙣敡㔸搱㥣㕥摢㌷敦敥㉣㕥㘶户㈲ㄸ慥ㅤ㌱㜱㈵扡戶ㄵ㉢散㥣㤹㥦摦戶戲㍤㙢㑦㥢昸㐳〸㤶㤳㘶㐳挴㠷㔲㔵搵ち摢昷㡢晦慡㠲㈵㍡つ戶慡㕡㐶㙤㤵㠶昱㘸㑦ㄹ扡ㅥ㘸㔹〰搶㜷㌱扡愰愹戳搹敥㤱㤷㝣搹慦换㠳㐵㐴ㄸ收扡攷ㄷ㉣㐳㍣换挴㕥昹㈹敤㑤戹收愶㔶㥢㡤㠱㠷㘴晣戲摥っ㝢㈹愲〹攷戴㜵㌴昱慢㙣扤昲ぢ摡搳慤ㅤ㉢ㄸㄸ㤵㕤扢㑤㔱㑡㔶㡤㙢昳攳㥢㕡㍢㔰㡣戴㈲昷敢昳昳㤷戵慤挶㜷㕡㔷戶戴㑥㐹慦攸昸㐱戴㡡㤲㜶愱㤰愶㔱搵慡扡㕡搵㔵搷㝤摦昶㌱晥㠳戳慢慦ㄳㄶ㍤〰晤戴戳扤㈹戳㤲㠴㐹㌹㘱挸ㅡち㘹挳慡摡攷戱户㠹〷㐵㝣㕣攴挶㜸㌲㝥㤱㜵㉤晡ㅥ㤳㙦㈸㕤攱㡢挲㝣㐴㘴㝥㠷敡昴㘴㘸昱晥㔳ㄶ㑥敢㡡散晤㕦㝤敢戶昶〵㜸㉥㕤㠳㉦敤㜹㠵㐰捡敤〰敥敤㜴㈱敡搸愳㜰㘶愲㈷㌰㔵摡㉤〳㜹挱戰㠷昶敥摡㥤㡣㔸扣㥥昹ㄹ改㡣摤㡣㕢昹㤶㜴㘷㙦㈷挱㠷㘶昸㔶㘶㠷㥢㌷愱慤愵㈵捤㉥挷敥㍡㍦㥢㙥戶敢昲攳㔶㜶戶攱ㅢ㡦㘶ㅥ㐲晡愵慢㑡慦㠱㉡扤㐶㔴㍤昳昳ㄸ㕡㉣晢昴搵戶㌴摤摥搴戹慣愵㈹㕢挷〴挳㝦㝦㄰㝤ㄵ㔷㠲ㅡ㤰改㙤摥㔸㔲晡っ挸㜹ㅡ㠲收㙥挰㠵㤵搴戱昹搱愳慢㤵㠱㝦敡㝢㐶㥥㘲攴㤱㡢㠶㔹つ㙦戵攸㔵㌲ㄴ㐹㕤㍥晡捥㍤㡢㍥攲㝡㠶っ㑥敡㐵〲昰㌱扢〱捥ㅤ㝥㙡㕥㠲搸㘴㔸㘲㜷〰〲㌳摡搲戹挹㜸㐴摦搶摥摤晤㤶㜸ㅤ㥡㤶㐳㑤扢挵㐰搱〹㠸㍤㐶㑣昳慡愶㥣摤㕥㐷挵㝣㍣搷慡㘱㠸愹攱戴㈱㑦收慡摡摡ㅥ㜵㝥㘵㑤昳㝣つ㜶攳敤昴㙦搹㑦㉢昳晦挱摣攴㤸㍤㔹慢㠰㕣愲㙡㜰㌸㈶扦㜹慤ㄸ㠲捡攳㈹〱ㄸ〴㜴㠷愸㘵戰㘳㘹摢ㄴ挷㙣㈲戲搳〴愸㐶扥㕦捤㘸搲㍡㐴㕥㑡ㄸ㙡慤ㅣ㐸て㉤㝣搴㜰㈲㐷敢㘰㠳扤㤶づ㘳㍥㝡戹㥤ぢ㌸攳㉢㥦敡攱捡㔰㔵㕤㕤㠳愶㌶㑡㘳㈷捡㡡愵㡢昹戶挴㤵慡摤㔰〵愳づ㌵摥㥥㈷ぢ晣攳慤〲㐵摦㔸㉥㥤㐷〴〲㘶〰昰慡㠰㘲㘰愵挷挱ㅣ㙡ㅣ㤲㝡㤰㠳㥥㄰敡㙦㔰㜲㈶㠰㕤敦扡愵ㄸち挸㙢㔷㤵搱ぢ㤰㝥㕤㕦㑤摥散㜸愹摥㠵ㄵ挷㑣戳㌷㥤扦㠷㍤づ㐵㠵慥㘹㐱扢昹慥挹㠸㐳改㥡㝤攸挴㑤愸昷戱攳ㅤ㑡㄰晢敥愱㙣〳㡣搹㤷挰て晣〱摢ㄲ戰ㅤ〱㡣㔲㘴㥢ㅢ摢㈳搵搳攳㔲扥㐰敤挳攰づ〰㠱挱㡦㌵慦ㅡ㠳㍢搲敢㑥昴捡㠸㐲㘱戰敢捡慦ㄸ㐶攸㌰戸㌳㈰㕢㝡戵㔱摦挲㑣搸摢㠵㡥晦㠳㔴ㄱ㝢扢㐱扢㜹昶挸㤸戰搷㥦㑥攰㐳㍥散㝢ㅥ㝢摡搹㌲〰ㄸ㜳㈰㠱っ㘵昴〱っ㈲㘰㜷〲扡〱㈰散つ㐶捡慦㈷晡〵㌵愲㈷敥〱㌸㜸散慥昹搷㜸ㅣ㑡晦挳攸摦〲愰㤴挷㙤愰㜳㜸ㅣづ挸ㄶ昳搸ㄷ㘶挲攳㥥㜴扣㉤㔲㐵㍣㡥㠴㜶昳㍣㙥て㌳晣㔵㤹㝢搱㠹挷㈳挳ㅣ㝤㘸㙡〰挶摣㥢挰ㅤ晣〱㐱〲㐲〴㌰㉡㔲㜸っ㈳攵挷愳㕦㌰㈴㜸㡣〲づㅥ㜷搵晣㙢㍣挶攸㍦㑥晦㝢〰㔰捡攳㌰攸㠴㐷㤳戳ㅦ搹挲㤰摡㑣㐷つ〷㐴㌸㑢搲〹愳ㅢ㡢㌸ㅢ〵敤收㌹ㅢ〹㌳晣㘱攵㤶㑥戰㈳ㅦ㠶㐲晡㜰戶㉦㌰收㘸〲ㅢ晣〱晢ㄱ㌰㠶〰㐶㑥ち㘷㘳㤱昲攳捣㉦㘰ㄲ㥣㡤〷ㅣ㥣㐵㌴晦ㅡ㘷ㄳ攸㝦㈲晤敦ぢ㐰㈹㘷っ㙤㜴㌸㘳摦㤳慤㤴戳㌱㠰〸㘷㤳改㘴㉣㔲㐵㥣㑤㠵㜶昳㥣㌱㔲ㄲ㝦㔵收㌴㍡挱㡥㝣ㄸ㉥改挳搹晥挰㤸搳〹㥣攸て㤸㐱挰㑣〲ㄸ㕤㈹㥣捤㐲捡㡦㌳扦愰㑡㜰㌶〷㜰㜰㌶㑤昳慦㜱㌶㤷晥攷搱晦㍣〰㑡㌹㕢〰㥤㜰㘶捣〷㘴㡢捦㔷〶㑣ち㡦ぢ攸㜸ㄱ㔲㐵㍣㉥㠲㜶昳㍣ㅥ〰㌳晣㔵㤹㡢改挴攳㤱㘱㤶㍥㍣ㅥ〰㡣㜹㈰㠱㑢晣〱㑢〸㌸㠸〰㐶㘵ち㡦〷㈳攵挷愳㕦㌰㈶㜸㍣ㄴ㜰昰搸愸昹搷㜸㙣愴晦挳㈰㙡㤷〱戰㠹戹㍡㘲㐲戴愸戸摥昰㘹攴ㄷ戶㌶㜵㘲ㅡ捤㉢搸攴愶㑥㑣〸㝡收㈱戰㉢攱㙢㍢挹昴㕡㌳ㅡ㔱戸㙤敦㕦㥥㔵㜴ㅦ扦㕢㜹扥㝥㘳㍦搸㈷摢戹攵搷敥昴㌷〷㤲㕢㝦㥦㍡晥㤰搶〲㤴ㄳ搳㠴㡢ㅥ㤷〳搴㤰捡挱㝦ㅡ敦扣㥤晢㕦慣ㅣ挸攴扤捡捣戰摢愰㑣捣㙦捣㉣昶戹㤰搰戴搹㉥愲挵㐲㜲ㄶㅣ攰㘲㠲愳敢攵〶摢㑥㙢敤挰㜴㍣攰愶㜰戳搵摢摤㥤扤戲戳㈸㈷扤愶慦㥢㠳㙦戶捣㙥挵㉤㜲㌶摤㥥晢㠱摣㕦攱搸㥣㈶㤱㕢愵敦戹㐴〳㈷摣戴扢㈲戰㑣㥥ㄹ㜰戸㌵㘱愴昵昰搲㡢㔴ㄷ愲㑢敢㤸攲㍢㠸愴〵㥣㜷㄰挹㕡搹ㅣㅢぢ㕤㜸㈵㔳戳摤㔷っち㐹戹㡦㌰昳攳㌲ㅤ㔸㜷改攴㑤戵扢㈷㈷戹㤹㥦㘷昳搵㐴慢㙣摣〳扢㝢㜳戲㥤〸㥡㉥㌸攰户㑤㝦㌸慤〳㐶㙡摣ㄶ㔲搲㐶挶㈶挶戶攲㠳攰昹昳㍤㕢ㄴ敤㤶㤷敤㥦㘳搴㈵ㄷ㜳扢㜱㑣㤵户挳戶㐵攳㌲㤰㜴ㄳ㑢㌹ㄸ㘷昵㤸㕦㥥㐵㝤扤㔰㜴㘷㜴㤳㠱慢愷愷攳㝡㑦㉦慥换戵㜷攲㉢搹㝣㤱㑤㍤㑦㥢㘶摣㄰㜷㌶㘱㘹愳㜹㙤敦晣戴搶㙣昳捡㥣㉤敢㈲摥㜸㉤换㈳㍦㠸昶慡〱㈱敥搹戴〹㕥㕣㔲愶攱㜵㜶摥㔷㜴扦晦攲愸㤹攳㘵㡦㌷㕢昰ㄱ㌰昳敥昸搶㡣㥡㙣㜵㠰㜵〰㕥戶改晡㝡㠰扣攴っ挳㕡㤹㡡攳ㄹ㐳㘵㈷㜸㌱摡㜲挶㘹戰ㄹ㙤㌳摡戸戸慡愹愶㌶㌹慡ㅦ㐴㍢攱㌸㥤㘶㌲っ慣づ㝤扦㌳攴㐷てㅤ㝤搵戴挸㌶攳㥥㜹㝣攸挶㌷挳晤挶㜹㘷ぢ慦㉦㌸㌹㔴㉢㕡挰㤹散慥㘱慦攰晣㠹㤳摤㙡ちㄷ挲昸㙡㤹愴㉤㐳慢愹ㄵ㐸㌹㤳㌴愷㍤捤挳愱摤晣㈴慤ㅤ㘶昸挳㔳㜹挲戱挳㡦攲挲愹㌷㐹㐳ㅡ〵捡㔲㑥㌳㌰㘶ぢ㑢㘳㠸戶て愰㤵㠰㌶㝡㘲愴㙥改㐰㔳㌱攸ㄸ〶㔵戵㉤㕣㤱愹㙢攱捡ㄴ㑥㔳〳㕦㈷㐶㔰㌵㔶户㡣ㅥ㜵っ㑡㌶㔷〰昵捣搳㑦㡦㘶㝤搴㤱㕡昹摡㈴敥〸㤶摦づ愱ㄸ㜵㕢㍡ㄹ㘶愸慤㌳ㄹ敥〰㘴㡢㈷挳㈷挳㑣㜸收㡢㈴ㄵ愳㜴㡢㈶挳慢愰摤㍣捦愷挱っ㝦〸㘱愶ㄳㅥ〲㍦っ改昵㘸搴ㄶ〱搶〰㘳慥㈵㤰攱扥㍥㠰㈳〹㌸㡡㠰㌳〰㤰挹昰搱㐸㙤攷㉤愱㘸换㔱㍥㠱扦㤸挸ㅣぢ㌴收挲攷㘸敥㌵ㅡ搷搱晤㝡扡㘷戴㙥㈹㡤っ搱㜵㘸㍣づ㤰㉤愶昱㌲㤸〹㡤挷搳㌱愳㝢㡢㘸㍣ㄱ摡捤搳㜸㈵捣昰㠷户ち搱㠹㐷攳㔵搸昳㘱改㘴㘰捣㔳〸扣摡ㅦ㜰㉡〱愷ㄱ挰挸㘱愱昱㐷㐸昹摤㔳昸〵っ㠳挷㌳〰〷㡦搷㙢晥㌵ㅥ捦愴晦戳攸㥦㔱扥愵㍣㌲戴㔷㜸慣扣〶㜰㈷㈰挲搹㌹㜴挲〸攰㈲捥捥㠳㜶昳㥣㌱㔲ㄸ㝦㠸扥愰ㄳ㡦㌳㠶ぢ晢㜰昶㘳㘰捣ぢ〸㘴㈸戱て攰㐲〲㉥㈲攰㍥〰㠴戳㥦㈰攵挷㤹㕦㔰㌱㌸扢〴㜰㜰昶愰收㕦攳散㔲晡扦㡣晥ㄹ〹㕣捡ㄹ挳㝦㥤扥㜷㌹㈰㕢摣昷㌶挲㑣㜸扣㠲㡥㥦㐰慡㠸挷慢愰摤㍣㡦㡣㌰挶ㅦ㠲捥改挴攳昱㘹散昹搰昴㔳㘰捣㙢〸㘴〸戲て攰㕡〲慥㈳攰㔹〰㠴挷敢㤱昲攳搱㉦ㄸㄹ㍣摥〰㌸㜸㝣㐱昳慦昱㜸㈳晤晦㥣晥ㄹ㐱㕣捡㈳挳㠶ㅤㅥ㙦〲㘴㡢㜹㘴愰戱昰㜸㌳ㅤ扦㡥㔴ㄱ㡦户㐲扢㜹ㅥ摦㠴ㄹ晥㄰晡㑥㈷ㅥ㡦っ㑦昶愱改㜶㘰捣㍢〸㘴攸戲て攰㑥〲敥㈲㠰搱捣挲攳㉦㤰昲攳搱㉦㠸ㄹ㍣摥〳㌸㜸㘴㙣慣攷㕦攳昱㕥晡扦㡦晥ㄹ㜹㕣捡㈳挳㡤ㅤㅥ㝦〹挸ㄶ昳昸㈹捣㠴挷晢改㤸㤱捡㐵㍣㍥〸敤收㜹㘴㐴㌳晥昰㘶㈶㍡昱㜸晣ㄲ㝢摥㘱㘸㤷㤴㕦〱㘳㙥㈰㤰㈱捦㍥㠰㠷〹㜸㠴〰㐶㐱ぢ㡦扦㐶捡㡦㐷扦攰㘷昰昸㕢挰挱㈳愳愰㍤晦ㅡ㡦㡦搲晦㘳昴捦㠸㘵慥戱戸昷搷ㅢ㘹收摥㕦㍦㠱㝤捥㝥敡〰攱㍤戶户㤵摤ㄹ㉡〶㍢昳敥㤰〷敥捤㥤㉡摤㘹㈸〶㐵昳㙥愳捡㝣㤲戵㈸㑣㜷㥦㜶㡢㘳扣㌴愷扣摥㌶昲慤慦㝦㜳攰㙢〳ち㤳㌲攷㐱㑣㤵㘲攰戴戴戶〴㉣㑢搹㘱搸攸㤳戲摥㠰㐸换㍥ぢ摦㡡昱搵㑥换扡㤳戲摦㐱扢挹㤶㌵㥦㜷敢搴〷愶㔲攵ㄷ㘸㠲㔲㘴㘲搶ㄷ㕡㡦㕣搶搶㥤㤸晤ㅥㄸ昳㐵〸挵挰㙣ㅦ挰㑢〴晣㠱㠰敤〰攰攴捣晣㈳㔲㠵昹搴づ㥡㤹搶㘸㝦愲搹换㌴ㅢ〸㐰㘹攷㘷㥣戴搳昹晦っ挸ㄶ㜷晥挱㌰ㄳ㡡㕥愱攳㈱㐸ㄵ㜵晥搷愰摤㈴㐵㌲㍦㘶㈸戶搰昳ㄷ㍡〱ㄳ昲ㄹ〶慤㜷昴㕡攷㝦ㅤㄸ昳つ〲ㄹ慢敤〳㜸㤳㠰户〸㘰昸戶㜴晥扦㈲攵搷昹晤愲戶搱昹摦〶ㅣ㥤扦㐱昳慦昱昸づ晤扦㑢晦っ戵㉥攵㤱昱搵㑥户攲㈰㈲ㅢ扢㤵晥㌰㘰ㄴ㈰挲搹摦改㠴㘱搸㐵㥣扤て敤收㌹ㅢつ㌳攱散〳㍡㐱〹昲㘱捣戶て㈵晦〰挶晣㈷㠱㘳晣〱ㅦㄲ昰ㄱ〱っ昱ㄶ捥㍥㐶捡㡦㌳扦挸㙥㜰昶〹攰攰㙣愲收㕦攳散㔳晡晦㡣晥ㄹ㡥㕤捡ㄹ㘳戰㥤扥昷㌹㈰㕢摣昷收挰㑣㜸晣㠲㡥攷㈲㔵挴攳扦愱摤㍣㡦昳㘱㈶㍣㝥㐵㈷ㅥ㡦㡣昵昶攱昱㙢㘰捣㙦〸㕣攸て昸㤶㠰晦㄰挰搰㜰攱昱㍢愴晣㜸昴㡢〸〷㡦ㄲ攳㄰㔰㑢㌴晦ㅡ㡦㜸扥㡤㤸〲〸挵㌰敥㔲ㅥ㙤攸ㅣㅥ昱㔶戲㉤攷㤱搱摥挲㘳㉤ㅤ㌳散扢㠸挷敥搰㙥㥥㐷㠶㠷ぢ㡦㜵㜴攲昱挸ㄸ㜱ㅦㅥ昹㉡㝥㌳㐰㈰攳挷㝤〰㍤〸攸㐹〰㐳捡㠵挷㕥㐸昹昱攸ㄷ㐹づㅥ敢〱㐷㝦㕣愱昹搷㜸戴攸扦て晤㌳晣扢㤴㐷挶㝣ぢ㡦㈶㈷愶戲㤵㥥挳㡣〸ㄷ捥晡搲挹㌱㐸ㄵ㜱戶ㅤ戴㥢攷㙣ㅤ捣㠴戳敤改〴攵挸㠷㜱攴㍥㤴昴〳挶摣㠱挰攳晣〱㍢ㄲ戰ㄳ〱っ㍢ㄷ捥㜶㐶捡㡦㌳扦㘸㜳㜰戶㉢攰攰㡣㘱攷㕥〵㌴捥㜶愳晦晥昴捦㄰昱㔲捥捥㠵捥攱㡣㌷㤲戲㤵㜲挶愸㜱攱㙣㈰㥤㥣㡦㔴ㄱ㘷扢㐳扢㜹捥㉥㠰㤹㜰㌶㤸㑥㔰㡥㝣ㄸ㙢敥㔵㔹扢㔶っ〱挶摣㠳㐰挶愱晢〰㠶ㄲ㌰㡣〰㠶愶ぢ㘷挳㤱昲攳捣㉦㈲ㅤ㥣㡤〰ㅣ㥣㌱㌴摤昳慦㜱㌶㤲晥昷愲晦敢〰㈸攵㡣戱攳挲㤹搱〰挸ㄶ㡦㝢㌷挰㑣㜸摣㥢㡥ㄹ㜶㕥挴㘳〸摡捤昳挸昰㜴攱㌱㑣㈷ㅥ㡦㡣㔱昷づ㐳攳㌱〲㡣ㄹ㈵㤰昱敢㍥㠰ㄸ〱㜱〲ㄸ搲㉥㍣㈶㤰昲攳搱㉦㤲ㅤ㍣愶〰〷㡦っ㘹昷晣㙢㍣㡥愲晦㝤攸㥦攱攷愵㍣㍥〴㥤挳攳扥㠰㙣㌱㡦㡣㔲ㄷㅥ㐷搳昱〶愴㡡㜸ㅣ〳敤收㜹㝣〴㘶挲攳㔸㍡昱㜸㘴㙣扢㜷ㄸㅡ㡦攳㠰㌱挷ㄳ挸戸㜷ㅦ挰〴〲㈶ㄲ挰㔰㜸攱㜱ㄲ㔲㝥㙢㐱㍥ㄱ昰愰㜱ち搰愰㜱愳收㕥愳㜱㉡摤㑦愳晢攷〱㄰ㅡ戵挸愴摦㐳攷搰戸㍦㈰㕢ㄵ㤹挴〸㜷愱㜲㍡㥤扦㠴㔴ㄱ㤵㌳愱摤㍣㤵っ㠹ㄷ㉡㘷搱㠹㐷㈵㠳攱㍤愶㠲㍣㌸㘷昹㜲㌶㌰收ㅣ〲ㄹ㈸敦〳㤸㑢挰㍣〲ㄸ㍢㉦㔴捥㐷㑡㡢㑣挲换㘹㝤㈲㤳ㄶ〲〴〶㕦搷扣㙡っ㉥愲搷挵昴晡ㅥ〰愵ㅤ㤱搱敤挲㘰攵㔵㈰挶扥ぢ㔳〷搲〹㠳攰㡢㤸㍡〸摡捤㌳挵㘰㜹㘱敡㘰㍡昱㤸㘲挴扣㐷㠴搶改づ〱挶㍣㤴㐰㐶搳晢〰ㅡ〹㌸㡣㠰㡦〱㄰愶搲㐸昹㥤扣㝥㜱昵攸㜵㔹挰挱搹㘷㥡㝦㡤戳ㅣ晤摢昴晦ㅤ〰㔲敦㍣㔳㙥扤㙢慢㜱挱㈸㡤ㄴ㉣㡢攲㤴ㄲ昲㡣攷㥣摦戹戶ㄹ㌱戴摣㘵攴愰戳挷㤵㘶㍣㝥㠵づ昱㡣㙤敤㜸晡㔲㔳晡㝥㤸㠲㉤摦て搳㘳摢㤲搷慦㡡ㄹ㜳慡㔰㥢摡㡢扦㉥㝦挵㘸挱㥥ㄵ敦㝡ㄷ愳搸㐰㘳㉣㐳ㄵ户㥤搹㤴㙤㙦敢㘸换㜷づ㤸㡦昸昰〱㝣㥤㉤摥づ㄰ㅣ㔷㝢ㄱ㍣晡㤶挹〳慢㘹攵敦挷慣攲敢ㅤ〳换㕢摢㔶户㑡㙤㙡㍢昸㔶㕦攱慢㝢㜷ㄶㄳ挰㐷戶摤㐱㥥搵つㄵ戵㤰㌴て㠷㡢㕥昵㔶つ搲攰户捡㔸㡥昴㤰〹攳㈷捣㙢捣挶挲愹㕣㌴㤲っ㠵散㑣㌴㘸㠷搲㠹㜸㈶ㄶ戱攳昹㜸㌰㤳㡤㘴㔲㐶㜳ㄷ㌴ㄳて㠷攳昱㘴㍥ㄳ㡢㐶㤳改㘸㉡ㄸ㡤㈷挳愹戸㥤捦愶㤳昹㔰搶慡㜵摤㥢㉤戰㌱㕢㈱㉣挳㔳戵㔱戵㠲㉡㠶㝥戲ㄲ〲㄰㘸㙤〰慡㉤㡤挸㠴ぢ扣〲㐲㘵㔵㑥搹㌵摤扢㤷挵〶㤴㐵㜲㌲㥥㕡㕥昸㘹ㄸっ攴慣㍤ㄳ㌴㤷〶ㄴ昸ㅢㄵ户㈲㡤㔱捦㉡戳㤳㠷戲ㄲ㈲㘰昵㠰㠲㍡㘳ㄵ㤲㝤㈶㡣㙦㉣晥昵ㅦ㘳㌵搴㍤愱㤶㐷㕥昳昰㥥㕦㘳つ㌴扤愱搱㈲搷慤㥥慥ㄷ㜳㉤㌲捤㐱㉣㘳㈰㠴敡つ扤戴敤搱搰㜳㐷㍥ㄶ戴㍣ㅦ搴〹㌸㄰昶㐲㘴㔴ㄹ挷〲㔲戱㙢愹攳〰㘳昷㉡敥ㅥ㝤攰㐵扡挷㝡ㄸ愳㝢㙣㠳㌴晥慡㡣攳㤰㜶扡㐷㌰ㅦ挶㑢慢敤㜴㌴㤱ぢ㐶ㄳ愱㐸㍡㙡㐷㤲戱㝣㌸㥤㐸㠴搳㤹㔰捣㌸扥〰捤㘷㜲挱㕣㈲㤶捦愷昳搹㘸㌰㤵挸㈴㘳㠹㕣㈶㤶㑢㠵攲㔹㍢㤱㑡ㅡ㈷ㄴ愰挹㑣㈴㥣㠸愳㉦㘵戳㤹㘸㌸ㅣ㑢挶攳戱㘸㌰㤸㑤㈴搳㠹㙣㈴㤸戶晡扡㌵㌱㑦㠴㡤㜹ㄲ挵挹㄰搶戶㥥晥ㄴ慡㑥愵㌸㡤晡敤㍣㍤㔱づ㥥㤶㙡〷攸搹戹㔴〷づ㥥つ㉦ㅤ敦㉣㠲捥㠶〸㔸㍢扡㠶挶㌹㐸晡㌴攰戹㔰ㄷ㌷攰㜹搰㤴㌶攰㑥㕥昱攷㈳㔳㝥ㅢ㐸㝥㈵㐸敤挲愲㐱愸㜹㈱昴㠵〶摣つ㕡㘹挰㈶㔴愸搰㠰㍦〱愴㜲〳㉥〵戴扣〱晢挳㤳㌴攰㈵㌰㐶〳づ愰㘷㌶攰愵㐸㍢つㄸ㡢愶昲㤹㘰㌲ㅡつ㘵㤲搱㘰挸㑥〵㈳昱㝣㈴ㄳ㑢挵戲㈹摢捥㠶㡣换ち搰㔴㈲ㄷて挶㐳戹㐴㍣㥤㠹收ㄲ愱㔴㌲ㄴ㑦㈶㌱㐰㠴散㘸〴㕥慣㠱慥㝢昳㜲搸㤸㔷㐰㔸㠳㍣搵㤵㔴㕤㐵搵敥㥥㡡〰㠱慡㍤愰㤲㘶㌸挴㙤〶愴慢捣㙢㤹㝦ㅤ㐴挰㘲ㄴ㉡㜵挶昵㐸晡㌴挳捦愰㉥㙥㠶ㅢ愰㈹㙤㠶㘱慥ㄷ昳㐶㘴捡㙦㈶挹慦㈷愹㍤愱㤷㘶戸ㄹ晡㐲㌳㡣㠴㔶㥡㘱扥摥っ户〲㔲戹ㄹ收晡㌶挳㕥昰㈴捤㜰㍢㡣搱っつ昴捣愳戹〳㘹愷ㄹ搲挱㘴㌰㤶㐸㐷㘲㤱㝣㌰ㅡ捤挶㌳挹戸㥤〸挷㌳愱㐴ㄶ㈷㔷㌰㘱摣㔹㠰㘶㘳㤱㜸㈲ㄹ㑡愲㌱㈲搱㔴㉣㤴㑥㘵㘲㌰㐸攷㌲㜶搲づ〷㤳ㄶ挳㕣愵ㅦ摦〵ㅢ昳ㄷ㄰㔶搰㔳摤㑤搵㍤㔴㠵㍣ㄵ〱㈶愱㉡ち㤵㌴挳ㄴ扤ㄹ敥㘷晥〳㄰〱㉢〶〰晥慡㡣〷㤱昴㘹㠶㠷愰㉥㙥㠶㕦㐱㔳摡っ㜱搷㡢戹〱㤹昲攳㔱昲㌳㔲㉡〹扤㌴挳慦愱㉦㌴挳㈸㘸愵ㄹ㐶㙢捤㘰昲㑡挹㡢愲摡挷㤷昱㝤㘰㈴㡣㍦〶ㅣㄸ摦㤷㑥㔸昱挷㤱㜶㍢㝥㍣㤲戴㜳挱㝣㉥ㄴ捥㘰昴ち㈷敤㐸づ㙣挶㤳搱㔰搲㑥搹㐱㘳㘳〱ㅡち愲㈹搲挱㜰㍡㡥慢㕡㌰ㄱ㑢㐷㐲改㙣㈲ㅣ㐹愷㔳㤱㔴㉣ㄹ戲㐶扢敥捤㈷㘰㘳㍥〹㘱敤攷愹扡㉥㙣㘳㍣㔵〱愵挶㐳㈵㡣㠷㜴挶㝦㐷㉦捦㐳〴慣〹〰攰慦捡攴〵挴攴攵挲攴ㄵ挲㥡攸改㕦愲㙡㍦㈲昸㈴㕣㑤㠶㕥㌸晣ㄳ昴〵づ愷㐲㉢ㅣづ搵㌹㘴㔷ㄶづ㠷昸㜲㌸つ㐶挲攱慢挰㠱挳晤改〴〶挶㙢㐸㍢ㅣ愶㤲搹㜸㌸㥢捣㠰戴㐴㌴㤸つ愷㌲愹㜴㌶ㄵ㑣攳㤲ㅦ挷昰㤰㌵晥㔲㠰〶搳搱㜸㍡ㄴて愶搳㐹㍢㥡捣㐶搳戱㤸ㅤ㑢搸戰戰ㄳ戱戰㥤戱愶扢敥捤搷㘱㘳扥〱㘱捤昰㔴㕤扤㜶愶愷㉡愰搴ㅣ愸㠴挳㥤㜵づ摦愱㤷㜷㈱〲搶㕣〰昰㔷㘵戲搷㥡散愳㈶扢愵㌵捦搳扦㑦搵㈴㈲㈶㐲愸〵搰ぢ㠷晦㠴扥挰攱㈲㘸㠵挳㍥㍡㠷㠵㝥㔸敦换攱㘲ㄸ〹㠷晦㠲㉢㜰㜸〰㥤㤰挳㑦㤰㜶㌹戴ㄳ昹㑣㌶ㄱつ〵挳搹㘸㉡㤷捡攴㤳愱㐸㈸〳㜶愲戹㕣㌸㥣㌴㍥敤㠲愶挲㜶㉣㤸捣攵㐰㕢㌴㥤㡣愵搲愱㜴㍥ㅣ换搹㤹㘴㌶㠸摥㘸ㅤ攸扡㌷㍦㠳㡤昹㌹㠴戵挴㔳㝤㐱搵㤷㔴ㅤ攴愹〸㄰愸㍡ㄴ㉡攱戰㔶攷昰ㅢ收㝦ぢㄱ戰ㅡ〱挰㕦㔹㍦㍣捣搳㉢㍣㡦㤰ㅦ㈷㌳愷〳㔶㥢㠱扥㜴ㄲ愵㝤挱㑤㡢捡攴ㄷ㤶㉣㉤㔴㔶愶㘳㝤昲敥扢戸㘷㈳㘶慢㤳慡ㅦ㐲愴㑦㡤ㄳ㌹户搹㤹愸ㅣ挲㐱㠷㜰㐲㔸捡㐱昱㐴搲㍤㌶㤹㝤㝥扦戸愱㐰敤㌷㕦㙤㙥扡敡㤵挲慥摣㜵搳攱㑤㔷昱㐶㙢㌴ㅤ㥦戲㘵搱㘶搲敦つ㍥㕢㜲户摡ㅣ戴㕢ㅥ㝥㐶晢扥㕤摦〷攳㌷晦㐶㌴㈳ㄲ㙦ぢ扥㘸搹ㅤ愵慡扣㔷㠷㍡愴㜸愶昰愳㤶㜹㕡晥昶㉡㡢愸愳昶㜰㘸攵㡣晣ㅣㄴㄴ收㐹㍤〰愹㝣㠱晥ㄴ搰昲㜹搲㜲㜸㤲搳戴ㄷ㡣捤摥ㄴ昵ㄴㄶ㐵ㅦ㠸㕥㍤慣㘶㘰戸㔹㉤摥㑥慢户挳〸㈷㙥昵㉢戰挳㈹戴㈱挹晦愲戰㡥㠰㘷㤶㘲㜲〲㘴㜲扡㘳㜲㠶㘳戵㝢晡敤㔸搵㜹㐴捣㠵㔰㥤搰㑢㕢敥〰㍤㜷攴戳ち㕡㘱散㕤㥤戱㥤〰愹捣搸摢扥㡣慤㠶㈷㘱㙣ㄷ戲㔳㙦慤愱㘷ㄴ㘳散㡡戴㌳戰〵㠳昱㐸㈸ㅢづ愵㐲搹㐸㌴ㄱ挷攵㈰㠳慢㘵㈲㘹㘳㤸ぢ㠶㌲㌹㘳户〲㌴㤷っ㈷㘳昱㘸㌴㥥ち〷愳㔹㕣㑥昲㤹㑣㌸ㅢ戶㔳搹㕣㉣ㄳ捦㘴慣戵慥㝢戳㍦㙣捣〱㄰搶㤱㥥㙡㈰㔵㠳愸㍡捡㔳ㄱ㈰㔰㜵㉣㔴㌲戰扤㠲挳攰〴ㅦ㘹慣攷㌲㝦㈸㐴挰㕡〷㠵攸㑡㉥戰敢㍤晤〸㘲昹搲㐵昹〹㍥㜵㍣昴㐲㙣〳昴〵㘲㑦㠴㔶㠸㝤㕥㈷㌶〸㐸㘵㘲㥦昳㈵昶㈴㜸ㄲ㘲挳㌰〶戱㈷搳㌳㠹㡤㈰敤㄰ぢ晥㌲愱ㄴ㙥戴㌲㜹㍢㥡㑦㐷㌳㜱㍢㤶挵㙤㔲㈲㤷㡡㈴ㄲ㜶捥㠸ㄶ愰㥣㥤㘷戳㠹㜴㍣ㄸち㘱㔶㠹ぢ㑤㈴ㄸ㑦挶㘲愹㔴ち㍣攷㤲ㄶ挳愱攸摥㡣挱挶㡣㐳㔸愷㝡慡〴㔵㐹慡㑥昳㔴〴〸㔴㥤〱㤵㄰晢愸㑥散扥捣ㅦつㄱ戰捥〴〰㝦㘵㔷㡣戳㍣晤㌸㘲て㈳㠲㉦㠳㔴攷㐰㉦挴㑥㠴扥㐰散㜹搰ち戱て㘸挴㜶捤晥㝥改换攱昹㌰ㄲづ愷挲ㄵ㌸晣㌱㥤愰っ㘳ㅡ搲づ㠷ㄹ㍢ㅣ㑢挷㤲㥣㑡愷愲㠹㈰㙥㜷㔲㜶ㄴㅤづ昳ㄲ捣戸㈳㌱㘳晦〲ㄴㄷ攵㘸㌰㡤摦㘶ち愶㘳搱㜰㍣㤱捥愵昲搱㙣㌸ㅢ㡦㈵㈲㠹㕣㍡㘸㕤攰扡㌷愷挳挶㥣〱㘱㕤攸愹扡㘶㝦ㄷ㜹慡〲㑡㕤〲㤵㜰㜸㥢捥攱㍣㝡㤹てㄱ戰㉥〵〰㝦㘵ㅣ㕥收改ㄷㄳ扢㤴〸扥㐰㔲㕤〱扤㜰戸〴晡〲㠷㔷㐱㉢ㅣ㕥愷㜱㘸ㅣっ㐸攵捥㜹㡤㉦戱㔷挳㤳㄰㝢㈸㡣㐱散㑦改㤹挴㌶㈲敤㜶捥㙣㉣㠶㥢㤰戰㥤戰ㄳ搱㐴ㄲ㜷昷㤸㍡㠷昳挱㘰㈲ㄸ㑥㈶戲ㄹ攳戰〲ㄴ搳敤㜴ㄶ㜷㤴㤱㜴㍥ㄷ戵㐳㤱㘴㈲ㄳ捦挶搳戱㐸㍡ㄹ捡攲㈷挹慣㙢㕣昷㘶ㅡ㌶㘶〶挲扡搶㔳㘵愹捡㔱㜵㥤愷㉡愰搴つ㔰〹戱ㄷ敢挴㉥愳㐹ㄳ㐴挰扡ㄱ〰晣㤵つ愷㍦昷昴㉤挴戶ㄲ搱㐲㘲㙦㠶㕥㠸㕤〱㝤㠱搸㕢愱ㄵ㘲捦搶㠹㙤〷愴㌲戱㘷晡ㄲ换搰㈷㈱戶ㄳ挶㈰昶㜶㝡㈶戱㉢㤱㜶㠸㡤攱㥥㌰ㄲ捣㘷㈳愱㘸㈴㥡㑣搹㈰㌶㠸晦㌰㔵挴挴㍢㤷捣ㅢ慢ち搰㜸㈶㤸㡡㐷搰っ改㔴㍣㥡㠸㐵㌳戹㄰收攷昸ㄹ㤳㙣㌴ㄴ㐳㤷户敥㜰摤㥢慢㘱㘳慥㠱戰敥昴㔴㙢愹㍡㤲慡扢㍣㔵〱愵敥㠱㑡㠸㍤㐱㈷昶㔸㥡慣㠳〸㔸昷〲㠰㍦晣㈰㈲㉦㔱㕣ㅤ㌱戹㈰㘲摤攷改㑦㈰㜶㈵ㄱ㝣愵愵扡ㅦ㝡㈱昶㘴攸ぢ挴㍥〸慤㄰扢㔶㈷昶㔴㐰㉡ㄳ扢摡㤷搸㠷攰㐹㠸晤ㄱ㡣㐱散慦攸㤹挴㥥㡥戴摢㘳敤㔴㉥㠲ㄳ㕦慥㔳戹㕣㌶ㄵ㡥㈴㔲㘹捣愸㔳㜹㍢ㅤち愶㡤㌳ち搰㑣㌶㘳挷搳挹㜰㌰ㅢ㡣攱㘲㠵㜱㌸㤶挱㄰㥣捦愷戲愱㜴㈸ㄷ戲㌶戸敥捤㌳㘱㘳㥥〵㘱㍤散愹捥愶敡ㅣ慡ㅥ昱㔴〴〸㔴晤ㄶ㉡㈱戶㐵㈷昶挷捣扦〰㈲㘰㍤ち〰晥捡㠶㠲挷㍣晤挵挴昲㙤㤶昲㍢㥥㙡㈳昴ㄹ㝣〲㉡〷㡦㥣㈴搲㍡㘰㕥㑥㙦㤸散㍤㠱愴㄰慦㑦昶搴㤳搰㜲挲㘷㕥〹㤸㝡摡挳㕣㠵ㄴ㔹攳㐷㍤敢㘹慦㈶〶ㅡ愴慢搴敦㈰愵挹づ㐵㔱摥㘴捣散〱㠸摣㘲ㅥっ㙤搹扣㑢㍤敦戹扡づ㌸㑥㥡昸戱㕥㠰㔶摡散㝡㘸捤㥦㔱摣㐰㜱㈳挵捦㈱㌰ㅢ晢㍤ぢ㈵昸㐵㙦攷㈵㙦攷て敥㑥晤ㅦ戱昳㝦㌳ㅢ晢ㄳ㍣戳㤴搲搹搸换㥥晥㔶㔶昵㜸㈲㡥㠳㔰慦㐰㉦㘴摦〱㍤㜷攴昳ㅡ戴㐲搹㉣㡤㌲攳㉥㐰㉡昷昲ㄹ㝥㍣㕡㝦㠱㈷㘱散㙥戲㔳㙦扤㑥捦㈸挶戸〷㘹愷㤷攷㈲㠹㘸づ㜷㡤㤸㑦挵愲㤱〸ㄶ收愳㔱㍢㥣㡡挵㌲㔱㍢㘸㐷攲挶扤〵愸㡤戵扤㜸㈶ㄱ㑤㠶挳㜶ㄴ㔳㠷㑣ㄸ㌷㤹改㉣㍥㔱㔸㐶愳搶ㅢ慥㝢昳㍥搸㤸扦㠴戰摥昴㔴昷㔳昵〰㔵㙦㜹慡〲㑡扤つ㤵昴昲昱㌸㡣挲㙣㙣〳㑤ㅥ㠶〸㔸敦〰㠰扦戲㕢㜵挶㑡㠹晥户挴昲㝤㥢收愹愴昱敦㔰ち戱㡦㐳㕦㈰㤶攱㑦㐲㙣㔲㈳搶攴昰㈱㝤㌱敥换攱〷㌰ㄲづ㥦〲づㅣ晥㠳㑥㘰㘰㍣㡤戴㍢㔲攴搳挱㐴㌴ㄵ㠹㘱〵㈸㥡挴挸㡢搹㔴㉡㡥㥢㜴㡣挵㌶慥㜳挶㌳〵㘸ㄲ㠸㈸敥攸戹挸ㄱ捤㠶挲戸㜳捦㘶㌳昹㜸ㄸ㌷晡昱㝣㍥㘱晤搳㜵㙦㍥ぢㅢ昳㌹〸㡢ㄱ㔴㉣搱散ㅡ㈹㍥昲㔴〴〸㔴㝤〲㤵㜰㌸㔲攷昰㈵收晦〱㈲㘰㝤ち〰晥捡㐶㡡捦㍣晤㥦㠹㍤㐷ち㠲㔰㕦㐰㉦ㅣ扥〶㝤㠱挳㝦㐳㉢ㅣづ昲攵㜰㠰㉦㠷㕦挱㐸㌸㝣ㄳ慥挰攱搷㜴㠲㌲㡣户㤰㜶㌸捣愴㌰搱挷捡㌲收愱攸㕣挹㜰㍡㤷㑦㘶㜱㔵㡢〶昳戱㌸晥ㄹ㝦㉤㐰戳㠹㔸㈴㥡㑥攳ㄷ愹㠳昱㘸っ昳〳慣换㘵搳㤱㝣㌴㥥㠸攰㥡ㄷ戵扥㜱摤㥢㝦㠳㡤昹㌶㠴昵慤愷敡攲昰㍦㥥㡡〰㠱㉡㠵㑢㤲㜰戸扤捥攱晢捣晦〰㈲㘰㌱㐸ち㘶㘵ㅣ㜶昳昴ㅦㄱ㝢ㄱㄱ㝣㑢愸慡㠵㕥㌸晣〴晡〲㠷摤愱ㄵづ㝢㙡ㅣㅡ㥦〱㔲昹〴て昸ㄲ㕢〷㑦㐲散ㄷ㌰〶戱㈶㍤㤳搸㉦㤱㜶㠸㑤㘱㘶㥡㑤㈶㜱搹挷〹㥥挱㥡㔰㌸ㅥ挱㍣㉣㠸搳㌶ㄲ㠶挲昸㜷〱㡡㔵㑦㍢㘲㘳捤㍦㤷挹㐷㐳㔸㠲㡢攵㌰㈶㠴搱㄰戱㔰㌸㠷昹〱攳慡愴㈷㝥〵ㅢ昳㙢〸慢㠷愷晡㠶慡㙦愹㘲㜰㤵愰〸㌰〹㔵昵㔰〹戱㔵㍡戱ち挳扡㔹つㄱ戰㉣〰㐸慣搱つ㐹㥦ㄵ攴ㅡ愸㡢㔷㤰㙢愱㈹㕤㐱敥攳㝡㌱つ㘴捡て㄰㥢㤷戳ㄹ晡㐲㉦捤㘰㐲㕦㘸㠶敤愰㤵㘶昸晣摦摡愵㠹昳㕦ㄹづ㍥㠵戶散搲㘴㙤て㈳㘱扣ㄷ㕣㠱昱㝥㜴挲㡡昷㐶摡㘱㍣㥦て愶戲㜸昰㠱挹㙥ㄴ〴愷㌲昱㜸づ挳〲ㄶ昲搱扤㌱慣ㅡ昵〵㈸ㅥ㥥㐶挲㤱㑣㉥㤲㡢〱㡢㕢㉦㡣愴㈰㍥㥢㠶㝤㉣㤶㐸㔹㍢戸敥㑤ぢ㌶㘶ㅦ〸㡢挱㔸㐲㙦搷㔴㤷愱㔹愲㈲㐰愰㙡㔷愸㠴昱晦挱㘱ㄴ㠶搴㝥捣摦〱㈲㘰敤〶㠰㜴攵㤲㤵㠳晥㥥㝥ㄷ㘲慦挳愱㤹搷㐲愸㠱搰ぢ㠷晤愱㉦㜰戸㍢戴挲攱ㅢ㍡㠷扣挱ㄵづ晦攲换攱㘰ㄸ〹㠷扢挳ㄵ㌸ㅣ㐲㈷㌰㌰〶㈳敤㜰ㄸ㡢挴㜲愱㙣ㅡ㡦㡡㌱慢捤㈶昲挹㘰㍡㘷愷昳ㄱ㝥㈲㤱㔴捥ㄸ㔲㠰攲㑡㠴㕢戶㙣搰㡥㐵戲搱㙣ち慢昴㔹捣挱戲戹㙣ㄲ㑦慡㘲挱㥣戵㠷敢摥摣〳㌶收㔰〸㙢愸愷㑡愰愶捥扤散㌰㑦㔵㐰愹ㄱ㔰〹㠷㉦敡ㅣ敥㐵㉦つ㄰〱㙢㈴〰㝥挳〱挳戲㐴ㅦ㈶㤶慦㉤㤵摦㠷㔶㝢㐳㉦ㅣ挶愰㉦㜰ㄸ㠲㔶㌸㝣㔲攳搰㐸〰㔲㜹㌸搸攸㑢㙣ㄸ㥥㠴搸ㄴ㡣㐱㙣㠴㥥㐹散㈸愴ㅤ㘲愳改ㅣ搶㠶㈳昹㘴㌲ㅦ㐷㕦㑢㈶㜳昹〸愸㡤摢改㔸〸愷㝤搰搸愷〰つ㘷昲㕣㤵捦㠲㔳慣换㐷㜰㑢ㅢ㡢愷㐲昹ㄴ㥥搴㐶㤳愱㐴摣㡡扡敥捤㝤㘱㘳㡥㠶戰㘲㥥㙡㍦慡挶㔰ㄵ昷㔴〴〸㔴㌱㈲㑢㠸晤㤵㑥散〴收㑦㠴〸㔸っ捡昲敢㥣㡣搳ㄲ晤㔴㘲敦㈲戱㜷㐲愸搱搰ぢ戱搳愱㉦㄰㍢〶㕡㈱昶ㄷ㍡戱㌳〱愹㑣散㥤扥挴㡥㠵㈷㈱㜶㌶㡣㐱散㌸㝡㈶戱㜳㤰㜶捦晡㐸㌰ㄴ挱㔲㝤㍣㤱㡢㐶搳㌸㤵ㄳ昹㝣㈸㠹㠷㐱㌱㌲㤸换ㅢ㜳ぢ搰㜰捣㑥挴㤳㤹戰㥤挴㑤㔸㍥㥡㐹㘷戳愱㐴㈴㥢挹愴昳戱ㅣㅥ㠶㔸㡣攳㤲昳㜹ㅥ㙣捣昹㄰搶〴㑦戵㠰慡㠵㔴㑤昴㔴〴㤸㠴慡㈹㔰〹戱㌷攸挴ㅥ挸晣㈵㄰〱㙢㉡〰㝥㍤㜶㥡愷㍦㤴㔸扥㐸搵攴㙢㔹搵㜴攸㠵搸㌴摤㔳挳て㠳慥㠴搸㉢㜴㘲戳㠰㔴㈶昶㌲㕦㘲㘷挱㤳㄰㙢挳ㄸ挴捥㜶敢㘱攴㤱㜶㠸つ〵㘳戱㈴攲〹戰挶㠲ぢ㔸ち换㔴㌶㉦㐸㔱捣戹搰㝦攳㈱㘳㘹〱㥡㐹㈱散挰㡥㘷昲戸㥢㡤挶攳扣捤挵戳㈷㍢㤶挳㝡㐳㄰晤摤㔸㔶㠰愶戰づ㤱挹㈷㠲昹㌴〶㕤㍢㥣㑤摢搹㕣㍥ㅥ㐳ㄸぢ㝣㘳ㄶ㘱捤㜱㙢㘲㌶挱挶㍣㥣㘲㌹㠴㌵搷搳㌷㔳搵㐲搱㑡晤㍣㑦㉦㔰㌱㈲㕥㉤㠴㕥㥡攴㉣户㐹愴㘱㍢㘸搷〹ㄱ戰ㄶ戹㠶挶㑡㈴㝤㉥㝤慢愰㉥扥昴慤㠶愶昴搲户搸㉢㝥つ㌲捤㐷搸㠰て戳愹㈴ㄶ㡣愹愳愰㉦㌴㈰㘳挱愴〱㑦搴ㅡ戰㙢昹散㜸摦戶㍡ㄸ㐶搲㔶敢攰ち㙤㜵〸㥤挰戵戱ㅥ㘹愷慤㤲㜸㌸㘵㘷㌲㜸㜴ㄵ挶㜲㐴㌲㤹挴㐰㡣㤵〶㐴晢㈴ㄱ敢㤳㐸ㅡ挷ㄵ愰昱㐸ㄶ捦戲昱㐴㌰㡣㘱ㅢ捦戶㤲愱㘸㍣㡦㠷㔸㠸㌲攰攵㌰㙡ㅤ敡扡㌷㡦㠷㡤㜹〲㠴搵攸愹扡㤶捦づ昳㔴〴〸㔴㘵愱ㄲ挶搷戸㡣㑢㠷㍦㡤昹㍦㠲〸㔸㌹〰晣㑥〲摢搳㥦㐵㉣㕦ㄷ㙢㍥づ㘱攵愱㤷〳㍦ㄷ晡㕥昵戵㡣㡡摡愷昲慢㐵戴㄰㥤ㄱ昸ㄶ㝥搱㉦㠵㑦挲㉦㝦㌳㉥扣慡ㅢ摥慡攷扣㡢慥愶㝡搴昷昳挵挷㐹㝣昷〲㍦戵慤㌸搶晦㠵ㅦ昶㡣慥㘷㐰昴搸ㅦㅦ昳㝣ㅣ㜰㉤愳戲㝣扦攵敦〴㉤捤挷敢〴敤㠶〹攳ㄳつ㤳搶㘴敤㘶扥㔱〱ㄱ㑢㌰慣摡慥㘵㕡〷㜶昱换㕣ぢ摡挶挹昷晣ㄹ㔵搷挷ぢ㙡ㅡ攱晤㠰昵㤰㉥㡤昷ㄲつ捦㙣㜶㝢挱づ㍦〸㡤㈰㌶㘴㡣攰捦㕤㙦搷㤵搲摥攵户㜳㤷ㄶ敦㑤挱㡢〳散㥣攷戱〳攱愸㌵搵摤捡㝥攲㑡㥥㍥㑥㙣㙢挱㙦ㄵ㌶捣挱换晢攸つ㍦捥㍥㉤㐷〲㜶昶㜹㤳攱昸愶㑥㜹ㄳ攸㉥挸㔷收㜲㤰㘳㕣㠰愳㌵㐶て㥥㌴㌸ㄲ慢㍤ㅣつ㔱晡㡤昶㡡㘵ㄴ搳捥ㄲ搹㌷〲收㐵㜰愸㕡攱㥡摣㉢戳㤹㠵㕣散ㄴ戲〸㠵愸㍣ち㘱㐱散挵〱昳㔲愲㜹㑡㜸㉡戵挲㑤搰㕢㝤㈷ㄲ㥣㤰〱愵㙦ㅦ㡤㜱㔳㘳㥤晦敢摣晦慤戱昵㉢㍤㡢㐳搴挰昳挶搵扥戱慥昴㐷㍢ㅣ㡢㌷挶㔸㝤戸㕤㍤㐶㌱〲㙤〸戴愵扦昸㥢㐶㈵晦㡣㕦ㄷ㈹晢摤攳挳摣㡣搲摦㍤戶㡥㠶㈷㌹搹慥㐶㝤㝢搵慢昵㐸昳㠴㔳㠷挲㠲扤㕣㍡收㌵㍣攴ㄳ愱㜶〸㘲攰㤹㜱ㅤ㜴摤㐷てㅥ户晦攰㔰㑡㉤〱㤲㜴㌸㝣晥㡣昰㤳ち㜰〶㥦ㄹ㌷扡昰改㠴㉦㜲攱づ愱㌷ㄱ㝥㜲〱㝥〲攱户戸昰ㄹ㠴捦㜳攱挸〰晦户ㄱ㝥ち昶㔹㈰㔵敡㔴㌷㐱㜷敡㌴㌷㈱㡤㜱ㄶㄲ㠰㙦㜹㘳〰㡢㙤摢戱昵㘷㝢㤶㥢㙣㤴㌷㑥ㅡ㉢〶㔵愷㌹晦㡦㍤㝢慣㍡ㅦ㤶㝥㡤㌳ㄳ搵昵㙤㥣ㄹ㙥㐶改捦㌱㕢ㄷ挲㤳㌴捥摤㌸〶㌴づ攳挷愴㜱昶㠷㐵愱㜱敥㈵ㅦ㤷㈳换㘹ㅣ〶㤵ㄹ扦㠴づ愷挸捣挱攱㤴㥡っ㜰㔷摢㍣㐰昴ㄵ〵昴㘵㐴㍦攴愰㤷㄰㍤摥㐵㍢㑤戳㠱攸㉢㠱愱〳愱昷㉡㌷㈱昴㕥㡢挴搶昵昵敢㍣㡢㑤搲扡㝥摣搸㥢㝥捥㉤㌰㔶摤〸ぢ㍦㍡㐷愳㐶扥㜴敥敢㘶㤴晥㥡戳㜵㌳㍣〹㥤㡦攲愸㐰攷敤㐸ぢ㥤愳㘰㔱愰昳㜱ㅥ昲㕤挸㜲攸扣〳㝢挶ㄳづ㐱㌳〷挷㠲㉡づ㜰ㄷ㥤㑦ㄱ捤搸㉤〷㝤㈷搱捦㌸攸㈵㐴㠷㕤戴㐳攷㜳㐴摦つ㑣㠱捥㝢摣㠴搰挹ㄸ慦慤愳㤳〱㘱㘲㔱㠹捥㕢愷扣㜹攴戶户㝥㌸㘶攱捥敦晤攲戸㔹〷㡤㔱ㅢ㘰攱㐷攷㕥㉥㙢㘵㐳挷㐸㌷愳昴挷愰㉤挶㠷〹㥤㉦攱愸㐰攷㘳㐸ぢ㥤㝢挲愲㐰攷ㅦ㜹挸㑦㈰换㈱攸㜱散ㄹ㉦㍢〴㉤ㅡㅣ㡤慡㍤㡡〸㝡㠵攸㈷ぢ攸㡤㐴扦收愰㈷ㄱ㍤挸㐵㍢攳捣敢挸愹晦ㅤ㌰㕢㐷摡昳㥥㐵㈵搲㥣㔳㝡㠱摢〷扦ㅡ愳㕥㠲㠵ㅦ㘹扢扡摣㤴㤱戶㡢㥢㔱晡㡢搱ㄶ〳挲㠴戴户㔱㜷㤰昶㉡搲㐲摡㑥戰㈸㤰昶㉥㘹㜸ㅤ㔹づ㘹慦㘱捦昸扢㐳挳ㄲ搲戰扤㑢㠳搳慢摥㈷晡㡤〲晡㉦㐴晦挳㐱捦㈴㝡ㅢㄷ敤㤰昶㈱㜲敡摦〱㘶敢㐸㝢搷戳搸㈴㘹て㘷扡㑥摣昷㘱攱㐷㕡㉦㤷㥢㌲搲㝡扡ㄹ愵㍦㉢㙤㌱〲㑣㐸晢っ㜵〷㘹晦㐲㕡㐸ぢ挰愲㐰摡ㄷ愴攱㌳㘴㌹愴㝤㠲㍤攳摦づつ搳〶㠷㘲捡㈸愲攱㙢愲㍦㉦愰ㄹ摥㘵㝣敢愰て㈰扡摡㐵㍢ㄴ㝦㐷㌴㘳户ち㈷㉥㘳戸㤸㤰ㄳ昷ㅢ㈴戶㡥捥㙦㍤㡢㑤搲㔹ㄵ敤敡㠳ち〵昸搱昹敤㤷ㄵ挶挱㙦摣㡣搲㕦愵㔶㡣㌴攲㔴挸慣㐵搴㤷㜷㤳㘲㜹㑦愰㤴㐴〰㌱摢㐰㌶㌷㐲慣㍡ㄸ㐹ㅢ㜴㠷搶慣㠳攸搵摢㘲㈰㤰㈸㑤愶敢ㄵ〳㜷愴㘱㍥㐷搹㙣ㄸ㠶㌷搵攱㈵㔶扤扤㡣捦摣㡣摥捣〰愹摣扥晣㑥搵㝢昹㥦扡昹㝣㘷㥣㤶㙦㜹昹㥦戸昹㍢ㄷ攷㌳㍡㐸ち晥㤷㥢㉦搳㤶㝡搴㑡㙤㠷慣㈱㐰㍢㜳愵㜵㌸ㄸ攷㤷戹晥〱愴敦昵攳〳㌷愳昴挷㐳慤ㅤ攰㐹㡥㜶㍢攷㘸㜷昱ち晤ㅦ扤搰㝥㉣戴㍦戲㥣㙥戸㉢昶㡣ㅤ愱慢ㅤ㍤㜸摡攰㤸㝡〷㔸慦摦〴捣㥤〹ㅥ㔰〰㌳ㄶ挷搸搵〱ㅦ〰昰㕢㉥搸改㠴晤〹ㅥ〸㐸愱ㄳ㌲摥挶㜳㔶扦〷ㄲ昸摢昲戹㑥㍤㘳㙦挴㘲搳㥤㜰扦戱昰㡡敤愳㌱㙡〴攰㐳戰㕢㍡昱㝣捤攵慣散㥣㝥搵捤㈸晤改㔱慢〱㥥㠴捣㈱㌸㉡㜴ㅤ〶摡㐸ぢ晥ㄹㄶ㠵㜳㝡㈸て㌹㠶㉣㠷㑣㐶摦ㄸ挳愱挳摣㘶摡攰㜰㔴晤挱㈵挸ㄹ摡㐶㄰捤攰ㄸ〷捤〰ㅣ㘳㉦〷㝤〰搱㉦戸㘸㠷捥扤㠹收㡡㘴㠱捥愴㥢㤰㜳㝡㕦㈴昰户ㄵ㜴㡥昶㉣㌶㐹攷ㅢ慤㘳㡦㕡捤㙤挰㔸㌵づㄶ㐳㝣攸㝣挶㘵慤㡣捥愷摤㡣搲㕦㉥戵ㄸ慥㈳㜴挶㜰㔴愰㜳㉡搲㐲攷㤳戰㈸搰㤹攰㈱㑦㐷㤶㐳㄰〳㜱㡣㤴㐳㄰㉥挶㈹昵㔸ㄱ㐱晢㄰㍤愳㠰㘶㉣㡥㌱摡㐱攳㘲㥣㔲扦㜶搱づ昹㘳㤰㔳捦愸ㄹ晣㙤〵㘹っ戱ㄱ㡢㑤㤲愶て㠴㡢〱ㅦ攲㐳摡㐳㉥㌷㘵愴㍤攸㘶㤴晥扣愹戵〴㥥㠴戴㐹愸㍢㐸㘳㍣㡤㤰㜶㍦㉣ち愴㑤㈱つ㘹㘴㌹愴㌵㘲捦㤸收搰㠰㡢㜱㑣摤攳搲攰昴慡改㐴㌳㐸挶㐱ㅦ㐶昴㑣〷㡤㡢㜱㑣摤改愲ㅤ搲㘶ㄳ捤㈷ぢ㠵㍥挸㘰㥡挲㈹扤っ〹晣㙤〵㥤っ慣ㄱ㡢㑡㜴㘲㍤ㅦ摢晢敥扤攴戹㘳ㄴ㘳㙣㠶昸搰㜹㡢换㕡ㄹ㥤㌷扢ㄹ愵扦㡥㙡慤㠰㈷愱㜳㈱㡥ち㜴㌲㡡㐶攸晣㌹㉣ち㜴㉥收㈱慦㐶㤶㐳搰㑡散ㄹ〷㍡〴㉤ㅡㅣ㡡慡敢㕤㠲ㅣ㍡て㈲㝡㑤〱捤攸ㅡ攳㄰〷㍤㠹攸㥦扡㘸㠷捥㐶愲ㄹ㍡㔳愰昳㐸㌷㈱愷㌴㈳㘴昰户ㄵ㜴慥昳㉣㉡搱〹㙦搸㘶㜵捤㝡ㄸ㔹㌳〴慡搲ㄱ昲㜲㤷戵㌲㍡㉦㜳㌳㑡㝦㕣搵㍡ㄹ㥥㠴㑥ㅢ㐷〵㍡ㄹ㍢㈳㜴㕥〲㡢〲㥤㑢㜹挸㡣㜳㜱攸㍣ㅤ㝢㐶㤳㐷㔰㈴愸㉥㉣㈲㘸㌹搱㘷ㄵ搰㘷㄰摤攲愰戱搲ㄱ㔴攷戹㘸㠷晣㌶愲昹〸户㐰攷㌹㙥㐲攸㘴㕣っ晥戶㠲捥ぢ㍣㡢㑡㜴〶晥㜸捤㡡搱㠱挷挷挸㐲㐷ㅦ昴㑥挶搳っ昱愱昳㑣㤷戵㌲㍡捦㜰㌳捡㝥㥢昵㜲㜸㤲㔹捦㑡ㅥㄵ㕣捡攷㑡㑦扢ち㕡㙥搴㕡㔷㐱㉢搴慦㠶搶㕣〳㠱挹捥搵㥥㜲㉤搳昵ㄶ愳㘵〴㜴㈴㐱㐷㔱ㅣ㑤㜱っ挵戱ㄴ敢㈰㝡攱㍤㜴〰㑡挳慤㐷摤搸㜰摥慣㠸㐱㌵㤲戱捥捤㈸㤹ㄵ摤攰攵ㅦ敢收㤷捣㡡ㄸ㡡㈳昶挷戸昹㈵戳㈲㐶改㐸晥搱㙥扥捣㡡㑥㐲慤搴慤挸ㅡ㠲㐳㉤㥤ㄵ慤〶搲㜷㔶戴捡捤㈸晤晤㔶㡢挱㌴㐲挳改㍣摡㝡㜵户㔷㘸愷㕥攸㤹㉣昴㍥㘴㌹摤㤴ㄱ㌱挶搹搰攱㐲㝥挰攰㐸㑡慤〰搸敢㘵〱昳㕣愲ㄹ搱攲愰敦㈵晡㝣〷㍤㡤攸㘶ㄷ敤㥣昵ㄷ㄰㝤㍦㌰㥥〳挵挸ㄷ㈶愴㥢㙥㐰〲㝦㕢搱㑤ㅦ昶㉣㉡㜵㔳㜸挳㌶慤敢慣㘷㐰捣㄰愸㑡捦晡愵㉥㙢㘵摤㌴敦㘶㤴晥晣慢挵㄰ㅡ愱昳㔲ㅣㄵ攸㝣ち㘹㘹挳ㅣ㉣ち㘷晤攵㍣攴㘷㤱攵㄰昴㌴昶㡣㉢ㅤ㠲㈶つづ〷搵㘱㐵〴㕤㑤昴㜳〵㌴攳㘳㡣㙢ㅣ昴㈲愲て㜶搱捥㔹㝦ㅤ㜲敡㕦〲〶㝦㕢㐱ㅡ挳㕥挴愲ㄲ㘹捥㡢㠶㕦ㅥ㜳愹晢收㘱昵㘷挰㠷昸㤰戶搸攵愶㡣戴㐵㙥㐶改㙦挴㕡慦挱㤳㤰㜶ㄳ敡づ搲摥㐴㕡㐸㕢〰㡢〲㘹户㤰〶〶愹㌸愴㌱ㅡ挶戸捤愱〱㙢挹㈹㌵挷愵挱改㔵㜷㄰捤㘰ㄵ〷捤㠰ㄸ攳㉥〷㡤愱㌲愵㘶戸㘸㠷戴扢㤱㔳晦㍥㌰昸摢ち搲㍥昰㉣㉡㤱㜶搴戶㕣挱改ㅣ㌳摢㕢扦昹〸ㄶ㐳㝣㐸㥢攲㜲㔳㐶摡㘴㌷愳昴㠷㘴㉤〶挹〸㘹て愰敥㈰敤ぢ愴㠵戴㠹戰㈸㤰昶㄰㘹昸ち㔹づつ㕦㘲捦搸攰搰㌰㙤㜰㌴愸挶扡㌴㌸愴㍤㐲㌴〳㔱ㅣ㌴㠳㕤㡣摦㌸攸〳㠸摥搷㐵㍢愴㍤㑡㌴㈳㔹ち㈷敥户㙥㐲㑥㕣〶慣㈰扤ㄵ㜴㌲扡㐵㉣㉡搱改捣㝥晥摡㌵晢㌱㘰㌱挴㠷捥㠴换㕡ㄹ㥤㜱㌷愳昴㜷㘸㉤ㄳ㥥㠴捥愷㜰㔴愰戳ㄷ搲㐲㘷ㄴㄶ〵㍡㥦攱㈱㌳扡挴㈱㠸㘱㉣挶㜳づ㐱㔸慣㡤愹愰㑢㤰㐳攷昳㐴㌳捡挴㐱搷ㄳ晤㝢〷㡤挵摡㤸ㅡ改愲ㅤ㍡㕦㐲㑥㝤㍦㘰戶㡥㌴〶愸㙣㤲㌴搰㔳㔵戵晥㈰㜷戴摢㘹慣㘲慣㡡ㅦ㘹㐳㕤㙥捡㐸摢挳捤㈸晤戱㕡慢㍦㍣〹㘹慦愰敥㈰㙤㜷愴㠵戴挱戰㈸㤰昶ㅡ㘹㘰愰㠸㐳〳攳㔶㡣搷ㅤㅡ㜰㕦ㄷ㔳〳㡡㘸㜸㤳攸愱〵昴㄰愲晦敡愰㜱捦ㄸ㔳扢戸㘸㠷攲户㤱㔳扦ㄷ㌰㕢㐷ㅡ㈳㔲㌶㑦摡挳㑢挷ㅥ戴㤰摢㡥㘳ㄵ㠳㔳晣㐸敢攷㜲㔳㐶摡昶㙥㐶改㉦摡㕡㌱㜸ㄲ搲摥㐷摤㐱㕡ち㘹㈱㙤㕢㔸ㄴ㐸晢〷㘹㘰愸㠸㐳ㅡ㘳㔲㡣てㅤㅡ收昲愱㡡㔵㐴挳挷㐴㌳㘴挴㐱敦㐳昴㈷搰昱〹捦㜸挲㝢扡㜰愷慢㝤㐶㌸㠳㑥ち㘷敥ㄸ㌷㈱㘷敥〴㈴戶㡥㑦〶愲㙣㥥捦慡㈹㘳愵㌳㔶扤㌱㐶㌱㈶挵㡦捦敥㉥㙤㘵㝣ㅡ㙥㐶改㉦攲㕡搳攱㐹昸晣ㅡ㐷〵㍥㘷㈳㉤㝣搶挰愲挰攷户㍣㘴㠶㝤㌸っ㌱ㄴ挵昸づ㍡㔹㡡〸〵㔵㤵㑢㤰搳慤ㄴ扥ㅢ愷ㄸ㈹攲愰ㄹ㡤㘲㜴㠳㑥收㍢㐰㝦昳㠵㍥摦愹㈵㥡愱㈶〵㍡ㄷ扡〹愱昳㐰㈴戶㡥㑥㠶㥦㙣㤲㑥攷㘲晣㘶搷㐰挸㐸ㄴ㍦㍡扦㐰㐵㝤㈷㠴㥦扢ㄹ愵扦愸㙢㌱㜶㐵攸散㠱愳〲㥤㌶搲㐲攷愷戰㈸搰搹㡢㠷摣㠴㉣㠷㈰㍥挱㌶敡ㅤ㠲挶㑤ㅦ㥣㔲ㅦㄵㄱ搴㠷㘸㠶㝡㌸攸愵㐴昷㜵搱㌳㠰晥挰㐵㘳㔵ㄵ㑦〸户㈳㝡㜹〱捤㌰ㄴ愳㥦㡢摥ㅦ攸昷㕣戴搳㔴㍢ㄲ捤昰ㄲ㤲㑦〷慡挵㑤戰慦㉢㠶㥢㌰㐷㕡㠲㠱㈴昸摢昲㑢ㄲ戰搸昰㍣㤱搱㈷㘲㔹改搲㈴㐰扦攷㠹っ㌱昱㙢㤹扦攲㈸㝣㕢收㉤㌷愳昴户㝤慤愳攰㐹㕡愶㍦づㄹ㉤戳づ㘹㘹㤹㌷㘰㔱㘸㤹㠱攴㠳㔱㈰づ搷敢戱㘷散敥戰㠷戹㘵㑡扤㕡挴摥㄰愲ㄹつ攲愰ㄹ㜱㘲っ㜵搰㤸㕢愶搴㥦㕣戴㌳㙥っ㐷㑥晤㘹挰㙣㕤㜷㘶㈰挹㈶扢戳㤰㔷㌵捣扤㐴㔵㡦㔵㡣㈹昱㈳敤昷㉥㌷㘵愳挳ぢ㙥㐶搹て〰㌳ち㘵㜳㍦〰捣户〳搹ㅤ㡣㐴改攰㉤㕡㙤㥥㤱ㄷ㍤昲㡥㥡㠱㈳昲㠳㌲捤昲㌲愰㥥昸扤捥昶攵㜶晢っ晣㉣㉤㝥愵㜳㝥㔳㡢晢㌶ㅡ晣㕣㉤㕦戶敦晤㈲愴㈹㈹ㅡㅢ昹搹敤昸㠹挸敥昹㘹ㅤ昸搹㤴㕣㕤换㥣㜴㘷愷摤摥晡㐳昸㌲㌶㕥捦㔴挳㌳〳㈱㌶昲㤳挰扥㙦㐶攲㉢㡦㝣㠳㌴㠴戱㠶㉥㍥扣㥦捥愸收捦㝣㝥扦慦㘲ㅢ㝢愳㡢㜹㙦㡥换㘹㍦㕣㕢愳㝥㠷㈶㜶㐲㡣搷㔷㝤㈷㜵㐶晣㠷ㄹ㘲㘷つ㐳㜴ㅢ搷搱㈲户晦㄰〱㌳〲㡤扣㔵捣㜹㈱㜲㉤㘳㜳㑡て㡥敦慡㥡捣愳慦㕤摤㤴敢㕣㘶㉣戳㥢㤶㉥挳ㄷ慡㝡昴昰摥㈵挵㔲㙡㉥㠲改愶㐲㕢㜸㙡㜴㙦㘹㑣户户愷搷搶戵㌴㌶摢慤㑢㍢㤷搵㌵慥㐲㈴て㝥㜰ㄷ㤷㤸扡扡㍡㌳㠶晡戰㈸㝥搴愵昰㐸慦㘶㕣搷㌲㠴㠳扤搵㐸㐰慢扦昵慤㤸㠶㡤扥㌴愴㘰㘳㡣㠲㈸愶㘱ㅦ㘸㌴ㅡㄴ㈳㐱㐸㠵户愹㥦㈱㈱㔵ㄹつ㘴愱㠲㌷㜹摡晤㜴敤㙤㥥㜶㡣慥扤ㅢ㕡愹昶㔸㘸晤㕢㙥㠳㙦㤵挷〳㙦㑣㠰㈸慥昲㐴㘸昴㉡摦ぢ晦㐵㔵㝥挰慢挶㘴㈰ぢ㔵摥攰㘹愷攸㕡㠶ち㐸攵愶㐲敢㕦戹㝢㝤㉢户㍦昰挶㜴㠸攲捡捤㠰㐶慦摣攳愵㤵㝢捡慢挶㉣㈰ぢ㤵㝢捥搳捥搶戵㉦戹㤵㌳搹攷㙢搴㙤扥ㄵ㤹挷ㄲ搹扦扢晡昶〲慡昸挶㍣ㄱ㔵敡㡦愵㤵㜸挵㉢㙥ㄱ㤰㠵㑡扣敥㘹ㄷ敢㕡㍥挸㈶㐳㈶ㄹ慡㔱㍦昳慤挴ㄲ㤶㐸㌶扡㉡㜱㌰㔵㕡㈵摥㠵㡦愲㘶㝡摦㉢敥㔰㈰ぢ㤵昸搰搳㌶敡摡捦愰㤵㘶㍡っ㕡晦㘶扡搲户㘲ㄹ攰㡤㉣㐴㜱㌳攵愰搱㉢昷㐵㘹攵扥昶慡㤱〷戲㔰戹敦㍣敤㔲㑤㙢搵攲ㄴ收扣挲㕣〶㙤慦㙥ㄶ㥦慢昲㌲摣换㔲㝣㤸㉡㔷攰㡢㔰㍢㕥㠱户㠷扥づ敦㕤攷〳㔶挹戸搰捤攸挷㡣㍡挴㜶㝤愷昸戰㔵づ㜶㌹晣搵㈳㍡捦捥攲㠷㝢〶慣㘲挰㕥㐷戵晡戱㜷愰敦㠷㜷散ㅡ收㕡㠰㌵㕡㈱扡攱㈷㥣ㄴ㙢㉣挳㕣ㅢ㌴晡㠱搶挳㌷㕢攱挶㌱㝦ㅦ㝢散搸ㅦ㡤㔳摢㜹㠵ㅤ〱愴㍦戳㘷㜹〵㔶改攳㙡〷ぢ散㘴㠱㐵攳敡捡㤲〲昹戸戴愸搹㜷㠶㐲〶㤴搵㐰ㄶ㤸敤敦㘹搷攸摡㈱㕥攵搶㐲敢㕦戹㤳㝤㉢㜷ㄴ昰挶搱㄰挵㤵㍢〶ㅡ㥤つ㍥㝥㉣慡摣〸慦ㅡ敢㠰㉣㔴㙥㙦㑦扢㕥搷挶摣捡戹㘷攷戱扥ㄵ㌹㠱㈵ㄶ㥦㥤㈷㤵㔴㠲て敤㡡㉡戱㡦㔷摣㈹㝡㜱㘳㍣敤愹扡㜶㤲㕢〹攳㌴㘸晤ㄹ㕡攵㕢戱搳㠱㌷捥㠰㈸㘶攸㑣㘸㜴㠶昸㜰慣愸㜲搳扤㙡㥣つ㘴㠱愱搹㥥昶ㅣ㕤扢搰慢摣戹搰晡㔷慥搵户㜲攷〳㙦晣ㄸ愲戸㜲ㄷ㐰愳㔷㡥㡦㥡㡡㉡㜷㤰㔷㡤㡢㠰㉣㔴慥搱搳晥㐴搷摡㕥攵㉥㠶搶扦㜲㜹摦捡㕤ち扣㜱ㄹ㐴㜱攵㉥㠷㐶慦ㅣㅦ摣ㄴ㔵㙥戹㔷㡤㉢㠱㉣㔴慥捤搳㕥愵㘹慤㤵搰捡㤰㜲㌵戴ㄸ㔲昸昴挲ㅤ㔲昸挸㐲㐶㡥㐳㔱㍢㝤㐸攱㘳っ挹㌸挴捤搰㠶ㄴ㍥搲㤰㐱㥣㐳㑡戵㍡挸㍢戰愲㈱攴㝡攴㤹ㅣ㐲扡㠶㡦ㅢ愸搲〶㜱㍥ち㤱㌲ㄶ戹㘵挸戴㕦ㅤ攵愹ㄷ扡敡㍥ㄸ㝥〲㡡㡦㑢〴扤挰㔵㜳昴ぢ愸㘳㍣昵㝣㔷捤㡡〶ㄴㅦ愹〸㝡㥥慢ㅥ㈶敡㜵㥥㝡慥慢ㅥ㉥敡㤳愰㈶扤㠵㠱散㜴㈸㘴搴扣ㅤ㜵昶㙦捦搹昰㔰㍥㐱扣ㄳ㜸攳㉥㠸攲昶晣〵㌴晡愱昳〹㐷㔱㝢昲㈱㠶っ㘴昷〰㔹㘸捦ぢ㍣敤扤扡昶㔲户㜲㈶㍢㕢㡤㥡攲㕢㤱晢㔹㈲㍢㔶搷㐵昴㐱慡㌴晥㉦㉦慤〴㤷晥愵ㄲ扦〲戲㔰㠹敢㍣敤〶㕤㝢㤳㕢〹攳㘱㘸晤ㄹㅡ攳㕢戱㕦〳㙦晣〶愲㤸愱摦㐲愳㔷㡥敢敦㐵っ㜱㠹㕤㉡昷ㄸ㤰㠵捡摤敤㘹ㅦ搷戵て㜸㤵摢〸慤㝦攵ㄲ扥㤵㝢ㄲ㜸攳㈹㠸攲捡㍤つ㡤㕥戹㠷㑡㉢挷愵㙣愹摣戳㐰ㄶ㉡昷愸愷㝤㑥搷㍥攵㔶捥攴㈸㕢愳昶昶慤挸ぢ㉣㤱㈳㙡㔷昳扤㐸㤵搶㝣㕣ㅤ㉥㘲㠸ぢ挰㔲㠹㍦〰㔹愸挴㑢㥥昶㡦扡昶ㄵ慦ㄲ扣ㄸ搶愸愱扥㤵昸㌳㑢攴㠵慦慢ㄲ慦㔲愵㔵攲戵搲㑡㜰㐱㔵㉡昱ㄷ㈰ぢ㤵㜸摢搳扥慥㙢摦㜷㉢㘱扣〱慤㝦㌳昵昷慤搸㕢挰ㅢ㝦㠵㈸㙥愶扦㐱愳㔷㡥慢㥡㐵っ㜱攱㔲㉡昷づ㤰㠵捡㝤收㘹摦搵戵㕦㝢㤵㝢て㕡晦捡昵昳慤摣晦〰㙦扣て㔱㕣戹て愰搱㉢昷㙤㘹攵戸ち㈸㤵晢㈷㜶ち㤵攳㙡㥦㘸㍦搴戵㍤㤰㤰昱改㈳散㔴扥㝢慢昷慤攰扦㘰㘳㝣〲㔱㕣挱㑦愱搱㉢挸㐵户㈲昶戸慥㈶㔵昹ㅣ㍢㠵ち㜲晤㑣戴㕦攸摡ㅤ㍤敤㤷扡戶㍦ㄲ㜲攵搸ㅢ㍢㌵捡昰慤摥搷挸㉢㤹攵㝣㑢㤵搶敢戸敡㔴㔴㌵㉥㉣㐹㈵扥挳㑥愱㙡㕣㐰ㄲ㙤㤵搹愵慤攵㍤晣ㄶ㉦㌰昰〹晦昷㝣㌹㥡㐲愱㉡㠲挲攸挳慣搶慡㔰捦晢㜳㙡敢㜸挵慢㡦敢㈹㤵㐲㡡㔵㌴扢搱㥥户搴㘲㕦愳摢昳昶戹换㥥户捤㕤愹㌱㝡㑡昱戶㔷扣搵搲ㅢ敦㜶挵㥢愱㝢㥢慣㕢搴㑦搱㔳㡡㜷愶㘲摦㥤昶㌳㍣晢㍡摤㝥㤶㙥㔱㍦㕢㑦愹㜹㥥扤㐹晢〵㥥㝤㐰户㕦愴㕢搴㉦搶㔳㡡昷㠲㔲㝥て摡ㅦ散搹昷搴敤㜹换搷㜵晣㡤㝡㑡昱㤶㑤散㝢搱㥥㜷㙡㜲晣扤㜵晢扣㙥㔱扦㔴㑦愹㘵㐸挹㍣攲攳捦㥤〹搲ㄸ㌶愶㐵㘷扣㐹ㄲ搷㝤㤸㙡㜳捤捣㙤㤰挲扥㝣㔴㠷㠷改㑢っ㙦㘷愴昸㙤㤱昲㝡㘹晤㙡㔷敢㜴〶摥戲ㄴづ㐶昱搶㐳捡搸㡥昶扣攳㄰晢敤㜵晢㜵扡㐵晤㝡㍤愵㜸挷㈰昶晤㘸捦㥢〵戱摦㐱户㍦㐵户愸㍦㔵㑦愹搳㍤晢ㅤ㘹捦昹扣搸敦愴摢㥦慤㕢搴㜳捥摥㔵晦昳㍤晢㥤㘹捦㈹户搸敦愲摢㕦愴㕢搴㜳㕡摤㘵捦改戱搴㝦㔷摡㜳㔶㉣昶扢改昶㔷敡ㄶ昵㔷改㈹挵ㄹ慦㌴摦㥢㝡昳つ愰戳敢㤱㈵慥〷㌲㜵㠳㙢㘶づ㐲ち晢㑥昳㜱㌶㈷㤸摤㠹攱㈴㑥㡡ㅦ㡣㔴愱昹敥㜱戵㑥昳摤慢愷ㄴ㈷㘱㘲㍦㠴昶㥣㝦㠹晤ㅥ扡㍤攷㕡㠵〳慥摦愰愷ㄴ攷㑡㘲㍦㤴昶㥣㈲㠹晤㌰摤晥㌱摤愲晥㜱㍤愵㌸㥤ㄱ晢攱戴攷㉣㐶散昷搴敤㌹㘳改㉡晦㌹㍤愵㌸ぢㄱ晢ㄱ戴攷〴㐴散㐷敡昶㝦搰㉤敡晦愸愷ㄴ㈷㄰㘲扦ㄷ敤㌹㜷㄰晢〶摤㥥昳㠴慥昲㕦搷㔳㡡搷㜹戱摦㥢昶扣扣㡢㝤㔰户㝦㐷户愸㝦㔷㑦㈹㕥㡡挵㍥㐴㝢㕥㠱挵㍥慣摢昳㙡摢㔵晥㠷㝡㑡昱㑡㈹昶ㄱ摡昳〲㈹昶㔱摤晥㜳摤愲晥㡢愲ㄴ㉦㝥〵摦㡡ㄷ㌶昱ㄶ愳㌷㕥搳挴㕢㕣昷昶㥤㙥㔱捦敢㔶㤷扤㕣㔰㌸晣㈴愰昶㌶㡢ㄷㄶ㜹㑥㤳挴㡥㤹㠲攸搵㕢挹戵㠳搰㔱㍡㤴搷㄰㠱敥㐳攸扥づ㔴㉥っ㠴㡥搶愱扣㐰〸㜴㍦㐲挷㌸㔰戹〶㄰㍡㔶㠷昲㕡㈰搰㜱㠴㡥㜷愰㌲摣ㄳ㕡㔴㔷づ晢〲㥤㐸攸㈴〷㉡㈳㝢㤹㔷㡥昰〲㥤㐲攸㔴〷㉡㠳㜸㤹㔷づ收〲摤㥦搰改〲挵晢㔶慡慡ㄶ〳㕡扤㐶㘵て换ㅤ㜶搸㤷昵㌵〳㜶慡㌹㘰㙣捦㡢摦㜸昲慤昳㕥㍣㜸昴扢摦㕣㜶搹㡢㝦㍢敦改㙦ㅥ捣㡣㝥晣愷㍦晤敤晥㔷㍥晤搶㌶昹慢慡敦昹㜲挶㔵㐷㠷㤶ㅦ㝤㐴㝥攱㥥㔳㡥㍥昰昰戹愱㌹㝤㐶㜴敢搶扤晢搰扥ㅢ㜷ㄸ㘶慤㍦攲㍥昵挸换晤㕡㤵㡣晡慣换っ㤴挴㡤摦捣戵㌸晡㑢㕤㘶㘲挷㥣㐵㌱㥢㘲づ挵㕣㡡㜹ㄴ昳㈹ㄶ㐰昴慡㔳㜲㘹㠰慤戹㄰㘹㙦戳㜸㠹㄰㐷㡢〸㕤㑣㘸㙦㈵㔷〱㐲㡢㔸攵搵㐰愰〷ㄲ扡挴㠱昶挳㝦搲扤㡡愰ㅣ昸〵㝡㌰愱㠷㌸㔰ㄹ摢改戵愸〷㜰㡣ㄷ㘸㈳愱㠷㌹㔰ㄹ挶〹㉤敡㔷ㅣ捥〵㥡㈱㌴敢㐰㘵挴㉥慢㉢㐷㙥㠱摡㠴收〵㕡捦昱昸晦戴慤㘴㠸㘷㕤㤶愲㈴㙥戸搷挷㡢敥㤱㤰扡㉣挳㡥搹㐴㜱㌸挵㜲㡡㘶㡡ㄶ㡡㔶㡡㌶〸戴㤵㕣〷㘰㕢㝣〶昰㝡㈰㡥㡥㈰戴㥤搰摥㑡㠶㝣㐲㡢ㅡ㠰㐳扦㐰㍢〹㕤改㐰㘵㜴㉦㠳㜲㤴ㄷ攸㙡㐲搷㌸㔰ㄹ挸〹㕤㡢戴户㔹ㅣ搰〵㝡㈴愱㐷㌹㔰ㄹ戳〹㉤㙡㔶㡥摤〲㍤㠶搰㘳ㅤ愸っ捦㠴ㄶ搵㤵挳戴㐰搷ㄳ㝡㥣〳㤵㤱戸捣㉢㐷㘴㠱㥥㐰攸㠹づ㔴〶㕤㐲㑦㐲摡摢㉣づ扥〲㍤㤹搰㔳ㅣ愸㡣慦㠴㥥慡㐳㌹捥ち昴㌴㐲㝦攴㐰㘵昰㈴戴愸慥ㅣ㐴〵㝡〶愱㘷ち搴昲㄰㡡㐳愳㑣〳摡摤㘹㠰㐰捦㠶㔶㜱挰㤴慣ㄵ㙥搶㜸昸挶愲扡攵昵㜰挵挱㔲㄰㙤扡昱㜹㌴收㄰㉡㔹㉤㈵挶ㅥ攵㡡挳愷㈰㥡㜵攳ぢ㘸捣㐱㔵戲づ㉦㌱昶㐶㔷挵〱㔵㄰㑤扡昱㑦㘸捣㘱㔶戲㤶ㄶㅢ㉢㡥慣㤲㤱搷㙤攴㔰㌹摥㑡㔶慥挴㠶㐳慣㘴㘴㜵ㅢ㈹㠷〳慦㘴愵㑢㙣㌸搶㑡挶㘱扡捤搵搰㉡㡥挰㤲㜵㘸戱㡤挵㤱㤲捣攳㔹〶㠷㐷挱ㅣ愲㥢㕦㑢㜳づ㥡㤲㜵㤰㥢攵㉣ぢ捥昶搴㑢㕣戵戳㉣挸㠱㔵搰〷扡㙡㘷㔹㤰㐳慤愸て㜰搵捥戲㈰〷㕦㔱㉦㜶搵挳㔰㥤㠰攲㜰㉣敡㐵慥㝡戸愸㌹㐰㡢㝡愱慢昶晡挶㐲㘴戸〷挲攱㔹㌰ぢ㕣㡣㜴慤㕢愰㔵㡢扤慣㜹挵收㡡攳戴搸捣搵㙤㙥愷捤ㄲ㉦㙢㜶㠹つ〷㙣戱㤹愵摢㐸扢ㅥ攲㘵捤㈸戱攱挸㉤㌶搳㜵㥢㝢愰㔵ㅣ捦㈵㙢㕡㠹つ㠷㜰挹㤸慡摢晣㤲㌶ㅣ搸㈵㙢㜲㠹つ挷㜲挹㤸愴摢㍣㐸ㅢ㡥昰㤲㌵愱搸挶攲㐸散㔲挸攱㔷㌰攳㜵昳つ㌴攷愰㉣㔹㘳摤㉣愷㉦㜰㤸ㄶ昵ㄸ㔷敤昴〵づ摣愲摥捦㔵㍢㝤㠱㐳戹愸㐷扢㙡愷㉦戴㜸敡㝤㕤戵搳ㄷ㌸摣ぢ㝡ㅦ㔷㍤㕣晡㐲㥢愷ㅥ攵慡摤扥愰㌸收ぢ㍥攵㘶㐸〷搸〸慤攲㤵㐰戲ㄲ㈵㌶ㅣ晣㈵㈳慥摢〸㘱扣㈴㐸㔶戴挴㘶戵㤷ㄱ㈹戳攱戵㐱㙣挲挵㌶㤶㜷㤱㔰扣㉥〸㈲愴ㅢ晦づ㕡挵慢㠵㘴敤㕤㙣慣㜸㠱㤰㡣〶摤㐶㝡て㉦ㅢ㤲㌵戲挴㠶㔷ち挹ㄸ愱摢㐸捦收昵㐳戲㠶㤷搸昰㤲㈱ㄹ挳㜴㥢㤷愱㔵扣㤰㐸搶ㅥ挵㌶ㄶ慦㈸㙥敦攱㘵㐴㌰㐳㜴昳㔷㘹捥㡢㡢㘴敤㕥㘲捥慢㡣㙢捥㑢㡢㘰〶改收慦搳㥣ㄷㅣ挹ㅡ㔰㙣慥㜸㡤㤱㡣晥扡㡤㥣㡢扣昲㐸搶慥㈵㌶捣攵攴㍦愰㜸攵㜰昶㜸ㄹ㜰昶㌸搶㍡㝢ㅣ㐱㥤㍤づ㠶摣㌳晦㠶ㅤ挵ㄱ挵搱㤳㑤㘷㡦㙤攱散昱晣㜴昶搸㠹㥣㍤㥥㐰捥ㅥ㍢愳戳挷ㄶ㜷昶挸慦戳㐷慡㥣㍤ㅥ戵戳㈷㐵愲摦㥢㙦㐳挵㡤〱㔵ㄶㄳづ㙤㍤晥㍦攰㡣扥戰</t>
    <phoneticPr fontId="10" type="noConversion"/>
  </si>
  <si>
    <t>CB_Block_7.0.0.0:2</t>
    <phoneticPr fontId="10" type="noConversion"/>
  </si>
  <si>
    <t>㜸〱捤扤〵㥣ㅣ㔵搶㍥㍣㌷㤹愹㑣㜵㘴ち〸ㅡ㈴〹〹㤶㄰摡㈵㄰㌲昱㠴戸㘰㐱㠶㤶㙡㌲㘴㈴捣㑣っつ㉥搹㉣扥㉣㙥㡢换攲戲昸〲扢攸㡢㍢㉣戶㌸散挲攲晥㍤捦㈹㤹摢摤搵㤱晤扦摦敦昷㜶扡㑦敡㥥昳㥣㜳㙦㍤昷搶㉤㍢㔳㔵愳㙡㙡㙡㝥挳㠷晦昳㔳换㠵捤攷㉥敦散戲㕢㐷㡣㙢㙦㘹戱昳㕤捤敤㙤㥤㈳挶㜴㜴㘴㤷㑦㙢敥散敡〹㠰搱搴っ㝢㘷㕤㔳㘷昳㈱㜶㝤搳ㄲ扢愳ㄳ愰扡㥡㥡晡㝡戳〷散㥢扡㍦换㉢㤸昴㌲㙢㈹㠰慡㌱つ㡡㕥ㄴ昵ㄴ㈶㐵㠸愲㌷㐵ㅦ㡡扥ㄴ晤㈸ㅡ㈸㉣㡡昵㈸搶愷搸㠰愲㍦挵㠶ㄴㅢ㔱㙣㑣戱〹〵敢㌷㌷愳ㄸ〰搱㘷㜳㠸㜹攳挶捥捣ㅤ㠴戵㤹摢搵摥㘱てㅦ戸㠷搳收㔱㤱挸㠸挸㠸㘸㉣ㄳㄹㄱㅥ㍥㜰摣攲㤶慥挵ㅤ昶愸㌶㝢㜱㔷㐷戶㘵昸挰㔹㡢㜳㉤捤昹愹昶昲㜹敤ぢ敤戶㔱㜶㉥ㅣ换㘵攳改㐸㍣㤱㈸㘶㌲改㍥㕢㈰昲㡣㜱㘳㘷㜵搸挵捥晦慤㤸㕢㌲收捣㜱㘳㐷捣戰扢晥户㘲㙥㠵㤸〸㌹扥扤㌵摢摣昶扦ㄴ戴㡥㝤㥡ㄸ㙦攷㥢搹昹戶摤搱摣㜶攰〸㌴扢㠴㘸㤴㔲㈳挶㜴㜶㉥㙥㕤挴㜱㌴捥㙥㘹㤹㘳ㄷ愵搳㕢挷㜷㜶捤捡㜶戴㜶昶㘹㈵㝦㜶㠷摤㤶户㍢晢戵㑥㔸㤶户㕢㕣㘰㘷㝤敢ㅥ搹㡥ㄹ搹㔶扢㤶ぢつ慤㑥ㅦ㑥㈹搸㙤㕤捤㕤换晢戶敥摥㘹捦挹戶ㅤ㘸ㄳ㔲搷㍡㘹㜱㜳㐱搵搶攲㕢搳㜳摢愰㤶㐹㐷愱㍤慤攳ㄶ㘴㍢扡愴挴㉥㡣〴㘱戵攱㈲㙢㔱搲㉥づ愹㠱㘵㕥散戳戹捤慤㔳敤㡥㌶扢㠵㤵戰㈷㠷㤵㠱㠴㈰愷ㅦ㝣愶扣搵㘱㉦愹摥敥挶挷㜵㘱㉤挶㐰㠸㥤㘶戴㜷戴㘲㐰㑥户戳㙤愳ㄲㄳ㜶っ㈷㠶捦敤㉡㡣户㤷㡣㡡㡣㐸㤶㝥㔲戴㥡㠳攰㘴づ愶晢搶㄰晤㍡㥢㕢ㄷ户㘴搹〳㈳㘳攱㤱收㄰㕡㠷㐲愸摡搷戰昱敢㔵㜲〳散搱㤴敤搱㤴敢搱㤴敦搱㔴攸搱㘴昷㘸㉡昶㘸㍡戰㐷搳㠲ㅥ㑤捤㍤㥡づ敡搱戴㄰ㄸ敦㔳摦慢㔷て昷昳挴㥤㑢㑦㙥扡㜰挴㡣㥢㡦㍦㌹㍡㈸扡挷慤㡡摢扢㑣ㄷ摢㘲㘱㤸扥ち攱ㄱ㈹㝦つ挲㈳挲㤱搲㔵㐸㥢摢挱挱摣ㅥ挲搸〱愲愴昹挹㤱收㌰㕡㠷㐳㈸昵㍣㥡捦㔵挸㑤㜸敤㤵㉤㥥㑡㑥晢昳搵〷㥤㌱昶㍦㐳㠶㈹㑥㌳㔲昷〸㉣㙣愷搷ㅤて㝢摣挵㐶挴㑡㍦〹㜳㈷㠶づ㐳ㄸㄱ〸扤攲㘴㝣愴ㄹ愵㌵〶愱搴㤳㙥挵攳扢㠶㡦散户攴㤹挹㔷㍣昰搲慦㡦戵㝣㜳愷攲搴㈶ㄵ㈷戰㔰㔲㜱㜲㜵ㄵ㈷ㄹ㍡〵㘱愴㈱㑡㉡㑥㡤㌴㌳戴㡥㠴㔰敡ㄱ户攲捣㘳㜳㉥㍡昸㠳㜹㘳㡦㝢昶挱扤㥦㜸晡扥㠴攲㜴㉡ㄵ敦㠲㠵敤昵㌵㡥㈵晣㥡㈳挹戲昱㤲㌶㐷㌱昶慥㄰挶㘸㠸〶㙤愸㐴挲ㄸ㉢㡤㌴㡦㠱㔰敡㍥户敡敤㠷㑦扢㌰㜹晥㘶㌳捦ㅦ晥㜴晦捦㔷㥤搹㐳㜱㝢㤶慡挷㘱㘱敤搷㜹㍣㐳㑦㠰㌰㈶㐲攸敢㥣㑥㡣㌴㈷搱㍡ㄹ㐲愹㍢摣㡡㕦㝥昲挶㍢㝦ㅥ㜵搷愴换㌲愷摥戸摤㤷敤㐷㉡敥㌸愴攲摤戰㔰㍥挲扣㙥慥ㅣ㘰挹㤸㌹㤵搱愷㐱ㄸ搳㈱昴扡㔳改㤱收っ㕡㘷㐲㈸㜵愳㕢昷㕢㥦摣㝢捤收て摦扤摢挹敦㍤㜱搶捤㔷㌶昵㔶摣㕦㐹摤戳戱㌰㙣㕥㐷㌳收㈱㙣㘴ㅤ挳愷㌷户㡤㡡㠵挳攱攱搳㥡ㄷ摡㉤捤㜶㘷搷㈸昴㐰㜸昸昴散戲㔱㜱㉣㤸㜳ㄸ㝤㉥㠴㌱て愲㜶捣攴㜸摡摣㥤扡㍤㈰㤴扡摡慤昱搷㙢㡦散晦挶㔶㕢㑦扦散慢㔵㍢扤搰㜵愴慤㝡挳㉣㌵敥㠵㠵㤲ㅥ㡥慥戶㠷昷㘶散昹㄰挶㍥㄰㈵敢㡡慤㘹㕦㕡昷㠳㔰敡㔲户收挷摡捥㍣昶㤷昷摢挷摣㜹挷㠰愵㡦ㅣ晥㥦挷ㄴ昷挸㔲㜳ㄳㄶ㌶搵挷㔶㍣搹㑤㜳挲㍣〰㘶㌳ぢ㘱攴㈰昴㥡㌲ㄸ挵㜹㕡ぢ㄰㑡㥤攷搶㌴昶愵㠷㔶扥晡散㙤㌳敦昹换㙤〳慦㝣昱戸扤ㄵ㜷晢㔲㔳ㄱぢ挳昵㥡挲㈳㘲慢㤹㌳㔲㌱昳㐰㠶㕦〰㘱㌴㐳攸㤵愷㌰㥣づ愲㜵㈱㠴㔲㘷扡㤵扦㜰攰㤹㐳㈶晥昸㙢攳㈵搷摤戳㙡敢昱扦扥愶㜸戸㈱㤵户㘲愱㘴ㅣ㐷愲摥㙡㐶㉢㈷㡤㌶㠶㙥㠷㌰ㄶ㐱攸ㄵ㐷挰敦挱戴㜶㐰㈸戵捡慤㌸㌵收搵散て摢㌶㑥扤㜶挰㥤㤳㜷㕥昵昵敦ㄴて㜱愴攲㉥㉣㤴㔴摣㍤㕢㔵捥昴收㘲㠶㕥〲㘱㉣㠵搰㉢㑥㘵㐶㥡换㘸㕤づ愱搴昱㙥挵㉦捥愸戹昸晢搰摥㘳㙥戸戴捦愱敦昵扦㝤ぢ挵挳㉡愹昸㔰㉣㤴㜴㙣㐴ㅢ㔲㘱昳㌰挶㍡ㅣ挲㌸〲㐲慦㈹㡥㥡㡥愴㜵〵㠴㔲㐷扡㌵愹㉦扦㜹收换慦㕥㤹㜲晡捤㕢㡦ㄹ㌹㙦换扤ㄴ㡦摤愴愶愳戱㔰戲㡡摤扢㠲㠰〹昹ㄸ愰捤㘳㈱㡣攳㈰昴㡡㘳ㄸ㔱挷搳㝡〲㠴㔲换摣㡡ㅦ晥㘶敥搰改㕤挵㠹挷㥤扥捤〵戳晦㝥晢㍣挵攳㐵愹昸㈴㉣㤴捤ㄱ㘹慦㔷〳攷㠸㤳ㄹ㝤㈵㠴昱㍢〸扤敥㈴晡㜵ㄵ慤扦㠷㔰敡㘰户敥㥥户㍥昵㠷摦㘶㑤㥤㜰收㕤捤㌷㝥戵挵㉦㝢㉢ㅥ愶㑡摤愷㘲㘱晢戲㌹㈲㔵㌲㐵愴摤ㄹ〲㤳㙥搸㍣㡤戱㑦㠷㌰捥㠰挰っㄱ㡢㥢㘷㔲㜷ㄶ㠴㔲〷戹昵慤搸㘰挸㠰㔳㌷㕥㌱改愴㔷て戸晣换昳戶㕡愰㜸㐴㉣昵㥤㡤㠵ㄲ㤲愳摤扢㠰戲㍤㐰㌲㘵晥㤱愱捦㠱㌰捥㠵搰㔷㌴㡥ㄵ㍤㡦搶昳㈱㤴捡扢ㄵ捦㜹㙥㠷慢戶晦攲慥〹㌷㉥ㅥ㜰挷㝤敢㙤㜹㤵摡㄰㘶愹昸㐲㉣㤴㑣㑤㤱愸扦搵愶换㌷㥤㡣㜹ㄱ㘳㕦っ㘱㕣〲愱搷㥣挲扥攷㔲㕡㉦㠳㔰㙡㕦户收〹㍦㍤搳戴㙣攱ㄱ㡤ㄷ㑤戸扤搷㡣挵㍢㥣愴㜸攸㉦㌵㕦㡥㠵戲㥡晤㜵づㄸ㔸㔷㌰昶㤵㄰挶㔵㄰㝡捤〹捣ㄶ㔷搳㝡つ㠴㔲扢扢㌵摦㌸攷晥㐱收〷〷㡤扤㝤㤷敢㥢㐳㥢戴捥㔱㍣摦㤰㥡慦挳㐲搹㔴㤵挸慣㜶㘴㕤捦昰㌷㐰ㄸ㝦㠶搰㉢㑦㘲㜳扡㤱搶㥢㈰㤴㥡攱㔶㕥㝣昷扡㍥㌷㍤昵挹攴扢㌲昵慢戶戹昶敡㘳搵㈶㌰㑢攵户㘰愱㙣㔴㐷㔶㔳㜷搲扣㤵搱㙦㠳㌰㙥㠷搰敢捥㠰昲㍢㘸扤ㄳ㐲愹㐹㙥摤攱㔷晡搴挶㙢てㅦ扦敡搹捦㡥㍣敢戳㡦㕥㔴㥢挲㉣㜵晦〵ぢ㈵愳㉣ㄶ昷慡づ㤸慤敥㘶攸㝢㈰㡣㝢㈱㑡㉡挶㈸扢㡦搶晢㈱㤴㙡㜴㉢㕥戰㔷攲敥㠹ぢ㝦㍦晤愶晦晣晢攷㙤ㄶ摥㌸㐴㙤〶戳㔴晣㈰ㄶ㜶㉣摤㌹㈴ㄲ晥㌸ぢ摣㤸晦捡昸て㐱ㄸて㐳攸戵㈷㌰㤱㍣㐲敢摦㈰㤴捡戸戵晦搴㜲昷㑦㡤㥦㜷㑣扦㜰㤷戶晣㘵㠷摥㌴㐸つ㠰㔹㙡㝦ㄴぢㅢ敢戵愷晤㠱㤶㌰ㅦ㘳愴挷㈱㡣㈷㈰昴㝡㤲㤱㤱收㤳戴㍥〵愱㔴搴慤㈷摤㌸㜶搳㐱㜵换挷摦晡昰敥摦晣慥昷ㄵ昷昴㜹ㅡ收搹敥㔹挰昸㡥散㔲㥣㔷㜵㥦戲㐵㐷㘰敤搶收㕣ㄵ愷慡挵㐴㌱㔵㡣㐴ち㠹㜰㌶㤶慤ㅢ㠴戰㙢㝢㔲挴摤㐲㥦攲㥥捤㙤㠵昶愵㜲㤶戴昹搸㙣愷摤㝤搲㌴捣戵㡤㙤㕦摣㔶攸ㅣ㄰㙣㥣摢㤵敤戲㌷㉢户㜵〷愹㜰㥢㡢㜳㐸扢㔳敡摢戲摣㙤㡦㙣换㘲㝢捣戲㘶挷扣㐵㤹ㄹ㘷㤰敤戹敡搶㠹ㅤ昶挱扥戵愲㐵㘳㜰㠹㘳㠹挴慥㔸㑢挷攴戴㙢攰戸〵敤㥤㜶㥢㌴㙦㔸敢慣收晣㐲扢㘳慥捤ぢ㈴㜶㐱㔶㜵㐳㥡摣搳搸㘱㌳摢戰愲㌸㌱㉤っ搶戵挵〹换扡散戶㠲㕤㐰㝢ㄷ搹ㅤ㕤换攷㘵㜳㉤昶㐶㈵㄰愷㑥ㄸ㌶㉤㔱㑦㙣捦㉦敥ㅣ搷摥搶搵搱摥㔲㙡ㄹ㔳㔸㤲挵愹㜳㘱㝡㝢挱挶㤹㙦㉤㍦㌵慡愶㘷㑦愵㙡㜶〸㍡晤㘴摣捥ㄱ搲ㄱ㕡ㄷ㙦㠱㍥摦愴㜴搸㡤㤸㠳戵挳㕡戴搸ㅣ㤳㍤㠶慣㈱㤸挴㘵㤸敤慢〳戵㜵攲搵㈴愲户慢㡥㤶㌶晡㍤昷晦㉦戸㐷㡦つ摣戵㥦戰〴㤷ㄷ㈶㘷摢ち㉤㜶挷㙡慦㠵㈹戶挸㝣〶愲㙥㈷㙣捤㔵搹慢〵㐲㉤㔳换敢㤶㌶ㄷ扡ㄶㄸぢ散收〳ㄷ昰㐸て搷换敡敢㐹㙤挵挷㝣づ㉡昳㜹㡡ㄷ㈰㐲愱ㅡ攳㐵㠲㡣㤰昹㤲㔳慥ㅢ㡣晦搷晤挲㐵て㜸㤹㜲愱〴㔷戵㍡敢㕡㈷戶㜷㜴昶散ㄹ戴㤶㤳戳㥤ぢ扡㌸㍣㔷㙦㘴扣㤷㈹㕥㠱愸ㅢ〲戱挶敢㈲つ〰搵昲昲㑦摦搶昱㜶㌱㡢㡢㙥戲㜵慢㙣㕤慢㜳ㅤ㘷扣摤㤹㌷㜹挱㘷ち戶㤵㘵〶㤶戰昱昷㘹攵攸户㤷㜵㡤捦㜶㘵㝢戵攲搲ㄱ㝡挹〴㘸㤸㜸㌹㑢昴散㉢㍡捦㍢攴㤶㄰挱㤲㐵㉤㑡㙦㔱㌸㤱戰攱㘰㝢愹改改捡搵慦〴摡扥㈵㔶挲㈸ㅦ攸愵㤷㠰㜰㘵慡㌰挹㙥㥢户㝣㤱摤㐹㜸扤戱㕡㉡换㌷㉦〶㥢㤹捦敤摥搵摣搲㌹〲㉤㥤搴搱扥㜸搱晦㘶ㅣ挶㌲㕦㠵昰㍥㜵摢㘰ㄴ慦晤㍡㠱慥㥡㕥㑢搸㌷㑤㑤㌵昵㡣㐶㡤昱㍡㠴扥摦攳ㄵ㈷づ㕥挴晥つ晦挹挷㝣ㄳ晦㠵㑣㐲慢搸敡㠶挲戶㉥㔷捦敡㠰敦搳ち挲收㜵搸㜲㍤戰㕥ち㈰扦㙦敢㥥敤ㅤぢ㜳敤敤ぢ㌹扣晡㐹愹㜳㠱㙤㜷昱ㅡ㕢㙦昷㥡愲㕣㍢㔴慡㘷捦㤲慢㘱摡挵戸慤㄰摦㜸〷愲敦㤸㤶㤶㠱㕥挴㑥攳㕤愸㝡攲㙡㥦昱ㅥㄶ㘶つ㥡㌵㘱捥扣愶〹换戲慤㡢㕡散ㅤ㘷㉦捥戶攰㍡攵㡥㌳ㄷ㜵㑤攸ㅣ戸㈴ㅣㅦ戸ㅤ㑥搵攳搱戰摤戹晤晢㌷慣晣㘸挵㔱敦摦㜹攲晢愷㥣昶昱㡡愳㍥扣敥扡㝦摥戹攲挳㤳㑥㥣㍥㈶昶挱㔹㌷㝥戰敡㠶ㄱ换㕡㍡㤷愹捤挱ㅡ慦㜰摤㍣戹昷散ㅢ㥦㍡愳昱挶ㅤ㕦ㅡ㍦散晡〵㑤㙡㠰㙢愸戸散戶ㅤ摡㌱〸㍦昳〳〸戵㈹㘰㥣㥣戰㕣晡㌱㍦㐲搹晣㤸攲ㄳ〸㑣㌱搲ㄳ㤸㘱㍥㜳㡡㙡㝢晣捦㔹挶晣㥣攲㕦㄰㙡ㄸ〴户㜱昳摦㄰摥㐷㔹㠸捦愱㈳摤晦㈵搴㈵摤㡦㠳扢㡡敥晦ち愰㤰㐹㘸ㄵ㥢ㅡづㅢ㠷㠰㐹捡㑤㤲㙣㤲㘰㘵愰㥥㐰㍥敡㕣㐳挵愵挰㥤攰㈶㝣晣㑣晦㥥㠰〵昳昱㉢敢㈰㑦㈶挷戱挶㐷て愷愸挲戰〹ㅦ㍤愱㌰㜹慢㐴㐵愱ㄲ㍥敡㔰昲㍥敡挷㕦㌵㍥㝡挱愲昳挱ぢ㠹ㄵ㝣㤸〰㠵㑣㐲慢搸㔴っ搱㠳昸昸〲㜵〵昲昱㙦搷㔰㜱㠵㌲㠹㐸㠳昰㌳搷㐷㜵敡㜳挰㠲昹攸捦搶㙣㐸戱ㄱ㠴挶挷㈶㑥㔱愵㄰㐴昸搸㤴愰捤㈰㔴〶㉡攱㘳〰㑡摥㐷晤㔳攷㘳ぢ㔸㑡昸挰攱㜷〵ㅦ㕢〱ㄴ㌲〹慤㘲㔳㈳ㄱ㍤㠸㡦搷慡昱昱慡㙢愸戸㜰㍡ち㤱〶攱㘷㙥㠷敡搴换㔵昹搸㠱慤ㄹ㐶㌱ㅣ㐲攳㘳㠴㔳㔴扢㈲㠸昰戱ㄳ㐱㘱〸搵〸㤵昰ㄱ㐱挹晢愸晦搱昹㠸挱㔲㜱搵戵㠲㤰〴㔰㈱㤳搸㑡㐲挴愶挶㈰㝣㄰㈱て㔷㈳攴㈱搷㔰㜱㌹㜷㍣㈲つ挲捦摣ㄵ搵愹〷慢ㄲ搲挸搶㡣愱ㄸぢ愱ㄱ㌲摥㈹慡〹〸㈲㠴㑣㈰㘸㈲㠴攲㔵㕤㈱㘴ㄲ㑡摥㐷摤愹ㄳ㌲〵ㄶ㝤㠰昰㘲㜰〵ㅦ㔳〱ち㤹㠴㔶戱愹挹㠸ㅥ挴挷つ搵昸戸摥㌵㔴㕣㘵㥥㡡㐸㠳昰㌳攷愱㍡㜵㙤㔵㍥昶㘰㙢昶愴搸ぢ㐲攳㘳扥㔳㔴搳㄰㐴昸搸㠷愰㝤㈱搴っ愸㠴㡦晤㔰昲㍥敡㔲㥤㡦㈶㔸㜴㍥㜸㠱扡㠲㡦㉣㐰㈱㤳搰㉡㌶㌵ㄳ搱㠳昸昸㘳㌵㍥捥㜶つㄵ㔷扥攷㈰搲㈰晣捣㠳㔰㥤㍡慢㉡ㅦ㉤㙣㑤㉢㐵ㅢ㠴挶挷㈲愷愸收㈲㠸昰㜱㌰㐱ㅤ㄰㙡㜷愸㠴㡦㑥㤴扣㡦晡㥤捥挷㘲㔸㜸搱㍣㕣戹愶㑢㘱ち㤹〴㔴戱愹㍤㄰㌳㠸㠵愳慢戱㜰㤴㙢愸戸ㅡ扦㌷㈲つ挲捦㕣㠱敡搴㤱㔵㔹㌸㥡慤㌹㠶攲㔸〸㡤㠵攳㥤愲㥡㡦㈰挲挲〹〴㥤〸愱昶㠵㑡㔸㌸〹㈵敦愳㤶攸㉣慣㠴愵㘴㔴〴敤㘶㔷〱ㄴ㌲〹慤攴㐳㙣㙡㍦㐴て攲愳愵ㅡㅦぢ㕤㐳挵㍤㠲〳㄰㘹㄰㝥收ㅦ㔰㥤㙡慥捡挷ㅦ搹㥡㜳㈸捥㠵搰昸㌸摦㈹慡㉣㠲〸ㅦㄷ㄰㜴㈱㠴捡㐳㈵㝣㕣㠴㤲昷㔱〷攸㝣㕣〲㡢捥〷㙦㌸㔴㙣㈵㤷〱ㄴ㌲〹慤㘲㔳〵㐴て攲㘳㡦㙡㝣散敥ㅡ㉡敥㘴昰㜶挴㈰晣捣敢㔰㥤㥡㕢㤵㡦ㅢ搸㥡㍦㔳摣〸愱昱㜱戳㔳㔴ぢ㄰㐴昸戸㠵愰㕢㈱搴㐱㔰〹ㅦ户愱攴㝤搴㙥㍡ㅦ㜷挰愲昳挱㝢㈰ㄵ㝣摣〵㔰挸㈴戴㡡㑤㉤㐴昴㈰㍥ㅡ慢昱㌱摡㌵㔴摣㕣㘹㐳愴㐱昸㤹㝦㐵㜵㙡㔴㔵㍥ㅥ㘶㙢ㅥ愱昸ㅢ㠴挶挷愳㑥㔱戵㈳㠸昰昱ㄸ㐱㡦㐳愸㠳愱ㄲ㍥㥥㐰挹晢愸戸捥挷㔳戰攸㝣昰搶㑣〵ㅦ㑦〳ㄴ㌲〹慤㘲㔳ㅤ㠸ㅥ挴挷づ搵昸搸摥㌵㔴摣昳㔹㡣㐸㠳昰㌳㕦㐱㜵㙡摢慡㝣扣挶搶扣㑥昱〶㠴挶挷㍦㥣愲㕡㠲㈰挲挷㕢〴扤つ愱㤶㐱㈵㝣扣㠳㤲昷㔱㕢敡㝣扣〷㡢捥〷敦ㄸ㔵昰昱㍥㐰㈱㤳搰㉡㌶戵ㅣ搱㠳昸攸㕦㡤㡦つ㕣㐳挵慤愸挳㄰㘹㄰㝥收扦㔰㥤㕡慦㉡ㅦ㕦戰㌵㕦㔲晣〷㐲攳攳㙢愷愸づ㐷㄰攱攳ㅢ㠲扥㠵㔰㐷㐲㈵㝣㝣㠷㤲昷㔱昵㍡ㅦ㍦挰愲昳挱晢㕡ㄵ㝣晣〴㔰挸㈴戴㡡㑤慤㐰昴㈰㍥㝥晤愵捡㘱晡㉦慥愱攲㠶搹㌱㠸㌴〸㍦戳戶〷搶攰㈷挰㠲て搳つ㤸捤㕥ㄴ昵㄰ㅡㅦ㈱愷愸㡥㐵㤰挱っ搴㥢愰㍥㄰㡡昷捤㠴㡦扥㈸㜹ㅦ昵ㅦ搴攱㥦挶㌵挰愲昳挱摢㙤ㄵ㝣慣〷㔰挸㈴戴㡡㑤昱收㕣㄰ㅦㅦ㔵攳攳㐳搷㔰㜱ㅦ敦㘴㐴ㄲ㍥㌶㐳㜵敡晤慡㝣㙣捥搶㙣㐱戱㈵㠴挶挷㐰愷愸㔶㈲搰㘰晣捣㐱〴つ㠶㔰扣㤷㈷㝣㙣㡤㤲昷㔱㙦攸㝣っ㠵㐵攷㠳户〰㉢昸搸ㄶ愰㤰㐹㘸ㄵ㥢晡㍤愲〷昱昱㕣㌵㍥㥥㜵つㄵ昷ㄶ㑦㐳㈴攱㈳㡣敡搴搳㔵昹㠸戲㌵㌱㡡㌸㠴挶㐷搲㈹慡搳ㄱ㘸㌰㝥㘶㡡愰㌴㠴㍡ㄳ㐵攱㈳㠳㤲昷㔱㝦搳昹搸ㄹㄶㅣ㠵㐵㌳㤵㙢㍡ち愶㤰㐹㐰ㄵ㥢㍡ぢ㌱㠳㔸戸愷ㅡぢ㜷扢㠶㡡㍢㥥㝦㐴㈴㘱㘱㈲慡㔳㜷㔵㘵㘱㌲㕢㌳㠵㘲㌷〸㡤㠵㘹㑥㔱㥤㠳㐰㠳昱㌳愷ㄳ㌴〳㐲㥤㠷愲戰㌰ㄳ㈵敦愳㙥搴㔹㤸つ㡢㍥㉡㜸扦戴㘲㔴捣〵㈸㘴ㄲ㕡挵愶捥㐷昴㈰㍥慥愸挶挷攵慥愱攲㐶散㐵㠸㈴㝣散㡢敡搴㘵㔵昹搸㥦慤㘹愲㌸〰㐲攳㈳攷ㄴ搵挵〸㌴ㄸ㍦㌳㑦㔰〱㐲㕤㡡愲昰㘱愳攴㝤搴戹㍡ㅦ〷挲愲昳挱扢戸ㄵ㝣㌴〳ㄴ㌲〹慤㘲㔳㤷㈱㝡㄰ㅦ愷㔶攳攳ㄴ搷㔰㜱㝢㤸户㜹㠵㡦づ㔴愷㔶㔵攵愳㡢慤㔹㑣戱〴㐲攳㘳㤹㔳㔴扣㔵㍣ㄸ㍦㜳㌹㐱㠷㐰㈸摥㈴ㄶ㍥づ㐵挹晢愸㘳㜵㍥づ㠷㐵攷㠳昷㤶㉢昸㌸ㄲ愰㤰㐹㘸ㄵ㥢扡〶搱㠳昸㌸愴ㅡㅦ换㕤㐳挵㑤㙢摥㜹ㄶ㍥㑥㐴㜵㙡㘹㔵㍥㑥㘶㙢㔶㔲晣づ㐲攳攳昷㑥㔱摤㠰㐰㠳昱㌳㑦㈱攸㔴〸挵晢搶挲挷㘹㈸㜹ㅦ搵愶昳㜱〶㉣㍡ㅦ扣摤㕤挱挷㔹〰㠵㑣㐲慢搸搴㑤㠸ㅥ挴㐷愱ㅡㅦ㜹搷㔰㜱ㅦ㥤㜷挳㠵㡦ぢ㔱㥤捡㔶攵攳㘲戶收ㄲ㡡㑢㈱㌴㍥晥攴ㄴ搵㙤〸㌴ㄸ㍦昳㜲㠲慥㠰㔰扣㤷㉥㝣㕣㠹㤲昷㔱㝢改㝣㕣つ㡢捥〷㙦挱㔷昰㜱㉤㐰㈱㤳搰㉡㌶挵ㅢ昶㐱㝣捣愸挶挷㜴搷㔰㜱㙦晦㙥㐴ㄲ㍥㙥㐵㜵㙡㙡㔵㍥㙥㘷㙢敥愰戸ㄳ㐲攳攳㉦㑥㔱摤㠳㐰㠳昱㌳敦㈶攸ㅥ〸㜵ㅦ㡡挲挷扤㈸㜹ㅦ㌵㔶攷攳㝥㔸㑡昸〸㥡㑦ㅦ〴㈸㘴ㄲ㕡挹㠷搸搴晤㠸ㅥ挴㐷扡ㅡㅦ㈹搷㔰㤱㜲昰㔷㐴ㄲ㍥ㅥ㐷㜵㉡㔱㤵㡦㈷搹㥡愷㈸晥〷㐲攳攳ㄹ愷愸ㅥ㐲愰挱昸㤹捦ㄲ昴ㅣ㠴㝡〴㐵攱攳㜹㤴扣㡦ㅡ慥昳昱㈲㉣㍡ㅦ捣㔵愸ㄸㅦ㉦〳ㄴ㌲〹慤㘲㔳捣㙣〸攲㘳㜰㌵㍥〶戹㠶㡡㈴〸愶㌷〸ㅦ㙦愳㍡戵㔵㔵㍥摥㘵㙢摥愳昸㈷㠴挶挷〷㑥㔱㍤㡥㐰㠳昱㌳㍦㈴攸㈳〸挵攴〸攱攳㘳㤴扣㡦摡㐸攷攳㔳㔸㜴㍥㤸㔳㔱挱挷攷〰㠵㑣㐲慢搸ㄴ㌳㌰㠲昸攸㔳㡤㡦摥慥愱㍣㔹愳㡥㌷㝦搷攱㈶㝢㙦挰捤攲ㅥ捤昶㔲摥ㄵ散㔷㐴晥晡戸挵㥤㕤敤㜲ぢ戳㙦㜱㝣晢㡣昶慥昱捤㥤㡢㕡戲换㌷㈸扡ぢ㝢㉥戰摢㤰㘰搰㠱㍣㠳㌲㕤晢愲㐵㜶挱㉣捥㙤㕦摣㤱户愷㡣晦扦㤰㠰㈰摤㠶扢㘸㑡搵昴㔰昸晣㜷昷搴㙢攰㠹㐱㠳㑦㑤摤㜳〸㔹㝥㙢㔴戲攸戵㌴〶㔹戴〰㙣攸㘶㜴㕥㜳㔷㡢摤扢㈸㈹〴戲㕣㕦〴㡢挸摡㈸昴㉡捥㕢㠰㝢㠴攳晢ㄶ㈷㜵㌴ㄷ㕡㥡摢㙣㜶㐶㝦〷㍡捤㍥㄰ㄹㅡ戳摡㍢㥢㤹㉥摦户㌸慦㈳摢搶戹㠸㌷㥢昳换搷㉦㈹挹㕤改扡攲搸收戶㑥㔴㈳扤挸攵㠶攲摣〵敤㑢昱户㌳㡢㕢摢㈶㘵ㄷ㜵晥㥦攸ㄵ㈵晤㐲㈱㕤愳㝡愸ㅥ㐸摢敥㔱晦摦昶㡦昱㉤戶慥つ㥣ㅣ愸㠱ㄸ愷㕤ㅤ捤戹挵㈴㑣敡㠹㐲搶㔲㐸ㅦ搶搴㌱㡦愱晣戶戲搶㠵㘵㌹㈱㙣㙢挹摦㠴〴愶㈷昸㝦㤰戴〵攰收㜷㘸㑥㥦敦㈱㜶㥢戴晢㤴敥㙣愹晦愷扦敥愹㘳收挵㕡㈷愷㙣〸㜰㍦㘷〸㌱㘱㠵㈳ち㕢㈶㐶〲㑢攵挳㌲㔴ㄴっ㐷㘸扦敥挵㠹挸㙦攸㔳㥣㤶捤搹㉤㐸换㘸捤㜶昵㜳ち捣㡦挱㕦㝦㜴扡戶㜱敤慤慤㔹づ㌹晥つ换摣㝣戶挵慥㉦㡥㔹摣搵㡥扣㜳戳〸㈱攳搲㔵㘵㤷㐱㤵㕤收㈴㔰ㄴ攷㌰㕤㑢㤶ㄹ慢晤挰㙣㐷㜳搷㠲搶收㝣㍤ぢ㑣愹晡㍦㌱㔶戱㈷愸〵㤹摥挷㥢㑢捡㌳㌲㥣扣〸㜴昷〸㈴㌱㤱㍡㜶㍦㐶㜴て㘵攰㥦晡㉦戳㜹㌰昳挸㑥挳晣ㄱ搱敡昰㤳愹㐸摡昲挵㙦敥㔶昴挵㤱㔸㤰挹㐹㌱ㄹ㠷㕡昳㈷㐰戹挰㕦㉤昳㘱㔶㥢敡搱ぢ㠰搰戴昶㙣㘱㘲㌶㡦扦㐷敢攵晥㌵㕡㍤扡㤶㔳㑤㠷挵攴㥢㜱挸攷㐲㥥搸㤲收㠲摤㔱㑦挵㕣晣戵㕤㉤搳㜶っ愷て戹㌱搷搴搵昵慥て慡㙢㡡ㄷ㙢㠸㥢挳愰晦㌵摦㤴㡡昸㥦捤㑥㡦摥㠱慤ち挹㉥敡㘷慣㡥昹ぢ搷㠹㘹㍤㕣㥦㌲挰慦〴晣〶㔱昷㉡㡣攵㝤㔳㥡〷㠳㙣ㄹㄳ愰㕡昹㍢㉥㘶攸搴㈳㥢㐵㔲㝢敡㘴㐵㝡㙢㈹㌹㠶㤳㡤㔳てㅦ㉣戵㜶ㅡ㜳㌱捡敤㐲挸㤹㕦㤹晡㠳㍤㐳㑤㡦ㅥ戵攸㙡愳㍣㥤戱愲㕡㠶㤸㙢㑢慥㡥㘲㝥㡡挱〴捥㡤戸戱㈰㍥晥㝡戱攴慦愲捡㡦㈳㐲㈱戳〷攰㌵㈱昵㈶愴挷挱㉣㙡ㅣ㤲挰㍥慥捥㐱㈸㘶㕡昰㐸㐰摢㙦㈹愶㔷㜰摦㔵㘳昰㉦攵搶㜶慥㔴ㅦ挳㠳昳愵㘹㌰昰㈷㔸攲㌴攴て换㝡㘸搷㍣㉣㤹挱㈱挳㤲㝦㜸改つ㑢挵㌴づ㙦㌵戴扥づ〱㘳昶㈶昰㕦挱㠰㍥〴昴㈵㠰㔹ㅦ散㙦愳ㅦ㑡㠱㍣〶ㅣ慦㠳㐷ぢ㜰昰昸㤵ㄶ㕦攳㜱㍤挶㕦㥦昱㝦〶愰㥣㐷愶㘵㌸㍣㙥〰挸㕡昳挸㐴づ攱戱㍦〳㤳㠴ㄲㅥ㌷㠲㜶捤㍣昶㠰㥢昰戸戱〴㜱ち慡㈷㔴〱㍣㙥〲㡣戹㈹㠱㑣つ〹〰㙣㐶挰〰〲㤸㉤㈲㍣㙥㡥㔲㄰㡦㐱㐹㈲攰㜱㑢挰挱愳愹挵搷㜸摣㡡昱〷㌲㍥㌳㍢捡㜹㘴㍡㠷挳攳㈰㐰搶㥡挷つ攱㈶㍣づ㘶㘰㘶㠲㤴昰㌸〴摡㌵昳挸㡣ㄱ㝣昱㐷㠷っ㠲〵昹㙤ちㄹ㐰搳㌶挰㤸摢ㄲ挸㤴㤲〰挰㜶〴㙣㑦〰戳㑣㠴挷ㅤ㔰ち攴㌱攰㝣〹㍣づ〷ㅣ㍣㙥愵挵搷㜸摣㤱昱㐷㌰㍥㌳㐲捡㜹㘴ㅡ㠸挳攳㑥㠰慣㌵㡦挳攰㈶㍣㠶ㄹ㤸ㄹ㈴㈵㍣㐶愱㕤㌳㡦捣㌴挱ㄷ搷㜳ㄹ挴攳㤱改㈶〱㌴挵㠱㌱ㄳ〴㌲ㄵ㈵〰㤰㈴㈰㐵〰戳㔳㠴挷㌴㑡ㅢ〷捣㡦昲愷㠰〱ㄳ攴㐸攰㐱㘴㐲慢㐰㈳㜲㘷㔶戰ぢ㉢㘰㈶㐹㌹㤱㡤搰㌹㐴㡥〲㘴慤㠹ㅣ〳㌷㈱㜲㔷〶ㅥ㡢㔲〹㤱㡤搰慥㤹㐸㘶愸攰㡢昴ㄵ〶昱㠸㘴㥡㑡〰㑦㘳㠱㌱挷ㄱ挸ㄴ㤶〰挰㜸〲㈶㄰挰慣ㄶ㈱㜲㈲㑡㐱〳㌲㈸㤹〵〳㜲㌲攰攰㜱慡ㄶ㝦㌶㌵捥㡥㘶ち攳敦挶昸捣㐰㈹攷㤱㘹㈷挲愳挹つ㕢㍥㔱㐸敤〰㕣敤〹㠸㜰㌶㡤㐱㤸㥤㔲挲搹っ㘸搷捣ㄹ戳㔸昰挵ㅦ㐶㌲〸ㄶ攴挷㔴㤶〰㑡㘶〱㘳捥㈶㤰㘹㉥〱㠰㌹〴捣㈵㠰㤹㉦挲搹㍣㤴㠲㌸ぢ㑡㜸〱㘷㝢〰づ捥戲㕡㝣㙤散敤挹昸㝢㌱㍥戳㔴㠴㌳散㐴攵戰㉤㔴愳㤸㥡攲㡣扤扤〱搹戸晢㉦戳搶㜸㌲愳㕡攱㉡㕣捥㘷㜰㘶戶㤴㜰戹㉦戴㙢收㤲ㄹ㌰昸攲て㉦ㄹ挴攳㤲㘹㌰ㅥ㔵㘱慥㥣搳晤晢〳㘳㌶ㄱ挸ㄴ㤹〰挰〱〴㘴〹㘰搶㡣㜰㤹㐳愹㡦户㈱换㕦㤸〶㙣扤〵㠰挰攰㔲㉤慡挶愰捤愸㐵㐶㕤〱㠰㌰搸㝤㕡慥㡥㠶捥㘱昰㐰㐰搶㝡敢㍤〶㙥挲摥〲〶㘶㐶㑣〹㝢〷㐱扢㘶昶㤸㌹㠳㉦晥㥥㤳㐱㍣昶㤸㍥攳㤱愳ㅤ摥戴〰㘳戶ㄲ挸搴㥡〰㐰ㅢ〱敤〴㌰摢㐶搸㕢㠴㔲攰㐸っ㍥扣改〰ㅣ㍣㌲愳挶㡢慦昱搸挹昸㝣㙥㠶㘲㘶㑣㌹㡦㑣㠷㜱戶㕥敥㑥攴㔳扥昵㥥〳㠸㜰戶㠴㐱㤸㌵㔳挲搹㌲㘸搷捣ㄹ戳㙢昰挵晤ぢ〶挱㠲晣㤸㘲攳㌵㔹攳散㄰㘰捣㐳〹㘴晡㑤〰攰㌰〲づ㈷攰㈲〰㠴戳㈳㔰ち攲㉣㈸ㄱ〷㕢敦ち挰挱搹㘵㕡㝣㡤戳愳ㄸ晦㘸挶㘷昶㑣㌹㘷㑣㤹㜱㌸攳㥥㐳㍥攵㥣㌱愱㐶㌸㍢㤶㐱㤸㔹㔳挲搹昱搰慥㤹㌳㘶攰攰㡢㍦㌱㘵㄰㉣挸㡦㘹㌸〱㤴㥣〸㡣㜹ㄲ㠱㑣搱〹〰㥣㑣挰㑡〲㤸戵㈳㥣晤づ愵㈰捥㠲㤲㜵挰搹敦〱〷㘷㜷㘹昱㌵捥㑥㘱晣㔳ㄹ㥦ㄹ㌶攵㥣㌱慤㐶㌸㌳㑥〳㘴慤户㔷㈶攲〸㡦愷㌳㌰㌳㜲㑡㜸㍣ㄳ摡㌵昳挸捣ㅤ㝣昱攷慢っ攲昱挸昴㥤〰㥡晥〰㡣㜹㌶㠱㑣敤〹〰晣㤱㠰㜳〸㘰戶㡦昰㜸㉥㑡㐱㍣〶㈵昹㠰挷昳〱〷㡦捣昶昱攲㙢㍣㕥挰昸ㄷ㌲㍥㌳㜳捡㜹㘴㍡捥ㅡ挶ㅥ㤳㜵㠴戳㡢ㄹ㠴㔹㍢㈵㥣㕤ち敤㥡㌹㘳㜶て扥昸晢㔷〶昱㌸㝢ぢ㑢㕥㤳戵敤昵㑦挰㤸㤷ㄳ昸㜶㌰攰ち〲慥㈴攰ㅤ〰㠴戳慢㔰ち攲㉣㈸ㄱ〸㥣㕤〳㌸㌸㘳㐶㤰搷〰敤〸攵㕡挶扦㡥昱㤹扤㔳捥ㄹ㔳㜶㥣戱㜷㍤㈰㙢㍤昶㤸攴㈳㍣摥挰挰捣昶㈹攱昱㐶㘸搷捣㈳戳㠲昰挵ㅦ搴㌲㠸挷㈳㔳㠳扣搵搰㜸扣ㄹㄸ昳ㄶ〲㤹㌶ㄴ〰戸㤵㠰摢〸㘰㈶㤱昰㜸㍢㑡㐱㍣〶㈵㄰㠱挷㍢〱〷㡦捣㈴昲攲㙢㘳敦㉥挶晦ぢ攳搷攲摡㑡㌹㡦㑣昵㜱㜸扣ㅢ㤰戵收戱ㄷ摣㠴挷㝢ㄸ㤸㔹㐲㈵㍣摥〷敤㥡㜹㘴㌶ㄱ摡㡣扦搱㘵㄰㡦挷摥搰㝡慢愱昱昸〰㌰收㠳〴㌲摤㈸〰昰㔷〲ㅥ㈲㠰ㄹ㐸挲攳挳㈸〵昱ㄸ㤴㜸〴ㅥ晦〶㌸㜸㕣㑦㡢慦昱昸㜷挶㝦㤴昱㤹㉤㔴捥㈳㔳㠴ㅣㅥㅦ〳㘴慤㜹摣〲㙥挲攳攳っ捣散愲ㄲㅥ㥦㠴㜶捤㍣㌲ぢ㐹㜸㝣㡡㐱㍣ㅥ〷㐱ㅢ㐰搳晦〰㘳㍥㑤㈰搳㤴〲〰捦㄰昰㉣〱捣㕣ㄲㅥ㥦㐳㈹㠸挷愰㠴㈵昰昸〲攰攰㜱㕢㉤晥ㅣ㙡㥣㐳捦ㄷㄹ晦㈵挶㘷㤶㤱昰愸ㅤ㐵㌳戵㐸㜸㌴㜹ㄴ㉤㥦㈸愴㝥收ㄱ〳㐴㌸㝢㠵㐱㤸㠱㔴挲搹㙢搰慥㤹㌳㘶㉡〹㘷慦㌳〸㙡㤰ㅦ搳㤵㍣㑡挲㔰扡㑤㝥〳ㄸ昳㑤〲搳挱㠰㝦㄰昰ㄶ〱捣㙥ㄲ捥摥㐶㐹㍢㕡挶搳ㄶ〲㡥㤶摦〵〸㑣㡤搲愲㙡㈳敥㍤㐶晤㈷愳㌲ㄳ愹㝣挴㌱晤挸ㄹ㜱敦〳戲搶㈳㙥ち摣㠴扤てㄸ㤸㤹㑢㈵散㝤〴敤㥡搹㘳㠶㤳戰昷㌱㠳㜸散㌱捤挹㘳㑦摢㜲㍦〱挶晣㤴㐰愶㐰〵〰㍥㈳攰㜳〲㤸ㄵ㈵散晤ぢ愵愰ㄱㄷ㤴っ㠵ㄱ昷〵攰攰㜱慥ㄶ㕦攳昱㑢挶晦て攳㌳㠳愹㥣㐷愶㉤㌹㈳慥敡㤱㕦ㄳ㈰挲搹搷っ㜲〰㑡㈵㥣㝤ぢ敤㥡㌹㘳ㄶ㤴㜰昶ㅤ㠳㜸㥣㌱ㄵ㉡㠰㤲敦㠱㌱㝦㈰戰㄰っ昸㤱㠰㥦〸戰〱㄰捥㝥㐶㈹㠸戳愰㠴㈹㜰昶㉢攰攰慣㔹㡢慦敤㝤㝦㘳晣ㅡ摣㌴㔱捣㜲㉡攷㡣愹㑤づ㘷ㅣ㝢昲㈹摦㑡㤹昸㈴㥣攱扡㝡㡤㘲〶㔴〹㘷昸㝢昲戵攰㙣ㄹ摣㠴戳㍡〶㐱㍤昲㘳扡㔴〰㘷〶㌰㘶㉦〲㤹㑡ㄵ〰愸㈷㠰㡦っ㔴捣慥ㄲ捥㐲㈸〵㜱ㄶ㤴㔴〵捥晡〰づ捥㡥搴攲㙢攳慣㉦攳昷㘳㝣㘶㐲㤵㜳挶昴㈷㠷㌳㥥摤捡愷㥣戳㤵㠰〸㘷ㄶ㠳㌰㑢慡㠴戳昵愱㕤昳㌸㘳㌶㤵㜰戶〱㠳愰ㅥ昹㌱愵㉡㠰㤲晥挰㤸ㅢㄲ挸㜴慢〰挰㐶〴㙣㑣〰㌳戰㠴戳㑤㔰ち攲㉣㈸昱ち㥣㙤〶㌸㌸㘳〶㤶ㄷ㕦攳㙣〰攳㙦捥昸捣㤶㉡攷散㘲攸㠴㌳㘳ぢ㐰搶㝡㡥扢〴㙥挲攳㤶っ捣散慡ㄲㅥ〷㐲扢㘶ㅥ㤹㠵㈵㍣づ㘲㄰㡦挷换愱昵㔶㐳㥢攳〶〳㘳㙥㑤㈰搳戴〲〰㐳〸ㄸ㑡〰㌳户㠴挷㙤㔰ち攲㌱㈸㘱ぢ㍣㙥〷㌸㜸扣㔶㡢慦昱戸㍤攳敦挰昸捣戲㉡攷㤱愹㔵捥搸慢㝡㐵㠰㠹㔷挲搹㜰〶戹ㄳ愵ㄲ捥㐶㐰扢㘶捥㤸愹㈵㥣敤挴㈰ㅥ㘷㑣搷ち愰㈴っ㡣ㄹ㈱㤰愹㕣〱㠰㈸〱㌱〲㤸摤㈵㥣挵㔱ち攴㉣昸㉡㑡ㄲ㜰㜰昶愰ㄶ㕦攳㉣挵昸㘹挶㘷㈶㔶㌹㘷㑣扦㜲㌸慢㍡挷㌱㌹㑢㌸ㅢ挹㈰捣搲㉡攱㙣ㄷ㘸搷捣ㄹ戳戹㠴戳㔱っ攲㜱挶㤴慥〰㑡㜶〵挶ㅣ㑤㈰搳扤〲〰㡤〴㡣㈱㠰ㄹ㘰挲搹㔸㤴㠲㌸ぢ㑡晣挲㌸ㅢて㌸㌸㘳〶㤸ㄷ㕦攳㙣〲攳㑦㘴晣户〱㈸攷㡣㈹㕡捥昶㍡〹㤰戵摥㕥㤹搴㈵㍣㑥㘶㘰㘶㜷㤵昰戸ㅢ戴㙢收㤱㔹㘰挲攳㔴〶昱㜸㘴㉡㤸户ㅡ摡昶㍡つㄸ㜳㍡㠱㑣ㄳぢ〰捣㈰㘰㈶〱捣ㅣㄳㅥ㘷愱ㄴ挴㘳㔰挲ㄸ㜸㥣〳㌸㜸㘴收㤸ㄷ㕦攳㜱㉥攳捦㘳㝣收㤹㐸扢㜷㘷挹㙤㜷ㅤ㜳〵捡㙦㠱㔷愴㈷㐸つ㐵㈶㉡捣敤㕡摥㠲攴㄰㉥昲㤶戸戳挴㥢晢㈱搱攱㐶㝤㝢〷㙥㈱搶㤶㍦㑦挴昷㝤ㅡㄵ昷敥㕦昶慣ㄶ㜱愳㠵㜹㄰㜵搷晣㔴昹㍣ㄲ摦㥦つ敦㝥㜰〳㝤昸㌱昶㐴ㄳ晢㑦㙦捥㜷戴㜷戶ㄷ扢〶捥㐵攲搳㐰㍥晢愶㔸㔳ㄳㅥ㔳㜷ㄵ㈲〶搶挹ㄵ慢㙤攳〳㔸㤷昰㔹㄰愱㠵㙤敤㑢摢愴㌵㜵㥤㝣〴㤰昰搵慢ㄷ慢〹戱ㅥ㝥戶〶㜹ㄶ㜳㈶㉣ㄴ捣扤ㄱ愲㙦㠳挵愴〳㝣㙢㡣昹㈸てㅤ㌷㜶摣㥣愶㜴〲㡦摢㉤㐶ぢ改㐲㍣ㄲ户挳挹㕣㌴㥤㈸㐶㘲挵㔴㍣㥣㑣攵㘳㘹㘳ㅦㅦㅡ㠹攵搲搱㜴戱㤰㈹摡㠵㜸㍣ㅦ捦㠶愳㤱㜰㉣㤱㡣愶昳昱㐸扡㤰戵㤸捥挰昰收扥昰㌱昷㠳戰㤸挵㈰慡晤愹㙡愲㡡㌹つ愵愸扡ㅥ㌸〴㔸摢㔴〳㠴愸㔱㌹㤵㔷〵㘵搷昶敡愵㠶㤶㍤摣愶㈲㐵挱㝦㍡㠸㘱㌰㐳愱敥㐲搰扣㜶㑥愵扤㐸㘷ㅥ慡㤸㜹慥㑡〱㈲㘴昵㠴㠲㍡挳㐶㜱扤㜱㘳㥢㑡ㅦ㥦㙢ㄴ愱敥〳戵㘴㘱攰戹扣㥤挶㠱搰昴㠳㐶㑢挹戲㙡摤㈸收〲ㄸ捤挱慣㘳㄰㠴㌲愰㤷扥㕤〸㍤ㄷ攴㔷て㉤户〷㜵㈶㔶㠴愳㄰〶晣㔵㌴㈰ㅣ㐵敡㜴㘸㌸㤲㑡㐷㠲〹㈷ㄹ〹敤挰㘱㈴㠴㔰㘶㈷ㄸ㡢㔰㜶㐶㐲㉣㤱捡㘷㘲昹㐸㌴ㄶ㐹挵ぢ㤹㝣㉥㤹㡤攵㔳攱㐴扡㤸㡡愵戳戱愴㜱戰て㑤挶㤳搱㕣㉥㥡㑦摢挹㜴㍣㤲㡢愴㘳㠹㐸㌴ㅣ㈹㘴愲㜹戸挶㔳㔶㙦㌷扣搹〱ㅦ戳ㄳ挲敡攳愹扡㐷㐲㕦㑦攵愳㤴㐵ㄵ㝥敡㐴慣〲㝢ち换戸愲捥㈸㠷㐰㠴慣昵愰㄰ㅤㄹ㌷挹慦㐹㑡慤昵㍤晤ㄱ㔴㙤㑦慦敤㈰㔴㝦攸㠵挳愳愰昷㌹摣〸㕡攱昰〸㔴攱㜱㘸ㅣ〳㐸搵捤㔳ㅤ〶㘸㈵戱ㅢ㈳㤲㄰㝢ㅣ㥣㐱散㈶㈸ぢ戱挷愳散㄰㥢挸㘵ㄳ〵㍢㘷挷戱㘵挵㌳昹㔸㉥㤱㡢㐵愳搱㑣摡捥挷㡢搹㘴摣㌸挱㠷㠶敤㑣㉣ㄶ㑤愷愳攱㐴㈱㥥㑢愴戲攱㐲㌱ㅤ㐹ㄵ挲昹㝣㈴㤱っ挷慣㑤摤昰收㠹昰㌱㑦㠲戰㌶昳㔴㈷㔳戵㤲慡〱㥥捡㐷愹㉤愹挲㑦㜵攸挴㥥㐲㤷㔳㈱㐲搶㔶㌰攲㕢㘳㤶ㄱ㍢搰搳㥦㐹㙣㤸㠸㥤㐸散㘰〶㘳改㙣攸㝤㘲㠷㐰㉢挴㉥搰㠹㍤〷㤰敡挴ㄶ〳㠹ㅤ㡡㐸㐲散㜹㜰〶戱摢愰㉣挴㥥㡦戲㐳㙣㌸ㄷ㉦收ぢ搱㘸㉣㕣挸挷㜳挵㔴㌶ㅢ㡤㈶㌳改㐴搲㡥挷ち㜶㌴㘶㕣攰㐳㤳改㐲㌴㥣〹愷愲戹㘸㉡㥥捤㘷㌲ㄹ㍢ㅢ㑤ㄶ㌳昱㜴㉥㘵㈷挳㜹㙢㕢㌷扣㜹㈱㝣捣㡢㈰慣敤㍣搵挵㔴㕤㐲搵昶㥥㡡〰㠱慡攱㔴攱愷昶搵㠹扤㥣昶㉢㈰㐲搶㡥㌰攲㕢㐱散〸㑦㝦つ戱㈹㈲昸攰㄰ㄵ㘶㌰㤶慥㠷摥㈷㌶ち慤㄰㍢㐷㈷昶捦㠰㔴㈷㜶㔶㈰戱捣㙣㄰㘲㙦㠲㌳㠸㡤愳㉣挴摥㡣戲㍢ㄵ㘴搲挹㕣㌸㤲づ愷㤲戹㜸戸ㄸ捥ㄵ昳戹㑣㈶ㄷ㡤㠷愳愹㔴摣㉥ㄸ户昸搰愲㥤㉣ㄶ敤㔴㌶㔹㡣㘷攳挵㘴㈱㤳捥㠶㡢戹㘴㉣㤵㡢搸攱㕣㌶㘵㌱㍦㠲攱捤㕢攱㘳摥〶㘱㈵㍤搵敤㔴摤㐱㔵捡㔳ㄱ㈰㔰㌵㤲㉡晣搴㐴㥤搸扢㘹扦〷㈲㘴敤っ㈳扥㜸摡㈱㡡〱㤳敦㝤㔰㤷㑥扥昷㐳㔳㍥昹敥攲㐶㌱ㅦ㠰㔱ㅥ搳㉣て㙣㔶扢戲㙡戶晢㈱攸晤㙥㘸㠴㔶扡㘱ㄷ扤ㅢㅥ〱愴㝡㌷㡣っ散㠶㌱㠸㈴摤昰㜷㌸愳ㅢ挶愲㉣摤昰㈸捡㑥㌷ㄴ愳攱㘲㌱ㅤ户攳挹㘴っ㌳㐵〱㐳㌵ㄳ㑤愴搳昹㠸ㅤ㑦ㄵ㡡㔹攳㌱ㅦ㥡挴㈳〸ぢ㠹㔸㈴㥢捡㈴攳改㔴㈶㤳〸摢挵㔸㡡㝢改㈴扡㈱㙥㡤㜳挳㥢㡦挳挷㝣〲挲ㅡ敦愹㥥愴敡㈹慡㈶㜸㉡ㅦ愵㈶㔳㠵㥦ち敢摤昰㉣㕤㥥㠳〸㔹㔳㘰挴户挶㜸ㅥ挵㠰㙥㜸〱敡搲㙥㜸ㄱ㥡昲㙥搸捤㡤㘲扥〴愳㍣戳摡ㅣ㡦愰㙡ㅡ慢㘶㌷扣ち扤摦つ㌳愰㤵㙥搸㐶敢〶㤳搳㡣散〳㠷〴㌲㍥ㄳ㑥挲昸㥢挰㠱昱㔹㈸ぢ攳晦㐰搹ㅤ昸〵㍣㌳㌶㤲挸ㄶぢ㤱㜴㥣昳㐴摡㡥㘰㉦㤷捥㠷㔳㤱㘸摥㑥ㅢ㙦昹搰㝣戲㄰㡥愶挳昹㑣づ摢㐸㉣ㄲ捥㘴戰扦㑣攱挰挸㡥㈵㡢㤱㐴捣㥡敤㠶㌷摦㠶㡦昹づ㠴㌵挷㔳㜵捦㈸㑣搰㤰捤㠳〰㠱慡㍤愸挲㑦㙤愶㌳晥㈱敤ㅦ㐱㠴慣㍤㘱挴户㘲㐶搹换搳㝦㐶㉣㥦㠵㈲㑦攱㔶昳ㄹ㡣愵㝦㐳敦㜳戸㉦戴挲愱愵㜱㘸㝣〹㐸昵愱摣㉦㤰搸晤㄰㐹㠸晤ち捥㈰㜶㝦户ㅤ挶搷㈸㍢挴挶ㄳ㘹㍢㕡挸愵敤㔸㌸ㅥ㉦ㄶぢ戹㠲㥤㈸攴㔳㠹㘸㍥㔷挰㐸㉥ㄸ摦昸搰㐲㉣㤵㡤㈷敤㐸㍣ㅡ换挵㌳〵散〳㔳㤹㔸㌸㔹㐸㈵攳挵㈸㜶㡢挶户㍥㌴㤶挸㈴㈳㤱㑣㍣㤷捤㘶攲㤹㤴㥤㡥㘴㜲㠹㝣ち搳㔰ㄸ㍢换㜴挱㙡㜲㕢㘲㝥〷ㅦ昳㝢㡡ㅦ㈰慣〳㍣晤㡦㔴晤㐴昱㌳昵㔹㑦㕦㡡㔷〵攸愵㑢㙡摣㉥㤱㉥㔳㜵昰敢〱ㄱ戲㙣捦㤱ㅢ㠱挹㈱㙦㜲㤴㕢㐵㑦㙦㄰㍢㤷㥤㌰〷㐲㉤㠰㕥扡㠴慦敢昰扢攴㈰㘸愵㑢扥晤㔱㍢㉣改つ㐸昵㉥昹ㅡ搰捡挳㤲㠵㠸㈴㕤搲ㄷ捥攸㤲ㄶ㤴㘵慣昷㐳搹改ㄲ散㌷ぢ㤹㙣ㅣ㍢挴ㅣㄸ捣攳㜸㈴㤵㑦㐵戲㔸㈸攲挸㈴㤹㌱ㅡ㝣㘸㉡㕦㈸挶㜲昹㕣㈴㠲㙥㈹㘴㜳搹㘸㉥ㄶ㡦愱㝦㌲戹㝣㈲ㄹ换㕡慤㙥㜸搳㠲㡦戹ㅥ㠴搵收愹搶愷㙡〳慡摡㍤ㄵ〱〲㔵ㅤ㔴攱愷㍥挱㙡昸挷㝢ㅢ搳扥〹㐴挸㘲㙥〷扥㌵㈶㈷㜹㤳㔳扡挹㔹摣敡昲昴㥢ㄳ换㈷扣㤸㝢㤳搸㈵っ挶搲㔶搰晢挴㉥㠳㔶㠸㝤㕢㈳搶攴摥㔳收㡢㝦〴㜲戸ㅣ㑥挲攱搶〸〵づて㐱㔹㌸ㅣ㠲戲㌷㐳攳㑤㈵挵㐸㉡㥦㡤㐷攳㈹扢㤸㉥㈶㈲㌸㙤捡收㜱㜰㤱ち挷挲挶㔰ㅦ㡡㔹扢㤰㉡㈴㌱㝦ㄷ㜳㜱㍢㥦捦ㄴ昱散搸㑣ㄲ攷㑦〵㘸㌳㜹敢㔰㌷扣戹つ㝣捣㙤㈱慣挳㍣㔵昷㡥昲㜰㑦攵愳搴ち慡昰㔳㉦攸ㅣ敥挸㈸㈳㈰㐲搶㔱㌰攲㕢挱攱搱㥥㍥㑡㙣㤶㠸〳㈰搴戱っ挶㔲〲㝡㥦挳攳愱ㄵづㅦ搷㌹攴慥㑦㌸㝣㌴㤰挳ㄳ攰㈴ㅣ㘶㄰ちㅣ㥥㠸戲㜰㌸ㄲ㘵㜷捥㑤挵愳搸捣㜱㙣㘱㘳㌴收㜲搹㜴㌱㠲㠹ㄵ㝣㐵㜱㥡㤱捤ㄸ㍢晢搰㙣㌶㕦㠸攴㜰㔲㠲搳ㄲ㥣㠱㐶㌲戱㌸㕥ㄴ㤳换ㄷ㌰㤷㘰㉥挸㕡㈷戹攱捤㕤攰㘳㡥㠲戰㑥昶㔴摤㝢戹㤵㥥捡㐷愹摦㔳㠵㥦扡㑦攷㜰ㅣ愳㡣㠷〸㔹愷挰㠸㉦ㅥㄹ捡㈱搸扤㠱㥦敡改㈷ㄳ换㈷挹挸㘳昲搵改っ挶搲㔴攸㝤づ捦㠴㔶㌸扣㔵攳搰㤸づ㐸昵つ晣收㐰㘲㤹攸㈱挴捥㠴㌳㠸晤〳捡㐲散㉣㤴ㅤ㘲㤳挹〴收搶㘲㍥㡣攳戶㜸㉡㥡捡㘶昲㜹㥣摢㐵敤㜸㈱㠱㘳㌹摢㤸敤㐳挳㤸㠵戱搷㑢㐴搳㤱㙣㍣㤵戰戳㔹ㅣ收㈵ㄲ㤹㕣㉥ㅤ㉢挴昲戶㜵戶ㅢ摥㥣〳ㅦ㜳㉥㠴昵㐷㑦㌵㡦慡摤愹㍡挷㔳ㄱ㈰㔰㜵㍥㔵昸愹慢㜴㘲昷愶㝤㍥㐴挸扡〰㐶㝣昱敡〴ㄴ〳づㅦ昶㠵扡昴昰㘱㍦㘸捡てㅦ㉥㜴愳㤸晢挳㈸慦ち㌰昹㤷㔲敡㘲㔶捤㙥挸㐲敦㜷挳愵搰㑡㌷㕣愸㜵㠳改て攵昳〳ㄹ扦っ㑥挲戸㡤㔰㘰晣㑦㈸ぢ攳㐵㤴ㅤ挶㜳〹㍢㥣て㈷㌲㌸㘶〳扦昱㔴㈶ㄲ戳㜱㍣㤶挷㐹㕥㍡㕣㑣㠶㡤〳㝤㘸〶㘷㉤ㄸ摦㤹㈲㑥扢攳㠵〲捥戰搳㤸㌵㤲㠵㍣昶㠸ㄹㅣ㐲㔸㤷扢攱捤〵昰㌱㥢㈱慣㉢㍣㔵昷㔰扥搲㔳ㄱ㈰㔰㜵つ㔵昸愹搳㜵挶摢㘹㕦〴ㄱ戲慥㠵ㄱ摦㡡愱㝣㥤愷敦㈲㤶て扤㤱昷ㅦ愸ㅢㄸ㡣愵愵搰晢ㅣ摥〸慤㜰㜸愲挶愱戱ㅣ㤰敡㐳昹昸㐰㘲㙦㐲㈴㈱昶㔰㌸㠳搸㥢㔱ㄶ㘲て㐳搹ㅤ捡㤱㕣㈶ㅣ戶敤㜴慡ㄸ㡢㐷㤳㌸㐱捥攷愲挵っ捥慢昳挹㠸㥤㑢ㄸ㠷晢搰㘲㉡㥦挷敥慢㄰〵ㄶ愷㠱搹㙣㉥㤷挲㜵慡㑣㌲ㄹ挱昸㡥㘶㉤㘶㥦㌰扣㜹〴㝣捣㈳㈱慣㕢㍤搵ち慡㡥愲㡡㈹㈸愵㈸㜵㈷㔵昸愹挳㜴㘲㡦愳换昱㄰㈱敢㉥ㄸ昱慤㤸㘷晦攲改㑦㈶㤶㑦捦㤱搷㍤愸㝢ㄸ㡣愵㔵搰晢挴摥〷慤㄰摢愱ㄱ摢㝤㝤㘷㔱㈰㠷昷挳㐹㌸㍣つ愱挰攱〳㈸ぢ㠷愷愳散㜰㠸敤扡㄰㑥搸㤹㔴㌶㥡㠹㐷昱㔸攰㜴ㅡ搷ㄶ戲戶㡤晤㤲㙤㐷挳挶ㄹ㍥ㄴ㐷扢㜶㉥㡦㙢㠰㤹㐸㌸ㅥ㐹㈶搲ㄸ㥥愹㔴㈴㤵㠸攵㘲昹㐲摣戶ㅥ㜴挳㥢㘷挲挷㍣ぢ挲晡慢愷晡〳㔵㘷㔳昵㤰愷㈲㐰愰敡㙦㔴攱愷㡡㍡㠷攷搱㝥㍥㐴挸晡㍢㡣昸㔶ㅣ摢㍥敡改㉦㈶昶㔸㈲㡥㠱㔰㡦㐳㉦ㅣ㕥〶扤捦攱㤳搰ち㠷晢㙡ㅣㅡ㤷〳㔲㝤㜰捥て㈴昶㈹㐴ㄲ㘲慦㠴㌳㠸晤ㅦ㤴㠵搸慢㔰㜶㠸捤㘴㈳改㘲㍣ㅥ挶㥢㘷戲昱㍣㑥㤹敤㐲㈱ㅥ挶㐱㔵㍣ちㄲ㡢ㄱ攳㙡ㅦ㥡㡤ㄴ㈲㤹〸づ〱㜰㤵〷㐷っㄹ捣慥搱ㄴ昶㜷昹㐲㉥㔳挸㈷搲搶搳㙥㜸昳ㅡ昸㤸搷㐲㔸捦㜸慡敢愸扡㥥慡㘷㍤ㄵ〱〲㔵㉦㔰㠵㥦㥡愵ㄳ㝢ㄳ敤㌷㐳㠴㉣㈶㥡攰㕢㘳摣㠲㘲挰㍣㝢㉢搴愵昳散㙤搰㤴捦戳㉦戹㔱捣摢㘱㤴㔷㜷㤸㈷戳ㅢ㕥㘱搵散㤴扢愰昷扢攱㌵㘸愵ㅢ㈶㙡摤㘰昲ㄴ㐳づㄹ挶〷㌲晥㍡㥣㠴昱㝢ㄱち㡣扦攱㔶㘹摣㠷戲挳㜸㉡㥢挲晥㍦㡥㌹戳ㄸ㠹挷㘲㠹㕣㍡ㄷ捦攳㘰㉡㥣捤攰搴㈲㔷㌴敥敦㠶摡㠹㑣ㅥ〷㘶㠵㘸㈶ㅡ㉦㄰㤱挰㠸㡥攴昳昹㘴㉥㤲㑦攴㡤〷㝣㘸㈴ㄳ捤㈶散㐴摣挶㕥て㔳㜲㌲ㅤ戵搳㌸扤㐸愳愳㙣㥣攸愵慤㌷摤㤶㤸て挲挷晣㉢挵㐳㄰搶㍦㍣㝤搹搹挴㕢㥥摥㠷㡡愷㝡ㄷ㝡改慢愴摢㔷㌲搱㍣挱㜸㑦㐲㠴慣昷㍣挷戲㠳㡤㝦㝡晡㘷㠸㍤㥤㝣㥦〶愱㍥㠰㕥搸㝦ㅥ㝡㥦晤㡦愰ㄵ昶㠷敢散昳㈲愷戰扦㐳㈰晢ㅦ挳㐹搸㝦ㄹ愱挰晥㈷㈸换㜸㝦〵㘵㜷㈲挹ㄴ㌲㤸㐹搳㠹㜴㍥㡤㠳戰〸㜶㔷㠹ㄴ慥〰攷㌲㔹㥣摣㘵挳挶慢㍥戴㤰㐹㘵愲挹㘴㈱㔲捣攰昲㘷㈶㤶㐶㔷㠴敤㐸づ㡦昱挷㡢ㄳ愲㌱敢㔳㌷扣昹ㅡ㝣捣搷㈱慣捦㍣搵ㅢ㔴扤㐹搵攷㥥㡡〰㠱慡㉦愸挲㑦つ㜴㌹挴㌲捥戲㘹㝦ㄷ㈲㘴㝤〹㠵攸㙣ㅥ戰㜵㕦㈸晥㡦愷晦㠰搸㜳攸挵㐷ㅣ愹慦愱ㄷづ㍦㠶摥攷昰㕢㘸㠵挳㡤㜴づ晤㈳㠵晥㠱ㅣ㝥〷㈷攱昰㜳㠴〲㠷摦愳㉣ㅣ晥ぢ㘵㠷挳㌰づ慡㜰㌵㌲㔲っ昳昲㑥㌴㥣㑥㘶㘲搹㑣愱㠸㈳搹㔸〶㘳搹昸户て捤收㈳戸ㅣ㠱换㍢㌸㌵㡢㐷㡢㔱㡣昵㜴ㄸ㔷㈳㜰㌲㤶㐸愵㌳㘹敢〷㌷扣昹〵㝣捣㉦㈱慣ㅦ㍤㔵昷㤱挲㑦㥥㡡〰㠱慡㕦愹挲㑦㠵㜴づ扦愳晤㝢㠸㤰昵ㅢ㡣昸㔶ㅣ㈹搴㠰㔲搱晦㑣散挵㐴昰戱㐸㑡㤲㕢㔸晡つ㝡㥦㐳㈶户〸㠷㌵㍡㠷晥㌸晣昵㠷愰ㄳ搸㍡㌸〹㠷㍤つ攱搰㐰㔹㌸慣㐵搹攱㌰㤱㐸㐵戰㠷捡愵㘲㤸㝤㌱捡㜰收㠰㙤㍡㠵㔷㑤㐶㜰㍢㉢㥢㌴敡㝣㘸㌴㤳㉤摡攱㜸㍥ち㐰㍣㥡㈸攲愰〰㤷㜹㡡搸换㘵攳昱㔴㌲㘲昵㜲挳㥢〶㝣捣㕥㄰㔶扤愷敡ㅥ㠷捣㤶㤱㙤㤵〰㠱慡㍥㔴㤱挳慦戱ㅡ晥〹㙣㕦摡晢㐱㠴慣扥〰〸㔷㘵攳㤰㤹㌱愲㕦㥦㔸㍥晣挸扣㠲ㅣ㕡搰换㌸摣㄰㝡㥦挳昵愱ㄵづ㍦㐱㌵摥つぢ戳㌷㘸㤶㙤昹愳㐰づ㌷㠰㤳㜰戸㈹㐲㘱ㅣ昶㐷㔹㌸摣っ㘵㠷挳㠸㥤挲慤扢㔸㥡㤷捦攳㜶㈶㥤㑢收㘳㈹㙣㥡戱㐲〴愷㕥搹㠴㌱挰㠷攲㡥㔰㈶㤲挴㔱㉢捥扢攲㌸㐲挰㌹〲㘶换㉣㉥扡搸㜶㈲㤶捥㔹ㅢ扡攱捤捤攱㘳㙥〱㘱㙤攴愹搶攷㐰搹〰挲摡搸㔳ㄱ㈰㔰戵ㄹ㔵攴昰ㅦ㍡㠷㕢搳㍥〴㈲㘴つ〰㐰戸㉡扢〸戰戹愷摦㡥㔸㍥㌰挹攴攳㤷搴㤶搰ぢ㠷挳愰昷㌹ㅣ〸慤㜰昸㠲挶愱戱㈳㈰搵てち㥥ぢ㈴㜶㄰㈲〹戱㍢挱ㄹ挴㌲摦㐵㠸つ愳散㄰㕢㡣攳散㉢㡤㈹㉥㥣挲㠹㐰㍣㡣㕤㔵㌱㤹つ攷㌱つ攲㍡㜹㈱㘷㐴㝣㘸㉣ㅤ㉤ㄴ挳戸昸㤲㡢攴攲愹ㄴ㈶搵㐴ㄱ攷挱ㄸ摥㠹㙣ㅡ搳慡戵戵ㅢ摥㡣挲挷㡣㐱㔸㑣愰㤱㤱ㄸ愷㉡㐱搵㔰㑦攵愳搴㜶㔴㤱搸㐷㜵㘲㌳㜴ㄹ〹ㄱ戲㤸㈷ㄳ㐴散づ㥥㝥㔷㘲㙦㈳戱户㤲搸攱搰ぢ戱㘳愰昷㠹㘵㌶㡣㄰㝢㥦㐶㙣昷搵㤵㝢〲㌹摣〹㑥挲攱〴㠴〲㠷㘱㤴㠵挳㠹㈸㍢ㅣ愶搲〵㕣㕡㡤ㄷ㡡〹散戴挳〵散㕡攲㠹㑣㈱㠹敢㠵扣㍣㤸捥ㄹ㤳㝣㘸戱ㄸ㑥攰敥㘵戴㈸㘷慥㘱㍢㡤ㅢㄵ挹㕣捥挶㔸㑤㘷戰慦戱㈲㙥㜸㜳㌲㝣捣㈹㄰㔶搴㔳㜵㕦㕤㠹㜹㉡ㅦ愵㤲㔴㤱挳㥢㜵づ㘷㌲捡㉣㠸㤰㤵〲㈰㠸㐳愶搲㠸㝥ㅥ戱㝣㕡㤳挹㘷㍦愹㤱搰ぢ㠷㝢㐲敦㜳戸ぢ戴挲攱㔵㍡㠷晥㈴㜹㐵㈰㠷愳攰㈴ㅣ敥㠳㔰攰㜰㔷㤴㠵挳㝤㔱㜶挷愱㡤慢㔳戹㐸㈱㠷㝢㡦戸㜳㤳挹㘵昲搱㘸㈱㥣㈹㈶戲〹㥣㝦㠶㡤晤㝣㈸捥㤶㜲扣㔹㄰戱愳㌸㜳捡攰㔸㉡〷㔰㉡ㅦ㡦攲㘶㐳㍥㔵戰㐶扢攱捤晤攱㘳㌶㐱㔸㡤㥥慡㝢㤲ㅣ攳愹〸㄰愸㘲ㄲ㡤㜰㜸扥捥愱㑤㝢ㄱ㈲㘴㑤〰㐰戸㉡㥢㈴㈷㝡晡㠳㠸㝤㠸ㅣ晥㤵ㅣ㑥㠶㕥㌸㙣㠵摥攷㜰㌷㘸㠵挳搳㌵づ㡤㜶㐰慡㙦攰愷〶ㄲ㍢ㄵ㤱㠴搸㠳攱っ㘲愷愱㉣挴㜶愰散㄰㥢㑦愷㜱㄰㡡㙢㝦㐹㕣㤸捥愶㜲愴慥㠸㝢㉥搸昹攰㐸㍥ㅦ㌵㍡㝤㘸㉣㠵㡢慡攱㡣㙤㈷㜱㈱㈶㔲戰㜱㜴㤹㑤㠱攴㐸っ攷ち搱㜴捣㥡敥㠶㌷扢攰㘳㉥㠶戰㤸㜱挳ㅡ捤㈵㔴㉤愵㙡愶愷㈲㐰愰㙡づ㔵㈰㑥ㅤ慦ㄳ㝢㈸敤㠷㐱㠴慣戹〰〴ㄱ㍢捦搳慦㈰昶㜱㔶挴〷㑦㔹扢㐳㉦㉢㝥っ昴㝤ㅢ敡昶㐶㜹攷戲っ㡢攰〷换っ㉢㝦昳搲〴扣㐹㠹戹愹㌵㍤昱㐴つ攷㌹ㄴ戵㍤㐶晥㜷戱㤸挳挱挷搰昰㔷㜷ㄸ搶昵晦㈱づ㠷㑢㜷㙥づ㈳㙥㠵㥦㜹ㅣ㔶戸㙥㕦慣㙥㌸愸㠹慢㝢㔷㌱ㅣ㙢㌶㙣㥤搲㠹晣づ扣昳㝡㕥晢ㄸ晦㠵挹敢㜹㜹ㅦ挳扣ㄷ〲つ敤搶㡣挹㜵攲ㄱ㐶㕤戶攷㌶戳挳昷挳ぢ㜶㤰攷〳挳㌰扥㍥㘸挳敥㤲昶ㅣ㡦〱摤摡㈹㙤㥤㜸搵㤵㕤昰㈲㜶攲㉦〸㙡㝢昴㔴㠱㡦搶㜱㕦㡤捣〷㜷㌰ㅡ㕥㜶㌵愵㐰〲〶〴㍣挵㘴㙣㜳㤷㍣〵㘸㜳搸㤵㌹ㅦ攴ㄸ㈷㘰㙤㡤㔱㐳昶ㄸㄲて搷㉤㐳㐷慣㜵ㅤ愵戴戳㐶㡥换㤰㜹ㄲ〲慡晤㄰㥡摣㉢㜳ㅦ㔶戲搲愹㘴〲㉡㔱㕤愸㠴ㄵ㜱㈴㠵捣㔵㐴敦てっ㔵っ愰㥡摣〲敤つ㜹ㄴ㜸㑣〴㤴晥昹㘲戴㕢㙡㜴晥慦㜷晦户ㅡㅢ㤸挷㈳ㅥ晢愹㐱愷㡦愹㝢晢挸㡢扥扣㘶攷愱ㄷ晣昹㌷昷晦㈳㜷ㅣ户昹愷敦㈶㐳愳户㍣晡摥昳㍦㕢晥攵慥㙡〱㍣㠶㈲㡥昹づ挵扢ㄴ敦㐱愸㜶戴攸㌵扣晢愴攲㍤㌲㙤慥愱晣㍤㌲搶㐲㐴㤲㡤敤っ戴户㙦㠳㙡㐷㤹ㅢ㥣㙡㠱〷㐷戹っ捣戳戸捡ㅤ㔰㍢〴㌱㘱挷㌸ㅢ㍡改㠵㐴㔸㉤〰搰㘳㈳㘴㥥㐳㜴愷㡦㍥㤸攸昳ㅣ昴㠴㈱㐰ㄷ㕣戴㐳攷〵戰㌴㉣〷㘶摤㐸㍢挴昳愸㐶ㅡ昸挰攷愳搱ㅢ慥挷捦㘹愳搵ㄱ昰〸㈲慤〹捤〹㈴㙤㝦搷㔰晥戲ㄹ敢㈸㐴ㄲ搲㉥㐳摢㐱摡㜱㈸ぢ㘹晢挲挳㈷敤㜲搲㜰㈲㑣づ㘹挷㘳挹戸ㄲ扡扡㔱㐳收て挹愸扤㕣ㄶ㥣㈱㜸㌵挱捣愵㜱挰㑣挷㌱慥㜵挰搳〱㥥攷㠲ㅤ捡慥㈷昸㘴㐰㍣捥搵㑡户㈰㈳昰ㄴㄴ搶㡤㑣愶摦㠸挷敡挹ㅣ摦㜸敤㌵晣㠴ㅡ搵㤹昰〸㈲㜳愶换㔹挵〸㥣攱ㅡ捡摦㔴㘳㥤㡤㐸㐲收㉤㔸㉢㤰㜹ㅥ捡㐲收㌴㜸昸㘴摥挶㔵扥㄰㈶㠷㥦昳戱㘴摣〱ㅤ㐶攰昴㈱㤱㡣㥡㕣㐲搰㕤㐴㕦攴愳㉦㈰晡㙥〷㍤㥦攸昱㉥摡攱晥㕥愲㉦〶挶愷昳ㄲ户㈰㜴㕥㡥挲扡搱㜹㠵攷戱㝡㍡㘷㜴搳㜹つ㍣㠲攸ㅣ敤戲㔶㐱攷慥慥愱晣㐵㌷搶昵㠸㈴㜴㍥㠴戵〲㥤㌷愱㉣㜴敥〲て㥦捥㐷戸捡户挲攴搰㜹㌳㤶㡣扦㍢〴捤ㅥㄲ㡢慢戴㑢㤰㌳摥ㅥ㈳晡㌶ㅦ㝤ぢ搱㑦㐰搷㙢搴㤰㌱㘳〹㡦扢㜰㠷捦愷〸攷〱慤捦攷ㅤ㙥㐱昸扣ㅢ㠵㜵攳昳ㅥ捦㘳戵㝣扥扤搸攵㌳摣愸ㅥ㠰㐷㄰㥦㍢戹戴㔵昰㌹挲㌵㤴扦㈷挷㝡〸㤱㠴捦攷戱㔶攰㤳愹㌲挲攷㜰㜸昸㝣扥挸㔵㝥ㅣ㈶㠷捦㐷戱㘴扣っㅤ㠶攷晣㈱昱㡣摡慥㠴愰㔷㠹㝥挲㐷㌳㠵挶㜸摤㐱㑦㈷㝡㠸㡢㜶搸㝦㤳㘸㕥㐴昱改㝣捡㉤〸㥤捦愲戰㙥㜴㍥攷㜹慣㤶捥ㅡ㙤㜸扥〴㡦㈰㍡户㜲㔹慢愰㜳㑢搷㔰晥㥡ㅤ敢㔵㐴ㄲ㍡摦挳㕡㠱捥㌷㔱ㄶ㍡㌷㠷㠷㑦攷晢㕣攵户㘱㜲攸晣〷㤶㡣て㍤㠲㘲〹戵㐹〹㐱ㅦㄳ晤㡥㡦㝥㡢攸㑦ㅤ昴晣㈱㐰昷㜷搱捥攸晣ㅣ㤶〶㘶戲慣ㅢ㘹ㅦ㜹ㅥ搵㐸㉢捡攷㠳搱㤶户扦昹っㅥ㐱愴㌵戸摣㔴㤰搶捦㌵㤴扦㡢挷晡㌷㈲〹㘹㕦愱敤㈰敤㉢㤴㠵戴㍥昰昰㐹晢㠶㌴㝣〷㤳㐳摡搷㔸㌲扥㠳㡥㕢改㌴ㅥ挶搴扢㍣挰㠰挳㤸ㅦ〸㘷㍡㡡〳晦㠶昰㥦㕣昸㔴挲㙢㕤戸㐳摢㉦㠴晦攰挳扦㈵晣㌷ㄷ扥ㅢ攱㌵㉥摣ㄹ戴ち㑦扦㔳㍦〲挴㐱㡢晦昰㜲〳户挰㜰敡㘷户㈰㈳㔸愱㈷㄰㘹敤㡦㤸㠰挵愷㝦㘳〳ㄳ㕦挴戳㕡愷〸㜰搱㤵㡤昲晦㕥搷㍡晦㥦㜹㔳愳㌲攰㌹ㄴ摡昲㈳愸㥦扥慦㜲㌰昰愳㙢㈸㝦㐵㤰㘵㈲㤲㜴㑥㉦慣㌲㍡愷㉦捡搲㌹摦挳挳敦ㅣ㤳㝣㔸㌰㌹㙣㌳〵挶攸つ㥤散扦㌰㠳㝥つ㌰愹㜲搸敢㑢昴㝡㍥㥡㔹㌰㐶㠳㠳挶㠸㡥慢㉦㕣戴搳㌵敢ㄱ捤慢㕢晥〴挱慢㕣㕥戴㠶㡤㔱挰㜷敤改㙤㘰摡㡢㜸慣㤶搶挶昶敥昹㜶㜳挰㠷〶搰昹愹换㕡挵㔸晦挴㌵㤴扦㘱挸㘲捥㡣搰戹㌱搶ち㜴㌲昱㐵攸晣〸ㅥ㍥㥤㥢㜲㤵户㠱挹愱㤳搹㌰挶〰攸㥣㍤㔲㌴愳晥㔹挲搰ㄶ㠴㌳㥤挵㠱㌳㈳挶搸ち㍡戰㍦㝢〸搰㙦扢㘸㠷晤㐱戰㌴散〸っ扥敢挰ㅡㄳ㕤挴㘳戵慣搵㑣㙡㐴㔴㝣摥ㅥ慤愲㠰て挵㘲昹㈰㝣摤㈵愷㠲戵搷㕣㐳昹㝢㠸慣〴㈲〹㙢摢愲敤㘰㉤㠳戲戰昶ち㍣㝣搶戶㈷つ扢挰攴搰挰晣ㄷ㘳㤸㐳〳㠶㔵㔸扤攰搲攰っ慢ㅤ㠹ㅥ攵愳㜷㈶㝡㈷〷㍤㥤攸㘷㕣戴㐳㕡〴㤶〶㈶慢攰扢づ愴㌱戳㐵㍣慡㤱收㑣慢㉦㡤摥挰㥢㔶㤹攴㌲㌴㠰戴㈷㕣㙥㉡㐸㝢摣㌵㤴扦慣挸㥡㡡㐸㐲㕡ち㙤〷㘹㑣㘳ㄱ搲ㅥ㠵㠷㑦㕡㠶㌴捣㠱挹㈱㙤ㄶ㤶㡣㥤ㅤㅡ㈶昰㔸昲攱ㄲㅡ㐶ㄱ㍤搷㐷捦㈶㝡戴㠳摥㠳攸〷㕣戴㐳昱ㄸ愲㤹扢攲㙦戹扢扢〵㤹ㄸ昷㐶〱摦㜵愰㤳昹㉣攲㔱㡤㑥㐴挳㘷㍢㜷换敤搱愸㤸慣㌲ㄴ慡昲㌱㜸户换㕡〵㥤㝦㜱つ攵敦㍡戲戲㠸㈴㜴㑥挲㕡㠱㑥收愸〸㥤㜷挲挳愷㜳ち㔷㤹昹㈴づ㥤㐵㉣ㄹ㔳ㅤ㠲㌰慡㌲敡㔶㤷㈰㘷㔴㑤㈷㥡㜹㈵づ㥡戹㉢挶㑣〷㡤ㄱ㥢㔱㌷扡㘸㠷捥搹戰㌴㌰换〴摦㜵㈰㙤㤱攷戱㝡搲扣戳㥦ㅦ㐷㉢㘶愷っつ㈰敤㕡㤷㥢ち搲慥㜱つ攵㉦㐴戲㤶㈲㤲㤰戶㈷摡づ搲づ㐵㔹㐸扢ちㅥ㍥㘹㝢㤳〶收㡡㌸㌴ㅣ㠶㈵㘳ㅦ㠷㠶扤戸㍦昸㔳〹つ晢ㄱ捤愴ㄲ〷捤扣ㄴ愳挹㐱㑦㈱晡㘲ㄷ敤㔰㥣㈵㝡〵㌰晥ㄸ㍣捡㉤挸ㄸ㘴㙥〹扥敢㐰攷昱㥥挷㙡改㝣㈰搷㠸愸昸っ㘹㔴捣㐹ㄹ㡡挵昲㌱㜸㥥换㕡〵㥤攷扡㠶昲昷㈹㔹慢㄰㐹攸㍣㄰㙢〵㍡㑦㐳㔹攸晣㈳㍣㝣㍡㥢戹捡㑣ㅢ㜱〸㍡ㅤ㑢挶㐲㡦愰㐸㕣㥤㔹㐲㔰㉢搱㘷昹攸㌳㠸㙥㜷搰㝢つ〱晡㔴ㄷ敤㡣挱㠳㠹㘶晥㠹㑦攷搹㙥㐱攸㍣て〵㝣搷㠱捥昳㍤㡦搵搳㌹愷晢㘴昲㘲㜸っつ愰㜳愵换㕡〵㥤㈷扢㠶昲搷㌱㔹㑣㘸ㄱ㍡㤷㘲慤㐰㈷ㄳ㔰㠴捥ㄳ攱攱搳戹㥣慢捣㘴ㄱ㠷㑥㘶愵ㄸ㠷㍡〴攱摣㍣慣㡥㜵〹㜲挶摢攱㐴㌳㘹挴㐱㌳㌱挵㌸搲㐱攳摣㍣慣㔶戸㘸㠷捥愳㠸㘶搶㠹㑦攷昵㙥㐱攸扣〹〵㝣搷㠱捥㥢㍤㡦㙡㜴㥥㝢づ㍦ㅦ㜷ㅦ挷㌳捤㘴㘸〰㥤㠷扡慣㔵搰㜹㠸㙢㈸㝦㥢㤳挵挴ㄴ愱昳〴慣ㄵ攸㘴㜶㠹搰戹っㅥ㍥㥤㈷㜱㤵ㅦ㠴挹㈱㠸㈹㈷挶㑡攸㜸㙣戳ㅢ㡦㔶扡㕣㠶ㅣ㍥㔷ㄱ捥散づ〷捥戴ㄳ攳ㄴㄷ㍥㡤昰㐵㉥㥣㐷攱㈱昳㌴挲㤹㌲攲挰ㅦ㈰晣っㄷ㍥㤵昰ㄶㄷ敥昰㝦ㄶ㑣つ㑣ぢ昹敦づ搰㤹㑢戲收〳昴户㡦㙢㐴摢昰㌹愹㔱晥㙢㍣愵㔱㍤〳捦愱㈸㤵捦〹〷愲㜹㠱㔷敢㡡慥愱晣敤㔱搶昳㠸㈴慣㥦㠷㜵〱敢㉦愳㉣慣ㄷ攰攱戳㝥〱㡣㡡ㄹ㈰づ㉦㑣㌵㌱㉥㠲づ㠷㠸㔳㐸换〱㉥㉤づ改㤷㄰捤㑣㄰〷捤㙣ㄳ攳㌲〷扤ㄷ搱晢扡㘸㠷挴换㠹㝥〳ㄸ㝦㄰㌳愵㠴〵ㄹ挴敦愰㠰敦㍡っ㘲愶㤷㠸㐷戵㐱㉣㌴搶挴摤㌹〱㝢慣て〰ㅦㅡ㐰攷㥥㉥㙢ㄵ㠳㜸て搷㔰晥昲㈹㡢戹㈹㐲攷戵㔸㉢搰昹㌹捡㐲攷㍣㜸昸㜴㕥捦㔵晥〲㈶㠷㈰㘶㥤ㄸ㝦㜶〸㥡㍥㈴ㅡ㔷戳㕣㠲ㅣ㍡㙦㈲晡㑢ㅦ捤挴ㄳ攳ㄶ〷㍤㥦攸㘹㉥摡愱昳㌶㔸ㅡ扥〳〶摦㜵㈰㡤昹㈴攲戱㕡搲ㅡ㥢㕣搲〶㌶慡㥦〱ㅦㅡ㐰摡㈴㤷㥢ち搲㈶扡㠶昲㌷㔴㔹㑣㐶ㄱ搲敥㐶摢㐱㕡㑦㙣ㄴ㐲摡㜸㜸昸愴摤㑢ㅡ㤸晤攱㤰挶㌴ㄳ攳㝥㠷㠶㈹㐳攲㜱搵攸搲攰㤰昶㈰搱扤㝣㜴ㅤ搱て㌹攸扤㠸摥挵㐵㍢愴㍤〲㑢㐳㕦㘰㠴〲㘷㝣㜸㜲㌵昷㈶㤸㐰㈲ㅥ慢㈵慤㘶晦敥扤て㜳㐹㠲㐸㑢戹摣㔴㤰㤶㜴つ攵慦戱戲㌶㐴㈴㈱敤〹戴ㅤ愴㙤㡡戲㤰ㄶ㠷㠷㑦摡㔳愴㠱改ㅥづ㘹捣㉢㌱㥥㜶㘸挰㐸ぢ慢戰㑢㠳㐳摡戳㐴㙦攱愳〷㄰晤扣㠳挶㐸ぢ慢攱㉥摡㈱敤㐵㔸ㅡ戶〶㘶摤㐸㘳挶挸㙡㐹㝢攷㤰晥㌷㑣㝡攷摤敥㝤っ㤳㐷㠲㐸摢搶攵愶㠲戴㙤㕣㐳昹扢慥慣㘱㠸㈴愴扤㡥戶㠳㌴愶㠷〸㘹㐳攰攱㤳昶㈶㘹㘰㤲㠶㐳ㅡ㜳㐶㡣户愰㜳捥㥦戱ㄷㅥ㔸挲挳㍢㠴挷㝣㌸昳㐶㡣昷愰㤳昳㘷愰㌷㜷搱づ挷敦ㄳ捤愴㄰㝦扡㑢戸〵摡ㅢ㌲㈸慣ㅢ㥦㑣ㄴ㔹㉤㥦捥㍥晢慥搱㜲㡥挸㝢㍤捣ㄹ〹攲㜳㘳㤷戶ち㍥㌷㜲つ攵敦捡戲㤸㘵㈲㝣㝥㡡戵〲㥦ㄳ㔰ㄶ㍥晢挳挳攷昳㜳慥㌲ㄳ㌶ㅣ㍥㤹㍦㘲晣ㅢ㍡昷㝡㐴㐲㔹㉥㐳捥戸晡㤲昰㈹㍥㝣ㄲ攱㕦㐱攷㕣㡦㐸愸㍥㉥摡攱昳ㅢ㔸ㅡ㤸敤戱㙥慣㌱㌵㘴戵慣㌹㥢晦㤸敥㥤〴戳㐴㠲㔸敢攵㤲㔳挱㥡攱ㅡ捡摦愸㘵敤㠹㐸挲摡㑦㘸㍢㔸摢〷㘵㘱慤ㄶㅥ㍥㙢扦㤰〶㈶㜲㌸慣㌱㘳挴昸捤愱〱昳ㅤ㥥㌷㕥㐲㠳慡〷㥡〹ㅤづ㝡㍦愲㝢㐲〷搲㌰摦㈵搴捦摦改㌷㈱敢㘰㘹戰㠱㔹㌷搲㤸ぢ戲㕡搲ㅥ晡㘶扢㝤㑦昹敢㍢摤㥢㉥搳㐲㠲㐸晢づ捤〹㍣㔰昹搶㌵㤴扦㜶换㙡㐵㈴㈱慤㌷摡づ搲㤸昸㈱愴㝤つて㥦戴扥愴㠱㐹ㅡづつ捣〶㌱ㅡ愰挳㙤㐵摣㍣㔰㕦戸㉣㌸㐳㘷㍤㠲ㄷ晢攰㑥㠲㌷㜰挰戸㉦愱㍥㜳挱捥愸摣㤰㘰收㝡昸摢敤㔲户㈰摢敤愱㈸慣ㅢ㤹捣晦㔸㉤㤹捥〸㥣搷攸晣摦扦㔱慤㠰㐷㄰㤹ㅦ扡㥣㔵㡣挰て㕣㐳挵㍢扢㡥㐱愴㌵扤戳㡢捦㍤戱㍢攵扤㔲つ㘸㐲㕤㤱㑦㙡改㕤㜴搴捣昷挰戳㕡㥡㕢㕡攴㌱㈷㝤昰㡡㥤㡥㠵㜶挷㌴扣㐹ち㉦搶㤹摢摣敡㍥㘷〳㙦㤸攲ㅢ㑢扣㤷戸㤸㔲愲戳㔱㥣搹㠱户扡昴㉡㑥改挴ㅢ挰ち昵慤戳戲㕤㕤㜶㐷摢晦㠵昷敦攰挱㌳㝣昶㈸㍥捥㥢㜷〲㥦昹挲㠷戹〴收㔶〸㘳㈳扡昹㤸㠶㜷㐳㌱㠹愵〷摦捣昳摦扤っ捣ㄸ㠰挱攷㍤㥥愸愰扤㙢慡㔶晤ㄳ㕤散晣㜵改㡡㥡摦搸㘴㘶㈵㤹㕢〰㙦㙣〹搱㜳㑣㘷慢攴㕦㐱㠴捣慤愰㜱摥敤挳㠷㍢搶搴ㅤ㠷㘱㔰扥㜲㝣ちて㥦摦㔸㔳户戴戹搰戵挰㔸㘰㌷ㅦ戸愰ぢ㑦摢改捤㌵昶㍥戵㈷挱㜵㜵ㄹ㈹摣㘸㝡戵㌶㘵㍢㍡戲换敢㕢㥢㕡散戶〳扢ㄶ搴㌷㉤㐱〲づ摥㤱㠵㘹慣扥扥摥ㅣ㠴昶戰㉡晥搴㉡㐴㘴㔴㜳戰慥㍤〳ㅡ㡥㔶㘳㙢㘸㠳㈹㜸㈳㤰㠲愱挰ㅢ摢㐰㤴㔲戰㉤㌴ㅡ〵敡㉣挴㈶つ摥㐷㥤㠳㠲㌴㘳㝢㈰晤挶㕤攰㘹㜷搰戵㤷㐱㉢㡤ㅢ〶㙤㜰攳㕥〸㙣摣㡥挰ㅢ㈳㈰㑡ㅢ户ㄳ㌴㝡攳㉥㐷晣㤲挶㕤敤㌵㈳〲愴摦戸敢㍤㙤㔴搷摥攲㌵㉥〶㙤㜰攳㥥っ㙣㕣〲㜸㈳〹㔱摡戸ㄴ㌴㝡攳㙥㉢㙦摣㕤㕥㌳㌲㐰晡㡤扢搷搳㡥搴戵て㜹㡤摢ㄹ摡攰挶㍤ㅣ搸戸㔱挰ㅢ扢㐲㤴㌶㙥㌴㌴㝡攳ㅥ㈹㙦摣㘳㕥㌳挶〰改㌷敥㈹㑦㍢㔶搷㍥敦㌵㙥ㅣ戴挱㡤扢㈷戰㜱ㄳ㠰㌷㈶㐲㤴㌶㙥ㄲ㌴㝡攳㕥㉣㙦摣慢㕥㌳愶〰改㌷敥㑤㑦扢㥢慥㝤捦㙤㥣挹㙥慤㔵户〶㌶㘴㍡㙢㘴ㄷ㜶㙦晢㌳愹攲㘶㉦〲慦て㉦㙦挴挷㕥㜵戳㠱昴ㅢ昱戹愷㥤愳㙢扦㜲ㅢ㘱捣㠵㔶㝦㜷㐴改攴㜴㕤㘰攳㜶㠷㡦戱〷㐴㈹㑢㝢㐲愳㌷昰㥢昲〶晥攰㌵㘵㙦㈰晤〶晥攲㘹攷敢㕡㠵ㄹ㐶戶攲㝤㜴㙤㉦㘸㘵㝢摤ㄷ摡攰㡥扤㉣戰挹晢〳㙦㌴㐱㤴㌶昹〰㘸昴㈶㥢㠸㕦戲扤昶昵㥡㤱〳搲㙦昲㝡㥥㌶慦㙢㜹㑢㡦㡤㌳戹㐹搴慡昳〲ㅢ㔲㘴㡤ㅣ晥摤ㅤ扢㠰㉡慤㘳㌷㉤㙦挴ㄶ㕥㜵〷〱改㌷㘲㤰愷㕤愸㙢户昵ㅡ挱愱㕦慢捥〸㙣㐴ㅢ㙢攴㌰敦㙥挴㈲慡戴㐶㙣㕦摥㠸ㅤ扤敡㍡㠰昴ㅢㄱ昱戴㥤扡㤶㜷㥣愴㥢扡愰つ敥愶㤵㠱つ㕢〲扣戱ㄴ愲戴㥢㤶㐱愳㌷㉥㔳摥戸㔱㕥㌳づ〱搲㙦摣ㄸ㑦㝢愸慥㥤攴㌶捥㜴ㄸ㍡㈶戰㈱㐷戰挶㔲㠶㔶㤴㌵㘲㑡㜹㈳愶㝢搵ㅤ慤㔷㌷摢搳ㅥ愳㙢㜹㍦㐴ㄸ㍡ㄶ摡㘰㠶づつ㙣搸昱挰ㅢ㈷㐰㤴㌲㜴㈲㌴㍡㐳扣愵㔲㌲㤰昷昳㥡㜱㌲㤰㍥㐳㔹㑦扢㔲搷ㅥ攸㌵敥㜷搰〶㌷慥㌳戰㜱扦〷摥㌸〵愲戴㜱愷㐲愳㌷慥戹扣㜱慤㕥㌳㑥〷搲㙦摣挱㥥昶っ㕤换㙢昵挲摣㤹搰〶㌷㙥㘱㘰攳晥〰扣㜱㌶㐴㘹攳晥〸㡤摥㌸㕥敥㉦㘱敥㜰慦ㄹ攷〲改㌷敥㈸㑦㝢㥥慥㍤挱㙤㥣挹㘹戵㔶攵〳ㅢ㜲㈱㙢攴昴搹扤昵㕤㑣㤵戶昵㥤㔴摥㠸㔵㕥㜵㤷〲改㌷攲㌴㑦㝢㤹慥攵㐵㙤㤹㍡晦愴㙢㜹㜹㔸㜸扢ㅣ摡㘰摥收〷㌶昷㑡攰㡤慢㈰㑡㜹扢ㅡㅡ扤挹ㄷ㈰㝥〹㙦㤷㜸捤戸ㄶ㐸扦挹扣㔸㉣㡤扢㑥搷昲㘲㉢ㅢ攷㙥㤳㜳〲ㅢ昲㘷搶㔸扡㑤摥㔴搶㠸敢换ㅢ㜱㤳㔷摤㉤㝡㜵扣挴㉡㡤戸㔵搷昲攲愵㌴㠲っ搵慡摤〲ㅢ㜱〷㙢㈴ㅢ摤㥤㜷ㄷ㔵㕡攷摤㕢摥㠸〷扤敡敥〶搲㘷㠲㤷㉣愵ㄱ昷攸㕡㕥っ㤴㐶㜰て㔷慢挶〶㌶攲㝥搶挸扤㔹㜷㈳ㅥ愴㑡㙢挴㔳攵㡤㜸搶慢敥㈱㈰晤㐶昰ㄲ愰㌴攲㘱㕤换㡢㙢㌲㔶ㅥ㠱㌶㜸慣㡣っ㙣搸摦㠱㌷ㅥ㠵㈸ㅤ㉢㡦㐱愳㌷敥捤昲挶扤攳㌵攳〹㈰晤挶昱㑡㥢㌴敥㐹㕤换㉢㔵挲㤰戳㥢㡤〶㌶攴㘹搶㔸扡㥢㝤戶慣ㄱ㥦㤷㌷攲㑢慦扡攷昵敡㜸㜹㑡ㅡ昱㠲慥攵㠵ㅦ㙤慣散㄰搸㠸㤷㔹㘳改㔸㜹戵慣ㄱ扦㤴㌷㠲㤷㠱愴扡搷昵敡敡㍣敤ㅢ扡戶㌷ち搲㑤㙦㘲㈱戸㥢〶〷㌶散㉤攰㡤户㈱㑡扢改ㅤ㘸昴㙥攲戵㤸㤲㑤㝡㍤㈸愴㜱敦㘱挱敦㈶㕥㔸ㄱ敤㍦㌵㙤ㅤ捦㘰搷晡昴㥡㝦扡戰〱㉥㐴戴搸㜹扥㠱㜹㉣摥攳㍢慣〵愷挹㙢昱摡攴昷㔱㡦摡㡡〲㌱捣て戴㈶㌴っ㜲戵昵㍣㤷㙤ㄸ慣㤷搴㔰㤴搸㐴昳㐳慡户㜵㙤收㐷㔸昰㔶慣㠱㈷㤰㡣敡昸昳挴搱㉦㈹㥥〰㡡晦挷㔴敦攴摡捣㑦戰攰晢㐷㕣慤攳捦㜳扢㙥㝦㥥愳㠹晦愷㔴愷㕣㥢昹ㄹㄶ㝣㝦㥥㠶昹ㅥつ㍣晤昲㑢㙡ㄴ㑡攲晦㌹搵愳㕤㥢昹㉦㉣昸晥㘳㕣慤㔳晦㔸扤愴㈶愰㈴晥晦愶㝡㤲㙢㌳扦挰㠲敦㍦挵搵㍡晥扢改㈵挵ㄳㄴ昱晦㤲敡㤹慥捤晣てㄶ㝣晦搹慥搶昱㥦愳㤷ㄴ捦㈱挴晦㉢慡昷㜴㙤收搷㔸昰晤㜹㥡攰慦㜱〳㑦て扡㑢晢攸㈵戵㍦㑡ㄲ敤ㅢ慡㜹㔴㑦愴昹㉤ㄶ晣㘸㌹㔷敢戴㈶慦㤷㔴ㄱ㈵昱晦㡥敡〵慥捤晣ㅥぢ扥晦㐱慥搶昱㕦愸㤷ㄴて愸挵晦〷慡㜹㉣㉤昵晦㠸〵摦扦挳搵㍡晥㥤㝡㐹昱戸㔷晣㝦愲㥡㠷扢攲晦㌳ㄶ㝣晦㐳㕣慤攳㝦愸㕥㔲㍣㕣ㄵ晦㕦愸收㤱慡昸晦㡡〵摦晦㘸㔷敢昸ㅦ愳㤷ㄴ㡦㉡挵晦㌷慡㑦㜴㙤㈶摥挸搰敤㝦戲敥搱戰㔲㉦㈹ㅥ昸㠹扦㠲㠷攲昱㥥搴摦㐳昷㍦㕤昷㘸㌸㐳㉦㈹ㅥ㥢㠹㝦㑦晡昳㤰㑣晣㙢㜵晦㜳㜵㡦㠶昳昴㤲扡搰昳慦愳㍦㡦愶挴摦搰晤㉦搵㍤ㅡ㉥㉢㈹昱㐸㠹ㅥ挲㡤扡ㄲ㈵㘹㑤㉦㐶扢摡戵㤹昵㝡戴㙢㜵㡦〶ㅥ捣㜴晢晦搹昳㌷改㝦㤳攷ㅦ搲晤㙦搱㍤ㅡ㜸ㅣ搲敤㝦㠷攷摦㥢晥㜷㜹晥㝤㜴晦扢㜵㡦〶ㅥ㐲㜴晢摦敦昹昷愵晦㠳㥥㝦㍦摤晦㈱摤愳㠱㝢晦㙥晦扦㝢晥つ昴㝦捣昳户㜴晦㈷㜴㡦〶敥愰扢晤㥦昶晣搷愳晦戳㥥晦晡扡晦昳扡㐷〳昷慤摤晥㉦㝢晥ㅢ搰晦㔵捦扦扦敥晦扡敥搱挰摤㘲户晦㕢㥥晦㠶昴攷㕥㡤㌶㜳㈳摤晦㍤摤愳㠱㝢慥㙥㝦搹愵搰㘳㘳㜸㜸ㅦ㡢扢ㄶ戹㝦戱〹戴收愶㄰㝤晢愹て扤攰㈵㔰敥㐵〴㍡㠰搰捤ㅤ愸散㈸ㄸ㜵ぢ㤴扤㡦挵ㅤ㠶㐰户㈴㜴㉢〷晡㘹㘰㔴敥ㅢ〴㍡㠸搰挱づ㔴愶㝦㐶摤ㅡ㘵敦㘳㜱㌷㈰搰㈱㠴づ㜵愰㌲搳ㄳ扡㡤づ攵㡣㉦搰㙤〹摤捥㠱捡愴㑥㘸挹㙡㜱㜲ㄷ攸づ㠴づ㜳愰㕦㐱㈹昴㤶㐴攵㍣㉥搰ㅤ〹ㅤ攱㐰㘵㜲㘶搴㤲戶㜲㤲ㄶ㘸㤸搰㠸〳㤵㜹戸〲捡昹㔸愰㌱㐲攳づ㔴愶摣㡡搵攲搴㉢搰㈴愱㈹〷晡ㄳ㤴搲搶㌴捡摥挷攲㉣㉢搰っ愱㈳ㅤ攸㉦ㅥ戴㘴戵㌸愱ち㜴ㄷ㐲㐷㌹㔰㤹㌳搹㠰㤲搵攲摣㈹搰搱㠴㌶㍡㔰㤹ㅥ〹㉤攱㤵搳愴㐰挷ㄲ㍡捥㠱昶挴㝦搲搶昱㔸昰㍥ㄶ㘷㐴㠱㑥挰㠲㌹ㄱ〲㠳㔰㈶㍤㐶㉤㘹慢攱㐱㈷ㄳ㍡挵㠱捡㡣㐶㘸㐹〳㌸戳㐹搴愹㠴㑥㜳愰㌲㜹㔵㐴攵㈴㈶搰ㄹ㠴捥㜴愰㌲㑦㔵㐴攵㝣㈵搰搹㠴捥㜱愰㌲㈵ㄱ㕡㐲ㄶ愷㈶㠱捥㈳㜴㜷〷㉡戳て愱㝢愰散㝤㉣捥㐲〲摤㤳搰扤ㅣ愸㑣㌴㠴㤶㐴攵㠴㈳搰昹㠴敥攳㐰㘵㑥㈱戴㠴〱捥㉤〲摤㡦搰晤ㅤ愸㑣ㅦ㠴㌶愱散㝤㉣㑥㈳〲㍤㠰搰慣㐰㉤㉦㤸攲攴㈰㜷㌵㉦晣搶戹慢㈹搰㍣戴㡡㔳㠶㤸捥㜷㑤㘳ㄱ戳ㅥ敦㜵攷㉣㈱㠶昳㉡㝣㌸㜷㠸改摣㔲ㅦ㡢㤳〸㐳昷戵ㄴ㘷づ挱㥣愳扢㉦㠰㔶㜱㍥ㄱ搳搹愵敥㡡㔳㠸ㄸ晥愰晢㉣愴て㈷ㄶ㌱㥤㔹敡㘳㜹摣㉡㑥㉡㠲㌸㐳㜷㙥愳㌳愷ㅡ㌱㥤㔶收散つ㑤挵㘹㐶㄰愷敡捥〷搳㤹㤳㡦㤸㝥㕦敡慣㌸摦㠸㘱㤵敥㈳慤ㅤ收㤹㔶㤶昹㜰攲ㄱ㥦㤳㜵㥦愵搰㉡㑥㐷㘲㍡戱捣㠷㌳㤰ㄸ㑥搰㝤づ愱て攷㈵㌱ㅤ㔷收挳愹㐸っ挷敡㍥㐲〶㈷㈸㌱ㅤ㕤收挳㌹㐹っ㐷改㍥挲㐱捡㌳ㅤ㔹敡㘳㜹㔳㤶攲㉣㈵捥㐷攸捥挷㐰慢㌸㜷㠹改戰㔲㘷挵改㑡っ㠷敡㍥㔲㈱㈷㌱㌱㉤㉦昳攱扣㈵㠶㘵扡捦㐹搰㉡捥㘶㘲㕡㔲收挳〹㑣っ㡢㜵㥦摦搱㘷㥣㘷敡㉣昵戱㌸扦戹㈳㤹㤳㥡戸㜷攸敥愷搰㥤㔳㥤㤸ㄶ㤵扡㉢捥㙥㘲㘸搷㝤愴㥦㌹攷㠹愹戵捣㘷慡㘷㘸搱㝤捥㠲㔶㜱昲ㄳ㥦㠳捡㝣㘶㜸㠶㘶摤㐷㈸攴㉣㈸㍥〷㤶昹捣昶っ㐵摤㐷敡攱㜴㈸㍥㠵㌲ㅦ捥㠰㘲挸敢㍥㌲〶㌹㉦㡡㈹㕢敡㘳㜱㠲㜴㈹摣搳挳ㅣ愰扢㕦〲慤攲㕣㈹敥晢㤷扡㉢㑥㡦㘲搸㑦昷㤱㈱捣㐹㔳㑣晢㤴昹㜰㥥ㄴ挳㝣摤㐷㔶㡤戳愷㤸昶㉡昵戱㌸㡤扡捤攴摣㈹㤸㍤㜵昷㙢愰㔵㥣㔱挵戴㝢愹扢攲㈴捡挳昲㤰攲摣收㉣㜱づ㜰㤶搸㕣㘷㠹㝤攲㉣㜱ㄴ㌸㑢攴捦㔹攲㠶攲㉣㜱㈸㍢㑢ㅣ愰捥ㄲ挷㥡戳挴㔵㜱㤶㐸㥥戳挴昶挹㔲敦晦て愹㍤㜴㈶</t>
    <phoneticPr fontId="10" type="noConversion"/>
  </si>
  <si>
    <t>CB_Block_7.0.0.0:1</t>
    <phoneticPr fontId="10" type="noConversion"/>
  </si>
  <si>
    <t>㜸〱敤扤㜷㥣ㄴ㔵昶㍥㍣㜷㘰㡡愹㈶㑣㡢ち慥㡡㠲㡢㡡㠲㘳攷㥥㐶㤱㈸〲愲㐴㜳挰づ搵㌲㌲〱㘷〶〴㈳㘶捣㌹〷捣ㄱ搱㌵㘲捥慥㌹㡢㜱ㄵ㕣挴ㅣ㜶搷㌵慦扥捦㜳敡㔶㜵㜵㜷昵㠰㝥昵昳晡挷慦㤸㍥搴㍤昷戹攷摥晢摣㔸㔵愷慢慢㔴㔵㔵搵㉦㌸昸㍦㡦慥㍣搹㜰摡晣昶づ慢戹㝥㜴㙢㔳㤳㤵敤㘸㙣㙤㘹慦ㅦ搹搶㤶㥥㍦戱戱扤愳ぢ〰挶㡣㐶挴户搷捣㘸㙦㍣搸慡㥤㌱搷㙡㙢〷愸愶慡慡戶搶慣㐶晣㕦昴㈷攸〴㑣愶㌲扢㔲〰㔵㘵ㅡㄴ摤㈸㙡㈹㑣㡡〰㐵㜷㡡ㅥㄴ㍤㈹㝡㔱搴㔱〴㈹搶愲攸㑤戱㌶挵㍡ㄴ敢㔲昴愱攸㑢戱ㅥ〵昳㌷搷愷搸〰愲挷㠶㄰搳㐷㡦㥡㤴㌹〰戵㤹搶搱摡㘶つ改扦慢㕤收㘱攱㜰㝤戸㍥ㄲ㑤㠵敢㐳㐳晡㡦㥥搳搴㌱愷捤ㅡ搶㘲捤改㘸㑢㌷つ改㍦㜹㑥愶愹㌱扢愳㌵㝦㝡敢㉣慢㘵㤸㤵〹㐵㌳改㔸㐳㌸ㄶ㡦攷㔳愹㠶ㅥ晤㘰㜹攷搱愳㈶户㔹昹昶摦换收㐶戴㌹㘹昴愸晡㥤慤㡥摦换收挶戰〹㤳㘳㕡㥢搳㡤㉤扦㤳搱ㅡ戶㘹㜴㡣㤵㙤㘴攳㕢㔶㕢㘳换晥昵㈸㜶ㄱ搱〸㈵敢挷㠲昱㙣扡扤㘳戴搵搴㌴搵捡戳摤㝢㌴㤳㌳慢捤㙡挹㕡敤扤㥡户㥦㤷戵㥡㜴㜴㝢㙤昳慥改戶㥤搳捤㔶㔷㥥搴㌵摢敤㌶㍥㘷戵㜴㌴㜶捣敦搹扣㑢扢㌵㌵摤戲扦㐵㐸㑤昳づ㜳ㅡ㜳㕤扢慡慥㕤慢扡㙣敥㔷ㄸ㘹㥢晡戱㙤搹搱㌳搳㙤ㅤㄲ㘲慢㠵晤戰㥥ㅥ㈲〵㉦㉡ㄶ㝢㔱晦㤲㔴㙣愶㘹㡤捤㍢㕡㙤㉤㔶ㄳ㌳㘱攳つ㉥〱〹㈷㌶昵㉥㌹㑥㙤搸㌰慡扢ㅥ㙦慣ち㜳㌱晢㔳っ㠰㌰㌶㠱〸㡥㙦改戰昶㙦㑢㜳㈰昶㥦㙥戵㜷㤸㝦㘵晣㐰〸搵昵㙤っ㕥㙦㝡づ愰敡ㄹ改敡ㄹ㤹敡ㄹ搹敡ㄹ戹敡ㄹ㔶昵㡣㝣昵㡣晤慢㘷捣慣㥥搱㔸㍤攳㠰敡ㄹ戳㠰㜱㡥摡㙥摤慡昵戱晢㙤摦扥㝢摥㌷㕦㑤㔸晡挳㜵慦㌷昶㍢敢换ㅡ㡥搷戸㕦㘵㑡㜹ㅡ搹摥㍥愷㜹㌶换愷摢㔰㐶㜵昳㤸昶㡥挹改戶收昶摦户戱搱搴慢㙢敤㤱敤捤㝦㝣㙢㈳㤳摦愵戵㡤捤㐰昳㤰㥤㕢摢㥡㌱攳散㘴愵㕢㠶㠵敡ㅢ攲㐳愶㜵攴挶㔸㜳㜱ㅥち㈷㡡㡦愸戹㌹㔲㤸㠳㈰㡣㉤㈰㝡戵㌷㌶捦㘹㤲敥㌱㌴ㄱㅡ㙡㙥挹搸挱㄰㑡扤㡡摥挱ㅥ戲昳づ㑦昵㍣㙡挲ㄱ㍢㉥ㅥ摦㘳敦搱〷敥扥㤷攲㉣㉣㜳昲㔶〴搷㐳ㄸ㕢㐳搴㡤捣㘶慤搹ㅤ㘹㡣㑡扢愷㠵ㄸㅤ㠶㔰敡㜹㙤㙢收㈵㉢㕢㌷ㅡ昸昱戸㉢㘷㍤晥㙤敦〵㘷捣㔵㥣捣搹㔵㡣㈸㐴㐹㐵愲㥤㔴㈴ㄹ㌵㘳㐸㘱挶㤹㌶〱攱慤㐸㍣㍣搴㑣㌲戶〱㐲愹扦敢捣㥦㥤扣昵晥摦㘷摦㥢㜴晦挵㡦户扦昹挱㠶ㅢ㉡㑥㈶㔲㤱愱〴㙦〳㘱㙣ぢ愱㠷㠴㕤㠹㘱㡣摡づ㐲愹㠷戵㥤敢扢敦戲愸慡㜵挱㠴㑢㕥㝥昳攴㉢㌷慤扤㑢戱挷㑡㈵㐶攰㈴㌵扤慤ㄱ㌳っ㐸㙤ㅢ戲㔳㘳换戰㐸㉣ㄱㅦ㌲戱㜱㤶搵搴㠸攱㌷㉣㤲ち㠵㠶散㤴㥥㌷㉣ㅡ㡤挶敡㔳㥥㈳㙥㡥㐴㜲㜳ㄴ㠴㌱ㅡ愲敢挸㜱搱㠴㌹㠶扡敤㈱㤴扡㐷攷摦戱敡戹扦捤㤹戴敤戸愵攷㥣ㅦ㜹㘳搵攱搵㡡㑢愰攴扦〳㑥晥て昹㡦㘳㕥攳㈱㡣〹戴㌸㜲㕣㉣㘲敥㐸摤㐴〸愵㙥搳昹慦㝢挲㈱㔷摦昶敡㤵ㄳ慥摣攸㤴㕢昷晥晢㠰慢ㄴ㔷㕦挹㝦㘷㥣っ㉥敥㡤攱㑥㍡㘳挲㥣㐴敢㤳㈱㡣㈹㄰摥㌶㑣㐵㠷㥡㔳ㄹ㍢つ㐲愹挵㍡敦攳捦ㄹㄲ㙤晣晡㡡㜱户扤㕦㜳散㡤㡢㍥㝢㕡㜱捥㤲扣㜷挱挹ㄶ摥扣㈳搱㐲搶㈰扢攸〸㥢扢搲昶㙥㄰挶敥㄰摥㥣ㅢㅡ㠶㥡㝢㌰㜶㑦〸愵慥搶㌹晦昲搹愲㉤摥摥晥捤㠹昷㙥搲晢㡢捣收㌵㍦㈸敥㌴㈴攷扤㜱戲㐵㐹慢㈷搱捡㠵㐶㙦搰㙤ㅥづ㠵㐲收㍥戴扤㉦㠴㌱㠳ㄶ㐶㡥㡢㐷捣晤愸㑢㐳㈸㜵愹捥㙦扡㍡㜴㔸昲愴户㈶摥扦昶捣つ敦晢㜸敢㌹㡡㥢ㅡ挹㉦㡢㤳愲㥡挲慣㔳搵㘸㝤㔱㍤愳搱戸㤹愳㙤ぢ挲挸㐳㜸㙢㥡㡡つ㌵昷㘷散㑣〸愵捥搳㌹昷晥挷捣㙥昷㍣戵挳㠸㤳㍥㜸㘵收昷㙦ㅣ戲㠵攲㑥㑡㜲㍥〰㈷㠳扣ㅣ㠷摤㡣挳昵挵ㄳ㑤㈲㘹㜲愹㌰㥢㈰㡣㘶〸㙦挶〹㌴㙥ぢ㘳㕢㈱㤴㍡㕤㘷㍣戱捦㝢㠷㡤ㅣ戲敥搸㘳㜶摢攴戲ㄳ㥥㝢戸慦攲敥㑤〶攸㠱〴户㐱ㄸ敤㄰㍤愶㕡〷㜶戴昷㥦㙡捤㙤戴づ㌲㍢ㄸ㌷〷㐲愹ㄳ戵愱㤷㌷㡢㙣昲慦㍤㡥ㅥ㝤攲散㉥晦㕥戰㜱捦㉦ㄵ㜷㠰㘲攸㈰㠲攷㐱ㄸ昳㈱扡㡦㙥捤㔹㡥㥤㠳ㄹ㜵〸㠴㔲挷㘸㍢㤳ㅥ㥦昸搴㕢攷㝣㌶昶㥣攳㥦摣搷ㅣ昲搹〸挵㑤愴㌰㜱ㄸ㑥㑡愶慢㐴㠳搳〸扥昳敥攱㌴㝦〴㠴戱〰愲捥㌳敦㠶㐳㤱愱收㤱㡣㍥ち㐲愹挳㜴敥㡤㕦慤㕣戲戰㜵攵㠴敢㡥敤昹换慡晤㍥昹㑥㜱昷㉡戹ㅦ㠳㤳㕦搱攳㡥愵敤攳㈰㡣攳㘹㘱攴戸㐸捣㕣㐸摤〹㄰㑡捤搵昹晤昷愹㐵戳戶つ㝤㍢敥搸ㅢ晦扡㜹㤷晢㕥晥㐵㜱愳㉣昹㥤㠴㤳搲㜹㈵㤶㡡㝡扢㜸摣改攳攸〶愹愲㜹㉤㙣㥥捣扣㑥㠱㌰㑥愵㐵昴昸㤸㜹ㅡ㜵愷㐳㈸搵慡昳摦㜹挸户㤱㕢〷㕤㍤昶戴㤷敡挶慥昷昷㌱㍢㈹敥搱㈵晦㌳㜱昲㉢敡㝢ㄶ㙤㥦つ㘱㥣㐳ぢ挸慦挱㍣㤷扡昳㈰㤴㥡愹昳㝢㜵搷扤慡晦㜷搶戵㍢㕦戰昸戰ㅦて㝣扦搷㐶㙡㕤愲昱㌱㉥㠰愸㉦ㄹ搱㘱っ㘹㙦㠵㈳〸摡㌳㜹㈴捡㘱㝤㈱搲㤸ㄷ㌱昵挵㄰挸㌴ㄱ㌲㉦愱敥㔲〸愵搲㍡搳㝤㘷扥昸搸ㄷ昳〲㘳㙥㍡攴慦㠷摣扥昵慡〳ㄴ㉦㍦㈴搳换㜰昲㉢㉡㜹㌹攰收ㄵ㄰挶㤵㄰挸㉦㤶㌰慦愲敥㙡〸愵昶搴昹㉤㡡ㅥ㤵搸㘵㑥昳挴愳捦㌸敤㕦户㍦昴扥愱晡ㄲ㡤㡦㜱㉤㐴搱㘰㐶㝢敡㡤㠳捦㘰扥づ㘸昳㝡愶扢〱挲㍢㤸攳㤸㉦㙦㘴散㘲〸愵愶改㡣摢㉦㕡㜶敥愶戳㝡㑥扣㙤㘲捦㤹㙦㍥㝣搱㐳㡡㔷㔷㌲〶㤷㄰㝣㌳㠴㜱ぢ㐴捦㌱㔶㝢攳晥㉤捥㈸晣ㅢ㈳㙦㠵㔰㙡㈷㙤改㥢ㅦ㍦敥昹昸㉤㑢挷㕦㍡敢挱㝢摦㍢晢攲㙤ㄴ㉦搱愴ち户攳愴㘴ㄴ㠶㍢搹㌴㈴ㄲ收ㅤ㌴㝦㈷㠴㜱ㄷ㠴户ㅡ愹搴㔰㜳㈹㘳敦㠶㔰㙡慣捥扣搷㜹㤷㍦㌸㘸昱戲㐹㘷㥤晡捥㕦㔶㝤昵搸〴戵㍥愲愵ㅡ昷ㄲ㝣ㅦ㠴㜱㍦捦㜶㘹㘹散戰户って㌰昸㈰㠴㔲㈳戴㤵ㅦ搶㝡攸㤰㜳搶ㅤ戳昳搵㜳㜷㙢㍥攴戰慦晢愹つ㄰㉤㔵㜸ㄸ㈷扦愲搵ㅦ愱敤㐷㈱㡣挷㘸〱㕢㠴㤸昹㌸㜵㑦㐰㈸㤵搲昹ㅤ搸㜷晤㌳捥扦㜵愷㔱㝦㥢㜸攸㕤㍦㥥㍦昹昴ㅥ㑦㈲㝡㡡扥㔴ㄸ搳㤶㍥〸搷㕢㠵㑢戹㐸㍤㘶慣㌵戹㠶挵㈵㙣㍥㥥㑦收挳攱㕣㍣㤴㡥愶㙢晡挳散㥡㕥㌹㜱㌴昷挸敦搶搸㤲㙢㍤㐸㉥愵㝡攴挷㌶㌶㜵㔸㙤ㄲ愸换攳㍦晢㜲㔰挲㍤昳摢捦挳㜵㜴搶扥敡㕡㈷㍦摡㙡敢挰昵㘷挷晣挲收㝣挳㔱改㜶慢㄰ㅣ慣㙤㡦㙡㥤搳㤲㙢摦挰㍦㜲㕡㐷扡挳㕡扦㌴慥㘰愴㉣搹㌴㕣㥢㕡敤㔲愴㡤㑡㤳敤㥡㙥㥡㘳㡤㥣搷㘸㐷昷㉢㠹挶㔵㙡㙢愶㜲散搸㌶敢㐰㌷戶慣㐴㈳㜱敢㘴慥搸㉥慢愵ㅤ㘵㤷慢晦攸㤹慤敤㔶㡢ㄴ㙦㜰昳攴挶散㉣慢㙤㥡挵ㅢ㉦㔶㑥慡扡㉥愳昴愵昲攰㐹㉤愸㈸㉥㝥㜳㥢㜸戵㈴摡㙡挹㔹㌹㤴㜷㌶㔸㥥㍦㍤㥤㘹戲晡ㄴ㐱散㍣ㄱ昱㤷㈲昵搸搶散㥣昶搱慤㉤ㅤ㙤慤㑤挵㌱㈳㜳㜳㜹㈱㤰摢〹ぢ㙣㔷㌹慡㙣愹慡扡㜴㔱慡㙡㤰摦愵㈱㙤户昳㑡搸搳㐹晡愱搷㜴づ昶㜴㈲㠲㝤慦愰㕤换㌸昱㜴㌲攲户攸戴㈴摥㑥㐸㜴愸㔳戴㑦㈷㘵愲昵㡡〷㕥晤㔴戴て摡愱挹攲愸慣ㅥ㔸搹㘴愱㕦慥愶愴㥥㔶攱㝤㌶愲㍢㈱㑤捣扡㝤敦㡦〵㔷㔷慦慤㙢扦晤㕣摣㠴ㄹ㤷㙥挹㌵㔹㙤㥤摥㈵㔴㉣㤱昹ㄴ挵搳ㄴ捦㔰㍣㑢昱ㅣ㐴㑤〴㜳㕣㐵㐶㌹愷慡㜹㙡㝥捤㐱㡤戹㡥㤹挶㑣慢㜱晦㤹ㅤ搰攱敥㘲㙤㉤改慥挱㠷ㅢ昶㌹㤸挳㥢慢㜱㘲扥㐰昱㈲挵㑢㄰㠱㐰㤵昱㌲晥慦㌲〲收㉢晣敦㔵㠸㍡攷㉥㔴㝦扢㘷〶㔴捤〰愸㝦晤㝤㈰挹㔰㙥㍢攱扥㘰㝢㑤㌳散戶㜷改攲挷挶戸㜴晢捣づづ挴捥㈳㔱ち昳㌵㡡㘵㄰㍤㕥㠷搸㜹㥣搵㠴㘱晣㝢摤㔲慣昹㉢㙣慥昶搶ㄵ㜷愶㝤㥡愷捤㙦挹捥㙣㙢㙤挱㡤摤㌱改㡥㌴敦〷戴户慢戴搱㍣戱㜵昴㥣づ愳㜹㕣㈳晥敢搱㍣搵㥡㙤愵㍢㐶㘳㥡敥攸搹㍣ㄱ昷昶㘴ㅥㅤ㥦㥢㔷搳㙣摦㤶挳㡥㈰㙢昲晥摤㜸㑣㑢昳っ㥣㘱㥥敤搱捣㠹挶㥡搷㐱搳摤㥡㜱㜳〸摤挹〴㘸戰愴戲捦㤸戲愷攸㥣搴〱ㅤ㠲㠵愰㥣㝡慣㜴ㄷ㠵㙤㐹㔶㘳慣愰㔸摣扢㙡㔹㍡㠲㜶改㘸㙣㙡慦搷昴搶㡦㘹挵晤㕤㑢㙥㙤㤳㜶挳㐰〷㌳㍡㙤慣搲㠱捥ㅢ㠰㤳戲ㄹ摢㉣㡡戲㐳㕢敢㥣搹ㅢ挱搶敦㘵㠷戶慡捣㌷㈰ㄶ晤敢㠶㙤㌶扤攴收㕦昴晦㐷㘰〸挹㘱㙥㐲〴晢㍢㠳昸㑦づ昳㙤晣ㄷ攸㉣慥㘶㈰㄰扥㌳㙤㠵㝢㤵ㅣ㜶㍤㥡㔱摢改㙤㤶摣㝣慤㤵挰晣搹㔶捦收摤㕡摢㘶㘵㕡㕢㘷戱昱㝢㐹愸㝤愶㘵㜵昰㡥㘶㜷㝤〳㤷攷㑡愹㉥㕤㡡㙥㔷㝡㙥㝤㙥っ晢挶㝢㄰㍤㐷㌶㌵昵㜷㉣戶ㅢ换愱敡㠲ㄵ挵㔸㠱㤳挹〳㈶㙦㍦㜵晡㡣敤攷愵㥢㘷㌷㔹㕢㑤㤹㤳㙥挲㑤攱慤㈶捤敥搸扥扤晦摣㔰慣晦愰㐸㍣ㄴ㡢㠴慣昶㉤㍥㔸㜲搲㐷ぢ㡥晣㘰改挲て㑥㍢攳攳〵㐷㝥戸㜸昱捡愵ぢ㍥㍣㘱攱㑥㈳愳慢捥戹㘵搵㈹㑢敡攷㌵戵捦㔳ㅢ㠱㌵摥㈳扢㜵㕣昷㈹户㍣㜷搶㠸㕢戶㕡㌶㘶昰㑤㌳㘷愸㝥㍡愲散扥攸收㈸㐷㈷㍢愶愲扢㡦扣㙡㉤摡㌱㤵敤〵散改攸晦敤㜸晥㜴㍢㥥攲摤捥㤶慢㔹攲㑢昶㍢ㄵ㔷户晦户㕦昰㝢慡㘸敦ㄷ㔶㘲戰愸つ㌰散戸㍦挰㜹昱㘱慥㐲搸晣㤰攲㈳〸慣昲㌲敢㘱㤱晦挴づ慡㐱昸㥦㡢扡昹㈹挵㘷㄰㌵㕢㐲㜴扥昴㘱戸昲ㅥ㔵㔷㍥慥攸搹㍣挶捡愷昱ㄴ㔰㤶㉢㤵晥晦㜳㌵敢㡡㠷戱㥥愵慣昳㑡愰散㕣㈹㡣搲㥤㜰昱〳㉡㍣㌶换敤㘰戵㑣挷㤴摤晥㝢㉥㔲扦攷㘲㘷㝥㡥㝡㌸㐷㑤㙦㜴㠴㌵慦ㄳ攸慡敡㌶㤷㍢㡤ㄹ㌳慡㙡㔹㐳㙡㡣㉦㈱扣户〹昸㤰愴㙣扤晣ㄷ㐰〱㤳搰ち㜱㙡㌰攲戸㘶㥡㕣愳㡣㙦㈰扡愰敦㤸㉢㜰愲㙡昵㕡㔱戶㠸㜴搳ㄱ㘵㑦㘰戶㐲戲晥昸㤸㍦㔰晣㐸昱ㄳ挵晦㈸㝥㠶㔰ち㐹㌹㄰㜸搷㡦〷户扢扢捡敥㤳搵㌲搹㌹捣㙡〸捦㐰攰攳㝢㤳扢摤㠰㔲昵昸㙦〰㍥愶㐱㘵㌷〸ㄵ㐲㤰㝢㐱㍣㜶㐷戰攲㠶㘲㙢㈲捡〸敡㡥㈴〱戳㤳㌸ㄵ㐶㍡㤷㈰㜳㌹慤慣㠰㔰㕦晣㕣㘱㠵晤㕣㐷㤴㍤㔲㡡㈱ㄹ㔷㔹㜳ㅤㄶ晢㔳挰晣㘷㠴㍥㠸㌶晢㔲慣〷攱㈱㘲㝤㍢愸攲㌰㌲㠰㠶㌶㈰㘸㐳〸㤵㐴㤰戳㠲搹て㈱攷㔰敦㈳て㜶㌶敡㡣㡤㈱扤ㅤ㠶て愳捡昸ㄸ〰㔰挰㈴戴㐲㥣㙡㠰慤〲ㅦ散㌰㌶ㅦ㙦㔴攲攳㜵ㅤ㔱昶㤴㙢㈸搲昶㘷晡㉤㤹摤㘰㡡㈱ㄴ㕢㔱搴㐳愸㤷㌴㐷散㉣散㈳散㉣㝢㐹㘷〹ㄱㄳ愶㠸㐰㜸㌸㡡㔱愷㍢换㌶㐸㌲㠰ㄹ㈴愸㑣㐲愸㘱〸摡㥤愵〱挱㡡㥤㘵㕢愶㉡㈳㘷ㅢ㈴〹㤸㥤挴愹敤㤰慥㐰捥㜲㕡㔹〱愱ㅥ愸㐴捥晤㍡愲散搱摤㐸㈴㤳捥㌲〶㤹慡㝢㌵ㄱ㔰ㄶㅦ收㔸㐴㥢㍢㔰㡣㠳昰㄰㌱挱づ慡㔱㐸㌰〰ㅦ㜳㐷㠲㈶㐲愸㌱〸㑡㘷搹〹㈱攷㔰户㈲て户戳㑣㐲っ㙦攲㠵捡㔹㤸㠲愸㠰㐹㐰㠵㌸戵㍤㙣ㄶ㔸㈸㜴㤱敢㉡戱㜰慤㡥㈸㝢㠰㌸づ㤶㠴㠵㍤㤱㥤扡扡㈲ぢ㝢戳㌴晢㔰散ぢ攱㘱㘱㍦㍢愸昸昰㜰〰㍥㘶㥡愰っ㠴摡ㄱ㐱㘱㈱㡢㤰㜳愸㡢扤㉣㔸㠸㈱ぢ昱昲㥡敥㡦愸㠰㐹㐰㠵㌸㌵ㄱ㌶晤㔸㌸戳ㄲぢ㘷攸㠸戲挷㤸㤳㘰㐹㔸㤸㡤散搴㘹ㄵ㔹㘸㘳㘹摡㈹㍡㈰㍣㉣捣戵㠳㙡㌲っつ挰挷㍣㠸愰㜹㄰㙡㉡㠲挲挲㝣㠴㥣㐳ㅤ攷㘵攱㄰挴㜸㈷づ㍥〱㉤ㅢㅢ㠷〱ㄴ㌰〹慤㄰愷愶挱扡ㅦㅦ㠷㔶攲攳㄰ㅤ㔱昶㘸㜵㔷㔸ㄲ㍥㡥㐳㜶㙡㝥㐵㍥ㄶ戲㌴㈷㔰㥣〸攱攱攳㘴㍢愸㜶㠳愱〱昸㤸愷㄰㜴㉡㠴摡〳㐱攱攳㌴㠴㥣㐳捤昶昲㜱〶㘲扣㝣昰戹㙣ㄹㅦ㘷〱ㄴ㌰〹慤㄰愷昶㠴㜵㍦㍥昲㤵昸戰㜴㐴搹〳摦㝤㘰㐹昸戸ㄸ搹愹㙣㐵㍥㉥㘵㘹ㄶ㔱㕣〶攱攱攳ち㍢愸昶㠵愱〱昸㤸㔷ㄲ㜴ㄵ㠴摡て㐱攱攳㙡㠴㥣㐳敤改攵攳㕡挴昰㌱㑦慣扣愶搷㈳㉡㘰ㄲ㔰㈱㑥愵㘱搳㡦㠵挹㤵㔸㤸愴㈳捡ㅥ㐳攷㘰㐹㔸戸ㄵ搹愹㥤㉡戲㜰㍢㑢㜳〷挵㥤㄰ㅥㄶ㤶摡㐱㘵挱搰〰㝣捣扢〹扡〷㐲敤㡦愰戰㜰㉦㐲捥愱挶㜸㔹戸ㅦ㌱摥㕥挱㘷搸㘵扤攲㐱㠰〲㈶愱ㄵ攲搴㑣㔸昷攳㘳㘸㈵㍥㔲㍡愲散攱昸㉣㔸ㄲ㍥㥥㐴㜶㉡㔹㤱㡦愷㔹㥡㘷㈸㥥㠵昰昰昱扣ㅤ㔴㑤㌰㌴〰ㅦ昳〵㠲㕥㠴㔰㉤〸ちㅦ㉦㈱攴ㅣ慡摥换挷㉢㠸昱昲挱㐷敢㘵㝣扣〶㄰㙥㘷㐲㔶㠸㔳慤戰敥挷挷挰㑡㝣晣㔵㐷㤴㍤戳㍦㄰㤶晡攳㘳扥换散摥愳㔸㑥戱㠲攲㝤〸搵㑦㜳挴㉤づ敦ぢㄵ戶ㅢ㉢㠹昹㠰㘲ㄵ㠴㠷愳㡦愸搳摢㡤㌶㈴ㄹ挰っ㍥愱昲㔳〸搵㠱愰扤摤昸っ挱㡡摢㡤㜶愶㉡㈳攷㑢㈴〹㤸㥤挴愹㌹㐸㔷㈰㘷㌹慤慣㠰㔰㠱㑡攴㤸㍡愲捣て攱㈰㈴敢捦昴摦㈱㔳昳㝢㡡ㅦ㈸㝥愴昸〹㐲㜵搱攴㜰㉦挶收㉦㤰昳㌳㌱扦㔰㜰㤳收㈱愷ㅡ㐱㠷㥣㜹㐸㌲㠰ㄹ㜴愵戲〶㐲ㅤ㡣愰㑤㡥㠱㘰㐵㜲收㌳㔵ㄹ㌹㜴挹つ㤸㥤挴愹㐳㤰捥㡦㥣慦晥㔷㘱攳晥愵㡥㈸㜳慥㌸ㅣ㤶㘴㈴昵㘶戱㍦〷捣㝦攳扥づ愲捤㜵㈹晡戰㜴㠵㑢昹昵散愰㍡〲㠶㠴㠴扦㄰戴㍥㠴㍡ㄲ㉡ㄹ㐹ㅢ㈰攴ㅣ㙡㈵昲㜰昷㘲晤㄰㔳收㤶㔱㐶挸挶㐰〵㑣㘲换挹㤲㌸㜵ㄴ捣ㄷ〸㈹㙣换摥慡㐴挸㥢㍡愲捣摦攳㔸㔸ㄲ㐲〶㈱㍢昵㝡㐵㐲戶㘴㘹〶㔳っ㠱昰㄰㔲㙦〷ㄵ㍢㤳㄰戲㌵㐱㈱〸戵㄰㉡㈱㈴㡣㤰㜳愸攷㍤㠴㤸挷㐳㕤㕥挹㌸㙤㜶ㄶ愷攸㔵攲㐷挰㘳㤵〸㜸㔴㐷㤴㌹愰㥣っ㑢㐲挰㜶㉣昲挳ㄵ〹ㄸ㠱㘸㜳㈴挵㈸㤶慥搰㈳挶搸㐱㐵攷ㄳ㈱㘰㝢㠲挶㐲愸搳愰ㄲ〲㜶㐰挸㌹搴㔲て〱挶㜸挴㜰挵昵搹㤷敥㠸愸㠰㐹㐰㌹㐳ㄲ愷㑥㠷㑤㍦ㄶ㤶㔴㘲攱㈶ㅤ㔱收〶㜳ㄶ㉣〹ぢ搳㤱㥤扡戱㈲ぢ扣扥㌷㜷愳搸ㅤ挲挳挲㥥㜶㔰㥤つ㐳挲〲㉦敥捣扤㈱搴戹㔰〹ぢ晢㈰攴ㅣ敡ち㉦ぢ㌳㄰㐳ㄶ㔲攵㌵㑤㈳㉡㘰ㄲ㔰㈱㑥㥤〷㥢㝥㉣㥣㕦㠹㠵昳㜴㐴㤹㜳捥㠵戰㈴㉣ㅣ㠰散搴㌹ㄵ㔹㘸㘲㘹昸㘴捦㙣㠱昰戰㌰摢づ慡㡢㘰㐸㔸㌸㤰愰㌶〸㜵〹㔴挲㐲㍢㐲捥愱㑥昶戲㌰〷㌱㘰㈱敥㜳愵㜶㄰愲〲㈶〱攵㉣㐸㥣扡ㄴ㌶晤㔸㌸慡ㄲぢ㐷敡㠸㌲㙦愱换㘱㐹㔸㔸㠰散搴ㄱㄵ㔹㌸㡡愵㌹㥡攲ㄸ〸てぢ挷搹㐱㜵〵っ〹ぢ挷ㄳ戴㄰㐲㕤〵㤵戰㜰〲㐲捥愱收㝡㔹㌸〹㌱㘰㈱敡搳ㄷ㑥㐱㔴挰㈴愰㥣〵㠹㔳㔷挳愶ㅦぢ㑤㤵㔸㤸愵㈳捡㝣㤸慥㠳㈵㘱攱㕣㘴愷ㅡ㉢戲㜰㍥㑢㜳〱挵㠵㄰ㅥㄶ㉥戶㠳㡡づ㑤挲挲㈵〴㕤ち愱㙥㠴㑡㔸㔸㠴㤰㜳愸晤扣㉣㕣㡥ㄸ敦㥥㡢ㅥ㔰㘵ぢ挵㤵〰〵㑣㐲㉢挴愹挵戰敥挷挷慥㤵昸搸㐵㐷㤴戹㔶㉤㠱愵晥昸㤸㡢㤹摤㑤ㄴ㑢㈸㙥愶戸〵㐲㑤搲ㅣ㜱㈵㌰昱㈹㙣㉢㙥㈵收㌶㡡摢㈱㍣ㅣ摤㐹㥤摥㜳摤㡣㈴挲搳㔲㉡敦㠶㔰㝦㠳捡摥㔶摣㠳㘰挵㙤挵㉤捣戰㡣㥣晢㤱㈴㘰㜶ㄲ愷㙥㐵扡〲㌹换㘹㘵〵㠴摡戶ㄲ㌹摢攸㠸㌲㙦㌱扡㝣㐹㘷㜹㠲挵㑥㘹㈲愰㉣㍥捣㈷ㄱ㙤㍥㐵昱㌴㑢㔷㔸㐴㥥戵㠳敡㑥㈴㄰ㄲ㥥㈳攸㜹〸戵ㄴ㉡改㉣㉦㈰攴ㅣ㉡㠴㍣摣㙤挵㑢㠸昱㜶ㄶ晡㤹㤵昱昱ち㐰〱㤳搰ち㜱㡡㕥㘹〵㍥ち扢㡡捤㉡昱戱愹㡥㈸㜳㘰扢ㄷ㤶晡攳㘳扥挳散晥㐱昱㉥挵㝢ㄴ换㈱搴挶㥡愳昲㍤攸晢挴晣㤳㘲㈵㠴㠷愳㔵搴改捥㜲ㅦ㡣ぢ㑦ㅦ㔱昹㌱㠴㝡〰㉡扢戳㝣㠲㘰挵捥㜲㍦㡢㔵㐶捥攷㐸㠲慢戹捡㜱敡㐱挴ㄵ挸㔹㑥愴㜴㤶ㅥ㤵挸改慥㈳捡晣昲ㅥ㐱㕡改㉣摦戰搸愶㈶〲捡攲挳晣づ搱收昷ㄴ㍦㐰㜸㠸昸挹づ慡㐷㤱㐰㐸昸ㅦ㐱㍦㐳愸挷愱㤲捥昲ぢ㐲捥愱慡㤰㠷搳㔹捣挷愰㉥㈷愰㑢ㄷㄲ搰㐹㥣㝡〲改ち〴ㄴ㝡挷㌷㍦㔵搸㠴晦㔷㐷㤴㍡ち搶㍣〵㑢愵㡥て昲㈵㈴搷㠵捡昳戰戲ㄷ挰㐶㥥㥥㡦敤摤昳㈳攷㜴戴㡥㙤散挰搳愴ㅥ㜹〸㥣㑡㤲昵挵摢挸㤳㘸㜰㝥㔷戸㙤昳㌹搲挶攵㔱昸㝥搶攸㌹敤ㅤ慤攲搳戱㔱㜹晣㤸搶㥤㕢㍢挶㌴戶捦㙥㑡捦ㅦ攸ㄳ㙤挷散㌶搳㙡㠱晢㕢ㅢ扣攰㔶〷㙡㥤㍤摢捡昹㤴㜱㕡敢㥣戶慣㌵㝥捣㥦挱㠱㑥搹捥㈹戸㌸愴敢㥣摡戴昲搳㘴て敦晤搰㌶搵昰㤹㔰扦搱晦㡡挳㄰摦愴㐴搷慢㐲㥥攸攲㘶㉦㜶挳㐰㔵捤搳㔰㜵摥㐵㍣㉥㜹摤〱づ攴搱慣戶慥愷昶昹ㅣ摦搲摥㤸戳〲㍡㠴敦挹昴搲愷㤳收㜴ㄴ挵愴攷慤慤㘳攰搸㌱愹〵㑤㥦㑤户攵晥っ慤㠲㡡攱戰㥢㐴ㄹ昸昷摢㠸戶捤㔴㔵㝤挵㑢㝢ㅥ㕦ㅤ㠱挱㕥愷戹㝥〶ち㕦㍦ㅢ㜷㌸攲挴攳搱㔸〷㝣㑦搲敤慡㙢ㄹ攲㔷挳愴ㄵ㙣〷敦㕥㠲戰搰挱昱戵挸㈶㙢敤攲愰㍣扦㌶昳㈳㌳敤慤㑤㜳㍡慣㕥敥㤹っ㜴㌳㍦搵攲ㄷ挶收㕡㍤摣戳挹搹づ昸敦扡昶攸㜹晡攷㘹㈱㌰搲㔵户㤲㤲㜶㌲㍡改扣挵㤵攰ㄸ晡㡤慤㡡挶捣换昱挵㜰㜵攱〵㍣慥ㅦ㕥攵㥣〴㜸㔴搵㍣ぢ昳愵て愸㡢攷㕡慦晢㈹㐷搲摡㡥㔷戴㍤挳挹攴搵挳搱搱昳戳㘷㕥收㍤戸㜷昳摢㤴㜵ㅣ㍡㑤昸扡㜲㐷㘳㌶摤搴㌴扦㔷㝥㝣㑢戶㘹㑥捥㥡㤸捥㔸㑤捥㥣捤㙦て晥㌹摡㡢㡦愰昵㠸敡㠴ㄷ㑤捡㜸㝣㡤摣㜱㜶晤捤搳ㅣ扥ㅣ㡥㤱㈶㑢㉥㙣〴捣摥㝡摣搱搳昴㔷晢晡〶㤰愸㜷挱㔳㕤扥㘸㡣愹慤㑣挵㌹㡤㝥㡦慥扢戰㡣㌸て㙣㘲敢挴㔶戸㜲攷㍣慡㜱㡤戶敡㑦㌳慥㘴㐸ㄹ㠶昱㕢ㄷㄸ㜰㠵攳慢㕦ㅡ慦㙡摡㙡搲㐱㘳㠷摦㜰挳㔵慤慦戴㕥㌵扣㑡搹㠳攳〵挴㤶㝡㑣㝡〶㠷慣晤㌲〹〶〱慣攳っ㘶㙦ㅣ愶㌷㜶㌴㔹摤昳ㄲ㉦攷戵ㅣㄲ㘴戳㕢㝥晡㑣㜸ㅦ㡥改㤹摦愱慤㌱搷搴搸㘲㜱ㄳ㠲慦ㄶ昰换摤ㄳ慤晤攱〴㍦戹戵扤㤱㕦㐵敥㤹㥦摥㤶㙥㘹㥦㑤㈷搳散晣摥㐵㈱㘹慣㥡晣愸挶ㄶっ㈰㍢㑦㥥搷攵愷捤㙣㍤〸慦㍤㤸搳摣戲㐳㝡㜶晢㥦愲愱昴㤲〲㠶散ㄹ戰㕡㔵㔷慢摡敡摡摦扡㔶㤹㥢挰ㄴ㌷〴㔵ㄱ晣㔷㑤㠱㉤〱攷戲ㄷ㜱搶挹㤸㘵㑢改慦㈱㜰捣戲㕣㐵摦散昶昵㠱㜶摦ㅢ挱㜹搸㕣〷㐳戳挷扡㄰ㄳ㜶搸㘵㝣攱换㉢晦愷㤷㌰搴扣〴换㥤㉣〷搲㌵㕣㑦昹㜵〱敥㘵㜷ㄷ敡搸㝢㑣㘹㜵㠶㑡扢㘰㈰㉦ㄸ昶㐶慣愰㠴昳㜴㉣㝣㤸㝢㘰昰㘳晡㠵敦㌷收摤㕥㜶㠰㕢㍡㝣㠷扢㕤挷㡤㙥㙤㙥㑥戳㝢戱㙢㑥挳摣㙤搵捡晥ㅡ戳㠹㤹㠷㤰㍥愸㔵改㜹㔰愵攷㠹ち㑢㌲扦晤㈲攷戴搵扡㝦扡慤戱㘳㘶㜳㘳戶㤶〱㝥㐳攵㑦搱㉦搱㠵扡㠲㑣攷㤰捥㠹捤㙡愹㥦㥡敤ㅡ㡤收慥挷昵〳愹㘳昳愳昷㔶换㍡慥㝥攳㔷ぢ搰㝤㘵挲㌷晢挲ㅡㅦ㤱㔴㘱敡户㡢攲搹㠴㐱ㄳ㌰搷〳〲扤㕢扤㐲㄰㍥收㕦愰攰〹㍦㕤㕦㠳攸搴攳扢ㅢ〰㠱㠹慤改摣㔸㝣㤱愹戵慤㥢㝥㜱㐸㉤㥡㤷㔳㑢㕢㤰㕥晥晣づ㉡扥㝡㌳ㄷ晢攱戶㕡㉡愶挱㝦扥㉢扦ㅦ㘰搸敤挸挱㕢㔵㔳搳扤搶㉦慦昱㡥慤㠱摡ㅢ摡晢攲㤵昱㘵昶㍦㥢搲㌰ㅣ㠵㐲愵戸㥤㌰搷㐷㜵捣つ㔸愷㘵〸戲㍥㈵㠰つ〹攸〷㔱昳〶㈲㑢㐷㑡㐵㡦㜸㈴愸慡㘹愶愷㝥㙤㌳慢㠳㙤㠷〱晦㝤㜸晣㠳ㄲ愳㝢敤敢㠸㌷㌷〲敡戹㘷㥦ㅤ㠶昳㉡昵㌶㠴㤳㝦㍤捥㜵〱㌷㘶晥晤㤹晦㑡㈸㝦㠵ㅦ慤㔴捦扤搲㤴つ㙦攱挲戲㘷摥㝢ㅤ戹㜶㕥㕦㔰㝡㉥ㅢ㑢㜴戲搱挲㔸晦ㄳ㕤ㄴ㠲づ搰收㡣㥣摦扣ち戳敢㜳〶㐷㈷㕦〵㠳㕣㜵慢㡣〱㈰㝣㙤晢㝢摥晤挱㑤㐷㕢㘳㘶づ㤷㐵㐶捡捣摦戵㌰昳慢て愱攳散㙦㙥㠲㔴敡㈳㥣㜱㔲挵㤸戲〷搹㐰㌶㕥㘷㠳㑣昲晥㠴㈹昰㌱㌷愵ㄱㅤ㔰㥦攲挴改ㄴ扣㜳愲㍢挵㘶挰㤸㥢ㄳ昸㤹㍦㘰㄰〱㕢㐰搴搰㈱戴㜴㔶㈹昶㙢挵㈵㌳㙦㠸㜶㤵㤷挶昰晢㈳戵昸㉡㠶㝣昱愴㐶㠶ㅦ扥㈳敥㝥敤挴戰扦㉢㔲㡢㌴㌸㙢㙥㌷愶㘱㝥戶㜲〱扢㘷戱扢㜳㈲愹慥敥㡡㐹捡㈸昵昲㉦换㤶㈶愶㔹攲㝢慢㌶㐲ㄱ㡣㉤㔱攲㍥扣㡤〲晢㜸㍤㔲搱㡢㌹㜸㌹づㄷ挳㕦昰㥦ㅣ戸ㅥㅦ〲㌸㥣㌵晦〵改㤰㌴㡤ㅡ㝢㘸㙦㐵づ敡㈱搴て㔰昲戶㡥戴〷ㅥ晦㌱㤹扥愴て攳㥣㑤晦㈳㔴扣慣㜷づ捦㍣㠸㔹㌰愲㔱昴㌱㝤㠶㄰㔴㜲㜵ㄷ㌷敡㝦挰昱〲愷捡㡣㈲㜹㘱㠷ㅤ搷挶㝥㐶ㄴ㜷搹〳㘷摥晣㙣攴晣ㅦ㠶摦搹㝥㘷捤散敦扢㡤㜰っ戳㘰㉣ㅡ㌳㤳㕥㈹敥愳㤲㜷挹摥㐳㘶㙦改㠱㐹搸挶攲攰昴㐰㍤捤愷愰敤戴〷㥡㐳㜵㤹㜸晤㠱㍦扣ぢ㠴㠶㜰㈲ㅦ晡挰㍡〴㐳攷㄰扣㉤㌰收㌰〲扢昹〳戶㈳㘰㌸〱戵〰㜰晥㌴㐷㈰攴㑥㜹摤㍤挹戶㉥搸ㅤ挹㘴愳㤸㙣ㅤ〰㌸敤挹晡㐴㌶㐰〷扤㔶敤㐱㍡ㅡ㤰㌵ㅥ愴昴㜳ㄵ㡡挶搰昰㝡〸ㄵつ搲戱搰㜶㑡㤱攴㑤挷㔸晣挱ㄱ㤲㐶㔸㉥㝥㌶㠰㜴攸昱っ搲㜱挰㤸攳〹愴攷慣て㘰〲〱㍢ㄲ搰て〰づ㔴㘳㈲㐲㝥〳挰捦㠷ㄶ〳㘰㘷挰㌱〰〶㜸散㑦愵挶ㅥ〰㤳㘸㝦㌲敤㙦〹㠰㘷〰㑣㘵㌲㍤〰愶攱㥣戴づ〶愴昲〰㤸慥㔱㐳㠰㕡攳〱㐰晦㕡㝢〰散㠲攴㠵〱戰㥢㌶㔶㡦㜸づ㠰ㄷ㜶㌸收㤹㑤㈶搵㡦㜸昶㤵㐳捥搹愷㑦戴㙣〰搰〷搷ㅥ〰㜴㠹㘵挹㑢㌷摦㉡っ㥤戴敥ㅥ戰慤攸慡㙢户慥ㅥ〰㝢㐱摢㘹敢㥡㝢敢㌲挵㤰ㄴ㝦㜰昲愴㈱㍢戳㉡㐵扦㕥愷〱㔹〲㑤昰扥挰㤸㌳〸愴捦慦て㘰㍦〲搲〴㌴〰㈰〳㈰㠳㤰㍢〰戶昱㈴昳慣昹㔹㈶换㌱搹ㄸ〰㘴〰㘰〴㈰㔷改㠴昴挴戵〷㠰〵㐸摦挲㕢ㅡ㔶扦㔲敤㠰愴㐲㔳㥥挶挷㈱㔴㌴〸㘶㐲摢㈹㑤㤲晦〴㈴挳㕦㤵搹㐸㈳づ㐵㍢攲捣㘱㈰㔴愰攸〰㘰捣㔹〴㑥昴〷㌴ㄱ搰㑣〰㥤㠴㘵㄰戴㈰搴挳㔹〵昰慣㌵㈱㕤愷㘴敥㥦つ㄰扡晥ㄴ㡦搵挹㠵㙣て愴搵㌶㕡愵㐳㙦㈹㠳昴攲戵㍢ㄴㄹ㤴㠳㌳慡㜷㑤摦〷㄰㘱㡡慦散㔳㜴昶㉤㘲㙡㉥戴慢㘷㙡㍦㈴挳ㅦ摣㘰㘹〴㈷昲㐹㐳晡㌰㌵てㄸ㜳㍥㠱ㄹ㝦挰挱〴ㅣ㐲〰ㅤ㠹㠵愹㐳ㄱ昲㌰㠵户ㄵ昹慣㤲㠷〳〴愶昶昷㔸㥤㐲㡤㍤㐹ㅣ㐱慢ぢ㘸㤵㑥扦愵㤳㉤㍤㝤敤扥㜶㈴㈰㙢㍣搹搲㌷㔸搸㍢㡡㠶㜹戱㕢挴摥㌱搰慥㥥㍤㍡ㄳ攳慦捡㍣㤶㐶ㅣ昶攸㔱散戰攷㤹㙣㡦〳挶㍣㥥挰㜹晥㠰㠵〴㥣㐰〰ㅤ㤰㠵扤ㄳㄱ昲㥢㙣晤晣㡥㌱搹㥥っ㌸㜸㍣捣㘳摦戳摢㌸㠵昶㑦愵㝤㍡ぢ㤷昲戸㄰㍡㥢挷搳〰㔹㘳ㅥ改㔳㉣㍣㥥㑥挳㈷㈲㔴挴攳㤹搰慥㥥挷㤳㤱っ㝦㔵收㔹㌴攲昰㐸㑦㘴ㅦㅥ捦〶挶㍣㠷挰㔳晤〱攷ㄲ㜰ㅥ〱㜴㕣ㄶㅥ捦㐷挸㡦㐷㍦㝦㘵昰㜸㈱攰攰㤱㡥换㑥〱㍣㈳昷㈲摡扦㤸昶改㘴㕣㍡㜲改㔹扣㥡㤱扢〸㄰攱散㔲ㅡ戹っ愱㈲捥㉥㠳㜶昵㥣㕤㠱㘴昸慢㌲㉦愷ㄱ㠷㌳㝡㉢㍢㐵づ戱ㄲ昶㄰扡〲ㄸ昳㑡〲慦昲〷㕣㐵挰搵〴搰戹㔹㌸扢〶㈱捦挸挵ㅢ戰㝣㐶敥㜵〰㠱㈹㍡㌷㍢搹㝡㝡摣昵戴㝡〳慤搲ㄱ戹戴挷摤づ㥤摤攳㙥〴㘴㡤㝢ㅣ晤㤵㠵扤挵㌴㑣挷攵㈲昶㤶㐰扢㝡昶㤶㈲ㄹ晥攰㝥㐱㈳づ㝢昴㜲㜶慡攱ㄹ戹户〰㘳晥㡤㐰㝡㐰晢〰㙥㈵攰㌶〲攸ㄴ㉤散摤㡥㤰㕦㡦昳昳㠵㐶㡦扢ㄳ㜰昰昸愰挷晥ㄴ㙡散收扢㡢昶㤷搲晥㤳〰㤴昲昸㌴㜴㌶㡦㜷〳戲挶㍣㍥㠳㘴挲攳㍤㌴晣㉣㐲㐵㍣摥〷敤敡㜹㝣ㅥ挹昰㔷㘵摥㑦㈳づ㡦昴㡥昶愱改〱㘰捣〷〹愴攷戴て攰㈱〲ㅥ㈶㠰捥搴挲攳㈳〸昹昱攸攷㐳つㅥㅦ〳ㅣ㍣搲㤹摡戱㍦戹挰攳攳戴晦〴敤搳昱搹戳摤㝣㤲挹昴㜶昳㈹㥣㜳扢昹ㅥ㈰㤵户㥢㑦㙢搴㜲愰搶㜸扢戹〲㘰㝢扢昹っ㤲ㄷ戶㥢捦㘹㘳㜴扤㝥づ㈵㐹㙤㌰㘵㡦ㅥ㌳摥ㅦ㝥捥晢㘷昷昹攸敢㙦㠷㤷㕥㙦慤〴捥㥥㘳摡㠱㘶挹换戶㥢昴搰㤶搶㝤〱戶ㄵ㕤戵敤搶搵摢捤㤷愰敤戴㜵捤㤷㜵㤹㍥㐲㔲晣㔵㤹慦搰㤰㥤㔹㤵晡〴㘷づ挱㉣㠱敥愸慦〲㘳扥㐶攰愷晥㠰㘵〴扣㑥挰㘷〰挸㜶昳つ㠴摣敤㈶ㅤ扤ㅤ扢㕢ㄷ散扥挹㘴㙦㌱搹㜷〰㜸ㅡ敥ㅤ攸㔰㉡㜹昶晤て㥣戳攱攸戲㕤戹攱摥搵㈸晡㜴慦㜱挳搱昷摢㙥戸昷㤰扣搰㜰㉢戴㌱扡㠵戳攱摡捤㠵つ慦挵㠷㡣㌸㉥㝦摡敤㝢㙤ㅣ㈹扢㑥愰㝦戸摤㜰㜴搷㘶挹换ㅡ㡥㡦㤸愵攱晥〹摢㡡㙥攴㐵つ昷〱戴㥤㌷摣㉡㕤㈶扡㥣挳ㄶ扥㔱㉤㠶散㠰敡ち慤㐳㌰㑢愰ㅢ敥㈳㘰捣㡦〹愴㜱ㅦ挰㈷〴㝣㑡㠰〱㠰㌴摣㘷〸戹つ㘷㝡㤲㠵ぢ㜶㍦㘷戲㉦㤸㡣づ攳愵㌳ㄷ扤挴㙤㍡戸〲挸㔱扡换愵て戹搰昱ㄵ㡤昴㐱愸㘸㤶晡㌷戴㥤搲㈱搷〳敢㈱㤹㔰昱ㅦㅡ㐱㍥昲愱攷戹㔳㔳捦㙣晦㌵㌰收㝦〹㕣摦ㅦ昰つ〱摦ㄲ㐰㐷㜵㤹愵扥㐳愸慦㜳㍤攰戹㉢㈴慦つ昴㔹㌶㝦〰ㅥ搳搴挶㥥っ㍣搳搴㡦捣攰㈷㘶㌰〸㠰搲つ〶㍤挹㙤搲㉣㕡攱㔱㑡摡㘰㐰㠴戴㥦㘹㠴づ攷㐵愴搱㔵㘵昵愴搱㌱㕤㐸攳㘳〰㤷㌴㝡愷㍢愴㠵㤰戵敥㍦戸㥤㔶㘵㜶㈱㤰㥥敢㍥〰扣扦ㄹ摦㜵㈰㠰捥散㐲㥡㠱㤰㘷㠳ㄱ㘹昰摢㘰搴〲〴愶攸搱敥㔸㥤㔲挸㤶慦ㅣ㌷〳戴㑡敦昳㤵㠸挰愹㝢ㄹ㑡㤷昳搵㌰㐵㠷㜴㘱慡〷㡤搰㌳扤㠸愹㕥搰慥㥥愹㌱㐸㈶㑣搵搱〸㡢挰捦昶搰㍡㐵昶㌰ㄵ〴挶㕣㡢挰戱晥㠰摥〴慣㑤〰扤摥㠵愹㜵㄰昲㌰㠵㔷㌳晡昴愹㍥〰㠱㈹㝡戶㍢搹敥㑡㡤扤㠵攸㑢慢敢搱㉡㍤搴㔷㈲〲愷㉥㔳扢㐲户ㅡ愶攸戴㉥㑣慤㑦㈳扢㈳㔴挴搴㠶搰慥㥥愹㍤㤱㑣㤸敡㐷㈳㉣〲㍦㜴㜵㜷㡡散㘱㙡㈳㘰捣㡤〹愴ㅢ扣て愰㍦〱〳〸搸〷〰㘱㙡ㄳ㠴扣㑣昹昶愹㠱〰㠱㈹㝡挶㍢㔶㍤㝤㙡㔳㕡摤㡣㔶改挵扥ㄲ㔰㥣扡㑣搱㜵㝤㌵㑣㌵〳㈲㑣つ愲ㄱ㝡戸ㄷ㌱戵㈵戴慢㘷㡡㥥昰挲搴㘰ㅡ㘱ㄱ昸愱㍢扣㔳㘴て㔳㐳㠰㌱户㈲㤰慥昲㍥㠰㝡〲戶㈶㠰摥昳挲㔴〸㈱て㔳㜸ㄳ愶㑦㥦㡡〰〴愶攸㈱敦㔸㥤㑣㡤摤愷愲戴ㅡ愳㔵㝡扡慦㐴〴㑥㕤愶攸摥扥ㅡ愶攸晣㉥㑣㈵㘸攴ㄸ㠴㡡㤸㙡㠰㜶昵㑣ㅤ㠷㘴挲㔴㡡㐶㔸〴㝥攸㌲敦ㄴ搹挳搴㔰㘰捣㙤〸㕣攸て搸㤶㠰㘱〴搰挳㕥㤸摡づ㈱て㔳㜸㠷愷て㔳㈳〰〲㔳愷㜸慣㝡㤸ㅡ㐹慢愳㘸昵㕣〰㔶〲ち愲㕣愶捥㠷捥㘶㙡㐰愵ㄹ㥤づ昲挲搴ㄸㅡ戹㄰愱㈲愶挶㐲扢㝡愶攸㔱㉦㑣敤㐰㈳㉣〳㍦㤷㐰敢㌰攵㔹〶挷〱㘳㡥㈷㤰㉥昷㍥㠰〹〴散㐸〰扤昰㠵愹㠹〸昹㙤搶晤㥣敦戱㔹摦ㄹ㜰㜰㐶㉦㝣挷扥攷攲㜱ㄲ敤㑦愶㝤㝡捣㝢昶㝣㔳㤹捣戹㌷㡣㜳敥昹㙥〲愴昲㥥㙦扡㐶搱攱㝥㡤昷㝣㜴捣搷昷㠶㤱㕣摡ㅣ㙤ㄶ㌰㜷搳挶攸戳晦ㅣ㑡㌲攵戵㈳㤷㑣㝦㘵挸㠸㤳愶捥㤸㝢昴㘷攵昷㠶改扣㙦户敥㉤㐰戳攴㘵㝢㍥扡昶㑢敢敥〱摢㡡㍥晥㜶敢敡捤晡㕥搰㜶摡扡收摥扡㑣㜷㈲愹戴昰㍥㌴㘴㘷〶て㜸㘸ㅤ㠲㔹〲㍤㝣昷〵挶㥣㐱㈰扦㉣攰〳搸㡦㠰㌴〱昷〰㘰摦ㅢ㐶挸摤昳摤敦㐹ㄶ㉡搸捤㌲㔹㡥挹㥥〰㘰㈵㜳昴㜴昶㈷愱戳改愸戸攷愳㠳扦搰㤱愷ㄱ㝡晡ㄷ㜵昶㤹搰㜶㑡㠷散昹昸㡤〰愱愲㤱㐶㔸〶㝥㥥㠳搶愹愹愷戳ㅦ〰㡣㌹㡢㐰㝥㘵挰〷搰㐴㐰㌳〱晣ㄶ㠱㜴昶ㄶ㠴晣㍡扢摦㤷〷搰搹㘷〳㡥捥捥㙦ㄱ㌸昶愷㔰㘳㑦愵〷搲㝥ㅢ敤搳攳摦搳搹㍢㤸㑣㜷昶㌹㌸㘷㘷晦〷㈰㤵㍢晢㕣㡤攲ㄷ〶搶戸戳昳㡢〵㜶㘷㍦〸挹ぢ㥤㝤扥㌶挶敦ㅣ戰戳て㕤扣挷攳挳戶摡㘴挴挵摢㝤搳㌷昳搲收㘵ㄷ㌸晣昲㠱摤扡昷〳捤㤲㤷㜵㜶㝥㌵㐱㕡昷㄰搸㔶晣㡥㐲㔱㘷㍦っ摡㑥㕢搷㍣㕣㤷㘹ㄵ㤲㑡ぢㅦ㐱㐳㜶㘶㜸戸つ慤㐳㌰㑢愰〹㕥〰㡣㜹㈴㠱晣戲㠳て攰㈸〲㡥㈶㠰㕦㝦㤰捥㝥っ㐲㙥㘷晦摣㤳捣昳㈰攴㔸㈶㍢㡥挹扥〱㘰㈵㜳昴慣㠱摦㐱㘷搳㔱㜱慦捥㉦㈸〸ㅤぢ㘹攴〷㠴㡡㍡晢㠹搰㜶㑡㠷㜴㜶㝥愳㐱愸㌸㠹㐶㔸〴㝥晥〷慤㔳㔳捦昸㍣ㄹㄸ昳ㄴ〲昹㤵〷ㅦ挰愹〴㥣㐶〰扦〵㈱㥤晤㜴㠴扣㙢愰敦㙥攱㑣㠰搰挵扢㘰ㄱ㜳慣㑥愶挶敥攲㘷搱敡搹㄰㌵㍤〱㔸㌳〷㜹㍡攷〴㍤摦㕡㤰㌷㕢慤㤵搷㙦〵㥣〴搷搹づ慡晥っ晥㔲㕤㙤〷收搵㝡ㄴ㐸ㄵ昶摡㠷捥〴愵ㅣㄴ㝢ㅦ攸扡挹㡢扣㝥㥢㠳㜳愰㘶搶㡦扦晣戲㘶戹戰挳ㄴ扦㕡㡢㕢㤱㠰㜹㉥ㅡ㡣㜳㑥㉦〴愵㠷㥤挷㐶搶㠷慡昳搳搶〴愱敤挴捦戰挴㌷㤸㔶搷㉥㜸㐴搱晦㙤㜰ㄳㅣ㕡搶挰摤昰㝣㤴㐵昵昶㉢㠳㕡挷搱㕥㐸っ戲㐰戸慡愶㉦㘴愹慢㐹㤹〳ㅢ㉢㠸㙦㍤挰愵㘴㕡挷晣㈶戸て昲㤴慥㈷昶ㄹ㝤愵散㘸ㄴ扡戵つ晥〸㕤㑢㕦〶攸愶㝤ㄲ愶扡慦㔳昲㙡㘱㐹挶㤸㜵㔱㥡ㅡぢ㑤㔴㌱㝤㜱慢㌰つて攳㘲ㄴ㜱㥤㥤ㅡ戳㙤慤敤慤昹㡥晥搳攰〶摢㥦㉦㥢捥挳㈱㝡㘴㑤ㄶㄶ㝤昳㘴挵扡戶昰㔷㤵收昲ㅤ㙡㠱㔹㉤慤〷戵㐸㘹㙡摡昹捥㙤㘹摦㙥摤㤸㑤㠰昹昰昸㉢挸㔳敢㌹㘴㕥ちㄳ〶戴晣〴晦〲㉤㑤㥡㡢㈰㝢㜶〹慥㡦㌰㡦攰〶捥挹㠶捥㐹㍦㝤㔲户ㄱ㑥㘸㥢〶㝥搷㈳戸㌱㉣㌳ㄷ攳㌲㤴㘶慤搱愳㘶ㄴ晦慣㤴㜱㌹搴㍤愰ㄶ㠷愱愹㜸㠹戵㜱〵㌴扤愰昱昸扤〶晢㙢㉢收㤵㠸㌴〷挰㥥搹ㅦ㐲㙤〲扤搰㜳つ昴㍣㤱捦㐰㘸搹愵搴ㅥ愰㥣つ㠹㠸㉡攳㍡㐰㉡戶㡥摡つ㌰戶㔰ㄱ挳挱㑤㘱㈵㠸挴收つ㐸摣戳㉥戸ㄹ挲㤸㝢慢㡣ㅢㄱ摥㜴昴愸搱㔳㘷㐴搳昹㘸㍥㤳㑦㈶慤㠶㙣㉣㤳㑣愶ㄲ攱㜸㌲㥦㡥㐷㌲つ昹㙣㐳㉣㘲㉣㜶愱挹㠶㔰㐳㉣㥣㡦㔹挹㔸㉡㤶㐸㕢改㝣挲捡㌷㘴ㅡ愲㤹㐴㌲㤱捣㈴㠲㜴捣愲㜹昳㈶愴㌱㤷㐰〴〷㌹慡㥢愹扡㠵慡㉤ㅣㄵ〱〲慤ㄹ〲搵㙡愷㌸敤㌴㠵㐴㝣㔲㥣㔵㌹㘵㜵敤搶㑤㜵㍥ㄱ挱㥦㑡愶㐶昱戲㌲㈸㙢㜶〲㑤㙢㤶㠸慤㔱㍥㝢㤹户戳摣㜷㐰〴㠲㕢愱攰昸慢㌲敥㐴搰愷㝢摣〵㜵㜱昷㔸ち㑤㘹昷愸搷㔶捣扢ㄱ㈹扦搰㈴扦搵愴㐲搰㜳㔵ぢ愸㌱㈸㌳㘷㕤收㠵㉦㐴〲挶搹㤳㍥㕣搲㝤㡡㘶捦㠸慦㌶ち㉤㘷㔰昳㐱㈴㔶㜱㕦㑣搲搱㍥㑣っ戲㐲ㄸ摦㥢㠵㤴敥戸ㅤち攰㜴㐷㤳㤳〵攷〵戵㉤戴㘵㍤㑦つ㜵㑣㍤づ㥣㍢戶户㠱㤶改捣㈷㈰㌱戶户㘵〶㌸㠲挳㥣㤳敤㥣㤳攱晡愴㙥〴㑥晥㤸戱㍤ㄲ㤶㤹㡢挹戱㙤㜲㈴㥢ㅣ扣挱㔱㡥晥㘹慡戸㉢㌳户㠲㔰㘳愰ㄷ扡㥦㠳㥥㈷昲ㄹぢ慤搰ㄳ昱搰㘳扣〰㐸攵搱ㅡ昲攳㉣㐸摦㉡ㄹ慤㉦㈱㌱㐶敢㌸㠴㘵戴扥㡣戰㍤㕡慤㝣㍥㥡㑡㈶攲攱㠶〴挶㘶㍣㥥㑥挶搳愹㔴㌶㥣戰㤲戹㐴㌶ㄴ㌲㕥㜱愱㤹㔰摡㑡攵攲搹㥣ㄵ㡢挷㈲戱㕣㍡㥥㠸㕡搱㜰㉣㡤㔷㤵挶攳㤹㔸㜰扣㌶㙦扥㡡㌴收㙢㄰挱〹㡥㙡ㄹ㔵慦㔳戵愳愳㜲㔱㙡㘷愸㌸㘲搵㘶愸〶㐷ㄳ捥慢捣户㤹攴ㅤ㠸㐰㜰ㄲㄴ搴ㄹ晦㐰搰㘷㔴扣ぢ㜵昱愸㜸て㥡搲㔱㌱㔹㕢㌱㤷㈳㔲㝥敥㑢㝥昸㑢㑤㠵摥ㅥㄵ晤㤰㜷㘱㔴慣〴㡣愳㘲ㅡ攲愵㤹㡡㐶挵㜴㕦敤㉥搰捡愸㔸㠵挴㙡㌷㕦捣ㅥ㡥昶㈳㘲㔰㉤㠴㜱㜷ㄱ㔲㥡扤㉦ち㔱㍥㉡搶㠵戶㝣㔴散敤㤸晡っ愶摣㔱戱て戴〸㔷㤹㥦㐳㘲㔴散换っ㜰〴㘷㌸㈷晢㌹㈷㘹㝤㔲㤷挱挹ㅦ㌳㉡攸㠳挵㕣㑡㐷㐵捥搱晦ぢ愵㤴㥦㑣㌳㠷〲愶昲搰ぢ摤㕦㐳㉦㈳㠲摡㤹搰ち㍤摤㍤昴ㄸ摦〰㔲㜹㔴㤸㝥㥣〵ㅢ㘱㐹㐶挵㜷㘴愷㉥㜸㠰㉥㠷昱㍤挲㝡㔴挴㐳つ㤱㙣㍣㘷㈵㈲改㔸㍣㥤挹㘰㑣愴昲攱㘸挲㡡攳昷㜹ㅡ㌲挶て㉥㌴ㅤ㡢㐴愲㔶㉣㥢捡㈷昲㔸敥搲愹㔰㍥㥥㙥〸愷㌳愹㐴㌶㥢捣㌷ㄸ㍦扡㔰㈴㑣攵㤳昸搹捥㕣㈴ㄳ换愶㤳つ昱㔴㍡㥣挲㉦㕢㘰慣㘱㉣㘵㠲戳㜴㐹捣㥦㤰挶晣ㅦ挵捦㄰挱㈶㐷晦ぢ㔵㝣搱㤵挹㕦捥ぢ㌶㍢㝡挱ㄳ㉡㠹搴㙣攸㘵㍣晤昸㠳㍤㥥㘴つ㌵㤸慥ㅢ㐴㈰㐸愷㉥晣㔵ㄹ戵〸晡㡣㈷晥㍡㙡昱㜸ち㐰㔳㍡㥥摡㥣散扢㈳搲ㅣ挵㈶ㅥ挹愶敡㠰㕥ㅡ戰ㄷ昴㙥〳捥㠵㔶ㅡ昰㕦㈸㤴摢扦搹㠰㌲敢㝦〹㙤㔹晦づㅥ㠴㐴搲㔶扤㘱ち㙤㌵㑦㘷㘹慣㡤戰摤㔶つ改㔴㈲搱㤰㑥㘴㤳昱㔴っ敤㤶捡㈶㌳㔶挶㑡愴㘳昹㔴㌸㤳㑡ㅡ敢戸搰㜸㌶㥥挹挶挲ㄱ㉢㥡㑦挷㐲愹㙣㐳㍥㥦ち㐵㐲㤱㘸㌴ㄷ㡥㕢搱㤴戱慥ぢ㙤挸㘶㐳㘸昸㜸㐳㍥㥥㡤挵搰收昹㔰㉣㥥挸㐴㌲搱㐴㍥ㄱ㡥㐵㠳昳㜵㐹捣㍥㐸㘳昶愵㔸て㈲㜸戰愳㉦㘹慢㐳ㅣ扤攰〹㤵㐴敡㜰攸愵慤㔶㜸摢慡㍦攳〷㐰〴㠲㐷㌸〹搹㔶㈶㕢挶㘴㘳〴ㄷ㌸晡㑤愹ㅡ㑦昶挷㤱晤愳愰ㄷ昶〷㐱敦戲㝦っ戴挲晥敢ㅥ昶㡤㉤〱愹㍣㝣㕥昳㙤㤲㘳㘱㐹㥡㘴〸ㄲ愳㐹㡥㐳㔸ㄶ㤵慤㄰戶㥢㈴㤶㙦㠸㐷ㅡ攲愱っ晡㜶㉣ㄳ㡦㘶戲戹㐴㌴ㅢ㑦㘳㝦㤷ぢ㐷㈲㜱愳摥㠵捡㜰挰挰㐸㘷昱扡晣㠶㐸㍥ㄳ㑡㠵㉣㌰㥦捤㘳〴㌶挴搲㐱㝡愲㐹昷摤ㅡ㘹捣㄰㐴㜰愱愳ち㔳ㄵ愱敡〴㐷㐵㠰㐹愸㍡ㄹ㉡㈱昶ㄹ㑤㉣挲㜸慦㉣攳㤳㄰㠱攰㈹㔰㠸㡥㕢㉤㤳ㅢ㉢㤳㝢愹攰愹㡥㝥ㅢ㘲㈷㌳搵㈴ㄲ㝢㍡昴㐲散㜶㌴てつㄳ慢㌳㈱㠵搸㠷扤挴㡥〰愴㌲戱て晡ㄲ㝢ㄶ㉣〹戱愳㤰ㄸ挴㥥㡤戰㄰㍢ㅡ㘱㥢搸㕣㍥㥡捥㌵㘰摢㥣㑢挴㘳搱㔴㉥㡤晤㜳㉡㤶㡢㠴㌲㠹㐸㈸摤㄰㌳挶戸搰㌰㌶搵昱㠶㕣㌲㥦挹㠶㘲愹㜴㉣ㄳ㠹㘶㈳昱㤸㤵挹㈷挰㜹㍥ㅣ㍣㐷㥢㌷户㐷ㅡ㜳㉣㐴昰㕣㐷戵〳㔵攳愸㍡捦㔱ㄱ㈰㔰㜵㈱㔴㐲散ㅤ㕥㘲㈷㌲㝥㈷㠸㐰昰㈲〰昰㠷户㍢㔳㔷攸戱ㄷ㍢晡㈹搴昳㑤㥥昲搳㠹敡㔲攸㠵搸改搰扢㍤昶㌲㘸㠵搸ㅢ㍤挴㥡敥㝣㜱扤㉦㠷㤷㈳㤱㜰戸㍢㑣㠱挳㉢㜴㤶挶ㅥ〸摢ㅣ㐶㈳改㐸㌸ㅢ㐹㠶戲搱㔸㉣㙢㠵㌳戹㐸㈲ㅢ㡦㈵㈳㤸挳戳㠹㜰挶搸搳㠵㈶㤲㤱㜴㌸ㄹ㡥攷ㅢ愲戹㔸㉡㥥㐵㡦㙣〰㉣㥦㐵ㅢ㘴㤲戹扣戱㤷ぢ〵愷つ㠹㙣㈴㥤换挵愳㌱㉢搴搰㤰㙥㠰搱㑣㍣㤳㡥㘴㈳㠹㜰㈴㐸慦㌶晣攱㕤㔹㐸㘳敥㐳戱㉦㐴昰㉡㐷㕦㌲㕦㕣敤攸〵㑦愸㈴㔲搷㐱㉦散㕦愴搹㤷挱㤱㘷晣晥㄰㠱攰昵㑥挲ㄲ昶㙦㜰昴戳㠸摤㤷㐵搹〷㐲㉤㠶㕥搸攷て㘷扢散㉦㠱㔶搸㍦挳挳扥㌱ㅢ㤰捡摤晡㌴摦㈶愱攷㥡㌴㐹ㅢㄲ愳㐹㙥㐱㔸扡㜵㍢挲㜶㤳㘴搳搱㤰ㄵ挳〲㥡挸攴㘲攸攳㔸㙣ㅢ戲愹㔴㌴㠱搹㍣㤵捣㈷㡤づㄷㅡ㡦收㘳搱㝣㌲㥣〸挵㤳戱㜴㉡㡡㙢挵㜴㈴搱㠰〶挲〵㈶㤲〶改晦㈶㤴捣㐱ㅡ㜳㉥㐴昰㔶㐷㜵㄰㔵昳愸扡捤㔱ㄱ㘰ㄲ慡敥㠴㑡㠸㍤㔶ㄳ㡢㜰㤵㜹㈸攳て㠳〸〴敦㠲㐲㜴㈵挴㉥㜵昴㐷ㄲ㙢㌱㔵㡥挴摥〳扤㄰㝢っ昴㉥戱昷㐱㉢挴ㅥ攲㈱搶攴戵戸㉣㠳昳㝤㌹扣ㅦ㠹㠴挳㠵㌰〵づㅦ㐰㔸㌸㍣〱㘱㥢㐳㌰㤶㠹收慤㔸㌸㥤㐳㕦捣㘴戰㥦捦㘱㑡㘸挸㐷慣㙣㉣㡡扥㝡愲ぢ㙤㐸挷昳㈱捣㈴搹㐸っ扢㥢〶㉢挳敢敤㘴ㅣ㡢㘷㍣搵㤰㑡㕡挱〷戵㜹昳㈴愴㌱㑦㠶〸㍥攴愸㑥愱敡㔴慡ㅥ㜶㔴㉥㑡㍤〶㤵㜰搸敡攵昰㑣㈶㌹ぢ㈲㄰㝣ㅣ〰晣攱㐵慥㥣㙥ぢ㜳敥ㄳ㡥晥㍣㘲㥢㠸㤸〵愱㥥㠴摥摥㥡攷㘱戱戰㌵扦㠸搶戰㌵㝦ち昱挲㜱搱搶晣㘹㕦敤㌳搰捡搶晣ㄲ㈴㔶捦昹㘲挴ぢ㡤戹㉦㈲〶㈷㐰挱换て㔲摡㙣㍦㙦㥢戹ㄷ慣晢晡戵㤹㝡搹挹攰㑡㤸㜲户收慦㐰换戶㌶慦㠲ㄶ㕢昳㔷㤹〱㡥攰㙢捥挹㌲攷攴㜵㝤㔲昷〶㑥晥㤸慤昹㥢戰捣㕣㑡户收㙦㌹晡敢㔰㑡昹戱㔴昳㐰挰搴㍢搰摢捤戱㑢㔱㜳㉣〶㡣捤昱て挴㤷㌷挷扢扥摡昷愰㤵收㔸㠲挴㙡㠵㉦挶昶㉤㐳ㄱ㙥㈱〶㈵〰慡㑡㝤〰㈹捤㌱挹户㌹㜶昲㙤㡥㔵㑥〶户挳㤴摢ㅣ昴㌹㤳收戸〳㕡㌴挷㐷捣〰㐷昰㘳攷攴ㄳ攷攴㔳㝤㔲昷ㄹ㑥晥㤸收昸ㅣ㤶㤹㑢㘹㜳㝣攱攸敦㐶㈹攵㈷㘷㑤扥晤㔵㝤〵扤搰㝤㥦愶㠷〱昵㙦㘸㠵㥥搱㕥㝡㌸㜵换っ㌳搲㡦㥥攰㝦㤰㐸㘶㤸㠷㐸㐴㕤昰㙢㠴㘵㠶㜹ㄸ㘱㝢㠶㐹攴攳㤱㜸ㄴ户散㜰㔹ㄴ㑢挶㘲㤹㝣㈸㤵っ愷搲戸愴挹攳捡㈸㙡㍣攲㐲㜳搹㘴㌲ㄱ㑤挶戰㙡㐶㘳改㘸戸㈱ㅣ㙥㐸㈷㐳㜹㉢㥡㑣愴戰㠰〶晦慢捤㥢㡦㈲㡤昹ㄸ㐴昰ㅢ㐷㔵㤸愵扦㜵㔴㉥㑡晤〰㤵捣㌰㐹㔴挳扤㔵昰㌴慤㍣〳ㄱ〸晥〸〰晥捡㌶ㅦ㍦㌹晡ㄷ㠸㍤㠲㠸挳㈱搴捦搰ぢ㠷㉦㐳㉦晣㔱换㑥㈱ㅣ㙥攵攵搰摤㝣っ昶攵㔰㈱㤱㜰戸っ愶挰㘱㌵挲㉣㡡昱㍡挲㝡愵攳愵㕥㉡ㅤ㡦愶愳昸㌱敦㘴㈸㘳愵ㄲ昹㠶㕣ㄴ㔷㈳つ㤹㙣㐳挸㜸挳㠵收攳〹散㌴戰戶愵㌳搸愷挴㌰愳攷戰㠵捥㕢昹㙣㍥㤳㡣㐴㘲挶㥢㉥㌴㤷捣〱㥡捤㔸㤱㄰ㄸ㑦攱㡤〰㌹慢㈱㤷换挷搲愱㔴慣㈱ㄱぢ搲攳㑤㐸㜹ぢ㘹捣户㈹摥㠱〸㜶㜵昴㈵㥢て㍡挰〹㥥㈸搳㑤愴㙡愱ㄷ昶晢㘹昶㘵愵㕤㐹搰〷㄰㠱㈰ㅤ摤㈴㘱挹ㅡㄹ㜰昴ㅦㄳ㝢ㅣ搹㍦㤶㍣昷㠰㕥搸晦っ㝡㤷晤㕥搰ち晢㙢晢戲扦㤶㉦晢㜵㐸㈴散㝦〵㔳㘰㍦愸戳㌴晥㠵戰㘶㍦ㄱ捡㠱戹㜰㈸㥢挹挷㈲搸捤挵昳昹㜰㉣㤴〸㈷搰㔳攳攱㠸昱㙦ㄷㅡ㑡㌶㘴㜲㔶㌶㤱㑦愵愳戱㠶㘴愲〱换㘸戲挱㡡㘴㤲㔱慢㈱ㄱつㅢ晦㜱愱昱㐴㈲㤷〹㠵戲昹㘸㌶ㄱ㑢攴搳搸㙢㘳ㄳ㘳攱㑥㕡㈴㥤捣愴㜲㐱㝡搱〹㈹㕦㈳㡤昹㕦㡡㙦㈰㠲扤ㅤ㝤〹晢㜴慡ㄳ扣ぢ㌵㤹㔲昵㠱㕥搸敦攲㘵晦㘷摡晢〵㈲㄰散敢㈴㉣㘱㝦㍤㐷摦〵ㄳ㥦晣㝡戲晣㡥戲ㄲㄷ㌹戶㠵〱扤换晥㠶㐰ぢ晢摦㝦敦㜷愱晥㉤戴攵ㄷ敡晤㤰㐸搸て挰ㄴ搸摦㐸㘷㘹㜴㐷搸㘶㍦㥣㠹愰㡦愶㘳㠹〸晡㝥㈶ㅥ㑡挵㔳搱㘴㉡ㅢ挲㠰㠸挴㤲昱〶愳㠷ぢ㐵㤷挷㌳㠴㕣ㅡ㤷㌴㤹ㄸ㌰愹っ戰㜹愴捦愵㌳戸慢㤲㌶㝡扡搰㘸㍣搳㘰攵愳㌱戴ㄶ㠶㐹㈴摢㤰㡤攴㤲戸㕣挷㉤〰散扥慤㑣㜰㘳愷昲扤㤰挶慣愳〸㐲〴晢㍢晡ㄲ昶〷㌸㝡挱ㄳ㉡㠹搴㐰攸㠵晤㡦㐱〰㘷ㅥ改晢敢㌱晥㉦㄰㠱㈰ㅤ昲晣晡晥㘶㡥扥ㅦ戱㝣㜱慥㜹ㄶ晢晥㈰攸愵敦昷㠷摥㘵㝦㑢㘸㠵晤昷㝣搹晦㠷㉦晢㠳㤱㐸搸ㅦ〸㔳㘰㝦㠸捥搲搸ㄴ㘱㥢晤㑣㍥ㅢ㑥㠱㤸㐴っ户戴戲㔶〳㙥㘵㈴㤲戸敤㥢挴敦扡㘷ㅢ㐰改㘶㉥㌴ㄱ挳慤摤㝣搲挲㥣㤳〶晢愱㔴㠲户㐸㜰〱ㄴ㙥㠸愴昲搹愸戱㜹〱捡敤㘵㌴㠲㈳㥣㠹㌵㔸㔱㍣收〹攳㉦㘹愵㈲挹っ慥收㠳㕢改㤲㤸㠳㤰挶摣㠲㘲㑢㠸㘰扤愳㉦㘱㝦㙢㐷㉦㔰㐹㐴扣㡡㐰㉦散扦攰㘵㍦㐲㝢㔱㠸㐰㤰㑥㝥㝥散挷ㅣ㝤㤲㔸扥戰㔷㝥㕥㕢㈵愰ㄷ昶㠷搲㍣摢㠳㥦〶㘸㠵晤挷㝤搹㝦搴㤷晤ㄴㄲ〹晢摢挱ㄴ搸愷昳ㅥ㡢㘲っ㐷㔸捦㍣㘱摣㍣㑣攱㘶㕦㍡ㅦ㡢㈵搰㡤搳攱〸㌶散㠹㔰挲㡡㈴㈳昱㡣㌱挲㠵㕡攱㔰㌲㙥攵戲ㄱ㑣㈱戱戸ㄵ㑥㕢㈰㍦㤵㐹㠷㘲改㘴〲搷敦挶㐸ㄷ㥡㑢攳㝥ち挸挶㑤挹㜴㉣㥤戰㌲ㄹ㕣㌹㘵慣㌸敥㍤㌶㔸㤸愴㠲摢攸㤲㤸愳㤰挶ㅣ㑤㌱〶㈲戸慤愳㉦㘱㝦㤸愳㈷捡挶㌳愵ㅡ〱扤戰㝦㠷㤷晤㠹〴敤〴ㄱ〸㡥㜴ㄲ㤶捣㍣愳ㅣ晤ㄴ㘲慦㈰晢㤷㤳攷㌱搰ぢ晢搳㘹㥥ㅡ㝥挶㐲㉢散摦攸㘵摦扤㌶扡摥㤷㝤㍡〹ち晢扢挳ㄴ搸ㅦ㠷戰散㕣昶㐰搸㘶㍦ㄵ捦㐵戳戹㕣㉥捡㕢㠴攱㌰敥㉥㐵㐱㔱㈲㥣㑡㔹㠹愴㤵捤ㅢ㝢ㄶ愰戸㘷搸㤰つ愳ㄷ攳㜶㙥㉡㥤㑣㐷ㄳ戸慥挷っ㤵挸愲㜳㐷㔳㐱扡ㅡ捡挸摦ぢ㘹捣扤㈱㠲ㄳㅣ㔵攱㤱攴㡥㡥捡㐵愹㥤愱ㄲづㄷ㘹づ愵户㘶㘸㈵ぢ㠱㠷ㅣ〰㠸慥攴摡㘸戲愳摦㥦搸敢挹攱㜵㘴㙢㉡昴昶㘶晣㕣㔸㉣㕣ㅢ捤愲㌵㍥戶㐰扣㜰㕣㜴㙤㌴摤㔷扢ぢ戴戲ㄹ㙦㐶㘲戵㥢㉦㘶て㐷摢㑡っ㑡挰挲慡扤愰㤵㌶㍢摤摢㘶敥戵搱愹㝥㙤愶昶㜶㑣戵挳ㄴ晥攴ㄳ摣〷㕡晣攱户㜰愰攲㘳ぢ〶㜰〴㘷㌸㈷晢㌹㈷㘹㝤㔲㤷挱挹ㅦ戳ㄹ愷㝢愰㌴挷㘵㌸昱㍣捣换㌹晡㜹㈸愵晣昶扣戹〴㠵㔴㜹攸㠵敥㐳愰㤷敥㑣敤㑣㘸㠵㥥㘳扣昴戸㥢昱愳晣攸〹搲ㄵ㔰扡昴ㄱ㈴〲㑦㈸㄰㤶㉥扤〰㘱㍤㥤愷㤳㔶㉥㡤㤹㈱㠳㕢㔳搹㜰㉥㠵㕢㔲㐹捣〳㤹㌰㥥戱㠷㐲㔱攳㐸ㄷ㡡摢㠳㔹摣攷挲㤵㍤敦㘴愷戱㔷戱㌰㡦攷㐲㤹㕣ㄶ㕢ㄵ㉢ㄱ㥣愵捤㥢㐷㈱㡤㜹㌴㐴戰挹㔱ㄵ㌶攳捤㡥捡㐵愹搹㔰㐹㤷㥥㠷㙡戸㥢昱ㄳ㘸攵㐴〸㍣㘷〰㐰㌸㉣㤹ㄶ摡ㅣ晤愹挴摥〹愲捣㍢挸㔶〷昴㜶㤷㙥㠵挵㐲㤷㍥㤳搶搰愵改㔹㔸摥愵攷晡㙡て㠲㔶扡昴搹㐸慣收晢㘲づ㜱戴攷ㄲ㠳ㄲ㐸㤷㍥っ㕡㘹戳㐶㙦㥢戹㕤㝡㝦扦㌶㔳㠷㍢愶㉥㠴㈹晣搹㕤晡〸㘸昱㠷㠵〷㉡㜴改〵っ攰〸ㅥ改㥣ㅣ攵㥣搰愷㡦㐷摤㌱㌸昹㘳扡㌴㥤〰晤扡昴㜱㡥㝥ㄱ㑡㘹昲㥤换㈶摦散慣ㄶ㐲㉦㜴㕦〱扤摢愵㑦㠴㔶攸搹挷㑢捦㌷搰捡昵攵㕥㝥昴〴㑦㐲戴㜴改㙢㐸㐴㕤昰㘴㠴㔹ㄴ攳㕡㠴敤㉥ㅤ㑦昲㘶㉢慥㈷㈳㌹㙣晡㌲ㄶ敥改㈵昱㡣㉣㠱〷㉦挹㑣㍣㤲㌲慥㜳愱ㄱ㍣㜹㡥㘱㜱捣㠵〱捤㘲㈳㠹㐵ㄳ㜷づ戳㔹摣㙤挵㤵㘸挴戸摥㠵挶㤳㤶挵〷㌶㔸ㄱ㌱㌰㜰㍦㌶㤹ぢ攱戱ㅣ敥晢㘲㉤㡥㐷ㄳ挱㔳㜴㐹捣ㅢ㤰挶扣㤱㘲㌱㐴昰㔴㐷㕦戲㐶㥥收攸㡢昱敡㑣攸㘵㌰散〴〲摣晤攱敤戴㜷〷㐴㈰㜸㤶㤳戰㘴㌰㥣敤攸敦㈶昶㔱㤰㘲㍥〲愱捥㠵㕥搸扦て㝡㠷晤愰㌳㤹慢昳㥤㘸㔷㠳㐴㐱扡㤱攱慦捡㝣〰㠹搰攱㉥㐵愰㤶攱〷㘹晣㈱㡡㠷㈹ㅥ愱㜸㤴攲㌱㠸㥥搵㌵㡢〰摣愶昲摢㠰㍤捥㐷㠳攱ㄸ㠷昷ㅢ㕡㌹扣㘹っ扦づ摥㌱㝦晢㤶㡥戶昹㥣㥦扡攰㑤㘳昶㥢㡥扡㔶て晤㙤戶攸㕢搳て愶昸愹搹〶㑣晥ㅦ散㤰戳㠲户つ㉤㙥㡣㡦昹〴㉡慣攸㌷㌵㤰愱昷㈸㤶㔳慣㠰㔰〹㘴昹㌶㕥㤰㔱昶〳㥡㜱ㅤ㔱晡㉢捣挱㙢㘰㐹㝡昶戳㈴戲㑥摤㠰㌰挹㔴㔱愴㘰つ㈴搳攷ㄱ㔹㜳ㄳ搴扥㙦〲戵㝤挰愶攱扤㙥㔶晤攸㔱挹晡敤攷㘵慤愶搱㜸敢㉡ㅣ挰㤰戰㙡摤收昱敤㌸挵㑦戱㑦㙦ㅤ㈹敦〲愵㥦摦㕡㡥㡦搸㘰攷㘷攰㌷㉤㘸㥣㔷敥㍡挹㈶戵戹改昰慢收㜰慢㐳挴㘰晥㘸晣扡㠵㤰攷昵㔴ㅢㄴ戴㜸扦㌲㕡搹捡㌹ㄶ摢攱㌸摣戵扡㡢㉡㝤㠳㥢扣㔱㔳晦㘶㌷㕤慢㘸慤慤戵㘹㝣㡥〴㙣攰昳㑡戹㔱㡤ㅤ昲㕡挶つ㐹扣㜹㈳挸㌱㕥㐴㙤㡤㘱〳挷て㡣㠷㙡戶〶㜷㙢㥣㐷㜱㕢㌳㐷㜶挸㠰昹㌲っ慡㈵㌰㑤敥㤵戹㤸㤹扣㙡㘷戲㍢㌲㔱㠳㤱〹㌳攲㕣ㄴ㌰㤷ㄱ捤㕤㥣愳㔲㜴㌰㘳㠰搶敡㙥㐷〰ㄷ摡㌲戵攳㍦攷昸㙡戸㍥ㅢ㘱晦㕦慢晦て㡥愸愳㔳㤷愴搸㐷つ㌸㜳㘴捤昲㈳㑡摦㔷ㅦ㤵攳搳攱挱戵㜸㥣㌱㕣摤㡤ㄴ〳㘱挷敥㤸㠵搷慦㙦㠶㐲昸㜶捣㑤㜵㐴搹㉦扢摥て㑢愴挵㝣㠷戵挲㠹㝣ㅥ㜴戴㐵搳挶挳搰攲て慦敦〷ㄶ搳〶㥤慣㘴摡㜸て㘱㜳㌹挵ち㡡昷㈹晥㐹戱ㄲ愲㘷戵㝡〲㐰改敤ㅢ愰ㄸ㙥㙦㕦㠵㐸昵㌴愲〶扡㌵㔹捥戳ㄵ㄰慡㑦愵㥡慣慢㈳㑡㝦㠶㌵昸ㅣ㉣挹㄰晢㡣㤹搶㈹扡㌳㐹愶㙢㝢㌳晤㠲㤹扥㡡㈸扢愹㕦挶㤹昱ㄵ㜴攸㑦扢て㡣挶㔵ㅤ挰㑥扢〶捣㝦ㄳ㑤ㅦ㈵ㅢ晤ち搱㕦摢攸昱㐴㜷搷㘸扢ㅢ㝤㐳昴㌲㘰ㅣ〳敡㜵ㅤ㤰㡥昱㌶〲扦慥㘳扣攳愴愸搴㌱散敦搲㉦ㅢ扥戶搳㌱㤶㈳挵㐰㤷捥㐲挷㌰㌴㙢㘵㌳㔶㡤㡥㈸晢ㄵ搷㤵戰㈴ㅤ攳㈷搶㡡㑤挲捦㉡㐷㕢搴㌱㍥㠲ㄶ㝦㜰㐴〱ㄶㅤ攳㌳〴愴㘳晣㠲戰㔹〵挷㜷㔳㔱㔴㔳㜴愱攸ち㠱㡥昱㌹㠰搲㐶㍦㝥攷改ㄸ〶㈲ㄵ晤㝤〶扡㌵㔹捥㌳改ㄸ摦〰改摢挵晦慢㈳㑡㝦㜲㌵昸㌵㉣㐹挷攸挱㑣敢搴㜷㑥愶晦昱㘶摡㡢㤹晥㠴㈸扢愹扦挷㤹ㄱ㠴慥摢戰㠱㈳㈷づ㡣㠶搴㤷㐰戳㘱ㄱ㠱㐹愰㌷攱晦㜳攱㜴昵㌱搶搱昰〹㠴㝦慡攱㜶搷攸㐳昸捦㉥晣㐷挲搷搳昰ㅤ〹晦㔰挳敤㈹㘶㝤挲㤹㤳㤳愱㘲捦㜱扢ㄵ晤㝡ㄸ㤰㙥㐵㡦ㅤ搰扣收昳つ戰㌸搶ㄹ㔱㐷㌷ㅦ㐹㔹愹㝢〹㜰搴㤵㈳攴晦敢慥ㄹ挱㜷㐲晤搲昳㠶ㄱ慡㍢㔲づ㠴戶㜴晥㜹ㅦ戵昰㙤㥣ㄵ㍡愲昴㤷㘰㠳扤㘰㐹ㅡ愷㍦慡㡣挶改㡤戰昴㠸昷㤰挲㥤㉡㌶㈱ㅦ㝤㄰㘵㌷づ晤㝡㡣㠱㥡㍥㌴㑥㕣扤慤改〳㘵㘸㥣捤〸敦敢挲搷㈱㝣㤰㠶愳㜱攲敡㜵つ户ㅢ㘷㑢挲改㙣㘳㕢㕦㤷昰㈱ㅡ㡥挶㠹慢㔷㌴摣㙥㥣㝡㐴搵昵㈷〸㤹昱攳㌹㉡捦昲㌶〸慣搳㘱攷户戱㑥ㅦㅥ㍦搶㥦㐷昱㝣㔹㝦㑥㐷㤴晥昲㙣㜰㄰㉣〹敢㌱搴〵慣て㐱㔸㔸㝦〶㈹㕣搶ㄳ攴㠵㙥㌲㌶㉦㜴摤㌱ㅡ愰挳㕣㌹㘵㘰㈴愴晥慥㘹戱㔹ㅣ㑡㜴挸㐵搷ㄳ扤㉤㜴ㅣ㐰愳〸㝦㔴挳㙤ㄶ户㈳㥣扥㌹㙥慦㡥攸㠰昴敡〴〲昸㕢㜳㝥敢㤲㑥㡡㑡扤搹㝥ㄹ晥摤挳㘵慥攴㉡㑡搷ㅤ㍦㍥ㅦ搰戴㤵㑤㤶昷敢㠸搲㕦慥つ搲搹㐷昸ㅣ㠳㕡㠱㑦㍡攷〸㥦昷㈲㠵换攷㔸㔶㤹㡥㌴㌶㥦昴搸㌱挶㐱㔷㐳㍥㔳敡㉥捤㡦㑤攷〴㠲改㑦㘳㠳挷㄰㍣ㄱ㍡㤰て㍡㔳敡㌶㡤戶搹摣㤹㘸㍡攴戸㙣㡥搳〱㘱㜳㈲〲昸晢ㄵ㙣搲㐹㐷㔲㔴㘲搳敥捦挹ㄱ扢挸昱摡㜰㐵㝦ㅤ㍦㌶㤷㘸搲捡搸扣㐹㐷㤴晥敥㙤㜰㍡㉣〹㥢搳㔱㉢戰㐹㌷ㅤ㘱昳㐶愴㜰搹摣㤵㔵摥ㅢ㔱㌶㐱昴摤㌱㜶㠷捥㥥戰㘳㌱㜵慤㘶挸㥥ㄳ昶㈴㥣ㅥ㌵㌶㥣晥㍢挶摥ㅡ㍥㘱㈰攰㔷㙡戸㑤晦扥㠴搳愱挶㠶搳㠷挷搸㑦挳㜷㈴㝣㤱㠶摢晣㘷㄰㔵㐷晦㥡摦㌶㈷搰㈹㘷昵㜳挲昲㘳㐷搸慣㥦㘰晦㍦攲戴ㄱ㙡ㄶ㔲晡戱㝥㈱㡡攷㍢㈷㕣愰㈳㑡㝦㘷㌷搸〲㑢挲晡㑣搴〵慣户㈱㉣慣㥦㠷ㄴ㉥敢〷㈰㔲捤㐱㤴捤ぢ摤㜳㡣㈶攸散㌹㈱愶捥搲戴搸㉣戶㄰㍤搷㐵㜷㄰㍤ㅢ㍡㍤㈷挴搴㘹ㅡ㙥戳搸㐶㌸㙦㈶戹扤㤸㝥㌸敥㑡㜷㈸〲昸晢ㄵ扤㤸㍥㌹㤲愲昳㕥扣挷㠸ㅢ㙦攰ㄱㄸ愱攸㥥攳挷攷㠹㥡戶戲㕥㝣㠲㡥㈸晤㥤摥攰㌱戰㈴㝣捥㐳慤挰攷㐲㠴㠵捦攳㤱挲攵昳㘰㔶㤹扥㌱㌶㥦㜴搵㌱づ㠵づ㜳挲㥥〳攳敡攸㈲㝥づ㈷昸㘴ㄷ㑣㘷ㅤ㘳㠱つ摥〹攰㈳㌴搸收晥㈸㠲改㠸攳㤲㜹慡づ挸㤴㜰㈶〲昸晢ㄵ㘴搲㌹㐷㔲㜴㑥收㐰㑤收て挳搵㜹㠰晢㤱㜹戰收慣㡣捣昹㍡愲散㐷㝥改捡挳つ愸戹㤰戵挲㠹㝣挴㐷㠷摡愲摤㈸扤㜲㌸收捤ㄳ㠱挵㙥㤴慥㌵戲ㅢ㍤〹㘱昳㘴㡡㔳㈸㑥愵㌸㡤攲㜴〸散㐶慦〲㔰㕡愸ㄵ挵㜰㕢攸㑣㐴慡敢㄰㔵愸挹㜲㕡㕦〱愱づ愸㔴㤳㐶ㅤ㔱昶㡢扣㡢㘱㐹㙡㜲㍥敤搲〶㍦㑢ㅣ㙤㔱㑤㙥㠱㔶㙡㜲㈱ぢ搸㈵㜸㍢挲㔲㤳㡢㄰㌶㉦愶戸㠴攲㔲㡡㐵ㄴ㤷㐱愰㈶㜷〰㈸㌵㤹攱慤挹ㄵ㠸㔴昴づ昱慢挹㥥㤵㙡戲㠷㡥㈸晤昹摣攰㝤戰㈴ㅤ晣㍡㘶㕡愷ㅥ㜲㌲摤捤㥢改つ捣㤴慥ㄹ㜶〷愷愷㠸戱ㄸ㍡㝢ち挰收㙡ㅡ搰㑥ㄷつ㤸㑢〸㝦捣㠵搳㕢挴戸〵㍡㤹㕦㠰㥥愴搱㜶ㅦ扦ㄵ㌱㜵昴敢挰摦慦攸挹㜴〲㤱ㄴ㤵㝡昲愳晦ㅤ戴昷㘹㡦㝣㔰戸攰愶㍦㐸㠱戵挲㜵搵〴㑤㑥㔹㑦ㅥ慦㈳㑡㝦㘳㌷昸㌲㉣〹㙢㑢㔱㜶戰戶っ㘱㘹慡ㅤ㤰挲敤㜴昷㤰〶扡㔴搸慣扤㡥㌳攳㍥攸挸摡㡥〳㈳㌱㌵㕡昳㘰㑦㥣て㄰㑥㡦つㅢ㑥晦㄰攳㈱つ㥦㐰昸㜰つ户㘹㝢㠴㜰㝡㙤搸㜰晡㠸ㄸ㡦㘹昸㐴挲户搱㜰㜶扥㠰昹〴愲敡㔶ㄲ昴㙢㔸〶ㄶ〷㌶扣㜴晡昸㙤㡢ㅢ晤㐰晣㔸㑦愰㜸扥㡢㕢㕣㐷㤴晥戰㙦昰㌳㔸ㄲ搶㥦㐵㕤挰㍡摤㍦㠴昵㈸㔲戸慣㍦㑦㕥扥㐶㤴捤ぢ㝤㐲㡣ㄷ㌵㉦搸㈳挴搵搶㥡ㄷ㥢挶㤷〹愷晢㠵つ晦㌷攱慦㙡昸㐴挲〷㙢戸㑤攳㌲挲扦㜱攱昴つ㌱摥搰㜰㙣㈹攲㙡㜳つ户摢昴㉤㐴搵搱㙦攳户戱㑥㘷㡦搵戳㍥敡戶ㄱ搲㑣搷摤愹㉦敥敥ㄹ愱扡㈰㤹ㅦ敢㥢愰㜸扥慣て搰ㄱ愵㍦㈴ㅣ㌴㘰㐹㔸㕦㡥扡㠰昵〰挲挲晡挶㐸攱戲晥㍥㜹愱ㅦ㠵㑤㈳㝤㐱㡣㤵㥡ㄷ搰㤸㔲ㅢ㘸㕥㙣ㅡ㔷ㄱ㑥てつㅢ摥㠳昰㡦㌴ㅣ㡤㤴㔲㝤㌵摣㙥愴㑦〸愷㠳㠶つ愷㑦㠸昱㤹㠶㠳昵㤴㕡㕢挳㙤搶扦㐰㔴ㅤ晤㌵昰㈷ㅦ愱挷ㄶ㙢㜰㜱㐷㈷て㐹㔹㘹㘶ㄱ㑢㝥ㅢ㌹晡㝤昸戱摥ぢ挵昳㘵扤愷㡥㈸晤攱攲㘰㝦㔸ㄲ搶扦㐶㕤挰晡㐰㠴㠵昵敥㐸攱戲晥つ㜹愱敢㠴捤ぢ㝤㐰㡣敦㕣㕥㜰搳戳㕢ㄱ㉦㍦㄰㑥㜷ぢㅢ扥ㄹ攱㍦㘹昸㐴摥㈳敤愲攱㜶㈳晤㑣昸㤶㉥㥣扥㈰〶㤷㉥捥㕦ㄳ〸晦攵㕢㝢搶户ㅢ愹ㅡ㔱㜵昴搳挰㥦㝣㝥ㅤ敢㜴敥㤰㤴㥤戲㝥攱㡢㈳挴散挲㔷散晦攷㉥ㅢ愱攸敦攱挷晡て㈸㥥㉦敢摦敢㠸搲ㅦ㑡づ搲㐳㐴㔸慦㐵㕤挰㍡摤㍣㠴昵㙦㤱挲㘵㍤㠰㐸㌵ち㔱㌶㡤挳㜱㘶昴㜰㜹㠹愶搴㝦㡡㜸改㐵昸㘸ㄷ㍥㠲昰愰㠶攳捥㐴㑡㝤愹攱㜶攷敤㑤㌸扤㌲㙣敢昴〱㌱搶搱㜰摣㈶㐹愹㑦㌵摣㙥愴㍥㠸慡㥢㐸㄰㜸攱挷㜳慣㐱㕦愷㔳㠷愴散㤴㜵扦扥㑥㍦て㍦搶㔷愱㜸扥慣㝦愰㈳㑡㝦㤸㌹㌸ㅤ㤶㠴昵つ㔱ㄷ戰㑥昷づ㘱晤㥦㐸攱戲扥ㄱ㜹愱㤳㠵捤ぢ㝤㍥㡣晥搰㘱㔳戱㍢愷㠰昷㌴㉤㌶㡢㥢㄰㑤㥦つㅢ㑤户て㘳愰㡤ㅥ㑦昴摢ㅡ㙤㜷摤捤㄰㔳㤷〱〶昳敤㥡㤳㔸㤷㜵㔲㜴㑡㕥搵㜶㠵捤㌴ㅤ㍢晣㐸㕢愶戹㈹摢㠲扣愶㈳捡㝥扤㤹扥ㅦ戲〵ㅤ挲㥡愲搸昲ㄱ愷づ〴㡡㌷搳㜴攳㘰㙦㌱敢㠱挵ㄶ㤴扥ㄸ㌸挳搷愷㈰捤㄰㐵㤸㈲㐲ㄱ愵㠸㐱㘰ぢ摡〱愰戴挴㌳㈸㠶摢ㄲ〹㐴㉡晡㐴ㄴ㙡戲㥣搶㔶㐰愸㈷㉡搵攴㜱ㅤ㔱晡㔳换㐱㝡㔱㐸昳㙦换㑣敢搴ㄱ㑥愶㡦㝡㌳摤㡥㤹ㅥ㠵㈸扢㐱ㄷ攰捣ㄸ〱㥤摥㠲㠶搴㠳㐰ㄷ戶愰愳〸㍦摡㠵搳㐷挲ㄸ〳㥤扤〵つ愹㝢㌵摡㙥晦戱㠸愹愳㌷挳慦㙢晦ㄳ㥤ㄴ㤵摡摦㝥收昳㘸攱㙥ㄵ扤㈰ち慣ㄵ戶愰㜷㙡㜲捡摡晦づㅤ㔱昶㠳捣㜴㤴㤰昶㥦挸㥡㤲㜹㝥捥㜶戴㐵㤷㈰昴㜹㤰昶摦ㄹ㔸戴㍦ㅤㄷ㜰㠶㙦扢㐱㥡㤳㈹愶㔰㑣愵㤸㐶㌱ㅤ〲敤㑦㕦〶㘹晦ㅢ㔱っ户晤㜷㐵愴㕡㠴愸㐲㑤㤶搳㥡戴晦㌵㤵㙡㜲戵㡥㈸晤昵攴攰ㄵ戰㈴敤扦㌷㌳慤㔳搷㌸㤹㕥改捤㜴㕦㘶捡〷昱㜶晢搳㤹挰搸て㍡戶㍦愶㐵摣换〱㥡敤捦㡡〶捣っ攱㝣挴㙦挳改㔰㘰攴㌴ㅣ㤳㙥㑣㕤愴攱昶㜴㤱㈷㝣戱ぢ愷㔳㠱㌱㔳挳㜱戳㌹愶捥搳㜰扢扦ㅣ㠰愸扡摢〹㐲㘶晣㜸㡥㌵㤸㜴改㈵㈰㈹㉢昵ㅢ㌱攷㌷改搲㜱愰挰㝡愱晦㥣㠹攲昹㑥扡㘷攸㠸搲㥦㙣づ搲搵㐰晡挴㙣搴愵㘷㤷ㅡ㝡ㄱ慣敥㤷戲昸㐶ㄷ慢㕤㝥㍦戱づ㐵慣挹昳搹㜴昷扣慤收昳㝣昹㘹摥㈶㜹㠱㑢て晣扣㕣摢㉣慢㙤㈲㝥㌱ㄱ㍦㉡㌷慤戱㔹扦晥〴扦愴挸摦㍣㜲㝥扣捣㤴㄰ㄳㅢ昹㐹㙤昸㌵戳㙥昹昱敤昸㕤挶㕣㙤昳攴㜴㐷㠷搵搶昲㘷㜸㤷ㄲ扥㈶挰昷ㄴ攳戰㝦㍢换昷㙤㌶㑦㈲摡昷㌱戶㌰㔶㕦攰挳昹〱搲㙡晥㉡摤㙦㝢㤳㤲㜱㈰扢㈰ㅥ敡㕢㔹晣㈶㘸晦戹㝣捥摦㕥慤㑥㐵㜳㡢换昶愷㤱扦晣㈲攵挵搳㜱戳ㅤ㔸愳〳愲换搸戶慣㤲㝡攰㔵㡦收ㅣ㘸攴挵㙡㈲慡搴㠳攸〲㌲摡㑦㠰ㄵ㡥㜶ㄹㅢ敡㈱㐷扤㔰慢搷㠲攱㠰愲㜳㠹愰㡦搷敡㍥愲㝥挴㔱ㅦ愷搵㝤㐵晤愸愳㍥㔶慢〷㠹㥡㉥㈹㘲攴ㄸ慤摥㠲敡㥡㈷愰㉥愵㤸㙦㌹攲ぢ㙡慢㙡づ㙡捣㜵捣㌴㘶㕡㡤晢捦散挰摢㡣扡㍦〹攵昵挳㍦ㅥ㜱昸㠸ㄳ㐷慡㘷㤱㤴㝤搹㌸っ戵㜳㕥㍤㥦昳晣ㅣ㔹㔷㜵ㄴ昲戲晤摡ㄷ㔴ㄵ㐸㍡〲㜸㘳〱㐴㤷㤱敤捤㌲㥢㐲〴捣㈳愱昱㤲㐴昷づㄶ捦㌹扡搲敦愰㌳㥦〷㤲搸慤㜹㐶扡慤㉤㍤扦戶㜹㐶㤳搵戲㝦挷捣摡ㄹ㜳攱攲㠱ㅦ㐷挳ㄶ扢戶戶搶㍣ㅡ戹戰㙥晣㈸晡㈶搰慡㜹㡣㐷ㅢ攴戳㝤ㄹ戰挷㐲摢戳㡢㝡ㄷ㘱㔶搴㘴㑦愸㔶昳㥤㑡ㄵ戵晣㐲挴㤹㙣昹㐲慢㥦㐸ㄵ摦ㄷ慡㕢晤㍤搸㤰㈶攸搰㑤㘰户晡㜲㐷摤慥搵㜶慢搳㌷㐰搰㙤㕡㙤户晡晢㡥晡㐰慤戶㕢晤㥦㡥㝡戶㔶て㐲扥〱㐵㡦〲㌱搲慡搵搲敡㙡ㄵ搴愴搶㙤换捦㄰㤰戶㍣ㄳ㘵昶㙦换㘶㔸㈸㙦换戳㠱㌷捥㠱㈸㙥换㜳愱昱㔶㥤㝥〴摥戶㔴晦㠶㐲㤸㍦ㅦ㐸户㍤攸ㄲ㈰摡ぢ㍣摡㈰ㅦ愹㑢㝢㕣〸㉤摡攳㘷㠴㍤敤㤱㜳ち㔶搴ㅥ㤷戰〴挵敤戱㠸㉡㑦㝢晣〲㍢㐲捥っ㑤㡥摤ㅥ㔵攸㈹愲摥㔷慢敤昶攰㈳㜹㔱敦愳搵㜶㝢㔴㍢敡扤戵摡㙥て㍥戶ㄷ昴㕥㕡㍤㐸摡愳慢愳摥㔳慢敤昶㌰愰㉥㙡㡦ㅥ㔰㐸㝢㕣㡢㌲㝢㝦㐴愹㜸㝣敤づ㉢攵㙤㜲㍤搲ㄸ㌷㐰ㄴ户挹㡤搰㜸慢摦㑢㘷㡡㠲挹愱㝡㐳㈱散摦〴愴摢㈶㝤ㅣ敤ㄲ慦㜶㝤㐷㝢戳㔷摢ㅦ㕡㘹ㄹㄶ扢慢㥡攴㕢扣㕢ㄱ㘷戲㜸㠵愱㝦㍢㔵㥥㤶搹〴㜶㡡扡换㘶㑥㜶㜷〲改ㄶ㙤㑢㐷㝢㤷㔷㕢敦㘸㤷㝡戵㝣㜴㉢㡣摥つ慤㝦てㅦ敢㕢摣㝢㠱㌷敥㠳㈸㘶昳㝥㘸扣㐵㑥挰㝥㔱㤱㠷㍡挵㜸㄰㐸户挸摢㌹摡㠷扣摡㌱㑥攱ㅥ㠶搶扦㜰摢昹ㄶ敥㔱攰㡤挷㈰㡡ぢ昷㌸㌴摥挲㡤㉤㉤摣〴愷ㄸ㝦〷搲㉤摣捥㡥昶㐹慦㤶㡦ㄵ㍤㡤㥡昰㉤挸㌳捣戱戸㔱㥦㉢㈹挴慥愵㠵搸搳挹敥〵㙦㜶晢㍡摡ㄷ扤摡㡣愳㝤挹慢攵戳㌷㘹搴㤷愱昵攷㙤㉢摦攲扥ち扣昱ㅡ㐴㌱㙦换愰昱昲㜶〰散ㄷ㌵㉡㔷ㄱㄹ㈲㙦〰改昲搶收㘸摦昴㙡攷㌹㠵㝢ぢ㕡晦挲㙤敡㕢戸㜷㠰㌷晥〱㔱㕣戸㜷愱昱ㄶ敥攰搲挲ㅤ敥ㄴ㘳㌹㤰㙥攱㡥㜲戴㉢㍣摡㈰ㅦっ挹㥣晡㍥戴㤸㔳㑦㐴㔸ㅡ搹㕥攳㌶㜴ち㔶㌴愷㝥挰ㄲㄴ捦愹ㅦ㔲攵ㄹ戹㝣㘸㈴昳㕥㕦㔸㈸散㙣㑥㜶搴㝤戴摡㥥㔳昹㘰㐹搰敢㙡戵㍤愷㥥敡愸搷搱㙡㝢㑥攵挳㈷㐱慦慤搵㠳㌰㠷〴ㄴㅦ㐷㠹扡户㔶摢㜳敡㤹㔰㝢攷搴攰昹㔰㐸㤵扦戴慢㝣㈱挲㥥㉡搷㈱㜵昹㠶敥摦攵㔵晥扡愴捡㝣扡㈴昹〷㜴晥昶㌲挲攷㑤愲㌶戵摡慥㌲㥦㐰㠹扡㔶慢敤㉡㕦敡愸扢㘹戵㕤㘵㍥愵ㄲ戴愱搵㜶㤵㉦㜳搴㌵㕡㙤㔷昹ち愸扤㔵㔶㝣搴㈴㔵攴昸攸慡扡〰㕤扥㕣晣捣晡㜰㉣ㄴ收㘳㜸愱ㄵ戵敡つ摡戰慣ㄳ〴㉥㠱㐲挶㐱㌵㤰㙥㔷扢搵搱㜶昱㙡㤷㍡㠵戰ㄷ㠵ㅦ扦昱㉢㠴挱ㅣ㡢攷㡦摡㤲㐲摣㔳㕡㠸〷㥣散〲摥散ㅥ㜱戴摤扤摡㈷ㅣ㙤て慦㤶㡦㌷㠴ㅦ扢㘸晦昶㉤㕡ㅤ换㔱㕣戴戵愸昲昴晡攷㘱愷㘸㥥㜸搹挹㙥㙤㙦㜶换ㅣ敤㍡㕥敤㕢㡥㜶㕤慦㜶㌹戴㥥愲㝤散㕢戴昵㔸㡥攲愲慤㑦㤵愷㘸敦挳㑥㔱搱㔶㌹搹㙤攸捤敥ㄳ㐷摢捦慢晤挲搱㙥攴搵昲㐶戹愷㘸换㝤㡢㌶㠰攵㈸㉥摡㕦愹昲ㄴ敤ㅢ搸㈹㉡摡て㑥㜶㥢㝡戳晢搹搱㙥收搵㔶愳挳㑡て摣摣慢攵摤㘴㑦搱㕥昷㉤摡㤶㉣㐷㜱搱㠶㔰攵㈹㕡〰㜶㡡㡡挶㕢换㤲㕤扤㌷扢摥㡥㜶㙢慦戶㡦愳つ㜹戵ㅢ㐲换愲ㄹ㘱㘸晤㤷㠳攷㝤㡢ㅢ〵摥攴攵㔲㘱㝣挶愹昲ㄴ㜷㈳挴ㄶㄵ㜷ㄳ愷〸㐹㙦ㄱ㜸昳㔵㉡搱攰搱〶㜹㕢㔳收挵ㄴ戴㔸ち㜸敢㔲㌸戴㤷㠲挷㥤㐲ㄵ㉤〵摢戲〴挵㑢挱㜶㔴㜹ち戵㌵散挸摣昵㄰㉣ㄴ㤶〲摥〴ㄵ昵㠳㕡㙤捦㡢㘱㐷晤㠰㔶摢昳㘲挴㔱摦慦搵昶扣挸㕢愷㘲攴㍥慤ㅥ〴㝡〲㉡收愸敦搵敡㉤㐴㥤㠰㥡昴戸㤷㍢摢㐲㈱㔵戴攷挵扢㠱㉥㥦ㄷ挷戱㍥挵昳攲㠴㤲㉡㙥愷つ㈳ㄷ㌹搴㈸㈸㠴攱㠹㐰扡昳㈲㙦㝡㡡㜶㈷㡦㌶挸摢㠹挲晢捥搰㠲㜷摥㌲昴昰㝥㡢㔳愸㈲摥愷戰〴挵扣㑦愳捡挳晢㈴搸ㄱ㙥㙥搴㈴搸敢ㄱ㙦㍥㡡晡〶慤戶㜹㥦攲愸慦搷㙡㥢昷愹㡥晡㍡慤戶㜹攷㉤㑢㌱㜲慤㔶て㐲扤〳㙡扡愳扥㐶慢户㄰昵慥㔰ㄷ昱扥㌷ㄴ㔲㐵㝢扥扤ち攸㜲摥昷㘱㝤㡡㠷攷㡣㤲㉡敥慢つ摢慣㘳㘰㘴愰㄰㠶搳㐰扡扣昳㕥愳㘸㌳㕥敤〱㡥㌶敢搵昲收㥣搴散㘲㕤〵㝥〱挱戴〰愹攱㑤㥤㌵扥摢挴㥢挳扦昱㤵搶㜹㘴愶收㈰㌳摡㌰昷㐷〸攷昲㔱扣㘵挲㘲㤸㌳㠹攱㥤ㄲ挱㌴㈲攴搴戶㡥㜷㌶愸慤㘵㝢搷昱㡥㠶ㅢ㔲扣㤳㈱戵㍢搷㕢扢㔹㌴挶ㅢㄷ㘲扡㠹愱ㄳ㜵㌲戳ㄹ㈱㥣摢搹㥦敤㘰㕡㠸㌹搷挱戴㈲攴㘶捦ぢ㜹㌷挳㍡㕥挰扢㈱挵ぢ㜷挹晥㜴㙦昶〷搲ㄸ慦搳㈵晢㌶㠶㜸㠹捥㘴㘶㍢㐲㌸户戳攷〵慤㘰昸㔳昰㡡搷戱㠲㤹㠳㤰㥢㍤慦㔹摤っ敢㜸慤㕡〸摤散つ愹㕢ㄱㄲ㙢㜳㘹敤㜶ㅤ㘷ㅥ攴戵㜶愷㌷㐵ㅤ㉦㉦ぢ搶㜸㔹改㠶ㄴ㉦て挵摡㍣㕡攳㔵㈱攳捣昹㕥㙢扣〲㜴㔳搴㍤攴つ㈹㕥挱㐹晡㠳㤹㥥ㄷ㙥㤲晥㄰㙦晡扦㝢㔳搴昱攲捣戵愶㜸攱㈵改て㘵㝡㕥㜳㐹晡挳扣改㕦昰愶愸攳㜵㤵㥢扥敥㈵㙦㐸扤㡡㤰㔸㍢㥣搶㤶改㌸昳〸慦㌵㕥晡ㄴ搲昳㤲挷つ㈹㕥扡㐸晡〵㑣晦慥㤳晥㐸㙦晡攵摥ㄴ㜵扣㉡㈹愴㝦ㅦ㈱改㈸㠷㝢㍢捡搱㌴挶㡢て㌱㝤っ㐳ㅦ敡㘴收戱〸攱摣敥㈸㕦㍡挹て昶㈶㍦㥥〹晥敤㈴㕦挸搰搷㑥昲ㄳ扣挹㝦㜶㌰㈷ㄲ挳㑤㌰㑢㘶㥥㠴ㄳ户㥦㜱挳敢㤶户㡥ㅢ㕤㌷愴戸㠹㤵㈲㥥㑣㌵昷慦㤲晥ㄴ㥣戸改戹㔷㜵㔳搴㜱㡦㕡〸昵昰㠶ㄴ昷㥤㘲敤㔴慡戹攵ㄴ㙢愷攱挴戵挶敤㘵㈱㍤户㤵㠵㄰户㤳㙥㐸㜱慢㈸搶㑥愷㥡扢㐴戱㜶〶㑥㕣㙢摣ㄱ扡㈹敡戸ㄳ㉣㠴戸〳㜴㐳㡡扢㍢戱㜶㈶搵摣搸㠹戵戳㜰攲㕡攳㈶捥㑤㔱挷捤㕢㈱挴㑤㥢ㅢ㔲摣㤰㠹戵戳愹ㅥ愲攳捣㜳㜰攲㕡攳扥换㑤㔱挷晤㔶㈱挴㝤㤶ㅢ㔲㔱㠴挴摡戹㔴㜳慢挴㌸昳㍣㥣戸搶戸㉤㜲㔳搴㜱㍢攴㠶ㄴ户㐱搲〷㘷㝡㍢搱〵挴㜰搷㈳愶㉦㘴㠸ㅢㅥ㌱㝤ㄱ㑥搰㜵散㍥挸㙤㠳㘰㉥㘶㌴㜷っ㠲戹〴㈷㙥昶ㄳ戵搶㥥慡戹㉢㈸㘴捦摤㠰㘴㥦昱㘶扦㠸ㄸ㉥晥㘲晡㌲㠶愶㔱戰㘶㤷攳挴捤㥥慢愷㘰慥㘰㌴ㄷ㑥挱㕣㠹ㄳ㌷㝢㉥㤲㙥㠶㜵㕣ㅣぢ愱㙣㔱㠸敢摦㙥挸愳㝡㥥捡敥㤷摢㙦扦敦敡扡昶㕦扦敢敥㈳㝡㕣戰晣改昷捦㝣㜵敦㘱ㅦ晥㜴昱挵慦慥㍣昳搹㥦敥换っ晢晢ㄵ㔷㍣㌶㘱搱戳敦昷捥㕦㔶㝤攷㜷ㄳ㉦㍢㌴㍣敢搰〳昳扢㙣戹挳愱㝢ㅣ㌰㈵㍣㜹慤挱㕤扡㜴敢戶昹摡㑦慥㌷㈸戸攰挰愵敡攱㌷晢戶㈸㔹昳㔸㠹慢㤰ㄳ㡦㉤昱〹㍡㙢㥦㜹㌵戴收㌵ㄴ搷㔲㕣㐷㜱㍤挵つㄴ㌷㔲㉣㠶㔰㌳㈹㤰搲扣〹㈷捥ㄱ攴昲㈸捦㍢㤷攰挴扣ㄹ愲㘷慦㍡㉥㝡㝦㘸㤵㥡㤰㠱㤴攵ㄶ㥣昰〸攱ㄳ㜴搶㔳昳㙦搰㥡户㔲摣㐶㜱㍢挵ㅤㄴ㜷㔲摣㐵戱ㄴ㐲戵㔰㈰愵㜹㌷㑥㥣㈳搸㡡㠰㔴改ㅥ㥣㤸昷㐲愰㑡〷攲扦㍦戴㑡戲㌶戳㉣昷㈱㈷ㅥつ昸〴摢ㄱ㘰扦㌳敦挷㠹昹〰挵㠳ㄴて㔱㍣㑣昱〸挵愳ㄴ㡦㐱㈸㔹扥㤹攰㜱㠴㥣㈳㌸〷〱愹搲ㄳ〴晥ㅤ愲㘷㉦㈵㙢㜳ㄹ㤴㙢戴㐰㥦㈲昴㘹ㅢ㉡ぢ㉦愱㐵㙤捦〵㔸愰捦ㄲ晡㥣つ㍤ㄸ晦〹愷捦攳挴㌹㠲㕣㙢〵晡〲㑥捣ㄷ㈱㔰㠰㐳昱㥦㐰㡢捡㝡㤸〳㝤㤹搰㔷㙣愸慣㤵㉣㐰ㄱ㤴㙢愶㔸㝤㡤搰㘵㌶㔴㤶㐵㐲㕦㐷搸㌹㠲㐷㍡搰㌷〸㝤㔳愰㜵㐷攳扦㍦戴㔱㘵ㅤ㘵㔹摥㐲㑥㍣〶攲ㄳ㍣ㄶ〱㘹搴户㜱㘲扥㐳昱て㡡㜷㈹摥愳㔸㑥戱㠲攲㝤㠸扡攳㈱晥搰㜲㉥㐴〶搲ㄲ晦挴〹て扥搱㍣攸㉣摣收㑡㘸捤て㈸㔶㔱㝣㐸昱ㄱ挵挷ㄴ㥦㔰㝣ち愱㑥愴㐰捡攲㔶㍡〹㕡㘹愵捦〹晣〲〲㙤㝦戲㉦昴ㄴ〷晡ㄵ愱晦戲愱愷晡㐲㑦㜳愰晦㈱昴㙢ㅢ㝡扡㉦昴っ〷晡つ愱摦摡㔰㔹㔵换捡㝡㤶〳晤㥥搰ㅦ㙣愸㉣㤹㘵搰㜳ㅣ攸㑦㠴晥捦㠶㥥㡢晦㠴㠱愲㠱㜲㥥〳晤㠵㔰扥㈵〳㌳捡〵㌸晦㐳ㅢ昵㐲愷㉣㡡慦攵挰㤱挰㈷攸㉣愴㘶㌵戴㘶ㄷ㡡慥ㄴ㌵ㄴ〶㐵㌷㡡㕡ちㄳ㐲㕤散㤸㈹ㅡ㝡㤷㐰㉢㡤摡㥤挰ㅥ㄰愸搲愲㍦扡㑡㤷㌹㘵改㠹っ㜹㐸㍦扤ㅣ㕡ㄹ㑦扤㔸㤶㍡㡡㈰挵㕡ㄴ扤㈹搶愶㔸㠷㘲㕤〸㈵敢㌶㔲ㄷ昷搳㉢㥤㉡昵㈵㜰㍤㠸㥥扤㠲㕣㌳㜹〷愱㘷㔷㜵㌵㑥㘵搷昰攱㝦敤㥢㉤㔲晦昵㘹㤰换愷㐴㝤愰愳散晢〱㕣㔰㐵扤㔲慢敤晢〱㕣㘲㐵晤㑦慤戶敦〷㕣敦愸摦搷敡扥挸㌷愰戸っぢ㝡㠵㔶てㄲ㌵ㄷ㘶㔱㉦搷敡㉤㐴捤愵㕡搴敦㘹昵㈸愸㙢㔵㔵搰改㤰㙡㠹㠳㜸㔷㈳愴ㅡ㝦㘵㌵戸㝣㑢攲㜷㑡ㄲ㜳㤹搵㉣㜰㙤ㄵ捣摢摥攴挲〲㔷㕣㠹㝡㔳㐷搹㉣摣收愸摦搰㙡㥢〵慥捡㠲㝥㕤慢㙤ㄶ戸㑥㡢㝡㤹㔶摢㉣摣改愸㕦搳㙡㥢㠵扢ㅣ昵慢㕡扤㠵戰挰搵㕤㡣扣愲搵づぢ㜷㈳㠲㠷扡挷㐱扣慣ㄱ挲挲搶㘴㠱㉢扥㈴㝥戱㈴昱㝤㠸搰㉣摣敦㘰㕥昰㈶ㄷㄶ戸㐸㑢昲攷㜴㤴捤挲㠳㡥晡㔹慤戶㔹㜸挸㔱㍦愳搵㌶ぢ㕣摡挵挸搳㕡㙤戳挰挵㕥搴㑦㘹戵捤〲㤷㝦㔱㍦愹搵㕢愰㡡〱挵つ㠱愸晦慥搵づぢ捥㐸㔶摣づ〸攲〹㡤㄰ㄶ戶㈱ぢ摣㈴㐸搴㘳挵㠹ㄵ昷〵ㄲ昱㘸㔹ㅡ敥ㄶ㈴敡㤱㤲㌴摣㈰㐸挴挳摥㌴㈳㤸捦㜳㑥搴㠳挵㘹㠲摣㍦戰㌸㍤㠳㡡㥢〶㐹晥㠰㌷昹㘸㈶攷㔶㐲愲敥㉢㑥慥戸㝢㤰㠸㝢扤㘹愴㙡摣㔳㐸搴摤㈵㘹戸㡤㤰㠸愵摥㌴攳㤹て㌷ㄷㄲ㜵㘷㜱㥡㈰㜷ㄹ扡㤸摣㕡〸收づ㙦昲㠹㑣捥つ㠷㐴摤㔶㤲㥣ㅢ〳摤愷戸ㅢ㄰捣慤摥攴搲愷戸㐷㤰愸㕢㜴㤴摤愷戸㙢㄰昵捤㕡㙤昷㈹敥㈳㐴扤㐴慢敤㍥挵㥤㠵愸㙦搲㙡扢㑦㜱慦㈱敡挵㕡㙤昷㈹敥㍥㐴㝤愳㔶㙦㈱㝤㡡晢ㄱ㔱摦愰搵㑥㥦攲捥㐱㔷㠴摢〵挱㕣慦㌱搲慢愴㈲摣㐴㐸搴㜵㍡捡慥〸户ㄵ愲扥㔶慢敤㡡㜰愳㈱敡㙢戴摡慥〸户ㅥ愲扥㕡慢敤㡡㜰㌳㈲敡慢戴摡慥〸户㈷愲扥㔲慢户㤰㡡㜰挳㈲敡㉢戴㕡㔷㐴㝤敥㐴㕣慥㈳愴昴搲〹戸㜷㤱㌴㡢㑡搲㜰扢㈲ㄱ㤷㝡搳㐸㘷攳㈶㐶愲㉥㉥㐹挳㝤㡢㐴㕣㔴㤶㠶扢ㄹ㠹扡戰㈴つ㌷㌰ㄲ㜱㐱㔹ㅡ㙥㙢㈴敡晣㤲㌴摣挹㐸挴㜹㘵㘹戸扦㤱愸㜳㑢搲㜰㑢㈳ㄱ攷㤴愵攱㐶㐷愲捥㉥㐹挳扤㡤㐴㥣攵㑤㈳敢ち㜷㍣ㄲ㜵㐶㜱㥡㈰㜷㈶扡搳㜰㍢㈲㤸搳扤挹愵搳㜰㤳㈲㔱愷敡㈸扢搳㜰摢㈲敡㔳戴摡敥㌴摣挸㠸晡㘴慤戶㍢つ户㌶愲㍥㐹慢敤㑥挳捤㡥愸㑦搴㙡扢搳㜰晢㈳敡ㄳ戴㝡ぢ改㌴摣㄰㠹㝡愱㔶㍢㥤㠶扢㈰㠹㌸㕥㐷ㄴ㍡つ昷㐶ㄲ㜵㙣㜱㥡㈰昷㌰扡昲摣戸〸收ㄸ㙦㜲愹㍣户㌳ㄲ㜵㤴㡥戲㉢捦つ㡥愸㡦搴㙡扢昲摣昲㠸㝡㠱㔶摢㤵攷㈶㐸搴㐷㘸戵㕤㜹㙥㡢㐴㝤戸㔶摢㤵攷㐶㐹搴㠷㘹戵㕤㜹㙥㥤㐴㝤愸㔶㍢㤵攷㝥㐹㈲づ搱ㄱ㔲㜹改晤摣㐵㐹搴晣㤲㌴慣㥢摣㐳㔹㠸ㄳ挵㕥挲㔰㐰㜱〵戶捦㤸摥㍥攳㍡㘱㥦㜱捡户捦㌸ㅥ敤㌳捥慦昶㤹㤸㐲㍢㤹㈷㐰挵㠳散〶ㄹ㘰㠱㝡〶扢晦㝦〸㕦㥢㍥</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</si>
</sst>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quot;$&quot;#,##0"/>
  </numFmts>
  <fonts count="11" x14ac:knownFonts="1">
    <font>
      <sz val="10"/>
      <name val="Arial"/>
      <charset val="134"/>
    </font>
    <font>
      <b/>
      <sz val="12"/>
      <name val="Arial"/>
      <family val="2"/>
    </font>
    <font>
      <b/>
      <sz val="10"/>
      <name val="Arial"/>
      <family val="2"/>
    </font>
    <font>
      <b/>
      <sz val="10"/>
      <name val="宋体"/>
      <family val="3"/>
      <charset val="134"/>
    </font>
    <font>
      <sz val="12"/>
      <name val="Arial"/>
      <family val="2"/>
    </font>
    <font>
      <b/>
      <sz val="10"/>
      <color theme="2"/>
      <name val="Arial"/>
      <family val="2"/>
    </font>
    <font>
      <sz val="10"/>
      <name val="宋体"/>
      <family val="3"/>
      <charset val="134"/>
    </font>
    <font>
      <b/>
      <sz val="12"/>
      <name val="宋体"/>
      <family val="3"/>
      <charset val="134"/>
    </font>
    <font>
      <b/>
      <sz val="8"/>
      <name val="Arial"/>
      <family val="2"/>
    </font>
    <font>
      <sz val="10"/>
      <name val="Arial"/>
      <family val="2"/>
    </font>
    <font>
      <sz val="9"/>
      <name val="Arial"/>
      <family val="2"/>
    </font>
  </fonts>
  <fills count="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rgb="FF00FFFF"/>
        <bgColor indexed="64"/>
      </patternFill>
    </fill>
    <fill>
      <patternFill patternType="solid">
        <fgColor theme="9" tint="0.59999389629810485"/>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1">
    <xf numFmtId="0" fontId="0" fillId="0" borderId="0"/>
  </cellStyleXfs>
  <cellXfs count="135">
    <xf numFmtId="0" fontId="0" fillId="0" borderId="0" xfId="0"/>
    <xf numFmtId="0" fontId="0" fillId="0" borderId="2" xfId="0" applyBorder="1"/>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right"/>
    </xf>
    <xf numFmtId="1" fontId="2" fillId="0" borderId="6" xfId="0" applyNumberFormat="1" applyFont="1" applyBorder="1" applyAlignment="1">
      <alignment horizontal="center"/>
    </xf>
    <xf numFmtId="0" fontId="2" fillId="0" borderId="8" xfId="0" applyFont="1" applyBorder="1" applyAlignment="1">
      <alignment horizontal="right"/>
    </xf>
    <xf numFmtId="1" fontId="2" fillId="0" borderId="9" xfId="0" applyNumberFormat="1" applyFont="1" applyBorder="1" applyAlignment="1">
      <alignment horizontal="center"/>
    </xf>
    <xf numFmtId="0" fontId="2" fillId="0" borderId="8" xfId="0" applyFont="1" applyBorder="1"/>
    <xf numFmtId="0" fontId="4" fillId="0" borderId="0" xfId="0" applyFont="1" applyAlignment="1">
      <alignment vertical="center" wrapText="1"/>
    </xf>
    <xf numFmtId="0" fontId="2" fillId="0" borderId="6" xfId="0" applyFont="1" applyBorder="1" applyAlignment="1">
      <alignment horizontal="center"/>
    </xf>
    <xf numFmtId="10" fontId="2" fillId="0" borderId="9" xfId="0" applyNumberFormat="1" applyFont="1" applyBorder="1" applyAlignment="1">
      <alignment horizontal="center"/>
    </xf>
    <xf numFmtId="10" fontId="2" fillId="0" borderId="8" xfId="0" applyNumberFormat="1" applyFont="1" applyBorder="1"/>
    <xf numFmtId="0" fontId="2" fillId="0" borderId="2"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10" fontId="2" fillId="0" borderId="8" xfId="0" applyNumberFormat="1" applyFont="1" applyBorder="1" applyAlignment="1">
      <alignment horizontal="center"/>
    </xf>
    <xf numFmtId="0" fontId="5" fillId="0" borderId="6" xfId="0" applyFont="1" applyBorder="1" applyAlignment="1">
      <alignment horizontal="center"/>
    </xf>
    <xf numFmtId="10" fontId="5" fillId="0" borderId="9" xfId="0" applyNumberFormat="1" applyFont="1" applyBorder="1" applyAlignment="1">
      <alignment horizontal="center"/>
    </xf>
    <xf numFmtId="0" fontId="0" fillId="0" borderId="0" xfId="0" applyAlignment="1">
      <alignment wrapText="1"/>
    </xf>
    <xf numFmtId="0" fontId="1" fillId="0" borderId="0" xfId="0" applyFont="1"/>
    <xf numFmtId="0" fontId="2" fillId="0" borderId="10" xfId="0" applyFont="1" applyBorder="1" applyAlignment="1">
      <alignment vertical="top"/>
    </xf>
    <xf numFmtId="0" fontId="0" fillId="2" borderId="12" xfId="0" applyFill="1" applyBorder="1"/>
    <xf numFmtId="0" fontId="2" fillId="0" borderId="0" xfId="0" applyFont="1" applyAlignment="1">
      <alignment vertical="top"/>
    </xf>
    <xf numFmtId="0" fontId="2" fillId="0" borderId="0" xfId="0" applyFont="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1" fontId="2" fillId="0" borderId="15" xfId="0" applyNumberFormat="1" applyFont="1" applyBorder="1" applyAlignment="1">
      <alignment horizontal="center"/>
    </xf>
    <xf numFmtId="1" fontId="2" fillId="0" borderId="16"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5" fillId="0" borderId="15" xfId="0" applyFont="1" applyBorder="1" applyAlignment="1">
      <alignment horizontal="center"/>
    </xf>
    <xf numFmtId="10" fontId="5" fillId="0" borderId="16" xfId="0" applyNumberFormat="1" applyFont="1" applyBorder="1" applyAlignment="1">
      <alignment horizontal="center"/>
    </xf>
    <xf numFmtId="10" fontId="2" fillId="0" borderId="16" xfId="0" applyNumberFormat="1" applyFont="1" applyBorder="1" applyAlignment="1">
      <alignment horizontal="center"/>
    </xf>
    <xf numFmtId="0" fontId="6" fillId="0" borderId="0" xfId="0" applyFont="1"/>
    <xf numFmtId="0" fontId="2" fillId="3" borderId="0" xfId="0" applyFont="1" applyFill="1" applyAlignment="1">
      <alignment horizontal="center"/>
    </xf>
    <xf numFmtId="0" fontId="0" fillId="0" borderId="19" xfId="0" applyBorder="1"/>
    <xf numFmtId="0" fontId="0" fillId="0" borderId="5" xfId="0" applyBorder="1"/>
    <xf numFmtId="0" fontId="0" fillId="0" borderId="20" xfId="0" applyBorder="1"/>
    <xf numFmtId="0" fontId="2" fillId="0" borderId="21" xfId="0" applyFont="1" applyBorder="1" applyAlignment="1">
      <alignment horizontal="center"/>
    </xf>
    <xf numFmtId="176" fontId="0" fillId="0" borderId="0" xfId="0" applyNumberFormat="1"/>
    <xf numFmtId="0" fontId="0" fillId="0" borderId="17" xfId="0" applyBorder="1"/>
    <xf numFmtId="0" fontId="2" fillId="0" borderId="18" xfId="0" applyFont="1" applyBorder="1" applyAlignment="1">
      <alignment horizontal="right"/>
    </xf>
    <xf numFmtId="177" fontId="0" fillId="2" borderId="13" xfId="0" applyNumberFormat="1" applyFill="1" applyBorder="1"/>
    <xf numFmtId="0" fontId="0" fillId="0" borderId="22" xfId="0" applyBorder="1"/>
    <xf numFmtId="0" fontId="2" fillId="0" borderId="23" xfId="0" applyFont="1" applyBorder="1" applyAlignment="1">
      <alignment horizontal="right"/>
    </xf>
    <xf numFmtId="0" fontId="0" fillId="0" borderId="14" xfId="0" applyBorder="1"/>
    <xf numFmtId="0" fontId="0" fillId="0" borderId="24" xfId="0" applyBorder="1"/>
    <xf numFmtId="0" fontId="2" fillId="0" borderId="25" xfId="0" applyFont="1" applyBorder="1" applyAlignment="1">
      <alignment horizontal="right"/>
    </xf>
    <xf numFmtId="177" fontId="0" fillId="2" borderId="16" xfId="0" applyNumberFormat="1" applyFill="1" applyBorder="1"/>
    <xf numFmtId="0" fontId="2" fillId="0" borderId="0" xfId="0" applyFont="1"/>
    <xf numFmtId="0" fontId="0" fillId="0" borderId="26" xfId="0" applyBorder="1"/>
    <xf numFmtId="0" fontId="2" fillId="0" borderId="27" xfId="0" applyFont="1" applyBorder="1" applyAlignment="1">
      <alignment horizontal="right"/>
    </xf>
    <xf numFmtId="177" fontId="0" fillId="2" borderId="28" xfId="0" applyNumberFormat="1" applyFill="1" applyBorder="1"/>
    <xf numFmtId="0" fontId="0" fillId="4" borderId="0" xfId="0" applyFill="1"/>
    <xf numFmtId="0" fontId="2" fillId="0" borderId="31" xfId="0" applyFont="1" applyBorder="1"/>
    <xf numFmtId="0" fontId="2" fillId="0" borderId="31" xfId="0" applyFont="1" applyBorder="1" applyAlignment="1">
      <alignment horizontal="right"/>
    </xf>
    <xf numFmtId="177" fontId="0" fillId="0" borderId="19" xfId="0" applyNumberFormat="1" applyBorder="1" applyAlignment="1">
      <alignment horizontal="center"/>
    </xf>
    <xf numFmtId="177" fontId="0" fillId="0" borderId="5" xfId="0" applyNumberFormat="1" applyBorder="1" applyAlignment="1">
      <alignment horizontal="center"/>
    </xf>
    <xf numFmtId="177" fontId="0" fillId="0" borderId="14" xfId="0" applyNumberFormat="1" applyBorder="1" applyAlignment="1">
      <alignment horizontal="center"/>
    </xf>
    <xf numFmtId="177" fontId="2" fillId="0" borderId="19" xfId="0" applyNumberFormat="1" applyFont="1" applyBorder="1" applyAlignment="1">
      <alignment horizontal="center"/>
    </xf>
    <xf numFmtId="177" fontId="2" fillId="0" borderId="5" xfId="0" applyNumberFormat="1" applyFont="1" applyBorder="1" applyAlignment="1">
      <alignment horizontal="center"/>
    </xf>
    <xf numFmtId="177" fontId="2" fillId="0" borderId="14" xfId="0" applyNumberFormat="1" applyFont="1" applyBorder="1" applyAlignment="1">
      <alignment horizontal="center"/>
    </xf>
    <xf numFmtId="177" fontId="2" fillId="0" borderId="20" xfId="0" applyNumberFormat="1" applyFont="1" applyBorder="1" applyAlignment="1">
      <alignment horizontal="center"/>
    </xf>
    <xf numFmtId="177" fontId="2" fillId="0" borderId="9" xfId="0" applyNumberFormat="1" applyFont="1" applyBorder="1" applyAlignment="1">
      <alignment horizontal="center"/>
    </xf>
    <xf numFmtId="177" fontId="2" fillId="0" borderId="16" xfId="0" applyNumberFormat="1" applyFont="1" applyBorder="1" applyAlignment="1">
      <alignment horizontal="center"/>
    </xf>
    <xf numFmtId="177" fontId="2" fillId="0" borderId="0" xfId="0" applyNumberFormat="1" applyFont="1"/>
    <xf numFmtId="177" fontId="2" fillId="0" borderId="21" xfId="0" applyNumberFormat="1" applyFont="1" applyBorder="1" applyAlignment="1">
      <alignment horizontal="center"/>
    </xf>
    <xf numFmtId="177" fontId="2" fillId="0" borderId="3" xfId="0" applyNumberFormat="1" applyFont="1" applyBorder="1" applyAlignment="1">
      <alignment horizontal="center"/>
    </xf>
    <xf numFmtId="177" fontId="2" fillId="0" borderId="13" xfId="0" applyNumberFormat="1" applyFont="1" applyBorder="1" applyAlignment="1">
      <alignment horizontal="center"/>
    </xf>
    <xf numFmtId="177" fontId="0" fillId="0" borderId="0" xfId="0" applyNumberFormat="1"/>
    <xf numFmtId="177" fontId="2" fillId="0" borderId="31" xfId="0" applyNumberFormat="1" applyFont="1" applyBorder="1" applyAlignment="1">
      <alignment horizontal="center"/>
    </xf>
    <xf numFmtId="0" fontId="0" fillId="0" borderId="0" xfId="0" applyAlignment="1">
      <alignment vertical="top"/>
    </xf>
    <xf numFmtId="0" fontId="0" fillId="0" borderId="0" xfId="0" applyAlignment="1">
      <alignment vertical="top"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8" xfId="0" applyFont="1" applyBorder="1" applyAlignment="1">
      <alignment horizontal="center" vertical="center" wrapText="1"/>
    </xf>
    <xf numFmtId="0" fontId="2" fillId="0" borderId="34" xfId="0" applyFont="1" applyBorder="1" applyAlignment="1">
      <alignment horizontal="left" vertical="top"/>
    </xf>
    <xf numFmtId="0" fontId="2" fillId="0" borderId="35" xfId="0" applyFont="1" applyBorder="1" applyAlignment="1">
      <alignment horizontal="left" vertical="top" wrapText="1"/>
    </xf>
    <xf numFmtId="0" fontId="2" fillId="0" borderId="36" xfId="0" applyFont="1" applyBorder="1" applyAlignment="1">
      <alignment horizontal="left" vertical="top"/>
    </xf>
    <xf numFmtId="0" fontId="2" fillId="0" borderId="37" xfId="0" applyFont="1" applyBorder="1" applyAlignment="1">
      <alignment horizontal="left" vertical="top" wrapText="1"/>
    </xf>
    <xf numFmtId="0" fontId="2" fillId="0" borderId="41" xfId="0" applyFont="1" applyBorder="1" applyAlignment="1">
      <alignment horizontal="left" vertical="top"/>
    </xf>
    <xf numFmtId="0" fontId="2" fillId="0" borderId="42" xfId="0" applyFont="1" applyBorder="1" applyAlignment="1">
      <alignment horizontal="left" vertical="top" wrapText="1"/>
    </xf>
    <xf numFmtId="0" fontId="2" fillId="0" borderId="43" xfId="0" applyFont="1" applyBorder="1" applyAlignment="1">
      <alignment horizontal="left" vertical="top"/>
    </xf>
    <xf numFmtId="0" fontId="2" fillId="0" borderId="44" xfId="0" applyFont="1" applyBorder="1" applyAlignment="1">
      <alignment horizontal="left" vertical="top" wrapText="1"/>
    </xf>
    <xf numFmtId="0" fontId="2" fillId="0" borderId="0" xfId="0" applyFont="1" applyAlignment="1">
      <alignment horizontal="right" vertical="top"/>
    </xf>
    <xf numFmtId="0" fontId="2" fillId="0" borderId="0" xfId="0" applyFont="1" applyAlignment="1">
      <alignment horizontal="right" vertical="top" wrapText="1"/>
    </xf>
    <xf numFmtId="0" fontId="2" fillId="0" borderId="45" xfId="0" applyFont="1" applyBorder="1" applyAlignment="1">
      <alignment horizontal="center"/>
    </xf>
    <xf numFmtId="0" fontId="2" fillId="0" borderId="46" xfId="0" applyFont="1" applyBorder="1" applyAlignment="1">
      <alignment horizontal="center"/>
    </xf>
    <xf numFmtId="0" fontId="0" fillId="0" borderId="47" xfId="0" applyBorder="1"/>
    <xf numFmtId="177" fontId="2" fillId="0" borderId="48" xfId="0" applyNumberFormat="1" applyFont="1" applyBorder="1" applyAlignment="1">
      <alignment horizontal="center"/>
    </xf>
    <xf numFmtId="0" fontId="2" fillId="0" borderId="49" xfId="0" applyFont="1" applyBorder="1" applyAlignment="1">
      <alignment horizontal="left"/>
    </xf>
    <xf numFmtId="0" fontId="2" fillId="0" borderId="5" xfId="0" applyFont="1" applyBorder="1" applyAlignment="1">
      <alignment horizontal="left"/>
    </xf>
    <xf numFmtId="0" fontId="2" fillId="0" borderId="14" xfId="0" applyFont="1" applyBorder="1" applyAlignment="1">
      <alignment horizontal="right"/>
    </xf>
    <xf numFmtId="0" fontId="2" fillId="0" borderId="50" xfId="0" applyFont="1" applyBorder="1"/>
    <xf numFmtId="0" fontId="2" fillId="0" borderId="51" xfId="0" applyFont="1" applyBorder="1" applyAlignment="1">
      <alignment horizontal="left"/>
    </xf>
    <xf numFmtId="0" fontId="2" fillId="0" borderId="9" xfId="0" applyFont="1" applyBorder="1" applyAlignment="1">
      <alignment horizontal="left"/>
    </xf>
    <xf numFmtId="0" fontId="2" fillId="0" borderId="16" xfId="0" applyFont="1" applyBorder="1" applyAlignment="1">
      <alignment horizontal="right"/>
    </xf>
    <xf numFmtId="177" fontId="2" fillId="0" borderId="46" xfId="0" applyNumberFormat="1" applyFont="1" applyBorder="1" applyAlignment="1">
      <alignment horizontal="center"/>
    </xf>
    <xf numFmtId="0" fontId="2" fillId="0" borderId="47" xfId="0" applyFont="1" applyBorder="1" applyAlignment="1">
      <alignment horizontal="right"/>
    </xf>
    <xf numFmtId="0" fontId="2" fillId="0" borderId="52" xfId="0" applyFont="1" applyBorder="1"/>
    <xf numFmtId="0" fontId="0" fillId="0" borderId="0" xfId="0" quotePrefix="1"/>
    <xf numFmtId="177" fontId="2" fillId="0" borderId="50" xfId="0" quotePrefix="1" applyNumberFormat="1" applyFont="1" applyBorder="1" applyAlignment="1">
      <alignment horizontal="center"/>
    </xf>
    <xf numFmtId="177" fontId="2" fillId="0" borderId="52" xfId="0" quotePrefix="1" applyNumberFormat="1" applyFont="1" applyBorder="1" applyAlignment="1">
      <alignment horizontal="center"/>
    </xf>
    <xf numFmtId="177" fontId="2" fillId="5" borderId="0" xfId="0" applyNumberFormat="1" applyFont="1" applyFill="1" applyAlignment="1">
      <alignment horizontal="center"/>
    </xf>
    <xf numFmtId="177" fontId="2" fillId="5" borderId="5" xfId="0" applyNumberFormat="1" applyFont="1" applyFill="1" applyBorder="1" applyAlignment="1">
      <alignment horizontal="center"/>
    </xf>
    <xf numFmtId="177" fontId="2" fillId="5" borderId="9" xfId="0" applyNumberFormat="1" applyFont="1" applyFill="1" applyBorder="1" applyAlignment="1">
      <alignment horizontal="center"/>
    </xf>
    <xf numFmtId="1" fontId="0" fillId="5" borderId="5" xfId="0" applyNumberFormat="1" applyFill="1" applyBorder="1"/>
    <xf numFmtId="1" fontId="0" fillId="5" borderId="14" xfId="0" applyNumberFormat="1" applyFill="1" applyBorder="1"/>
    <xf numFmtId="0" fontId="0" fillId="5" borderId="14" xfId="0" applyFill="1" applyBorder="1"/>
    <xf numFmtId="0" fontId="9" fillId="0" borderId="5" xfId="0" applyFont="1" applyBorder="1"/>
    <xf numFmtId="0" fontId="1" fillId="0" borderId="1"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4"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1" fillId="0" borderId="7" xfId="0" applyFont="1" applyBorder="1" applyAlignment="1">
      <alignment vertical="center" wrapText="1"/>
    </xf>
    <xf numFmtId="0" fontId="2" fillId="0" borderId="3" xfId="0" applyFont="1" applyBorder="1" applyAlignment="1">
      <alignment horizontal="center"/>
    </xf>
    <xf numFmtId="0" fontId="2" fillId="0" borderId="13" xfId="0" applyFont="1" applyBorder="1" applyAlignment="1">
      <alignment horizontal="center"/>
    </xf>
    <xf numFmtId="0" fontId="3" fillId="0" borderId="3" xfId="0" applyFont="1" applyBorder="1" applyAlignment="1">
      <alignment horizontal="center"/>
    </xf>
    <xf numFmtId="0" fontId="2" fillId="0" borderId="21" xfId="0" applyFont="1" applyBorder="1" applyAlignment="1">
      <alignment horizontal="center"/>
    </xf>
    <xf numFmtId="0" fontId="2" fillId="0" borderId="17" xfId="0" applyFont="1" applyBorder="1" applyAlignment="1">
      <alignment horizontal="left"/>
    </xf>
    <xf numFmtId="0" fontId="2" fillId="0" borderId="18" xfId="0" applyFont="1" applyBorder="1" applyAlignment="1">
      <alignment horizontal="left"/>
    </xf>
    <xf numFmtId="0" fontId="2" fillId="0" borderId="0" xfId="0" applyFont="1" applyAlignment="1">
      <alignment wrapText="1"/>
    </xf>
    <xf numFmtId="0" fontId="2" fillId="0" borderId="29" xfId="0" applyFont="1" applyBorder="1" applyAlignment="1">
      <alignment horizontal="left"/>
    </xf>
    <xf numFmtId="0" fontId="2" fillId="0" borderId="30" xfId="0" applyFont="1" applyBorder="1" applyAlignment="1">
      <alignment horizontal="left"/>
    </xf>
    <xf numFmtId="0" fontId="2" fillId="0" borderId="0" xfId="0" applyFont="1" applyAlignment="1">
      <alignment horizontal="center"/>
    </xf>
    <xf numFmtId="0" fontId="2" fillId="0" borderId="21" xfId="0" applyFont="1" applyBorder="1" applyAlignment="1">
      <alignment horizontal="left"/>
    </xf>
    <xf numFmtId="0" fontId="2" fillId="0" borderId="3" xfId="0" applyFont="1" applyBorder="1" applyAlignment="1">
      <alignment horizontal="left"/>
    </xf>
    <xf numFmtId="0" fontId="2" fillId="0" borderId="13" xfId="0" applyFont="1" applyBorder="1" applyAlignment="1">
      <alignment horizontal="left"/>
    </xf>
    <xf numFmtId="0" fontId="3" fillId="0" borderId="11" xfId="0" applyFont="1" applyBorder="1" applyAlignment="1">
      <alignment wrapText="1"/>
    </xf>
    <xf numFmtId="0" fontId="2" fillId="0" borderId="11" xfId="0" applyFont="1" applyBorder="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570865</xdr:colOff>
      <xdr:row>1</xdr:row>
      <xdr:rowOff>635</xdr:rowOff>
    </xdr:from>
    <xdr:to>
      <xdr:col>17</xdr:col>
      <xdr:colOff>751840</xdr:colOff>
      <xdr:row>50</xdr:row>
      <xdr:rowOff>49530</xdr:rowOff>
    </xdr:to>
    <xdr:sp macro="" textlink="">
      <xdr:nvSpPr>
        <xdr:cNvPr id="2188" name="Rectangle 140" descr="5d28a36c-a538-46b5-82bb-37dd028aa433">
          <a:extLst>
            <a:ext uri="{FF2B5EF4-FFF2-40B4-BE49-F238E27FC236}">
              <a16:creationId xmlns:a16="http://schemas.microsoft.com/office/drawing/2014/main" id="{00000000-0008-0000-0300-00008C080000}"/>
            </a:ext>
          </a:extLst>
        </xdr:cNvPr>
        <xdr:cNvSpPr>
          <a:spLocks noChangeArrowheads="1"/>
        </xdr:cNvSpPr>
      </xdr:nvSpPr>
      <xdr:spPr>
        <a:xfrm>
          <a:off x="570865" y="172085"/>
          <a:ext cx="11772265" cy="8421370"/>
        </a:xfrm>
        <a:prstGeom prst="rect">
          <a:avLst/>
        </a:prstGeom>
        <a:noFill/>
        <a:ln w="57150">
          <a:solidFill>
            <a:srgbClr val="FF0000"/>
          </a:solidFill>
          <a:miter lim="800000"/>
        </a:ln>
      </xdr:spPr>
    </xdr:sp>
    <xdr:clientData/>
  </xdr:twoCellAnchor>
  <xdr:twoCellAnchor>
    <xdr:from>
      <xdr:col>0</xdr:col>
      <xdr:colOff>85725</xdr:colOff>
      <xdr:row>0</xdr:row>
      <xdr:rowOff>28575</xdr:rowOff>
    </xdr:from>
    <xdr:to>
      <xdr:col>1</xdr:col>
      <xdr:colOff>1114425</xdr:colOff>
      <xdr:row>2</xdr:row>
      <xdr:rowOff>19050</xdr:rowOff>
    </xdr:to>
    <xdr:sp macro="" textlink="">
      <xdr:nvSpPr>
        <xdr:cNvPr id="2189" name="AutoShape 141" descr="ab25775f-16e5-44a2-9d2b-8384497e8c07">
          <a:extLst>
            <a:ext uri="{FF2B5EF4-FFF2-40B4-BE49-F238E27FC236}">
              <a16:creationId xmlns:a16="http://schemas.microsoft.com/office/drawing/2014/main" id="{00000000-0008-0000-0300-00008D080000}"/>
            </a:ext>
          </a:extLst>
        </xdr:cNvPr>
        <xdr:cNvSpPr>
          <a:spLocks noChangeArrowheads="1"/>
        </xdr:cNvSpPr>
      </xdr:nvSpPr>
      <xdr:spPr>
        <a:xfrm>
          <a:off x="85725" y="28575"/>
          <a:ext cx="1628775" cy="323850"/>
        </a:xfrm>
        <a:prstGeom prst="wedgeRoundRectCallout">
          <a:avLst>
            <a:gd name="adj1" fmla="val 64727"/>
            <a:gd name="adj2" fmla="val 50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1 B2:R60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18</xdr:col>
      <xdr:colOff>581025</xdr:colOff>
      <xdr:row>0</xdr:row>
      <xdr:rowOff>161925</xdr:rowOff>
    </xdr:from>
    <xdr:to>
      <xdr:col>20</xdr:col>
      <xdr:colOff>781050</xdr:colOff>
      <xdr:row>50</xdr:row>
      <xdr:rowOff>38100</xdr:rowOff>
    </xdr:to>
    <xdr:sp macro="" textlink="">
      <xdr:nvSpPr>
        <xdr:cNvPr id="2190" name="Rectangle 142" descr="cb347a33-3ff7-4827-8839-a9d5d706367a">
          <a:extLst>
            <a:ext uri="{FF2B5EF4-FFF2-40B4-BE49-F238E27FC236}">
              <a16:creationId xmlns:a16="http://schemas.microsoft.com/office/drawing/2014/main" id="{00000000-0008-0000-0300-00008E080000}"/>
            </a:ext>
          </a:extLst>
        </xdr:cNvPr>
        <xdr:cNvSpPr>
          <a:spLocks noChangeArrowheads="1"/>
        </xdr:cNvSpPr>
      </xdr:nvSpPr>
      <xdr:spPr>
        <a:xfrm>
          <a:off x="12942570" y="161925"/>
          <a:ext cx="2503805" cy="8420100"/>
        </a:xfrm>
        <a:prstGeom prst="rect">
          <a:avLst/>
        </a:prstGeom>
        <a:noFill/>
        <a:ln w="57150">
          <a:solidFill>
            <a:srgbClr val="FF0000"/>
          </a:solidFill>
          <a:miter lim="800000"/>
        </a:ln>
      </xdr:spPr>
    </xdr:sp>
    <xdr:clientData/>
  </xdr:twoCellAnchor>
  <xdr:twoCellAnchor>
    <xdr:from>
      <xdr:col>16</xdr:col>
      <xdr:colOff>238125</xdr:colOff>
      <xdr:row>0</xdr:row>
      <xdr:rowOff>47625</xdr:rowOff>
    </xdr:from>
    <xdr:to>
      <xdr:col>18</xdr:col>
      <xdr:colOff>561975</xdr:colOff>
      <xdr:row>2</xdr:row>
      <xdr:rowOff>28575</xdr:rowOff>
    </xdr:to>
    <xdr:sp macro="" textlink="">
      <xdr:nvSpPr>
        <xdr:cNvPr id="2191" name="AutoShape 143" descr="be606e54-6d60-4651-9e9d-a550f94765ef">
          <a:extLst>
            <a:ext uri="{FF2B5EF4-FFF2-40B4-BE49-F238E27FC236}">
              <a16:creationId xmlns:a16="http://schemas.microsoft.com/office/drawing/2014/main" id="{00000000-0008-0000-0300-00008F080000}"/>
            </a:ext>
          </a:extLst>
        </xdr:cNvPr>
        <xdr:cNvSpPr>
          <a:spLocks noChangeArrowheads="1"/>
        </xdr:cNvSpPr>
      </xdr:nvSpPr>
      <xdr:spPr>
        <a:xfrm>
          <a:off x="11095990" y="47625"/>
          <a:ext cx="1827530" cy="314325"/>
        </a:xfrm>
        <a:prstGeom prst="wedgeRoundRectCallout">
          <a:avLst>
            <a:gd name="adj1" fmla="val 54764"/>
            <a:gd name="adj2" fmla="val 92306"/>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2 T2:U60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21</xdr:col>
      <xdr:colOff>0</xdr:colOff>
      <xdr:row>0</xdr:row>
      <xdr:rowOff>161925</xdr:rowOff>
    </xdr:from>
    <xdr:to>
      <xdr:col>28</xdr:col>
      <xdr:colOff>590550</xdr:colOff>
      <xdr:row>50</xdr:row>
      <xdr:rowOff>38100</xdr:rowOff>
    </xdr:to>
    <xdr:sp macro="" textlink="">
      <xdr:nvSpPr>
        <xdr:cNvPr id="2192" name="Rectangle 144" descr="8fa9e567-cb7e-44ef-9aaf-96812d8de5ca">
          <a:extLst>
            <a:ext uri="{FF2B5EF4-FFF2-40B4-BE49-F238E27FC236}">
              <a16:creationId xmlns:a16="http://schemas.microsoft.com/office/drawing/2014/main" id="{00000000-0008-0000-0300-000090080000}"/>
            </a:ext>
          </a:extLst>
        </xdr:cNvPr>
        <xdr:cNvSpPr>
          <a:spLocks noChangeArrowheads="1"/>
        </xdr:cNvSpPr>
      </xdr:nvSpPr>
      <xdr:spPr>
        <a:xfrm>
          <a:off x="15465425" y="161925"/>
          <a:ext cx="4923155" cy="8420100"/>
        </a:xfrm>
        <a:prstGeom prst="rect">
          <a:avLst/>
        </a:prstGeom>
        <a:noFill/>
        <a:ln w="57150">
          <a:solidFill>
            <a:srgbClr val="FF0000"/>
          </a:solidFill>
          <a:miter lim="800000"/>
        </a:ln>
      </xdr:spPr>
    </xdr:sp>
    <xdr:clientData/>
  </xdr:twoCellAnchor>
  <xdr:twoCellAnchor>
    <xdr:from>
      <xdr:col>26</xdr:col>
      <xdr:colOff>381000</xdr:colOff>
      <xdr:row>0</xdr:row>
      <xdr:rowOff>28575</xdr:rowOff>
    </xdr:from>
    <xdr:to>
      <xdr:col>29</xdr:col>
      <xdr:colOff>276225</xdr:colOff>
      <xdr:row>2</xdr:row>
      <xdr:rowOff>9525</xdr:rowOff>
    </xdr:to>
    <xdr:sp macro="" textlink="">
      <xdr:nvSpPr>
        <xdr:cNvPr id="2193" name="AutoShape 145" descr="e66b4c11-ea45-47c6-8502-1aee74ba94bc">
          <a:extLst>
            <a:ext uri="{FF2B5EF4-FFF2-40B4-BE49-F238E27FC236}">
              <a16:creationId xmlns:a16="http://schemas.microsoft.com/office/drawing/2014/main" id="{00000000-0008-0000-0300-000091080000}"/>
            </a:ext>
          </a:extLst>
        </xdr:cNvPr>
        <xdr:cNvSpPr>
          <a:spLocks noChangeArrowheads="1"/>
        </xdr:cNvSpPr>
      </xdr:nvSpPr>
      <xdr:spPr>
        <a:xfrm>
          <a:off x="18978880" y="28575"/>
          <a:ext cx="1695450" cy="314325"/>
        </a:xfrm>
        <a:prstGeom prst="wedgeRoundRectCallout">
          <a:avLst>
            <a:gd name="adj1" fmla="val -24264"/>
            <a:gd name="adj2" fmla="val 94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3 V2:AC60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29</xdr:col>
      <xdr:colOff>571500</xdr:colOff>
      <xdr:row>0</xdr:row>
      <xdr:rowOff>142875</xdr:rowOff>
    </xdr:from>
    <xdr:to>
      <xdr:col>38</xdr:col>
      <xdr:colOff>19050</xdr:colOff>
      <xdr:row>50</xdr:row>
      <xdr:rowOff>19050</xdr:rowOff>
    </xdr:to>
    <xdr:sp macro="" textlink="">
      <xdr:nvSpPr>
        <xdr:cNvPr id="2194" name="Rectangle 146" descr="25bab48a-784d-4efa-ab31-883ccd4708a8">
          <a:extLst>
            <a:ext uri="{FF2B5EF4-FFF2-40B4-BE49-F238E27FC236}">
              <a16:creationId xmlns:a16="http://schemas.microsoft.com/office/drawing/2014/main" id="{00000000-0008-0000-0300-000092080000}"/>
            </a:ext>
          </a:extLst>
        </xdr:cNvPr>
        <xdr:cNvSpPr>
          <a:spLocks noChangeArrowheads="1"/>
        </xdr:cNvSpPr>
      </xdr:nvSpPr>
      <xdr:spPr>
        <a:xfrm>
          <a:off x="20969605" y="142875"/>
          <a:ext cx="6558280" cy="8420100"/>
        </a:xfrm>
        <a:prstGeom prst="rect">
          <a:avLst/>
        </a:prstGeom>
        <a:noFill/>
        <a:ln w="57150">
          <a:solidFill>
            <a:srgbClr val="FF0000"/>
          </a:solidFill>
          <a:miter lim="800000"/>
        </a:ln>
      </xdr:spPr>
    </xdr:sp>
    <xdr:clientData/>
  </xdr:twoCellAnchor>
  <xdr:twoCellAnchor>
    <xdr:from>
      <xdr:col>29</xdr:col>
      <xdr:colOff>523875</xdr:colOff>
      <xdr:row>0</xdr:row>
      <xdr:rowOff>28575</xdr:rowOff>
    </xdr:from>
    <xdr:to>
      <xdr:col>31</xdr:col>
      <xdr:colOff>561975</xdr:colOff>
      <xdr:row>2</xdr:row>
      <xdr:rowOff>9525</xdr:rowOff>
    </xdr:to>
    <xdr:sp macro="" textlink="">
      <xdr:nvSpPr>
        <xdr:cNvPr id="2195" name="AutoShape 147" descr="3abc5016-c2c8-4cb3-9c96-d853e96af77d">
          <a:extLst>
            <a:ext uri="{FF2B5EF4-FFF2-40B4-BE49-F238E27FC236}">
              <a16:creationId xmlns:a16="http://schemas.microsoft.com/office/drawing/2014/main" id="{00000000-0008-0000-0300-000093080000}"/>
            </a:ext>
          </a:extLst>
        </xdr:cNvPr>
        <xdr:cNvSpPr>
          <a:spLocks noChangeArrowheads="1"/>
        </xdr:cNvSpPr>
      </xdr:nvSpPr>
      <xdr:spPr>
        <a:xfrm>
          <a:off x="20921980" y="28575"/>
          <a:ext cx="1830705" cy="314325"/>
        </a:xfrm>
        <a:prstGeom prst="wedgeRoundRectCallout">
          <a:avLst>
            <a:gd name="adj1" fmla="val 19431"/>
            <a:gd name="adj2" fmla="val 83333"/>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4 AE2:AL60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0</xdr:col>
      <xdr:colOff>28575</xdr:colOff>
      <xdr:row>55</xdr:row>
      <xdr:rowOff>9525</xdr:rowOff>
    </xdr:from>
    <xdr:to>
      <xdr:col>4</xdr:col>
      <xdr:colOff>28575</xdr:colOff>
      <xdr:row>60</xdr:row>
      <xdr:rowOff>0</xdr:rowOff>
    </xdr:to>
    <xdr:sp macro="" textlink="">
      <xdr:nvSpPr>
        <xdr:cNvPr id="2196" name="Rectangle 148" descr="edf584a4-9dcc-4c81-9e1c-78645868ad89">
          <a:extLst>
            <a:ext uri="{FF2B5EF4-FFF2-40B4-BE49-F238E27FC236}">
              <a16:creationId xmlns:a16="http://schemas.microsoft.com/office/drawing/2014/main" id="{00000000-0008-0000-0300-000094080000}"/>
            </a:ext>
          </a:extLst>
        </xdr:cNvPr>
        <xdr:cNvSpPr>
          <a:spLocks noChangeArrowheads="1"/>
        </xdr:cNvSpPr>
      </xdr:nvSpPr>
      <xdr:spPr>
        <a:xfrm>
          <a:off x="28575" y="9429750"/>
          <a:ext cx="3429635" cy="1352550"/>
        </a:xfrm>
        <a:prstGeom prst="rect">
          <a:avLst/>
        </a:prstGeom>
        <a:noFill/>
        <a:ln w="57150">
          <a:solidFill>
            <a:srgbClr val="FF0000"/>
          </a:solidFill>
          <a:miter lim="800000"/>
        </a:ln>
      </xdr:spPr>
    </xdr:sp>
    <xdr:clientData/>
  </xdr:twoCellAnchor>
  <xdr:twoCellAnchor>
    <xdr:from>
      <xdr:col>18</xdr:col>
      <xdr:colOff>0</xdr:colOff>
      <xdr:row>52</xdr:row>
      <xdr:rowOff>9525</xdr:rowOff>
    </xdr:from>
    <xdr:to>
      <xdr:col>21</xdr:col>
      <xdr:colOff>0</xdr:colOff>
      <xdr:row>57</xdr:row>
      <xdr:rowOff>0</xdr:rowOff>
    </xdr:to>
    <xdr:sp macro="" textlink="">
      <xdr:nvSpPr>
        <xdr:cNvPr id="2197" name="Rectangle 149" descr="aea3c6da-8745-4b83-977d-a5e8de5f38c3">
          <a:extLst>
            <a:ext uri="{FF2B5EF4-FFF2-40B4-BE49-F238E27FC236}">
              <a16:creationId xmlns:a16="http://schemas.microsoft.com/office/drawing/2014/main" id="{00000000-0008-0000-0300-000095080000}"/>
            </a:ext>
          </a:extLst>
        </xdr:cNvPr>
        <xdr:cNvSpPr>
          <a:spLocks noChangeArrowheads="1"/>
        </xdr:cNvSpPr>
      </xdr:nvSpPr>
      <xdr:spPr>
        <a:xfrm>
          <a:off x="12361545" y="8896350"/>
          <a:ext cx="3103880" cy="1066800"/>
        </a:xfrm>
        <a:prstGeom prst="rect">
          <a:avLst/>
        </a:prstGeom>
        <a:noFill/>
        <a:ln w="57150">
          <a:solidFill>
            <a:srgbClr val="FF0000"/>
          </a:solidFill>
          <a:miter lim="800000"/>
        </a:ln>
      </xdr:spPr>
    </xdr:sp>
    <xdr:clientData/>
  </xdr:twoCellAnchor>
  <xdr:twoCellAnchor>
    <xdr:from>
      <xdr:col>1</xdr:col>
      <xdr:colOff>76200</xdr:colOff>
      <xdr:row>51</xdr:row>
      <xdr:rowOff>95250</xdr:rowOff>
    </xdr:from>
    <xdr:to>
      <xdr:col>2</xdr:col>
      <xdr:colOff>581025</xdr:colOff>
      <xdr:row>53</xdr:row>
      <xdr:rowOff>85725</xdr:rowOff>
    </xdr:to>
    <xdr:sp macro="" textlink="">
      <xdr:nvSpPr>
        <xdr:cNvPr id="2198" name="AutoShape 150" descr="edbe6b3c-481c-4077-bdfe-f71adf7def22">
          <a:extLst>
            <a:ext uri="{FF2B5EF4-FFF2-40B4-BE49-F238E27FC236}">
              <a16:creationId xmlns:a16="http://schemas.microsoft.com/office/drawing/2014/main" id="{00000000-0008-0000-0300-000096080000}"/>
            </a:ext>
          </a:extLst>
        </xdr:cNvPr>
        <xdr:cNvSpPr>
          <a:spLocks noChangeArrowheads="1"/>
        </xdr:cNvSpPr>
      </xdr:nvSpPr>
      <xdr:spPr>
        <a:xfrm>
          <a:off x="676275" y="8810625"/>
          <a:ext cx="1638300"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5 A65:D70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16</xdr:col>
      <xdr:colOff>504825</xdr:colOff>
      <xdr:row>50</xdr:row>
      <xdr:rowOff>142875</xdr:rowOff>
    </xdr:from>
    <xdr:to>
      <xdr:col>19</xdr:col>
      <xdr:colOff>257175</xdr:colOff>
      <xdr:row>52</xdr:row>
      <xdr:rowOff>123825</xdr:rowOff>
    </xdr:to>
    <xdr:sp macro="" textlink="">
      <xdr:nvSpPr>
        <xdr:cNvPr id="2199" name="AutoShape 151" descr="3aa4483a-f143-4292-829f-79b8f1df0f72">
          <a:extLst>
            <a:ext uri="{FF2B5EF4-FFF2-40B4-BE49-F238E27FC236}">
              <a16:creationId xmlns:a16="http://schemas.microsoft.com/office/drawing/2014/main" id="{00000000-0008-0000-0300-000097080000}"/>
            </a:ext>
          </a:extLst>
        </xdr:cNvPr>
        <xdr:cNvSpPr>
          <a:spLocks noChangeArrowheads="1"/>
        </xdr:cNvSpPr>
      </xdr:nvSpPr>
      <xdr:spPr>
        <a:xfrm>
          <a:off x="11362690" y="8686800"/>
          <a:ext cx="1856105"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6 S63:U67</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6"/>
  <sheetViews>
    <sheetView workbookViewId="0"/>
  </sheetViews>
  <sheetFormatPr defaultColWidth="9" defaultRowHeight="12.75" x14ac:dyDescent="0.2"/>
  <cols>
    <col min="1" max="2" width="36.7109375" customWidth="1"/>
  </cols>
  <sheetData>
    <row r="1" spans="1:16" x14ac:dyDescent="0.2">
      <c r="A1" s="51" t="s">
        <v>0</v>
      </c>
    </row>
    <row r="2" spans="1:16" x14ac:dyDescent="0.2">
      <c r="P2">
        <f ca="1">_xll.CB.RecalcCounterFN()</f>
        <v>3</v>
      </c>
    </row>
    <row r="3" spans="1:16" x14ac:dyDescent="0.2">
      <c r="A3" t="s">
        <v>1</v>
      </c>
      <c r="B3" t="s">
        <v>2</v>
      </c>
      <c r="C3">
        <v>0</v>
      </c>
    </row>
    <row r="4" spans="1:16" x14ac:dyDescent="0.2">
      <c r="A4" t="s">
        <v>3</v>
      </c>
    </row>
    <row r="5" spans="1:16" x14ac:dyDescent="0.2">
      <c r="A5" t="s">
        <v>4</v>
      </c>
    </row>
    <row r="7" spans="1:16" x14ac:dyDescent="0.2">
      <c r="A7" s="51" t="s">
        <v>5</v>
      </c>
      <c r="B7" t="s">
        <v>6</v>
      </c>
    </row>
    <row r="8" spans="1:16" x14ac:dyDescent="0.2">
      <c r="B8">
        <v>2</v>
      </c>
    </row>
    <row r="10" spans="1:16" x14ac:dyDescent="0.2">
      <c r="A10" t="s">
        <v>7</v>
      </c>
    </row>
    <row r="11" spans="1:16" x14ac:dyDescent="0.2">
      <c r="A11" t="e">
        <f>CB_DATA_!#REF!</f>
        <v>#REF!</v>
      </c>
      <c r="B11" t="e">
        <f>Model!#REF!</f>
        <v>#REF!</v>
      </c>
    </row>
    <row r="13" spans="1:16" x14ac:dyDescent="0.2">
      <c r="A13" t="s">
        <v>8</v>
      </c>
    </row>
    <row r="14" spans="1:16" x14ac:dyDescent="0.2">
      <c r="A14" t="s">
        <v>9</v>
      </c>
      <c r="B14" t="s">
        <v>10</v>
      </c>
    </row>
    <row r="16" spans="1:16" x14ac:dyDescent="0.2">
      <c r="A16" t="s">
        <v>11</v>
      </c>
    </row>
    <row r="19" spans="1:2" x14ac:dyDescent="0.2">
      <c r="A19" t="s">
        <v>12</v>
      </c>
    </row>
    <row r="20" spans="1:2" x14ac:dyDescent="0.2">
      <c r="A20">
        <v>31</v>
      </c>
      <c r="B20">
        <v>43</v>
      </c>
    </row>
    <row r="25" spans="1:2" x14ac:dyDescent="0.2">
      <c r="A25" s="51" t="s">
        <v>13</v>
      </c>
    </row>
    <row r="26" spans="1:2" x14ac:dyDescent="0.2">
      <c r="A26" s="102" t="s">
        <v>190</v>
      </c>
      <c r="B26" s="102" t="s">
        <v>190</v>
      </c>
    </row>
    <row r="27" spans="1:2" x14ac:dyDescent="0.2">
      <c r="A27" t="s">
        <v>188</v>
      </c>
      <c r="B27" t="s">
        <v>191</v>
      </c>
    </row>
    <row r="28" spans="1:2" x14ac:dyDescent="0.2">
      <c r="A28" s="102" t="s">
        <v>189</v>
      </c>
      <c r="B28" s="102" t="s">
        <v>189</v>
      </c>
    </row>
    <row r="29" spans="1:2" x14ac:dyDescent="0.2">
      <c r="A29" s="102" t="s">
        <v>14</v>
      </c>
      <c r="B29" s="102" t="s">
        <v>193</v>
      </c>
    </row>
    <row r="30" spans="1:2" x14ac:dyDescent="0.2">
      <c r="A30" t="s">
        <v>192</v>
      </c>
      <c r="B30" t="s">
        <v>194</v>
      </c>
    </row>
    <row r="31" spans="1:2" x14ac:dyDescent="0.2">
      <c r="A31" s="102" t="s">
        <v>15</v>
      </c>
      <c r="B31" s="102" t="s">
        <v>195</v>
      </c>
    </row>
    <row r="32" spans="1:2" x14ac:dyDescent="0.2">
      <c r="B32" s="102" t="s">
        <v>196</v>
      </c>
    </row>
    <row r="33" spans="2:2" x14ac:dyDescent="0.2">
      <c r="B33" t="s">
        <v>197</v>
      </c>
    </row>
    <row r="34" spans="2:2" x14ac:dyDescent="0.2">
      <c r="B34" s="102" t="s">
        <v>195</v>
      </c>
    </row>
    <row r="35" spans="2:2" x14ac:dyDescent="0.2">
      <c r="B35" s="102" t="s">
        <v>198</v>
      </c>
    </row>
    <row r="36" spans="2:2" x14ac:dyDescent="0.2">
      <c r="B36" t="s">
        <v>199</v>
      </c>
    </row>
    <row r="37" spans="2:2" x14ac:dyDescent="0.2">
      <c r="B37" s="102" t="s">
        <v>195</v>
      </c>
    </row>
    <row r="38" spans="2:2" x14ac:dyDescent="0.2">
      <c r="B38" s="102" t="s">
        <v>200</v>
      </c>
    </row>
    <row r="39" spans="2:2" x14ac:dyDescent="0.2">
      <c r="B39" t="s">
        <v>201</v>
      </c>
    </row>
    <row r="40" spans="2:2" x14ac:dyDescent="0.2">
      <c r="B40" s="102" t="s">
        <v>195</v>
      </c>
    </row>
    <row r="41" spans="2:2" x14ac:dyDescent="0.2">
      <c r="B41" s="102" t="s">
        <v>202</v>
      </c>
    </row>
    <row r="42" spans="2:2" x14ac:dyDescent="0.2">
      <c r="B42" t="s">
        <v>203</v>
      </c>
    </row>
    <row r="43" spans="2:2" x14ac:dyDescent="0.2">
      <c r="B43" s="102" t="s">
        <v>195</v>
      </c>
    </row>
    <row r="10000" spans="1:1" x14ac:dyDescent="0.2">
      <c r="A10000" t="s">
        <v>16</v>
      </c>
    </row>
    <row r="10002" spans="1:1" x14ac:dyDescent="0.2">
      <c r="A10002" t="b">
        <f>0&lt;="{0.MAX}"&lt;=0</f>
        <v>0</v>
      </c>
    </row>
    <row r="10005" spans="1:1" x14ac:dyDescent="0.2">
      <c r="A10005" t="str">
        <f>"{0.PERCENTILE(0.95)}"</f>
        <v>{0.PERCENTILE(0.95)}</v>
      </c>
    </row>
    <row r="10006" spans="1:1" x14ac:dyDescent="0.2">
      <c r="A10006" t="b">
        <f>0&lt;="{0.MAX}"&lt;=0</f>
        <v>0</v>
      </c>
    </row>
  </sheetData>
  <phoneticPr fontId="10" type="noConversion"/>
  <pageMargins left="0.75" right="0.75" top="1" bottom="1" header="0.5" footer="0.5"/>
  <pageSetup paperSize="9"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78"/>
  <sheetViews>
    <sheetView showGridLines="0" topLeftCell="A7" zoomScale="80" zoomScaleNormal="80" workbookViewId="0">
      <selection activeCell="K57" sqref="K57"/>
    </sheetView>
  </sheetViews>
  <sheetFormatPr defaultColWidth="9" defaultRowHeight="12.75" x14ac:dyDescent="0.2"/>
  <cols>
    <col min="2" max="2" width="17" customWidth="1"/>
    <col min="3" max="3" width="12" customWidth="1"/>
    <col min="4" max="4" width="39.5703125" customWidth="1"/>
    <col min="6" max="6" width="17.85546875" customWidth="1"/>
    <col min="7" max="7" width="13.28515625" customWidth="1"/>
    <col min="8" max="8" width="21.7109375" style="51" customWidth="1"/>
  </cols>
  <sheetData>
    <row r="1" spans="2:8" ht="13.5" customHeight="1" x14ac:dyDescent="0.2">
      <c r="D1" s="51"/>
    </row>
    <row r="2" spans="2:8" ht="12.75" customHeight="1" x14ac:dyDescent="0.2">
      <c r="B2" s="112" t="s">
        <v>17</v>
      </c>
      <c r="C2" s="1"/>
      <c r="D2" s="88" t="s">
        <v>18</v>
      </c>
      <c r="F2" s="112" t="s">
        <v>17</v>
      </c>
      <c r="G2" s="1"/>
      <c r="H2" s="89" t="s">
        <v>19</v>
      </c>
    </row>
    <row r="3" spans="2:8" ht="12.75" customHeight="1" x14ac:dyDescent="0.2">
      <c r="B3" s="113"/>
      <c r="D3" s="90"/>
      <c r="F3" s="113"/>
      <c r="H3" s="91"/>
    </row>
    <row r="4" spans="2:8" ht="12.75" customHeight="1" x14ac:dyDescent="0.2">
      <c r="B4" s="113"/>
      <c r="C4" s="92" t="s">
        <v>20</v>
      </c>
      <c r="D4" s="93" t="s">
        <v>21</v>
      </c>
      <c r="F4" s="113"/>
      <c r="G4" s="94" t="s">
        <v>20</v>
      </c>
      <c r="H4" s="95" t="s">
        <v>22</v>
      </c>
    </row>
    <row r="5" spans="2:8" ht="12.75" customHeight="1" x14ac:dyDescent="0.2">
      <c r="B5" s="113"/>
      <c r="C5" s="92" t="s">
        <v>23</v>
      </c>
      <c r="D5" s="93" t="s">
        <v>24</v>
      </c>
      <c r="F5" s="113"/>
      <c r="G5" s="94" t="s">
        <v>23</v>
      </c>
      <c r="H5" s="103" t="s">
        <v>25</v>
      </c>
    </row>
    <row r="6" spans="2:8" ht="13.5" customHeight="1" x14ac:dyDescent="0.2">
      <c r="B6" s="114"/>
      <c r="C6" s="96" t="s">
        <v>26</v>
      </c>
      <c r="D6" s="97" t="s">
        <v>27</v>
      </c>
      <c r="F6" s="114"/>
      <c r="G6" s="98" t="s">
        <v>26</v>
      </c>
      <c r="H6" s="104" t="s">
        <v>25</v>
      </c>
    </row>
    <row r="7" spans="2:8" ht="15" x14ac:dyDescent="0.2">
      <c r="B7" s="9"/>
      <c r="F7" s="9"/>
      <c r="H7" s="67"/>
    </row>
    <row r="8" spans="2:8" ht="12.75" customHeight="1" x14ac:dyDescent="0.2">
      <c r="B8" s="112" t="s">
        <v>28</v>
      </c>
      <c r="C8" s="1"/>
      <c r="D8" s="88" t="s">
        <v>18</v>
      </c>
      <c r="F8" s="112" t="s">
        <v>28</v>
      </c>
      <c r="G8" s="1"/>
      <c r="H8" s="99" t="s">
        <v>19</v>
      </c>
    </row>
    <row r="9" spans="2:8" ht="12.75" customHeight="1" x14ac:dyDescent="0.2">
      <c r="B9" s="113"/>
      <c r="C9" s="4"/>
      <c r="D9" s="100"/>
      <c r="F9" s="113"/>
      <c r="G9" s="4"/>
      <c r="H9" s="91"/>
    </row>
    <row r="10" spans="2:8" ht="12.75" customHeight="1" x14ac:dyDescent="0.2">
      <c r="B10" s="113"/>
      <c r="C10" s="92" t="s">
        <v>20</v>
      </c>
      <c r="D10" s="93" t="s">
        <v>21</v>
      </c>
      <c r="F10" s="113"/>
      <c r="G10" s="94" t="s">
        <v>20</v>
      </c>
      <c r="H10" s="95" t="s">
        <v>22</v>
      </c>
    </row>
    <row r="11" spans="2:8" ht="12.75" customHeight="1" x14ac:dyDescent="0.2">
      <c r="B11" s="113"/>
      <c r="C11" s="92" t="s">
        <v>23</v>
      </c>
      <c r="D11" s="93" t="s">
        <v>24</v>
      </c>
      <c r="F11" s="113"/>
      <c r="G11" s="94" t="s">
        <v>23</v>
      </c>
      <c r="H11" s="103" t="s">
        <v>25</v>
      </c>
    </row>
    <row r="12" spans="2:8" ht="13.5" customHeight="1" x14ac:dyDescent="0.2">
      <c r="B12" s="114"/>
      <c r="C12" s="96" t="s">
        <v>26</v>
      </c>
      <c r="D12" s="97" t="s">
        <v>29</v>
      </c>
      <c r="F12" s="114"/>
      <c r="G12" s="98" t="s">
        <v>26</v>
      </c>
      <c r="H12" s="101" t="s">
        <v>30</v>
      </c>
    </row>
    <row r="13" spans="2:8" ht="15" x14ac:dyDescent="0.2">
      <c r="B13" s="9"/>
      <c r="C13" s="4"/>
      <c r="D13" s="4"/>
      <c r="F13" s="9"/>
      <c r="G13" s="4"/>
      <c r="H13" s="67"/>
    </row>
    <row r="14" spans="2:8" ht="12.75" customHeight="1" x14ac:dyDescent="0.2">
      <c r="B14" s="112" t="s">
        <v>31</v>
      </c>
      <c r="C14" s="13"/>
      <c r="D14" s="88" t="s">
        <v>18</v>
      </c>
      <c r="F14" s="112" t="s">
        <v>31</v>
      </c>
      <c r="G14" s="13"/>
      <c r="H14" s="89" t="s">
        <v>19</v>
      </c>
    </row>
    <row r="15" spans="2:8" ht="12.75" customHeight="1" x14ac:dyDescent="0.2">
      <c r="B15" s="113"/>
      <c r="C15" s="4"/>
      <c r="D15" s="100"/>
      <c r="F15" s="113"/>
      <c r="G15" s="4"/>
      <c r="H15" s="91"/>
    </row>
    <row r="16" spans="2:8" ht="12.75" customHeight="1" x14ac:dyDescent="0.2">
      <c r="B16" s="113"/>
      <c r="C16" s="92" t="s">
        <v>20</v>
      </c>
      <c r="D16" s="93" t="s">
        <v>21</v>
      </c>
      <c r="F16" s="113"/>
      <c r="G16" s="94" t="s">
        <v>20</v>
      </c>
      <c r="H16" s="95" t="s">
        <v>22</v>
      </c>
    </row>
    <row r="17" spans="2:8" ht="12.75" customHeight="1" x14ac:dyDescent="0.2">
      <c r="B17" s="113"/>
      <c r="C17" s="92" t="s">
        <v>23</v>
      </c>
      <c r="D17" s="93" t="s">
        <v>24</v>
      </c>
      <c r="F17" s="113"/>
      <c r="G17" s="94" t="s">
        <v>23</v>
      </c>
      <c r="H17" s="103" t="s">
        <v>25</v>
      </c>
    </row>
    <row r="18" spans="2:8" ht="13.5" customHeight="1" x14ac:dyDescent="0.2">
      <c r="B18" s="114"/>
      <c r="C18" s="96" t="s">
        <v>26</v>
      </c>
      <c r="D18" s="97" t="s">
        <v>27</v>
      </c>
      <c r="F18" s="114"/>
      <c r="G18" s="98" t="s">
        <v>26</v>
      </c>
      <c r="H18" s="104" t="s">
        <v>25</v>
      </c>
    </row>
    <row r="19" spans="2:8" ht="15" x14ac:dyDescent="0.2">
      <c r="B19" s="9"/>
      <c r="C19" s="4"/>
      <c r="D19" s="4"/>
      <c r="F19" s="9"/>
      <c r="G19" s="4"/>
      <c r="H19" s="67"/>
    </row>
    <row r="20" spans="2:8" ht="12.75" customHeight="1" x14ac:dyDescent="0.2">
      <c r="B20" s="112" t="s">
        <v>32</v>
      </c>
      <c r="C20" s="13"/>
      <c r="D20" s="88" t="s">
        <v>18</v>
      </c>
      <c r="F20" s="112" t="s">
        <v>32</v>
      </c>
      <c r="G20" s="13"/>
      <c r="H20" s="99" t="s">
        <v>19</v>
      </c>
    </row>
    <row r="21" spans="2:8" ht="12.75" customHeight="1" x14ac:dyDescent="0.2">
      <c r="B21" s="113"/>
      <c r="C21" s="4"/>
      <c r="D21" s="100"/>
      <c r="F21" s="113"/>
      <c r="G21" s="4"/>
      <c r="H21" s="91"/>
    </row>
    <row r="22" spans="2:8" ht="12.75" customHeight="1" x14ac:dyDescent="0.2">
      <c r="B22" s="113"/>
      <c r="C22" s="92" t="s">
        <v>20</v>
      </c>
      <c r="D22" s="93" t="s">
        <v>21</v>
      </c>
      <c r="F22" s="113"/>
      <c r="G22" s="94" t="s">
        <v>20</v>
      </c>
      <c r="H22" s="95" t="s">
        <v>22</v>
      </c>
    </row>
    <row r="23" spans="2:8" ht="12.75" customHeight="1" x14ac:dyDescent="0.2">
      <c r="B23" s="113"/>
      <c r="C23" s="92" t="s">
        <v>23</v>
      </c>
      <c r="D23" s="93" t="s">
        <v>24</v>
      </c>
      <c r="F23" s="113"/>
      <c r="G23" s="94" t="s">
        <v>23</v>
      </c>
      <c r="H23" s="103" t="s">
        <v>25</v>
      </c>
    </row>
    <row r="24" spans="2:8" ht="13.5" customHeight="1" x14ac:dyDescent="0.2">
      <c r="B24" s="114"/>
      <c r="C24" s="96" t="s">
        <v>26</v>
      </c>
      <c r="D24" s="97" t="s">
        <v>29</v>
      </c>
      <c r="F24" s="114"/>
      <c r="G24" s="98" t="s">
        <v>26</v>
      </c>
      <c r="H24" s="101" t="s">
        <v>30</v>
      </c>
    </row>
    <row r="25" spans="2:8" ht="15" x14ac:dyDescent="0.2">
      <c r="B25" s="9"/>
      <c r="C25" s="4"/>
      <c r="D25" s="4"/>
      <c r="F25" s="9"/>
      <c r="G25" s="4"/>
      <c r="H25" s="67"/>
    </row>
    <row r="26" spans="2:8" ht="12.75" customHeight="1" x14ac:dyDescent="0.2">
      <c r="B26" s="112" t="s">
        <v>33</v>
      </c>
      <c r="C26" s="13"/>
      <c r="D26" s="88" t="s">
        <v>18</v>
      </c>
      <c r="F26" s="112" t="s">
        <v>33</v>
      </c>
      <c r="G26" s="13"/>
      <c r="H26" s="89" t="s">
        <v>19</v>
      </c>
    </row>
    <row r="27" spans="2:8" ht="12.75" customHeight="1" x14ac:dyDescent="0.2">
      <c r="B27" s="113"/>
      <c r="C27" s="4"/>
      <c r="D27" s="100"/>
      <c r="F27" s="113"/>
      <c r="G27" s="4"/>
      <c r="H27" s="91"/>
    </row>
    <row r="28" spans="2:8" ht="12.75" customHeight="1" x14ac:dyDescent="0.2">
      <c r="B28" s="113"/>
      <c r="C28" s="92" t="s">
        <v>20</v>
      </c>
      <c r="D28" s="93" t="s">
        <v>21</v>
      </c>
      <c r="F28" s="113"/>
      <c r="G28" s="94" t="s">
        <v>20</v>
      </c>
      <c r="H28" s="95" t="s">
        <v>22</v>
      </c>
    </row>
    <row r="29" spans="2:8" ht="12.75" customHeight="1" x14ac:dyDescent="0.2">
      <c r="B29" s="113"/>
      <c r="C29" s="92" t="s">
        <v>23</v>
      </c>
      <c r="D29" s="93" t="s">
        <v>24</v>
      </c>
      <c r="F29" s="113"/>
      <c r="G29" s="94" t="s">
        <v>23</v>
      </c>
      <c r="H29" s="103" t="s">
        <v>25</v>
      </c>
    </row>
    <row r="30" spans="2:8" ht="13.5" customHeight="1" x14ac:dyDescent="0.2">
      <c r="B30" s="114"/>
      <c r="C30" s="96" t="s">
        <v>26</v>
      </c>
      <c r="D30" s="97" t="s">
        <v>27</v>
      </c>
      <c r="F30" s="114"/>
      <c r="G30" s="98" t="s">
        <v>26</v>
      </c>
      <c r="H30" s="104" t="s">
        <v>25</v>
      </c>
    </row>
    <row r="31" spans="2:8" ht="15" x14ac:dyDescent="0.2">
      <c r="B31" s="9"/>
      <c r="C31" s="4"/>
      <c r="D31" s="4"/>
      <c r="F31" s="9"/>
      <c r="G31" s="4"/>
      <c r="H31" s="67"/>
    </row>
    <row r="32" spans="2:8" ht="12.75" customHeight="1" x14ac:dyDescent="0.2">
      <c r="B32" s="112" t="s">
        <v>34</v>
      </c>
      <c r="C32" s="13"/>
      <c r="D32" s="88" t="s">
        <v>18</v>
      </c>
      <c r="F32" s="112" t="s">
        <v>34</v>
      </c>
      <c r="G32" s="13"/>
      <c r="H32" s="99" t="s">
        <v>19</v>
      </c>
    </row>
    <row r="33" spans="2:8" ht="12.75" customHeight="1" x14ac:dyDescent="0.2">
      <c r="B33" s="113"/>
      <c r="C33" s="4"/>
      <c r="D33" s="100"/>
      <c r="F33" s="113"/>
      <c r="G33" s="4"/>
      <c r="H33" s="91"/>
    </row>
    <row r="34" spans="2:8" ht="12.75" customHeight="1" x14ac:dyDescent="0.2">
      <c r="B34" s="113"/>
      <c r="C34" s="92" t="s">
        <v>20</v>
      </c>
      <c r="D34" s="93" t="s">
        <v>21</v>
      </c>
      <c r="F34" s="113"/>
      <c r="G34" s="94" t="s">
        <v>20</v>
      </c>
      <c r="H34" s="95" t="s">
        <v>22</v>
      </c>
    </row>
    <row r="35" spans="2:8" ht="12.75" customHeight="1" x14ac:dyDescent="0.2">
      <c r="B35" s="113"/>
      <c r="C35" s="92" t="s">
        <v>23</v>
      </c>
      <c r="D35" s="93" t="s">
        <v>24</v>
      </c>
      <c r="F35" s="113"/>
      <c r="G35" s="94" t="s">
        <v>23</v>
      </c>
      <c r="H35" s="103" t="s">
        <v>25</v>
      </c>
    </row>
    <row r="36" spans="2:8" ht="13.5" customHeight="1" x14ac:dyDescent="0.2">
      <c r="B36" s="114"/>
      <c r="C36" s="96" t="s">
        <v>26</v>
      </c>
      <c r="D36" s="97" t="s">
        <v>29</v>
      </c>
      <c r="F36" s="114"/>
      <c r="G36" s="98" t="s">
        <v>26</v>
      </c>
      <c r="H36" s="101" t="s">
        <v>30</v>
      </c>
    </row>
    <row r="37" spans="2:8" ht="15" x14ac:dyDescent="0.2">
      <c r="B37" s="9"/>
      <c r="C37" s="4"/>
      <c r="D37" s="4"/>
      <c r="F37" s="9"/>
      <c r="G37" s="4"/>
      <c r="H37" s="67"/>
    </row>
    <row r="38" spans="2:8" ht="12.75" customHeight="1" x14ac:dyDescent="0.2">
      <c r="B38" s="112" t="s">
        <v>35</v>
      </c>
      <c r="C38" s="13"/>
      <c r="D38" s="88" t="s">
        <v>18</v>
      </c>
      <c r="F38" s="112" t="s">
        <v>35</v>
      </c>
      <c r="G38" s="13"/>
      <c r="H38" s="99" t="s">
        <v>19</v>
      </c>
    </row>
    <row r="39" spans="2:8" ht="12.75" customHeight="1" x14ac:dyDescent="0.2">
      <c r="B39" s="113"/>
      <c r="C39" s="4"/>
      <c r="D39" s="100"/>
      <c r="F39" s="113"/>
      <c r="G39" s="4"/>
      <c r="H39" s="91"/>
    </row>
    <row r="40" spans="2:8" ht="12.75" customHeight="1" x14ac:dyDescent="0.2">
      <c r="B40" s="113"/>
      <c r="C40" s="92" t="s">
        <v>20</v>
      </c>
      <c r="D40" s="93" t="s">
        <v>21</v>
      </c>
      <c r="F40" s="113"/>
      <c r="G40" s="94" t="s">
        <v>20</v>
      </c>
      <c r="H40" s="95" t="s">
        <v>22</v>
      </c>
    </row>
    <row r="41" spans="2:8" ht="12.75" customHeight="1" x14ac:dyDescent="0.2">
      <c r="B41" s="113"/>
      <c r="C41" s="92" t="s">
        <v>23</v>
      </c>
      <c r="D41" s="93" t="s">
        <v>24</v>
      </c>
      <c r="F41" s="113"/>
      <c r="G41" s="94" t="s">
        <v>23</v>
      </c>
      <c r="H41" s="103" t="s">
        <v>25</v>
      </c>
    </row>
    <row r="42" spans="2:8" ht="13.5" customHeight="1" x14ac:dyDescent="0.2">
      <c r="B42" s="114"/>
      <c r="C42" s="96" t="s">
        <v>26</v>
      </c>
      <c r="D42" s="97" t="s">
        <v>29</v>
      </c>
      <c r="F42" s="114"/>
      <c r="G42" s="98" t="s">
        <v>26</v>
      </c>
      <c r="H42" s="101" t="s">
        <v>30</v>
      </c>
    </row>
    <row r="43" spans="2:8" ht="15" x14ac:dyDescent="0.2">
      <c r="B43" s="9"/>
      <c r="C43" s="4"/>
      <c r="D43" s="4"/>
      <c r="F43" s="9"/>
      <c r="G43" s="4"/>
      <c r="H43" s="67"/>
    </row>
    <row r="44" spans="2:8" ht="12.75" customHeight="1" x14ac:dyDescent="0.2">
      <c r="B44" s="112" t="s">
        <v>36</v>
      </c>
      <c r="C44" s="13"/>
      <c r="D44" s="88" t="s">
        <v>18</v>
      </c>
      <c r="F44" s="112" t="s">
        <v>36</v>
      </c>
      <c r="G44" s="13"/>
      <c r="H44" s="99" t="s">
        <v>19</v>
      </c>
    </row>
    <row r="45" spans="2:8" ht="12.75" customHeight="1" x14ac:dyDescent="0.2">
      <c r="B45" s="113"/>
      <c r="C45" s="4"/>
      <c r="D45" s="100"/>
      <c r="F45" s="113"/>
      <c r="G45" s="4"/>
      <c r="H45" s="91"/>
    </row>
    <row r="46" spans="2:8" ht="12.75" customHeight="1" x14ac:dyDescent="0.2">
      <c r="B46" s="113"/>
      <c r="C46" s="92" t="s">
        <v>20</v>
      </c>
      <c r="D46" s="93" t="s">
        <v>21</v>
      </c>
      <c r="F46" s="113"/>
      <c r="G46" s="94" t="s">
        <v>20</v>
      </c>
      <c r="H46" s="95" t="s">
        <v>22</v>
      </c>
    </row>
    <row r="47" spans="2:8" ht="12.75" customHeight="1" x14ac:dyDescent="0.2">
      <c r="B47" s="113"/>
      <c r="C47" s="92" t="s">
        <v>23</v>
      </c>
      <c r="D47" s="93" t="s">
        <v>24</v>
      </c>
      <c r="F47" s="113"/>
      <c r="G47" s="94" t="s">
        <v>23</v>
      </c>
      <c r="H47" s="103" t="s">
        <v>25</v>
      </c>
    </row>
    <row r="48" spans="2:8" ht="13.5" customHeight="1" x14ac:dyDescent="0.2">
      <c r="B48" s="114"/>
      <c r="C48" s="96" t="s">
        <v>26</v>
      </c>
      <c r="D48" s="97" t="s">
        <v>29</v>
      </c>
      <c r="F48" s="114"/>
      <c r="G48" s="98" t="s">
        <v>26</v>
      </c>
      <c r="H48" s="101" t="s">
        <v>30</v>
      </c>
    </row>
    <row r="49" spans="2:8" ht="15" x14ac:dyDescent="0.2">
      <c r="B49" s="9"/>
      <c r="C49" s="4"/>
      <c r="D49" s="4"/>
      <c r="F49" s="9"/>
      <c r="G49" s="4"/>
      <c r="H49" s="67"/>
    </row>
    <row r="50" spans="2:8" ht="12.75" customHeight="1" x14ac:dyDescent="0.2">
      <c r="B50" s="112" t="s">
        <v>37</v>
      </c>
      <c r="C50" s="13"/>
      <c r="D50" s="88" t="s">
        <v>18</v>
      </c>
      <c r="F50" s="112" t="s">
        <v>37</v>
      </c>
      <c r="G50" s="13"/>
      <c r="H50" s="99" t="s">
        <v>19</v>
      </c>
    </row>
    <row r="51" spans="2:8" ht="12.75" customHeight="1" x14ac:dyDescent="0.2">
      <c r="B51" s="113"/>
      <c r="C51" s="4"/>
      <c r="D51" s="100"/>
      <c r="F51" s="113"/>
      <c r="G51" s="4"/>
      <c r="H51" s="91"/>
    </row>
    <row r="52" spans="2:8" ht="12.75" customHeight="1" x14ac:dyDescent="0.2">
      <c r="B52" s="113"/>
      <c r="C52" s="92" t="s">
        <v>20</v>
      </c>
      <c r="D52" s="93" t="s">
        <v>21</v>
      </c>
      <c r="F52" s="113"/>
      <c r="G52" s="94" t="s">
        <v>20</v>
      </c>
      <c r="H52" s="95" t="s">
        <v>22</v>
      </c>
    </row>
    <row r="53" spans="2:8" ht="12.75" customHeight="1" x14ac:dyDescent="0.2">
      <c r="B53" s="113"/>
      <c r="C53" s="92" t="s">
        <v>23</v>
      </c>
      <c r="D53" s="93" t="s">
        <v>24</v>
      </c>
      <c r="F53" s="113"/>
      <c r="G53" s="94" t="s">
        <v>23</v>
      </c>
      <c r="H53" s="103" t="s">
        <v>25</v>
      </c>
    </row>
    <row r="54" spans="2:8" ht="13.5" customHeight="1" x14ac:dyDescent="0.2">
      <c r="B54" s="114"/>
      <c r="C54" s="96" t="s">
        <v>26</v>
      </c>
      <c r="D54" s="97" t="s">
        <v>29</v>
      </c>
      <c r="F54" s="114"/>
      <c r="G54" s="98" t="s">
        <v>26</v>
      </c>
      <c r="H54" s="101" t="s">
        <v>30</v>
      </c>
    </row>
    <row r="55" spans="2:8" ht="15" x14ac:dyDescent="0.2">
      <c r="B55" s="9"/>
      <c r="C55" s="4"/>
      <c r="D55" s="4"/>
      <c r="F55" s="9"/>
      <c r="G55" s="4"/>
      <c r="H55" s="67"/>
    </row>
    <row r="56" spans="2:8" ht="12.75" customHeight="1" x14ac:dyDescent="0.2">
      <c r="B56" s="112" t="s">
        <v>38</v>
      </c>
      <c r="C56" s="13"/>
      <c r="D56" s="88" t="s">
        <v>18</v>
      </c>
      <c r="F56" s="112" t="s">
        <v>38</v>
      </c>
      <c r="G56" s="13"/>
      <c r="H56" s="99" t="s">
        <v>19</v>
      </c>
    </row>
    <row r="57" spans="2:8" ht="12.75" customHeight="1" x14ac:dyDescent="0.2">
      <c r="B57" s="113"/>
      <c r="C57" s="4"/>
      <c r="D57" s="100"/>
      <c r="F57" s="113"/>
      <c r="G57" s="4"/>
      <c r="H57" s="91"/>
    </row>
    <row r="58" spans="2:8" ht="12.75" customHeight="1" x14ac:dyDescent="0.2">
      <c r="B58" s="113"/>
      <c r="C58" s="92" t="s">
        <v>20</v>
      </c>
      <c r="D58" s="93" t="s">
        <v>21</v>
      </c>
      <c r="F58" s="113"/>
      <c r="G58" s="94" t="s">
        <v>20</v>
      </c>
      <c r="H58" s="95" t="s">
        <v>22</v>
      </c>
    </row>
    <row r="59" spans="2:8" ht="12.75" customHeight="1" x14ac:dyDescent="0.2">
      <c r="B59" s="113"/>
      <c r="C59" s="92" t="s">
        <v>23</v>
      </c>
      <c r="D59" s="93" t="s">
        <v>24</v>
      </c>
      <c r="F59" s="113"/>
      <c r="G59" s="94" t="s">
        <v>23</v>
      </c>
      <c r="H59" s="103" t="s">
        <v>25</v>
      </c>
    </row>
    <row r="60" spans="2:8" ht="13.5" customHeight="1" x14ac:dyDescent="0.2">
      <c r="B60" s="114"/>
      <c r="C60" s="96" t="s">
        <v>26</v>
      </c>
      <c r="D60" s="97" t="s">
        <v>29</v>
      </c>
      <c r="F60" s="114"/>
      <c r="G60" s="98" t="s">
        <v>26</v>
      </c>
      <c r="H60" s="101" t="s">
        <v>30</v>
      </c>
    </row>
    <row r="61" spans="2:8" x14ac:dyDescent="0.2">
      <c r="B61" s="20"/>
      <c r="C61" s="4"/>
      <c r="D61" s="4"/>
    </row>
    <row r="62" spans="2:8" x14ac:dyDescent="0.2">
      <c r="B62" s="20"/>
      <c r="C62" s="4"/>
      <c r="D62" s="4"/>
      <c r="F62" s="56" t="s">
        <v>39</v>
      </c>
      <c r="G62" s="57" t="s">
        <v>26</v>
      </c>
      <c r="H62" s="56" t="s">
        <v>30</v>
      </c>
    </row>
    <row r="63" spans="2:8" x14ac:dyDescent="0.2">
      <c r="B63" s="20"/>
      <c r="C63" s="4"/>
      <c r="D63" s="4"/>
    </row>
    <row r="64" spans="2:8" x14ac:dyDescent="0.2">
      <c r="B64" s="20"/>
      <c r="C64" s="4"/>
      <c r="D64" s="4"/>
    </row>
    <row r="65" spans="2:4" x14ac:dyDescent="0.2">
      <c r="B65" s="20"/>
      <c r="C65" s="4"/>
      <c r="D65" s="4"/>
    </row>
    <row r="66" spans="2:4" x14ac:dyDescent="0.2">
      <c r="B66" s="20"/>
      <c r="C66" s="4"/>
      <c r="D66" s="4"/>
    </row>
    <row r="67" spans="2:4" x14ac:dyDescent="0.2">
      <c r="B67" s="20"/>
      <c r="C67" s="4"/>
      <c r="D67" s="4"/>
    </row>
    <row r="68" spans="2:4" x14ac:dyDescent="0.2">
      <c r="B68" s="20"/>
      <c r="C68" s="4"/>
      <c r="D68" s="4"/>
    </row>
    <row r="69" spans="2:4" x14ac:dyDescent="0.2">
      <c r="B69" s="20"/>
      <c r="C69" s="4"/>
      <c r="D69" s="4"/>
    </row>
    <row r="70" spans="2:4" x14ac:dyDescent="0.2">
      <c r="B70" s="20"/>
      <c r="C70" s="4"/>
      <c r="D70" s="4"/>
    </row>
    <row r="71" spans="2:4" x14ac:dyDescent="0.2">
      <c r="B71" s="20"/>
      <c r="C71" s="4"/>
      <c r="D71" s="4"/>
    </row>
    <row r="72" spans="2:4" x14ac:dyDescent="0.2">
      <c r="B72" s="20"/>
      <c r="C72" s="4"/>
      <c r="D72" s="4"/>
    </row>
    <row r="73" spans="2:4" x14ac:dyDescent="0.2">
      <c r="B73" s="20"/>
      <c r="C73" s="4"/>
      <c r="D73" s="4"/>
    </row>
    <row r="74" spans="2:4" x14ac:dyDescent="0.2">
      <c r="B74" s="20"/>
      <c r="C74" s="4"/>
      <c r="D74" s="4"/>
    </row>
    <row r="75" spans="2:4" x14ac:dyDescent="0.2">
      <c r="B75" s="20"/>
      <c r="C75" s="4"/>
      <c r="D75" s="4"/>
    </row>
    <row r="76" spans="2:4" x14ac:dyDescent="0.2">
      <c r="B76" s="20"/>
      <c r="C76" s="4"/>
      <c r="D76" s="4"/>
    </row>
    <row r="77" spans="2:4" x14ac:dyDescent="0.2">
      <c r="B77" s="20"/>
      <c r="C77" s="4"/>
      <c r="D77" s="4"/>
    </row>
    <row r="78" spans="2:4" x14ac:dyDescent="0.2">
      <c r="C78" s="4"/>
      <c r="D78" s="4"/>
    </row>
  </sheetData>
  <mergeCells count="20">
    <mergeCell ref="F32:F36"/>
    <mergeCell ref="F38:F42"/>
    <mergeCell ref="F44:F48"/>
    <mergeCell ref="F50:F54"/>
    <mergeCell ref="F56:F60"/>
    <mergeCell ref="F2:F6"/>
    <mergeCell ref="F8:F12"/>
    <mergeCell ref="F14:F18"/>
    <mergeCell ref="F20:F24"/>
    <mergeCell ref="F26:F30"/>
    <mergeCell ref="B32:B36"/>
    <mergeCell ref="B38:B42"/>
    <mergeCell ref="B44:B48"/>
    <mergeCell ref="B50:B54"/>
    <mergeCell ref="B56:B60"/>
    <mergeCell ref="B2:B6"/>
    <mergeCell ref="B8:B12"/>
    <mergeCell ref="B14:B18"/>
    <mergeCell ref="B20:B24"/>
    <mergeCell ref="B26:B30"/>
  </mergeCells>
  <phoneticPr fontId="10" type="noConversion"/>
  <pageMargins left="0.75" right="0.75" top="1" bottom="1" header="0.5" footer="0.5"/>
  <pageSetup scale="65"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55"/>
  <sheetViews>
    <sheetView showGridLines="0" zoomScale="80" zoomScaleNormal="80" workbookViewId="0">
      <pane ySplit="795" activePane="bottomLeft"/>
      <selection pane="bottomLeft" activeCell="D10" sqref="D10"/>
    </sheetView>
  </sheetViews>
  <sheetFormatPr defaultColWidth="9" defaultRowHeight="12.75" x14ac:dyDescent="0.2"/>
  <cols>
    <col min="2" max="2" width="17" customWidth="1"/>
    <col min="3" max="3" width="30.7109375" style="73" customWidth="1"/>
    <col min="4" max="4" width="80.28515625" style="74" customWidth="1"/>
  </cols>
  <sheetData>
    <row r="2" spans="2:4" ht="22.5" customHeight="1" x14ac:dyDescent="0.2">
      <c r="B2" s="75" t="s">
        <v>40</v>
      </c>
      <c r="C2" s="76"/>
      <c r="D2" s="77" t="s">
        <v>41</v>
      </c>
    </row>
    <row r="3" spans="2:4" ht="12.75" customHeight="1" x14ac:dyDescent="0.2">
      <c r="B3" s="115" t="s">
        <v>17</v>
      </c>
      <c r="C3" s="78" t="s">
        <v>42</v>
      </c>
      <c r="D3" s="79" t="s">
        <v>43</v>
      </c>
    </row>
    <row r="4" spans="2:4" ht="12.75" customHeight="1" x14ac:dyDescent="0.2">
      <c r="B4" s="115"/>
      <c r="C4" s="80" t="s">
        <v>44</v>
      </c>
      <c r="D4" s="81" t="s">
        <v>45</v>
      </c>
    </row>
    <row r="5" spans="2:4" ht="12.75" customHeight="1" x14ac:dyDescent="0.2">
      <c r="B5" s="115"/>
      <c r="C5" s="80" t="s">
        <v>46</v>
      </c>
      <c r="D5" s="81" t="s">
        <v>47</v>
      </c>
    </row>
    <row r="6" spans="2:4" ht="27.75" customHeight="1" x14ac:dyDescent="0.2">
      <c r="B6" s="116" t="s">
        <v>28</v>
      </c>
      <c r="C6" s="78" t="s">
        <v>48</v>
      </c>
      <c r="D6" s="79" t="s">
        <v>49</v>
      </c>
    </row>
    <row r="7" spans="2:4" ht="12.75" customHeight="1" x14ac:dyDescent="0.2">
      <c r="B7" s="117"/>
      <c r="C7" s="80" t="s">
        <v>50</v>
      </c>
      <c r="D7" s="81" t="s">
        <v>51</v>
      </c>
    </row>
    <row r="8" spans="2:4" ht="12.75" customHeight="1" x14ac:dyDescent="0.2">
      <c r="B8" s="117"/>
      <c r="C8" s="80" t="s">
        <v>52</v>
      </c>
      <c r="D8" s="81" t="s">
        <v>53</v>
      </c>
    </row>
    <row r="9" spans="2:4" ht="13.5" customHeight="1" x14ac:dyDescent="0.2">
      <c r="B9" s="118"/>
      <c r="C9" s="82" t="s">
        <v>54</v>
      </c>
      <c r="D9" s="83" t="s">
        <v>55</v>
      </c>
    </row>
    <row r="10" spans="2:4" ht="12.75" customHeight="1" x14ac:dyDescent="0.2">
      <c r="B10" s="115" t="s">
        <v>31</v>
      </c>
      <c r="C10" s="78" t="s">
        <v>56</v>
      </c>
      <c r="D10" s="79" t="s">
        <v>57</v>
      </c>
    </row>
    <row r="11" spans="2:4" ht="12.75" customHeight="1" x14ac:dyDescent="0.2">
      <c r="B11" s="115"/>
      <c r="C11" s="80" t="s">
        <v>58</v>
      </c>
      <c r="D11" s="81" t="s">
        <v>59</v>
      </c>
    </row>
    <row r="12" spans="2:4" ht="25.5" customHeight="1" x14ac:dyDescent="0.2">
      <c r="B12" s="115" t="s">
        <v>32</v>
      </c>
      <c r="C12" s="80" t="s">
        <v>48</v>
      </c>
      <c r="D12" s="81" t="s">
        <v>60</v>
      </c>
    </row>
    <row r="13" spans="2:4" ht="12.75" customHeight="1" x14ac:dyDescent="0.2">
      <c r="B13" s="115"/>
      <c r="C13" s="80" t="s">
        <v>50</v>
      </c>
      <c r="D13" s="81" t="s">
        <v>61</v>
      </c>
    </row>
    <row r="14" spans="2:4" ht="12.75" customHeight="1" x14ac:dyDescent="0.2">
      <c r="B14" s="115"/>
      <c r="C14" s="80" t="s">
        <v>52</v>
      </c>
      <c r="D14" s="81" t="s">
        <v>62</v>
      </c>
    </row>
    <row r="15" spans="2:4" ht="13.5" customHeight="1" x14ac:dyDescent="0.2">
      <c r="B15" s="119"/>
      <c r="C15" s="82" t="s">
        <v>54</v>
      </c>
      <c r="D15" s="83" t="s">
        <v>63</v>
      </c>
    </row>
    <row r="16" spans="2:4" ht="12.75" customHeight="1" x14ac:dyDescent="0.2">
      <c r="B16" s="115" t="s">
        <v>33</v>
      </c>
      <c r="C16" s="78" t="s">
        <v>64</v>
      </c>
      <c r="D16" s="79" t="s">
        <v>65</v>
      </c>
    </row>
    <row r="17" spans="2:4" ht="12.75" customHeight="1" x14ac:dyDescent="0.2">
      <c r="B17" s="115"/>
      <c r="C17" s="80" t="s">
        <v>66</v>
      </c>
      <c r="D17" s="81" t="s">
        <v>67</v>
      </c>
    </row>
    <row r="18" spans="2:4" ht="12.75" customHeight="1" x14ac:dyDescent="0.2">
      <c r="B18" s="115"/>
      <c r="C18" s="80" t="s">
        <v>68</v>
      </c>
      <c r="D18" s="81" t="s">
        <v>69</v>
      </c>
    </row>
    <row r="19" spans="2:4" ht="13.5" customHeight="1" x14ac:dyDescent="0.2">
      <c r="B19" s="119"/>
      <c r="C19" s="82" t="s">
        <v>70</v>
      </c>
      <c r="D19" s="83" t="s">
        <v>71</v>
      </c>
    </row>
    <row r="20" spans="2:4" ht="17.25" customHeight="1" x14ac:dyDescent="0.2">
      <c r="B20" s="115" t="s">
        <v>34</v>
      </c>
      <c r="C20" s="78" t="s">
        <v>48</v>
      </c>
      <c r="D20" s="79" t="s">
        <v>72</v>
      </c>
    </row>
    <row r="21" spans="2:4" ht="12.75" customHeight="1" x14ac:dyDescent="0.2">
      <c r="B21" s="115"/>
      <c r="C21" s="80" t="s">
        <v>50</v>
      </c>
      <c r="D21" s="81" t="s">
        <v>73</v>
      </c>
    </row>
    <row r="22" spans="2:4" ht="12.75" customHeight="1" x14ac:dyDescent="0.2">
      <c r="B22" s="115"/>
      <c r="C22" s="80" t="s">
        <v>52</v>
      </c>
      <c r="D22" s="81" t="s">
        <v>74</v>
      </c>
    </row>
    <row r="23" spans="2:4" ht="13.5" customHeight="1" x14ac:dyDescent="0.2">
      <c r="B23" s="119"/>
      <c r="C23" s="82" t="s">
        <v>54</v>
      </c>
      <c r="D23" s="83" t="s">
        <v>75</v>
      </c>
    </row>
    <row r="24" spans="2:4" ht="12.75" customHeight="1" x14ac:dyDescent="0.2">
      <c r="B24" s="115" t="s">
        <v>35</v>
      </c>
      <c r="C24" s="78" t="s">
        <v>76</v>
      </c>
      <c r="D24" s="79" t="s">
        <v>77</v>
      </c>
    </row>
    <row r="25" spans="2:4" ht="12.75" customHeight="1" x14ac:dyDescent="0.2">
      <c r="B25" s="115"/>
      <c r="C25" s="80" t="s">
        <v>78</v>
      </c>
      <c r="D25" s="81" t="s">
        <v>79</v>
      </c>
    </row>
    <row r="26" spans="2:4" ht="12.75" customHeight="1" x14ac:dyDescent="0.2">
      <c r="B26" s="115"/>
      <c r="C26" s="80" t="s">
        <v>80</v>
      </c>
      <c r="D26" s="81" t="s">
        <v>81</v>
      </c>
    </row>
    <row r="27" spans="2:4" ht="13.5" customHeight="1" x14ac:dyDescent="0.2">
      <c r="B27" s="119"/>
      <c r="C27" s="82" t="s">
        <v>82</v>
      </c>
      <c r="D27" s="83" t="s">
        <v>83</v>
      </c>
    </row>
    <row r="28" spans="2:4" ht="12.75" customHeight="1" x14ac:dyDescent="0.2">
      <c r="B28" s="115" t="s">
        <v>36</v>
      </c>
      <c r="C28" s="78" t="s">
        <v>84</v>
      </c>
      <c r="D28" s="79" t="s">
        <v>85</v>
      </c>
    </row>
    <row r="29" spans="2:4" ht="12.75" customHeight="1" x14ac:dyDescent="0.2">
      <c r="B29" s="115"/>
      <c r="C29" s="80" t="s">
        <v>86</v>
      </c>
      <c r="D29" s="81" t="s">
        <v>87</v>
      </c>
    </row>
    <row r="30" spans="2:4" ht="12.75" customHeight="1" x14ac:dyDescent="0.2">
      <c r="B30" s="115"/>
      <c r="C30" s="84" t="s">
        <v>88</v>
      </c>
      <c r="D30" s="85" t="s">
        <v>89</v>
      </c>
    </row>
    <row r="31" spans="2:4" ht="28.5" customHeight="1" x14ac:dyDescent="0.2">
      <c r="B31" s="112" t="s">
        <v>37</v>
      </c>
      <c r="C31" s="78" t="s">
        <v>90</v>
      </c>
      <c r="D31" s="79" t="s">
        <v>91</v>
      </c>
    </row>
    <row r="32" spans="2:4" ht="27" customHeight="1" x14ac:dyDescent="0.2">
      <c r="B32" s="115"/>
      <c r="C32" s="80" t="s">
        <v>92</v>
      </c>
      <c r="D32" s="81" t="s">
        <v>93</v>
      </c>
    </row>
    <row r="33" spans="2:4" ht="12.75" customHeight="1" x14ac:dyDescent="0.2">
      <c r="B33" s="115"/>
      <c r="C33" s="82" t="s">
        <v>94</v>
      </c>
      <c r="D33" s="83" t="s">
        <v>95</v>
      </c>
    </row>
    <row r="34" spans="2:4" ht="12.75" customHeight="1" x14ac:dyDescent="0.2">
      <c r="B34" s="112" t="s">
        <v>38</v>
      </c>
      <c r="C34" s="78" t="s">
        <v>96</v>
      </c>
      <c r="D34" s="79" t="s">
        <v>97</v>
      </c>
    </row>
    <row r="35" spans="2:4" ht="12.75" customHeight="1" x14ac:dyDescent="0.2">
      <c r="B35" s="115"/>
      <c r="C35" s="80" t="s">
        <v>98</v>
      </c>
      <c r="D35" s="81" t="s">
        <v>99</v>
      </c>
    </row>
    <row r="36" spans="2:4" ht="12.75" customHeight="1" x14ac:dyDescent="0.2">
      <c r="B36" s="119"/>
      <c r="C36" s="82" t="s">
        <v>100</v>
      </c>
      <c r="D36" s="83" t="s">
        <v>101</v>
      </c>
    </row>
    <row r="37" spans="2:4" x14ac:dyDescent="0.2">
      <c r="B37" s="20"/>
      <c r="C37" s="86"/>
      <c r="D37" s="87"/>
    </row>
    <row r="38" spans="2:4" x14ac:dyDescent="0.2">
      <c r="B38" s="20"/>
      <c r="C38" s="86"/>
      <c r="D38" s="87"/>
    </row>
    <row r="39" spans="2:4" x14ac:dyDescent="0.2">
      <c r="B39" s="20"/>
      <c r="C39" s="86"/>
      <c r="D39" s="87"/>
    </row>
    <row r="40" spans="2:4" x14ac:dyDescent="0.2">
      <c r="B40" s="20"/>
      <c r="C40" s="86"/>
      <c r="D40" s="87"/>
    </row>
    <row r="41" spans="2:4" x14ac:dyDescent="0.2">
      <c r="B41" s="20"/>
      <c r="C41" s="86"/>
      <c r="D41" s="87"/>
    </row>
    <row r="42" spans="2:4" x14ac:dyDescent="0.2">
      <c r="B42" s="20"/>
      <c r="C42" s="86"/>
      <c r="D42" s="87"/>
    </row>
    <row r="43" spans="2:4" x14ac:dyDescent="0.2">
      <c r="B43" s="20"/>
      <c r="C43" s="86"/>
      <c r="D43" s="87"/>
    </row>
    <row r="44" spans="2:4" x14ac:dyDescent="0.2">
      <c r="B44" s="20"/>
      <c r="C44" s="86"/>
      <c r="D44" s="87"/>
    </row>
    <row r="45" spans="2:4" x14ac:dyDescent="0.2">
      <c r="B45" s="20"/>
      <c r="C45" s="86"/>
      <c r="D45" s="87"/>
    </row>
    <row r="46" spans="2:4" x14ac:dyDescent="0.2">
      <c r="B46" s="20"/>
      <c r="C46" s="86"/>
      <c r="D46" s="87"/>
    </row>
    <row r="47" spans="2:4" x14ac:dyDescent="0.2">
      <c r="B47" s="20"/>
      <c r="C47" s="86"/>
      <c r="D47" s="87"/>
    </row>
    <row r="48" spans="2:4" x14ac:dyDescent="0.2">
      <c r="B48" s="20"/>
      <c r="C48" s="86"/>
      <c r="D48" s="87"/>
    </row>
    <row r="49" spans="2:4" x14ac:dyDescent="0.2">
      <c r="B49" s="20"/>
      <c r="C49" s="86"/>
      <c r="D49" s="87"/>
    </row>
    <row r="50" spans="2:4" x14ac:dyDescent="0.2">
      <c r="B50" s="20"/>
      <c r="C50" s="86"/>
      <c r="D50" s="87"/>
    </row>
    <row r="51" spans="2:4" x14ac:dyDescent="0.2">
      <c r="B51" s="20"/>
      <c r="C51" s="86"/>
      <c r="D51" s="87"/>
    </row>
    <row r="52" spans="2:4" x14ac:dyDescent="0.2">
      <c r="B52" s="20"/>
      <c r="C52" s="86"/>
      <c r="D52" s="87"/>
    </row>
    <row r="53" spans="2:4" x14ac:dyDescent="0.2">
      <c r="B53" s="20"/>
      <c r="C53" s="86"/>
      <c r="D53" s="87"/>
    </row>
    <row r="54" spans="2:4" x14ac:dyDescent="0.2">
      <c r="B54" s="20"/>
      <c r="C54" s="86"/>
      <c r="D54" s="87"/>
    </row>
    <row r="55" spans="2:4" x14ac:dyDescent="0.2">
      <c r="C55" s="86"/>
      <c r="D55" s="87"/>
    </row>
  </sheetData>
  <mergeCells count="10">
    <mergeCell ref="B20:B23"/>
    <mergeCell ref="B24:B27"/>
    <mergeCell ref="B28:B30"/>
    <mergeCell ref="B31:B33"/>
    <mergeCell ref="B34:B36"/>
    <mergeCell ref="B3:B5"/>
    <mergeCell ref="B6:B9"/>
    <mergeCell ref="B10:B11"/>
    <mergeCell ref="B12:B15"/>
    <mergeCell ref="B16:B19"/>
  </mergeCells>
  <phoneticPr fontId="10" type="noConversion"/>
  <pageMargins left="0.75" right="0.75" top="1" bottom="1" header="0.5" footer="0.5"/>
  <pageSetup scale="65"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showGridLines="0" tabSelected="1" topLeftCell="M52" zoomScale="130" zoomScaleNormal="130" workbookViewId="0">
      <selection activeCell="U78" activeCellId="1" sqref="N5 U78"/>
    </sheetView>
  </sheetViews>
  <sheetFormatPr defaultColWidth="9" defaultRowHeight="12.75" x14ac:dyDescent="0.2"/>
  <cols>
    <col min="2" max="2" width="17" customWidth="1"/>
    <col min="3" max="3" width="13.85546875" customWidth="1"/>
    <col min="4" max="4" width="11.5703125" customWidth="1"/>
    <col min="5" max="5" width="11" customWidth="1"/>
    <col min="6" max="6" width="11.5703125" customWidth="1"/>
    <col min="7" max="7" width="2.140625" customWidth="1"/>
    <col min="8" max="10" width="11.5703125" customWidth="1"/>
    <col min="11" max="11" width="2.85546875" customWidth="1"/>
    <col min="12" max="14" width="11.5703125" customWidth="1"/>
    <col min="15" max="15" width="3" customWidth="1"/>
    <col min="16" max="16" width="11.5703125" customWidth="1"/>
    <col min="17" max="17" width="11" customWidth="1"/>
    <col min="18" max="18" width="11.5703125" customWidth="1"/>
    <col min="20" max="20" width="25.5703125" customWidth="1"/>
    <col min="21" max="21" width="12" customWidth="1"/>
    <col min="22" max="24" width="9.42578125" customWidth="1"/>
    <col min="25" max="26" width="9.28515625" customWidth="1"/>
    <col min="31" max="31" width="17.85546875" customWidth="1"/>
    <col min="32" max="32" width="13.28515625" customWidth="1"/>
    <col min="33" max="33" width="13" customWidth="1"/>
    <col min="34" max="34" width="12.140625" customWidth="1"/>
    <col min="35" max="35" width="2.28515625" customWidth="1"/>
    <col min="36" max="36" width="12.85546875" customWidth="1"/>
    <col min="37" max="37" width="14" customWidth="1"/>
    <col min="38" max="38" width="12.140625" customWidth="1"/>
  </cols>
  <sheetData>
    <row r="1" spans="2:38" x14ac:dyDescent="0.2">
      <c r="T1" s="14" t="s">
        <v>102</v>
      </c>
      <c r="U1" s="126" t="s">
        <v>103</v>
      </c>
    </row>
    <row r="2" spans="2:38" x14ac:dyDescent="0.2">
      <c r="B2" s="112" t="s">
        <v>104</v>
      </c>
      <c r="C2" s="1"/>
      <c r="D2" s="122" t="s">
        <v>186</v>
      </c>
      <c r="E2" s="120"/>
      <c r="F2" s="120"/>
      <c r="G2" s="1"/>
      <c r="H2" s="122" t="s">
        <v>186</v>
      </c>
      <c r="I2" s="120"/>
      <c r="J2" s="120"/>
      <c r="K2" s="1"/>
      <c r="L2" s="122" t="s">
        <v>183</v>
      </c>
      <c r="M2" s="120"/>
      <c r="N2" s="121"/>
      <c r="T2" s="36">
        <v>3</v>
      </c>
      <c r="U2" s="126"/>
      <c r="V2" s="124" t="s">
        <v>105</v>
      </c>
      <c r="W2" s="125"/>
      <c r="X2" s="120" t="s">
        <v>106</v>
      </c>
      <c r="Y2" s="120"/>
      <c r="Z2" s="120" t="s">
        <v>107</v>
      </c>
      <c r="AA2" s="121"/>
      <c r="AE2" s="112" t="s">
        <v>17</v>
      </c>
      <c r="AF2" s="1"/>
      <c r="AG2" s="40" t="s">
        <v>108</v>
      </c>
      <c r="AH2" s="2" t="s">
        <v>19</v>
      </c>
      <c r="AI2" s="2"/>
      <c r="AJ2" s="2" t="s">
        <v>109</v>
      </c>
      <c r="AK2" s="2" t="s">
        <v>110</v>
      </c>
      <c r="AL2" s="26" t="s">
        <v>111</v>
      </c>
    </row>
    <row r="3" spans="2:38" x14ac:dyDescent="0.2">
      <c r="B3" s="113"/>
      <c r="D3" s="3" t="s">
        <v>112</v>
      </c>
      <c r="E3" s="3" t="s">
        <v>113</v>
      </c>
      <c r="F3" s="3" t="s">
        <v>114</v>
      </c>
      <c r="H3" s="3" t="s">
        <v>112</v>
      </c>
      <c r="I3" s="3" t="s">
        <v>113</v>
      </c>
      <c r="J3" s="3" t="s">
        <v>114</v>
      </c>
      <c r="L3" s="3" t="s">
        <v>112</v>
      </c>
      <c r="M3" s="3" t="s">
        <v>113</v>
      </c>
      <c r="N3" s="27" t="s">
        <v>114</v>
      </c>
      <c r="V3" s="37" t="s">
        <v>115</v>
      </c>
      <c r="W3" s="111" t="s">
        <v>187</v>
      </c>
      <c r="X3" s="38" t="s">
        <v>115</v>
      </c>
      <c r="Y3" s="38" t="s">
        <v>116</v>
      </c>
      <c r="Z3" s="38" t="s">
        <v>115</v>
      </c>
      <c r="AA3" s="47" t="s">
        <v>116</v>
      </c>
      <c r="AE3" s="113"/>
      <c r="AG3" s="58"/>
      <c r="AH3" s="59"/>
      <c r="AI3" s="59"/>
      <c r="AJ3" s="59"/>
      <c r="AK3" s="59"/>
      <c r="AL3" s="60"/>
    </row>
    <row r="4" spans="2:38" x14ac:dyDescent="0.2">
      <c r="B4" s="113"/>
      <c r="C4" s="4" t="s">
        <v>117</v>
      </c>
      <c r="D4" s="5">
        <v>25</v>
      </c>
      <c r="E4" s="5">
        <v>35</v>
      </c>
      <c r="F4" s="5">
        <v>45</v>
      </c>
      <c r="H4" s="5">
        <v>35</v>
      </c>
      <c r="I4" s="5">
        <v>45</v>
      </c>
      <c r="J4" s="5">
        <v>55</v>
      </c>
      <c r="L4" s="5">
        <v>65</v>
      </c>
      <c r="M4" s="5">
        <v>80</v>
      </c>
      <c r="N4" s="28">
        <v>95</v>
      </c>
      <c r="U4">
        <f>IF(T$2=1,W4,IF(T$2=2,Y4,AA4))</f>
        <v>80</v>
      </c>
      <c r="V4" s="38">
        <f>((F4-D4)/6)^2</f>
        <v>11.111111111111112</v>
      </c>
      <c r="W4" s="108">
        <f>(D4+4*E4+F4)/6</f>
        <v>35</v>
      </c>
      <c r="X4" s="38">
        <f>((J4-H4)/6)^2</f>
        <v>11.111111111111112</v>
      </c>
      <c r="Y4" s="108">
        <f>(H4+4*I4+J4)/6</f>
        <v>45</v>
      </c>
      <c r="Z4" s="38">
        <f>((N4-L4)/6)^2</f>
        <v>25</v>
      </c>
      <c r="AA4" s="109">
        <f>(L4+4*M4+N4)/6</f>
        <v>80</v>
      </c>
      <c r="AE4" s="113"/>
      <c r="AF4" s="4" t="s">
        <v>20</v>
      </c>
      <c r="AG4" s="61">
        <f>AH4*U4</f>
        <v>64000</v>
      </c>
      <c r="AH4" s="105">
        <f>AK4</f>
        <v>800</v>
      </c>
      <c r="AI4" s="62"/>
      <c r="AJ4" s="62">
        <v>700</v>
      </c>
      <c r="AK4" s="62">
        <v>800</v>
      </c>
      <c r="AL4" s="63">
        <v>1000</v>
      </c>
    </row>
    <row r="5" spans="2:38" ht="13.5" thickBot="1" x14ac:dyDescent="0.25">
      <c r="B5" s="114"/>
      <c r="C5" s="6" t="s">
        <v>118</v>
      </c>
      <c r="D5" s="7">
        <v>35</v>
      </c>
      <c r="E5" s="7">
        <v>45</v>
      </c>
      <c r="F5" s="7">
        <v>55</v>
      </c>
      <c r="G5" s="8"/>
      <c r="H5" s="7">
        <v>27</v>
      </c>
      <c r="I5" s="7">
        <v>30</v>
      </c>
      <c r="J5" s="7">
        <v>33</v>
      </c>
      <c r="K5" s="8"/>
      <c r="L5" s="7">
        <v>1</v>
      </c>
      <c r="M5" s="7">
        <v>5</v>
      </c>
      <c r="N5" s="29">
        <v>10</v>
      </c>
      <c r="S5">
        <f>IF(T$2=1,V5,IF(T$2=2,X5,Z5))</f>
        <v>2.25</v>
      </c>
      <c r="U5">
        <f>IF(T$2=1,W5,IF(T$2=2,Y5,AA5))</f>
        <v>5.166666666666667</v>
      </c>
      <c r="V5" s="39">
        <f>((F5-D5)/6)^2</f>
        <v>11.111111111111112</v>
      </c>
      <c r="W5" s="108">
        <f>(D5+4*E5+F5)/6</f>
        <v>45</v>
      </c>
      <c r="X5" s="38">
        <f>((J5-H5)/6)^2</f>
        <v>1</v>
      </c>
      <c r="Y5" s="108">
        <f>(H5+4*I5+J5)/6</f>
        <v>30</v>
      </c>
      <c r="Z5" s="38">
        <f>((N5-L5)/6)^2</f>
        <v>2.25</v>
      </c>
      <c r="AA5" s="109">
        <f>(L5+4*M5+N5)/6</f>
        <v>5.166666666666667</v>
      </c>
      <c r="AE5" s="114"/>
      <c r="AF5" s="6">
        <f>(S$5*(1-S$10)+S$15)*S5*AH5</f>
        <v>0</v>
      </c>
      <c r="AG5" s="64"/>
      <c r="AH5" s="65"/>
      <c r="AI5" s="65"/>
      <c r="AJ5" s="65"/>
      <c r="AK5" s="65"/>
      <c r="AL5" s="66"/>
    </row>
    <row r="6" spans="2:38" ht="15.75" thickBot="1" x14ac:dyDescent="0.25">
      <c r="B6" s="9"/>
      <c r="T6" s="14" t="s">
        <v>119</v>
      </c>
      <c r="AE6" s="9"/>
      <c r="AG6" s="67"/>
      <c r="AH6" s="67"/>
      <c r="AI6" s="67"/>
      <c r="AJ6" s="67"/>
      <c r="AK6" s="67"/>
      <c r="AL6" s="67"/>
    </row>
    <row r="7" spans="2:38" x14ac:dyDescent="0.2">
      <c r="B7" s="112" t="s">
        <v>120</v>
      </c>
      <c r="C7" s="1"/>
      <c r="D7" s="122" t="s">
        <v>186</v>
      </c>
      <c r="E7" s="120"/>
      <c r="F7" s="120"/>
      <c r="G7" s="1"/>
      <c r="H7" s="122" t="s">
        <v>186</v>
      </c>
      <c r="I7" s="120"/>
      <c r="J7" s="120"/>
      <c r="K7" s="1"/>
      <c r="L7" s="120" t="s">
        <v>181</v>
      </c>
      <c r="M7" s="120"/>
      <c r="N7" s="120"/>
      <c r="O7" s="1"/>
      <c r="P7" s="122" t="s">
        <v>182</v>
      </c>
      <c r="Q7" s="120"/>
      <c r="R7" s="121"/>
      <c r="T7" s="36">
        <v>4</v>
      </c>
      <c r="V7" s="123" t="s">
        <v>121</v>
      </c>
      <c r="W7" s="120"/>
      <c r="X7" s="120" t="s">
        <v>122</v>
      </c>
      <c r="Y7" s="120"/>
      <c r="Z7" s="120" t="s">
        <v>123</v>
      </c>
      <c r="AA7" s="120"/>
      <c r="AB7" s="127" t="s">
        <v>124</v>
      </c>
      <c r="AC7" s="128"/>
      <c r="AE7" s="112" t="s">
        <v>28</v>
      </c>
      <c r="AF7" s="1"/>
      <c r="AG7" s="68" t="s">
        <v>108</v>
      </c>
      <c r="AH7" s="69" t="s">
        <v>19</v>
      </c>
      <c r="AI7" s="69"/>
      <c r="AJ7" s="69" t="s">
        <v>109</v>
      </c>
      <c r="AK7" s="69" t="s">
        <v>110</v>
      </c>
      <c r="AL7" s="70" t="s">
        <v>111</v>
      </c>
    </row>
    <row r="8" spans="2:38" x14ac:dyDescent="0.2">
      <c r="B8" s="113"/>
      <c r="C8" s="4"/>
      <c r="D8" s="3" t="s">
        <v>112</v>
      </c>
      <c r="E8" s="3" t="s">
        <v>113</v>
      </c>
      <c r="F8" s="3" t="s">
        <v>114</v>
      </c>
      <c r="H8" s="3" t="s">
        <v>112</v>
      </c>
      <c r="I8" s="3" t="s">
        <v>113</v>
      </c>
      <c r="J8" s="3" t="s">
        <v>114</v>
      </c>
      <c r="L8" s="3" t="s">
        <v>112</v>
      </c>
      <c r="M8" s="3" t="s">
        <v>113</v>
      </c>
      <c r="N8" s="3" t="s">
        <v>114</v>
      </c>
      <c r="P8" s="3" t="s">
        <v>112</v>
      </c>
      <c r="Q8" s="3" t="s">
        <v>113</v>
      </c>
      <c r="R8" s="27" t="s">
        <v>114</v>
      </c>
      <c r="V8" s="37" t="s">
        <v>115</v>
      </c>
      <c r="W8" s="38" t="s">
        <v>116</v>
      </c>
      <c r="X8" s="38" t="s">
        <v>115</v>
      </c>
      <c r="Y8" s="38" t="s">
        <v>116</v>
      </c>
      <c r="Z8" s="38" t="s">
        <v>115</v>
      </c>
      <c r="AA8" s="38" t="s">
        <v>116</v>
      </c>
      <c r="AB8" s="38" t="s">
        <v>115</v>
      </c>
      <c r="AC8" s="47" t="s">
        <v>116</v>
      </c>
      <c r="AE8" s="113"/>
      <c r="AF8" s="4"/>
      <c r="AG8" s="61"/>
      <c r="AH8" s="62"/>
      <c r="AI8" s="62"/>
      <c r="AJ8" s="62"/>
      <c r="AK8" s="62"/>
      <c r="AL8" s="63"/>
    </row>
    <row r="9" spans="2:38" x14ac:dyDescent="0.2">
      <c r="B9" s="113"/>
      <c r="C9" s="4" t="s">
        <v>117</v>
      </c>
      <c r="D9" s="10">
        <v>1</v>
      </c>
      <c r="E9" s="10">
        <v>4</v>
      </c>
      <c r="F9" s="10">
        <v>7</v>
      </c>
      <c r="H9" s="10">
        <v>7</v>
      </c>
      <c r="I9" s="10">
        <v>10</v>
      </c>
      <c r="J9" s="10">
        <v>13</v>
      </c>
      <c r="L9" s="10">
        <v>30</v>
      </c>
      <c r="M9" s="10">
        <v>40</v>
      </c>
      <c r="N9" s="10">
        <v>50</v>
      </c>
      <c r="P9" s="10">
        <v>22</v>
      </c>
      <c r="Q9" s="10">
        <v>23</v>
      </c>
      <c r="R9" s="30">
        <v>24</v>
      </c>
      <c r="U9">
        <f>IF(T$7=1,W9,IF(T$7=2,Y9,IF(T$7=3,AA9,AC9)))</f>
        <v>23</v>
      </c>
      <c r="V9" s="38">
        <f>((F9-D9)/6)^2</f>
        <v>1</v>
      </c>
      <c r="W9" s="108">
        <f>(D9+4*E9+F9)/6</f>
        <v>4</v>
      </c>
      <c r="X9" s="38">
        <f>((J9-H9)/6)^2</f>
        <v>1</v>
      </c>
      <c r="Y9" s="108">
        <f>(H9+4*I9+J9)/6</f>
        <v>10</v>
      </c>
      <c r="Z9" s="38">
        <f>((N9-L9)/6)^2</f>
        <v>11.111111111111112</v>
      </c>
      <c r="AA9" s="109">
        <f>(L9+4*M9+N9)/6</f>
        <v>40</v>
      </c>
      <c r="AB9" s="38">
        <f>((R9-P9)/6)^2</f>
        <v>0.1111111111111111</v>
      </c>
      <c r="AC9" s="110">
        <f>(P9+4*Q9+R9)/6</f>
        <v>23</v>
      </c>
      <c r="AE9" s="113"/>
      <c r="AF9" s="4" t="s">
        <v>20</v>
      </c>
      <c r="AG9" s="61">
        <f>AH9*U9</f>
        <v>18400</v>
      </c>
      <c r="AH9" s="106">
        <f>AK9</f>
        <v>800</v>
      </c>
      <c r="AI9" s="62"/>
      <c r="AJ9" s="62">
        <v>700</v>
      </c>
      <c r="AK9" s="62">
        <v>800</v>
      </c>
      <c r="AL9" s="63">
        <v>1000</v>
      </c>
    </row>
    <row r="10" spans="2:38" ht="13.5" thickBot="1" x14ac:dyDescent="0.25">
      <c r="B10" s="114"/>
      <c r="C10" s="6" t="s">
        <v>118</v>
      </c>
      <c r="D10" s="11">
        <v>0.25</v>
      </c>
      <c r="E10" s="11">
        <v>0.4</v>
      </c>
      <c r="F10" s="11">
        <v>0.55000000000000004</v>
      </c>
      <c r="G10" s="12"/>
      <c r="H10" s="11">
        <v>0.5</v>
      </c>
      <c r="I10" s="11">
        <v>0.55000000000000004</v>
      </c>
      <c r="J10" s="11">
        <v>0.6</v>
      </c>
      <c r="K10" s="12"/>
      <c r="L10" s="11">
        <v>0.75</v>
      </c>
      <c r="M10" s="11">
        <v>0.8</v>
      </c>
      <c r="N10" s="11">
        <v>0.85</v>
      </c>
      <c r="O10" s="12"/>
      <c r="P10" s="11">
        <v>0.2</v>
      </c>
      <c r="Q10" s="11">
        <v>0.25</v>
      </c>
      <c r="R10" s="34">
        <v>0.3</v>
      </c>
      <c r="S10">
        <f>IF(T$2=1,V10,IF(T$2=2,X10,Z10))</f>
        <v>2.7777777777777767E-4</v>
      </c>
      <c r="U10" s="41">
        <f>IF(T$7=1,W10,IF(T$7=2,Y10,IF(T$7=3,AA10,AC10)))</f>
        <v>0.25</v>
      </c>
      <c r="V10" s="38">
        <f>((F10-D10)/6)^2</f>
        <v>2.5000000000000009E-3</v>
      </c>
      <c r="W10" s="108">
        <f>(D10+4*E10+F10)/6</f>
        <v>0.40000000000000008</v>
      </c>
      <c r="X10" s="38">
        <f>((J10-H10)/6)^2</f>
        <v>2.7777777777777767E-4</v>
      </c>
      <c r="Y10" s="108">
        <f>(H10+4*I10+J10)/6</f>
        <v>0.55000000000000004</v>
      </c>
      <c r="Z10" s="38">
        <f>((N10-L10)/6)^2</f>
        <v>2.7777777777777767E-4</v>
      </c>
      <c r="AA10" s="109">
        <f>(L10+4*M10+N10)/6</f>
        <v>0.79999999999999993</v>
      </c>
      <c r="AB10" s="38">
        <f>((R10-P10)/6)^2</f>
        <v>2.7777777777777767E-4</v>
      </c>
      <c r="AC10" s="110">
        <f>(P10+4*Q10+R10)/6</f>
        <v>0.25</v>
      </c>
      <c r="AE10" s="114"/>
      <c r="AF10" s="6">
        <f>(S$5*(1-S$10)+S$15)*S10*AH10</f>
        <v>2.4993055555555541</v>
      </c>
      <c r="AG10" s="64">
        <f>U5*U10*AH10</f>
        <v>5166.666666666667</v>
      </c>
      <c r="AH10" s="107">
        <f>AK10</f>
        <v>4000</v>
      </c>
      <c r="AI10" s="65"/>
      <c r="AJ10" s="65">
        <f>0.85*AK10</f>
        <v>3400</v>
      </c>
      <c r="AK10" s="65">
        <v>4000</v>
      </c>
      <c r="AL10" s="66">
        <f>1.15*AK10</f>
        <v>4600</v>
      </c>
    </row>
    <row r="11" spans="2:38" ht="15.75" thickBot="1" x14ac:dyDescent="0.25">
      <c r="B11" s="9"/>
      <c r="C11" s="4"/>
      <c r="T11" s="14" t="s">
        <v>125</v>
      </c>
      <c r="AE11" s="9"/>
      <c r="AF11" s="4"/>
      <c r="AG11" s="71"/>
      <c r="AH11" s="71"/>
      <c r="AI11" s="71"/>
      <c r="AJ11" s="71"/>
      <c r="AK11" s="71"/>
      <c r="AL11" s="71"/>
    </row>
    <row r="12" spans="2:38" x14ac:dyDescent="0.2">
      <c r="B12" s="112" t="s">
        <v>126</v>
      </c>
      <c r="C12" s="13"/>
      <c r="D12" s="122" t="s">
        <v>186</v>
      </c>
      <c r="E12" s="120"/>
      <c r="F12" s="120"/>
      <c r="G12" s="1"/>
      <c r="H12" s="122" t="s">
        <v>183</v>
      </c>
      <c r="I12" s="120"/>
      <c r="J12" s="121"/>
      <c r="L12" s="129"/>
      <c r="M12" s="129"/>
      <c r="N12" s="129"/>
      <c r="T12" s="36">
        <v>2</v>
      </c>
      <c r="V12" s="123" t="s">
        <v>127</v>
      </c>
      <c r="W12" s="120"/>
      <c r="X12" s="120" t="s">
        <v>128</v>
      </c>
      <c r="Y12" s="121"/>
      <c r="AE12" s="112" t="s">
        <v>31</v>
      </c>
      <c r="AF12" s="13"/>
      <c r="AG12" s="68" t="s">
        <v>108</v>
      </c>
      <c r="AH12" s="69" t="s">
        <v>19</v>
      </c>
      <c r="AI12" s="69"/>
      <c r="AJ12" s="69" t="s">
        <v>109</v>
      </c>
      <c r="AK12" s="69" t="s">
        <v>110</v>
      </c>
      <c r="AL12" s="70" t="s">
        <v>111</v>
      </c>
    </row>
    <row r="13" spans="2:38" x14ac:dyDescent="0.2">
      <c r="B13" s="113"/>
      <c r="C13" s="4"/>
      <c r="D13" s="3" t="s">
        <v>112</v>
      </c>
      <c r="E13" s="3" t="s">
        <v>113</v>
      </c>
      <c r="F13" s="3" t="s">
        <v>114</v>
      </c>
      <c r="H13" s="3" t="s">
        <v>112</v>
      </c>
      <c r="I13" s="3" t="s">
        <v>113</v>
      </c>
      <c r="J13" s="27" t="s">
        <v>114</v>
      </c>
      <c r="L13" s="14"/>
      <c r="M13" s="14"/>
      <c r="N13" s="14"/>
      <c r="V13" s="37" t="s">
        <v>115</v>
      </c>
      <c r="W13" s="38" t="s">
        <v>116</v>
      </c>
      <c r="X13" s="38" t="s">
        <v>115</v>
      </c>
      <c r="Y13" s="47" t="s">
        <v>116</v>
      </c>
      <c r="AE13" s="113"/>
      <c r="AF13" s="4"/>
      <c r="AG13" s="61"/>
      <c r="AH13" s="62"/>
      <c r="AI13" s="62"/>
      <c r="AJ13" s="62"/>
      <c r="AK13" s="62"/>
      <c r="AL13" s="63"/>
    </row>
    <row r="14" spans="2:38" x14ac:dyDescent="0.2">
      <c r="B14" s="113"/>
      <c r="C14" s="4" t="s">
        <v>117</v>
      </c>
      <c r="D14" s="10">
        <v>50</v>
      </c>
      <c r="E14" s="10">
        <v>60</v>
      </c>
      <c r="F14" s="10">
        <v>70</v>
      </c>
      <c r="G14" s="14"/>
      <c r="H14" s="10">
        <v>65</v>
      </c>
      <c r="I14" s="10">
        <v>75</v>
      </c>
      <c r="J14" s="30">
        <v>85</v>
      </c>
      <c r="L14" s="14"/>
      <c r="M14" s="14"/>
      <c r="N14" s="14"/>
      <c r="U14">
        <f>IF(T$12=1,W14,Y14)</f>
        <v>75</v>
      </c>
      <c r="V14" s="38">
        <f>((F14-D14)/6)^2</f>
        <v>11.111111111111112</v>
      </c>
      <c r="W14" s="108">
        <f>(D14+4*E14+F14)/6</f>
        <v>60</v>
      </c>
      <c r="X14" s="38">
        <f>((J14-H14)/6)^2</f>
        <v>11.111111111111112</v>
      </c>
      <c r="Y14" s="108">
        <f>(H14+4*I14+J14)/6</f>
        <v>75</v>
      </c>
      <c r="AE14" s="113"/>
      <c r="AF14" s="4" t="s">
        <v>20</v>
      </c>
      <c r="AG14" s="61">
        <f>AH14*U14</f>
        <v>60000</v>
      </c>
      <c r="AH14" s="106">
        <f>AK14</f>
        <v>800</v>
      </c>
      <c r="AI14" s="62"/>
      <c r="AJ14" s="62">
        <v>700</v>
      </c>
      <c r="AK14" s="62">
        <v>800</v>
      </c>
      <c r="AL14" s="63">
        <v>1000</v>
      </c>
    </row>
    <row r="15" spans="2:38" ht="13.5" thickBot="1" x14ac:dyDescent="0.25">
      <c r="B15" s="114"/>
      <c r="C15" s="6" t="s">
        <v>118</v>
      </c>
      <c r="D15" s="15">
        <v>25</v>
      </c>
      <c r="E15" s="15">
        <v>35</v>
      </c>
      <c r="F15" s="15">
        <v>45</v>
      </c>
      <c r="G15" s="16"/>
      <c r="H15" s="15">
        <v>5</v>
      </c>
      <c r="I15" s="15">
        <v>10</v>
      </c>
      <c r="J15" s="31">
        <v>15</v>
      </c>
      <c r="S15">
        <f>IF(T$2=1,V15,IF(T$2=2,X15,Z15))</f>
        <v>0</v>
      </c>
      <c r="U15">
        <f>IF(T$12=1,W15,Y15)</f>
        <v>10</v>
      </c>
      <c r="V15" s="38">
        <f>((F15-D15)/6)^2</f>
        <v>11.111111111111112</v>
      </c>
      <c r="W15" s="108">
        <f>(D15+4*E15+F15)/6</f>
        <v>35</v>
      </c>
      <c r="X15" s="38">
        <f>((J15-H15)/6)^2</f>
        <v>2.7777777777777781</v>
      </c>
      <c r="Y15" s="108">
        <f>(H15+4*I15+J15)/6</f>
        <v>10</v>
      </c>
      <c r="AE15" s="114"/>
      <c r="AF15" s="6">
        <f>(S$5*(1-S$10)+S$15)*S15*AH15</f>
        <v>0</v>
      </c>
      <c r="AG15" s="64"/>
      <c r="AH15" s="65"/>
      <c r="AI15" s="65"/>
      <c r="AJ15" s="65"/>
      <c r="AK15" s="65"/>
      <c r="AL15" s="66"/>
    </row>
    <row r="16" spans="2:38" ht="15.75" thickBot="1" x14ac:dyDescent="0.25">
      <c r="B16" s="9"/>
      <c r="C16" s="4"/>
      <c r="T16" s="14" t="s">
        <v>129</v>
      </c>
      <c r="AE16" s="9"/>
      <c r="AF16" s="4"/>
      <c r="AG16" s="71"/>
      <c r="AH16" s="71"/>
      <c r="AI16" s="71"/>
      <c r="AJ16" s="71"/>
      <c r="AK16" s="71"/>
      <c r="AL16" s="71"/>
    </row>
    <row r="17" spans="1:38" x14ac:dyDescent="0.2">
      <c r="B17" s="112" t="s">
        <v>130</v>
      </c>
      <c r="C17" s="13"/>
      <c r="D17" s="122" t="s">
        <v>186</v>
      </c>
      <c r="E17" s="120"/>
      <c r="F17" s="120"/>
      <c r="G17" s="1"/>
      <c r="H17" s="122" t="s">
        <v>186</v>
      </c>
      <c r="I17" s="120"/>
      <c r="J17" s="120"/>
      <c r="K17" s="1"/>
      <c r="L17" s="120" t="s">
        <v>181</v>
      </c>
      <c r="M17" s="120"/>
      <c r="N17" s="120"/>
      <c r="O17" s="1"/>
      <c r="P17" s="122" t="s">
        <v>182</v>
      </c>
      <c r="Q17" s="120"/>
      <c r="R17" s="121"/>
      <c r="T17" s="36">
        <v>4</v>
      </c>
      <c r="V17" s="123" t="s">
        <v>121</v>
      </c>
      <c r="W17" s="120"/>
      <c r="X17" s="120" t="s">
        <v>122</v>
      </c>
      <c r="Y17" s="120"/>
      <c r="Z17" s="120" t="s">
        <v>123</v>
      </c>
      <c r="AA17" s="120"/>
      <c r="AB17" s="127" t="s">
        <v>124</v>
      </c>
      <c r="AC17" s="128"/>
      <c r="AE17" s="112" t="s">
        <v>32</v>
      </c>
      <c r="AF17" s="13"/>
      <c r="AG17" s="68" t="s">
        <v>108</v>
      </c>
      <c r="AH17" s="69" t="s">
        <v>19</v>
      </c>
      <c r="AI17" s="69"/>
      <c r="AJ17" s="69" t="s">
        <v>109</v>
      </c>
      <c r="AK17" s="69" t="s">
        <v>110</v>
      </c>
      <c r="AL17" s="70" t="s">
        <v>111</v>
      </c>
    </row>
    <row r="18" spans="1:38" x14ac:dyDescent="0.2">
      <c r="B18" s="113"/>
      <c r="C18" s="4"/>
      <c r="D18" s="3" t="s">
        <v>112</v>
      </c>
      <c r="E18" s="3" t="s">
        <v>113</v>
      </c>
      <c r="F18" s="3" t="s">
        <v>114</v>
      </c>
      <c r="H18" s="3" t="s">
        <v>112</v>
      </c>
      <c r="I18" s="3" t="s">
        <v>113</v>
      </c>
      <c r="J18" s="3" t="s">
        <v>114</v>
      </c>
      <c r="L18" s="3" t="s">
        <v>112</v>
      </c>
      <c r="M18" s="3" t="s">
        <v>113</v>
      </c>
      <c r="N18" s="3" t="s">
        <v>114</v>
      </c>
      <c r="P18" s="3" t="s">
        <v>112</v>
      </c>
      <c r="Q18" s="3" t="s">
        <v>113</v>
      </c>
      <c r="R18" s="27" t="s">
        <v>114</v>
      </c>
      <c r="V18" s="37" t="s">
        <v>115</v>
      </c>
      <c r="W18" s="38" t="s">
        <v>116</v>
      </c>
      <c r="X18" s="38" t="s">
        <v>115</v>
      </c>
      <c r="Y18" s="38" t="s">
        <v>116</v>
      </c>
      <c r="Z18" s="38" t="s">
        <v>115</v>
      </c>
      <c r="AA18" s="38" t="s">
        <v>116</v>
      </c>
      <c r="AB18" s="38" t="s">
        <v>115</v>
      </c>
      <c r="AC18" s="47" t="s">
        <v>116</v>
      </c>
      <c r="AE18" s="113"/>
      <c r="AF18" s="4"/>
      <c r="AG18" s="61"/>
      <c r="AH18" s="62"/>
      <c r="AI18" s="62"/>
      <c r="AJ18" s="62"/>
      <c r="AK18" s="62"/>
      <c r="AL18" s="63"/>
    </row>
    <row r="19" spans="1:38" x14ac:dyDescent="0.2">
      <c r="B19" s="113"/>
      <c r="C19" s="4" t="s">
        <v>117</v>
      </c>
      <c r="D19" s="10">
        <v>5</v>
      </c>
      <c r="E19" s="10">
        <v>12</v>
      </c>
      <c r="F19" s="10">
        <v>19</v>
      </c>
      <c r="G19" s="14"/>
      <c r="H19" s="10">
        <v>15</v>
      </c>
      <c r="I19" s="10">
        <v>20</v>
      </c>
      <c r="J19" s="10">
        <v>25</v>
      </c>
      <c r="K19" s="14"/>
      <c r="L19" s="10">
        <v>50</v>
      </c>
      <c r="M19" s="10">
        <v>60</v>
      </c>
      <c r="N19" s="10">
        <v>70</v>
      </c>
      <c r="O19" s="14"/>
      <c r="P19" s="10">
        <v>45</v>
      </c>
      <c r="Q19" s="10">
        <v>46</v>
      </c>
      <c r="R19" s="30">
        <v>48</v>
      </c>
      <c r="U19">
        <f>IF(T$17=1,W19,IF(T$17=2,Y19,IF(T$17=3,AA19,AC19)))</f>
        <v>46.166666666666664</v>
      </c>
      <c r="V19" s="38">
        <f>((F19-D19)/6)^2</f>
        <v>5.4444444444444455</v>
      </c>
      <c r="W19" s="108">
        <f>(D19+4*E19+F19)/6</f>
        <v>12</v>
      </c>
      <c r="X19" s="38">
        <f>((J19-H19)/6)^2</f>
        <v>2.7777777777777781</v>
      </c>
      <c r="Y19" s="108">
        <f>(H19+4*I19+J19)/6</f>
        <v>20</v>
      </c>
      <c r="Z19" s="38">
        <f>((N19-L19)/6)^2</f>
        <v>11.111111111111112</v>
      </c>
      <c r="AA19" s="109">
        <f>(L19+4*M19+N19)/6</f>
        <v>60</v>
      </c>
      <c r="AB19" s="38">
        <f>((R19-P19)/6)^2</f>
        <v>0.25</v>
      </c>
      <c r="AC19" s="110">
        <f>(P19+4*Q19+R19)/6</f>
        <v>46.166666666666664</v>
      </c>
      <c r="AE19" s="113"/>
      <c r="AF19" s="4" t="s">
        <v>20</v>
      </c>
      <c r="AG19" s="61">
        <f>AH19*U19</f>
        <v>36933.333333333328</v>
      </c>
      <c r="AH19" s="106">
        <f>AK19</f>
        <v>800</v>
      </c>
      <c r="AI19" s="62"/>
      <c r="AJ19" s="62">
        <v>700</v>
      </c>
      <c r="AK19" s="62">
        <v>800</v>
      </c>
      <c r="AL19" s="63">
        <v>1000</v>
      </c>
    </row>
    <row r="20" spans="1:38" ht="13.5" thickBot="1" x14ac:dyDescent="0.25">
      <c r="B20" s="114"/>
      <c r="C20" s="6" t="s">
        <v>118</v>
      </c>
      <c r="D20" s="11">
        <v>0.25</v>
      </c>
      <c r="E20" s="11">
        <v>0.4</v>
      </c>
      <c r="F20" s="11">
        <v>0.55000000000000004</v>
      </c>
      <c r="G20" s="17"/>
      <c r="H20" s="11">
        <v>0.5</v>
      </c>
      <c r="I20" s="11">
        <v>0.55000000000000004</v>
      </c>
      <c r="J20" s="11">
        <v>0.6</v>
      </c>
      <c r="K20" s="17"/>
      <c r="L20" s="11">
        <v>0.54</v>
      </c>
      <c r="M20" s="11">
        <v>0.59</v>
      </c>
      <c r="N20" s="11">
        <v>0.64</v>
      </c>
      <c r="O20" s="17"/>
      <c r="P20" s="11">
        <v>0.22</v>
      </c>
      <c r="Q20" s="11">
        <v>0.27</v>
      </c>
      <c r="R20" s="34">
        <v>0.32</v>
      </c>
      <c r="S20">
        <f>IF(T$2=1,V20,IF(T$2=2,X20,Z20))</f>
        <v>2.7777777777777767E-4</v>
      </c>
      <c r="U20" s="41">
        <f>IF(T$17=1,W20,IF(T$17=2,Y20,IF(T$17=3,AA20,AC20)))</f>
        <v>0.27</v>
      </c>
      <c r="V20" s="38">
        <f>((F20-D20)/6)^2</f>
        <v>2.5000000000000009E-3</v>
      </c>
      <c r="W20" s="108">
        <f>(D20+4*E20+F20)/6</f>
        <v>0.40000000000000008</v>
      </c>
      <c r="X20" s="38">
        <f>((J20-H20)/6)^2</f>
        <v>2.7777777777777767E-4</v>
      </c>
      <c r="Y20" s="108">
        <f>(H20+4*I20+J20)/6</f>
        <v>0.55000000000000004</v>
      </c>
      <c r="Z20" s="38">
        <f>((N20-L20)/6)^2</f>
        <v>2.7777777777777767E-4</v>
      </c>
      <c r="AA20" s="109">
        <f>(L20+4*M20+N20)/6</f>
        <v>0.59</v>
      </c>
      <c r="AB20" s="38">
        <f>((R20-P20)/6)^2</f>
        <v>2.7777777777777778E-4</v>
      </c>
      <c r="AC20" s="110">
        <f>(P20+4*Q20+R20)/6</f>
        <v>0.27</v>
      </c>
      <c r="AE20" s="114"/>
      <c r="AF20" s="6">
        <f>(S$5*(1-S$10)+S$15)*S20*AH20</f>
        <v>2.4993055555555541</v>
      </c>
      <c r="AG20" s="64">
        <f>(U$5*(1-U$10)+U$15)*U20*AH20</f>
        <v>14985.000000000002</v>
      </c>
      <c r="AH20" s="106">
        <f>AK20</f>
        <v>4000</v>
      </c>
      <c r="AI20" s="65"/>
      <c r="AJ20" s="65">
        <f>0.85*AK20</f>
        <v>3400</v>
      </c>
      <c r="AK20" s="65">
        <v>4000</v>
      </c>
      <c r="AL20" s="66">
        <f>1.15*AK20</f>
        <v>4600</v>
      </c>
    </row>
    <row r="21" spans="1:38" ht="15.75" thickBot="1" x14ac:dyDescent="0.25">
      <c r="B21" s="9"/>
      <c r="C21" s="4"/>
      <c r="T21" s="14" t="s">
        <v>131</v>
      </c>
      <c r="AE21" s="9"/>
      <c r="AF21" s="4"/>
      <c r="AG21" s="71"/>
      <c r="AH21" s="71"/>
      <c r="AI21" s="71"/>
      <c r="AJ21" s="71"/>
      <c r="AK21" s="71"/>
      <c r="AL21" s="71"/>
    </row>
    <row r="22" spans="1:38" x14ac:dyDescent="0.2">
      <c r="B22" s="112" t="s">
        <v>132</v>
      </c>
      <c r="C22" s="13"/>
      <c r="D22" s="122" t="s">
        <v>186</v>
      </c>
      <c r="E22" s="120"/>
      <c r="F22" s="120"/>
      <c r="G22" s="1"/>
      <c r="H22" s="122" t="s">
        <v>186</v>
      </c>
      <c r="I22" s="120"/>
      <c r="J22" s="120"/>
      <c r="K22" s="1"/>
      <c r="L22" s="122" t="s">
        <v>186</v>
      </c>
      <c r="M22" s="120"/>
      <c r="N22" s="120"/>
      <c r="O22" s="1"/>
      <c r="P22" s="120" t="s">
        <v>182</v>
      </c>
      <c r="Q22" s="120"/>
      <c r="R22" s="121"/>
      <c r="T22" s="36">
        <v>4</v>
      </c>
      <c r="V22" s="130" t="s">
        <v>133</v>
      </c>
      <c r="W22" s="131"/>
      <c r="X22" s="131" t="s">
        <v>134</v>
      </c>
      <c r="Y22" s="131"/>
      <c r="Z22" s="131" t="s">
        <v>135</v>
      </c>
      <c r="AA22" s="131"/>
      <c r="AB22" s="131" t="s">
        <v>136</v>
      </c>
      <c r="AC22" s="132"/>
      <c r="AE22" s="112" t="s">
        <v>33</v>
      </c>
      <c r="AF22" s="13"/>
      <c r="AG22" s="68" t="s">
        <v>108</v>
      </c>
      <c r="AH22" s="69" t="s">
        <v>19</v>
      </c>
      <c r="AI22" s="69"/>
      <c r="AJ22" s="69" t="s">
        <v>109</v>
      </c>
      <c r="AK22" s="69" t="s">
        <v>110</v>
      </c>
      <c r="AL22" s="70" t="s">
        <v>111</v>
      </c>
    </row>
    <row r="23" spans="1:38" x14ac:dyDescent="0.2">
      <c r="B23" s="113"/>
      <c r="C23" s="4"/>
      <c r="D23" s="3" t="s">
        <v>112</v>
      </c>
      <c r="E23" s="3" t="s">
        <v>113</v>
      </c>
      <c r="F23" s="3" t="s">
        <v>114</v>
      </c>
      <c r="H23" s="3" t="s">
        <v>112</v>
      </c>
      <c r="I23" s="3" t="s">
        <v>113</v>
      </c>
      <c r="J23" s="3" t="s">
        <v>114</v>
      </c>
      <c r="L23" s="3" t="s">
        <v>112</v>
      </c>
      <c r="M23" s="3" t="s">
        <v>113</v>
      </c>
      <c r="N23" s="3" t="s">
        <v>114</v>
      </c>
      <c r="P23" s="3" t="s">
        <v>112</v>
      </c>
      <c r="Q23" s="3" t="s">
        <v>113</v>
      </c>
      <c r="R23" s="27" t="s">
        <v>114</v>
      </c>
      <c r="V23" s="37" t="s">
        <v>115</v>
      </c>
      <c r="W23" s="38" t="s">
        <v>116</v>
      </c>
      <c r="X23" s="38" t="s">
        <v>115</v>
      </c>
      <c r="Y23" s="38" t="s">
        <v>116</v>
      </c>
      <c r="Z23" s="38" t="s">
        <v>115</v>
      </c>
      <c r="AA23" s="38" t="s">
        <v>116</v>
      </c>
      <c r="AB23" s="38" t="s">
        <v>115</v>
      </c>
      <c r="AC23" s="47" t="s">
        <v>116</v>
      </c>
      <c r="AE23" s="113"/>
      <c r="AF23" s="4"/>
      <c r="AG23" s="61"/>
      <c r="AH23" s="62"/>
      <c r="AI23" s="62"/>
      <c r="AJ23" s="62"/>
      <c r="AK23" s="62"/>
      <c r="AL23" s="63"/>
    </row>
    <row r="24" spans="1:38" x14ac:dyDescent="0.2">
      <c r="A24">
        <v>2</v>
      </c>
      <c r="B24" s="113"/>
      <c r="C24" s="4" t="s">
        <v>117</v>
      </c>
      <c r="D24" s="10">
        <v>150</v>
      </c>
      <c r="E24" s="10">
        <v>300</v>
      </c>
      <c r="F24" s="10">
        <v>450</v>
      </c>
      <c r="G24" s="14"/>
      <c r="H24" s="10">
        <f>0.9*I24</f>
        <v>222.3</v>
      </c>
      <c r="I24" s="10">
        <f>1.3*FP</f>
        <v>247</v>
      </c>
      <c r="J24" s="10">
        <f>1.1*I24</f>
        <v>271.70000000000005</v>
      </c>
      <c r="K24" s="14"/>
      <c r="L24" s="10">
        <v>100</v>
      </c>
      <c r="M24" s="10">
        <v>125</v>
      </c>
      <c r="N24" s="10">
        <v>150</v>
      </c>
      <c r="O24" s="14"/>
      <c r="P24" s="10">
        <v>90</v>
      </c>
      <c r="Q24" s="10">
        <v>100</v>
      </c>
      <c r="R24" s="30">
        <v>110</v>
      </c>
      <c r="U24">
        <f>IF(T$22=1,W24,IF(T$22=2,Y24,IF(T$22=3,AA24,AC24)))</f>
        <v>100</v>
      </c>
      <c r="V24" s="38">
        <f>((F24-D24)/6)^2</f>
        <v>2500</v>
      </c>
      <c r="W24" s="108">
        <f>(D24+4*E24+F24)/6</f>
        <v>300</v>
      </c>
      <c r="X24" s="38">
        <f>((J24-H24)/6)^2</f>
        <v>67.787777777777876</v>
      </c>
      <c r="Y24" s="108">
        <f>(H24+4*I24+J24)/6</f>
        <v>247</v>
      </c>
      <c r="Z24" s="38">
        <f>((N24-L24)/6)^2</f>
        <v>69.444444444444457</v>
      </c>
      <c r="AA24" s="109">
        <f>(L24+4*M24+N24)/6</f>
        <v>125</v>
      </c>
      <c r="AB24" s="38">
        <f>((R24-P24)/6)^2</f>
        <v>11.111111111111112</v>
      </c>
      <c r="AC24" s="110">
        <f>(P24+4*Q24+R24)/6</f>
        <v>100</v>
      </c>
      <c r="AE24" s="113"/>
      <c r="AF24" s="4" t="s">
        <v>20</v>
      </c>
      <c r="AG24" s="61">
        <f>AH24*U24</f>
        <v>80000</v>
      </c>
      <c r="AH24" s="106">
        <f>AK24</f>
        <v>800</v>
      </c>
      <c r="AI24" s="62"/>
      <c r="AJ24" s="62">
        <v>700</v>
      </c>
      <c r="AK24" s="62">
        <v>800</v>
      </c>
      <c r="AL24" s="63">
        <v>1000</v>
      </c>
    </row>
    <row r="25" spans="1:38" ht="13.5" thickBot="1" x14ac:dyDescent="0.25">
      <c r="B25" s="114"/>
      <c r="C25" s="6" t="s">
        <v>118</v>
      </c>
      <c r="D25" s="15">
        <v>200</v>
      </c>
      <c r="E25" s="15">
        <v>250</v>
      </c>
      <c r="F25" s="15">
        <v>300</v>
      </c>
      <c r="G25" s="16"/>
      <c r="H25" s="15">
        <f>0.9*I25</f>
        <v>171</v>
      </c>
      <c r="I25" s="15">
        <f>1*FP</f>
        <v>190</v>
      </c>
      <c r="J25" s="15">
        <f>1.1*I25</f>
        <v>209.00000000000003</v>
      </c>
      <c r="K25" s="16"/>
      <c r="L25" s="15">
        <v>90</v>
      </c>
      <c r="M25" s="15">
        <v>110</v>
      </c>
      <c r="N25" s="15">
        <v>130</v>
      </c>
      <c r="O25" s="16"/>
      <c r="P25" s="15">
        <v>20</v>
      </c>
      <c r="Q25" s="15">
        <v>23</v>
      </c>
      <c r="R25" s="31">
        <v>26</v>
      </c>
      <c r="S25">
        <f>IF(T$2=1,V25,IF(T$2=2,X25,Z25))</f>
        <v>44.44444444444445</v>
      </c>
      <c r="U25">
        <f>IF(T$22=1,W25,IF(T$22=2,Y25,IF(T$22=3,AA25,AC25)))</f>
        <v>23</v>
      </c>
      <c r="V25" s="38">
        <f>((F25-D25)/6)^2</f>
        <v>277.77777777777783</v>
      </c>
      <c r="W25" s="108">
        <f>(D25+4*E25+F25)/6</f>
        <v>250</v>
      </c>
      <c r="X25" s="38">
        <f>((J25-H25)/6)^2</f>
        <v>40.111111111111178</v>
      </c>
      <c r="Y25" s="108">
        <f>(H25+4*I25+J25)/6</f>
        <v>190</v>
      </c>
      <c r="Z25" s="38">
        <f>((N25-L25)/6)^2</f>
        <v>44.44444444444445</v>
      </c>
      <c r="AA25" s="109">
        <f>(L25+4*M25+N25)/6</f>
        <v>110</v>
      </c>
      <c r="AB25" s="38">
        <f>((R25-P25)/6)^2</f>
        <v>1</v>
      </c>
      <c r="AC25" s="110">
        <f>(P25+4*Q25+R25)/6</f>
        <v>23</v>
      </c>
      <c r="AE25" s="114"/>
      <c r="AF25" s="6">
        <f>(S$5*(1-S$10)+S$15)*S25*AH25</f>
        <v>0</v>
      </c>
      <c r="AG25" s="64"/>
      <c r="AH25" s="65"/>
      <c r="AI25" s="65"/>
      <c r="AJ25" s="65"/>
      <c r="AK25" s="65"/>
      <c r="AL25" s="66"/>
    </row>
    <row r="26" spans="1:38" ht="15.75" thickBot="1" x14ac:dyDescent="0.25">
      <c r="B26" s="9"/>
      <c r="C26" s="4"/>
      <c r="T26" s="14" t="s">
        <v>137</v>
      </c>
      <c r="AE26" s="9"/>
      <c r="AF26" s="4"/>
      <c r="AG26" s="71"/>
      <c r="AH26" s="71"/>
      <c r="AI26" s="71"/>
      <c r="AJ26" s="71"/>
      <c r="AK26" s="71"/>
      <c r="AL26" s="71"/>
    </row>
    <row r="27" spans="1:38" x14ac:dyDescent="0.2">
      <c r="B27" s="112" t="s">
        <v>138</v>
      </c>
      <c r="C27" s="13"/>
      <c r="D27" s="120" t="s">
        <v>184</v>
      </c>
      <c r="E27" s="120"/>
      <c r="F27" s="120"/>
      <c r="G27" s="1"/>
      <c r="H27" s="120" t="s">
        <v>185</v>
      </c>
      <c r="I27" s="120"/>
      <c r="J27" s="120"/>
      <c r="K27" s="1"/>
      <c r="L27" s="122" t="s">
        <v>186</v>
      </c>
      <c r="M27" s="120"/>
      <c r="N27" s="120"/>
      <c r="O27" s="1"/>
      <c r="P27" s="122" t="s">
        <v>186</v>
      </c>
      <c r="Q27" s="120"/>
      <c r="R27" s="120"/>
      <c r="T27" s="36">
        <v>1</v>
      </c>
      <c r="V27" s="123" t="s">
        <v>121</v>
      </c>
      <c r="W27" s="120"/>
      <c r="X27" s="120" t="s">
        <v>122</v>
      </c>
      <c r="Y27" s="120"/>
      <c r="Z27" s="120" t="s">
        <v>123</v>
      </c>
      <c r="AA27" s="120"/>
      <c r="AB27" s="131" t="s">
        <v>124</v>
      </c>
      <c r="AC27" s="132"/>
      <c r="AE27" s="112" t="s">
        <v>34</v>
      </c>
      <c r="AF27" s="13"/>
      <c r="AG27" s="68" t="s">
        <v>108</v>
      </c>
      <c r="AH27" s="69" t="s">
        <v>19</v>
      </c>
      <c r="AI27" s="69"/>
      <c r="AJ27" s="69" t="s">
        <v>109</v>
      </c>
      <c r="AK27" s="69" t="s">
        <v>110</v>
      </c>
      <c r="AL27" s="70" t="s">
        <v>111</v>
      </c>
    </row>
    <row r="28" spans="1:38" x14ac:dyDescent="0.2">
      <c r="B28" s="113"/>
      <c r="C28" s="4"/>
      <c r="D28" s="3" t="s">
        <v>112</v>
      </c>
      <c r="E28" s="3" t="s">
        <v>113</v>
      </c>
      <c r="F28" s="3" t="s">
        <v>114</v>
      </c>
      <c r="H28" s="3" t="s">
        <v>112</v>
      </c>
      <c r="I28" s="3" t="s">
        <v>113</v>
      </c>
      <c r="J28" s="3" t="s">
        <v>114</v>
      </c>
      <c r="L28" s="3" t="s">
        <v>112</v>
      </c>
      <c r="M28" s="3" t="s">
        <v>113</v>
      </c>
      <c r="N28" s="3" t="s">
        <v>114</v>
      </c>
      <c r="P28" s="3" t="s">
        <v>112</v>
      </c>
      <c r="Q28" s="3" t="s">
        <v>113</v>
      </c>
      <c r="R28" s="27" t="s">
        <v>114</v>
      </c>
      <c r="V28" s="37" t="s">
        <v>115</v>
      </c>
      <c r="W28" s="38" t="s">
        <v>116</v>
      </c>
      <c r="X28" s="38" t="s">
        <v>115</v>
      </c>
      <c r="Y28" s="38" t="s">
        <v>116</v>
      </c>
      <c r="Z28" s="38" t="s">
        <v>115</v>
      </c>
      <c r="AA28" s="38" t="s">
        <v>116</v>
      </c>
      <c r="AB28" s="38" t="s">
        <v>115</v>
      </c>
      <c r="AC28" s="47" t="s">
        <v>116</v>
      </c>
      <c r="AE28" s="113"/>
      <c r="AF28" s="4"/>
      <c r="AG28" s="61"/>
      <c r="AH28" s="62"/>
      <c r="AI28" s="62"/>
      <c r="AJ28" s="62"/>
      <c r="AK28" s="62"/>
      <c r="AL28" s="63"/>
    </row>
    <row r="29" spans="1:38" x14ac:dyDescent="0.2">
      <c r="B29" s="113"/>
      <c r="C29" s="4" t="s">
        <v>117</v>
      </c>
      <c r="D29" s="10">
        <v>5</v>
      </c>
      <c r="E29" s="10">
        <v>12</v>
      </c>
      <c r="F29" s="10">
        <v>19</v>
      </c>
      <c r="G29" s="14"/>
      <c r="H29" s="10">
        <v>15</v>
      </c>
      <c r="I29" s="10">
        <v>20</v>
      </c>
      <c r="J29" s="10">
        <v>25</v>
      </c>
      <c r="K29" s="14"/>
      <c r="L29" s="10">
        <v>25</v>
      </c>
      <c r="M29" s="10">
        <v>35</v>
      </c>
      <c r="N29" s="10">
        <v>45</v>
      </c>
      <c r="O29" s="14"/>
      <c r="P29" s="10">
        <v>45</v>
      </c>
      <c r="Q29" s="10">
        <v>46</v>
      </c>
      <c r="R29" s="30">
        <v>48</v>
      </c>
      <c r="U29">
        <f>IF(T$27=1,W29,IF(T$27=2,Y29,IF(T$27=3,AA29,AC29)))</f>
        <v>12</v>
      </c>
      <c r="V29" s="38">
        <f>((F29-D29)/6)^2</f>
        <v>5.4444444444444455</v>
      </c>
      <c r="W29" s="108">
        <f>(D29+4*E29+F29)/6</f>
        <v>12</v>
      </c>
      <c r="X29" s="38">
        <f>((J29-H29)/6)^2</f>
        <v>2.7777777777777781</v>
      </c>
      <c r="Y29" s="108">
        <f>(H29+4*I29+J29)/6</f>
        <v>20</v>
      </c>
      <c r="Z29" s="38">
        <f>((N29-L29)/6)^2</f>
        <v>11.111111111111112</v>
      </c>
      <c r="AA29" s="109">
        <f>(L29+4*M29+N29)/6</f>
        <v>35</v>
      </c>
      <c r="AB29" s="38">
        <f>((R29-P29)/6)^2</f>
        <v>0.25</v>
      </c>
      <c r="AC29" s="110">
        <f>(P29+4*Q29+R29)/6</f>
        <v>46.166666666666664</v>
      </c>
      <c r="AE29" s="113"/>
      <c r="AF29" s="4" t="s">
        <v>20</v>
      </c>
      <c r="AG29" s="61">
        <f>AH29*U29</f>
        <v>9600</v>
      </c>
      <c r="AH29" s="106">
        <f>AK29</f>
        <v>800</v>
      </c>
      <c r="AI29" s="62"/>
      <c r="AJ29" s="62">
        <v>700</v>
      </c>
      <c r="AK29" s="62">
        <v>800</v>
      </c>
      <c r="AL29" s="63">
        <v>1000</v>
      </c>
    </row>
    <row r="30" spans="1:38" ht="13.5" thickBot="1" x14ac:dyDescent="0.25">
      <c r="B30" s="114"/>
      <c r="C30" s="6" t="s">
        <v>118</v>
      </c>
      <c r="D30" s="11">
        <v>0.25</v>
      </c>
      <c r="E30" s="11">
        <v>0.27</v>
      </c>
      <c r="F30" s="11">
        <v>0.28999999999999998</v>
      </c>
      <c r="G30" s="17"/>
      <c r="H30" s="11">
        <v>0.3</v>
      </c>
      <c r="I30" s="11">
        <v>0.35</v>
      </c>
      <c r="J30" s="11">
        <v>0.4</v>
      </c>
      <c r="K30" s="17"/>
      <c r="L30" s="11">
        <v>0.3</v>
      </c>
      <c r="M30" s="11">
        <v>0.35</v>
      </c>
      <c r="N30" s="11">
        <v>0.4</v>
      </c>
      <c r="O30" s="17"/>
      <c r="P30" s="11">
        <v>0.1</v>
      </c>
      <c r="Q30" s="11">
        <v>0.15</v>
      </c>
      <c r="R30" s="34">
        <v>0.2</v>
      </c>
      <c r="S30">
        <f>IF(T$2=1,V30,IF(T$2=2,X30,Z30))</f>
        <v>2.7777777777777799E-4</v>
      </c>
      <c r="U30" s="41">
        <f>IF(T$27=1,W30,IF(T$27=2,Y30,IF(T$27=3,AA30,AC30)))</f>
        <v>0.27</v>
      </c>
      <c r="V30" s="38">
        <f>((F30-D30)/6)^2</f>
        <v>4.4444444444444406E-5</v>
      </c>
      <c r="W30" s="108">
        <f>(D30+4*E30+F30)/6</f>
        <v>0.27</v>
      </c>
      <c r="X30" s="38">
        <f>((J30-H30)/6)^2</f>
        <v>2.7777777777777799E-4</v>
      </c>
      <c r="Y30" s="108">
        <f>(H30+4*I30+J30)/6</f>
        <v>0.35000000000000003</v>
      </c>
      <c r="Z30" s="38">
        <f>((N30-L30)/6)^2</f>
        <v>2.7777777777777799E-4</v>
      </c>
      <c r="AA30" s="109">
        <f>(L30+4*M30+N30)/6</f>
        <v>0.35000000000000003</v>
      </c>
      <c r="AB30" s="38">
        <f>((R30-P30)/6)^2</f>
        <v>2.7777777777777778E-4</v>
      </c>
      <c r="AC30" s="110">
        <f>(P30+4*Q30+R30)/6</f>
        <v>0.15</v>
      </c>
      <c r="AE30" s="114"/>
      <c r="AF30" s="6">
        <f>(S$5*(1-S$10)+S$15)*S30*AH30</f>
        <v>1.811996527777779</v>
      </c>
      <c r="AG30" s="64">
        <f>((U$5*(1-U$10)+U$15)*(1-U$20)+U$25)*U30*AH30</f>
        <v>25939.811249999999</v>
      </c>
      <c r="AH30" s="106">
        <f>AK30</f>
        <v>2900</v>
      </c>
      <c r="AI30" s="65"/>
      <c r="AJ30" s="65">
        <f>0.85*AK30</f>
        <v>2465</v>
      </c>
      <c r="AK30" s="65">
        <v>2900</v>
      </c>
      <c r="AL30" s="66">
        <f>1.15*AK30</f>
        <v>3334.9999999999995</v>
      </c>
    </row>
    <row r="31" spans="1:38" ht="15.75" thickBot="1" x14ac:dyDescent="0.25">
      <c r="B31" s="9"/>
      <c r="C31" s="4"/>
      <c r="T31" s="14" t="s">
        <v>139</v>
      </c>
      <c r="AE31" s="9"/>
      <c r="AF31" s="4"/>
      <c r="AG31" s="71"/>
      <c r="AH31" s="71"/>
      <c r="AI31" s="71"/>
      <c r="AJ31" s="71"/>
      <c r="AK31" s="71"/>
      <c r="AL31" s="71"/>
    </row>
    <row r="32" spans="1:38" x14ac:dyDescent="0.2">
      <c r="B32" s="112" t="s">
        <v>140</v>
      </c>
      <c r="C32" s="13"/>
      <c r="D32" s="122" t="s">
        <v>186</v>
      </c>
      <c r="E32" s="120"/>
      <c r="F32" s="120"/>
      <c r="G32" s="1"/>
      <c r="H32" s="122" t="s">
        <v>186</v>
      </c>
      <c r="I32" s="120"/>
      <c r="J32" s="120"/>
      <c r="K32" s="1"/>
      <c r="L32" s="122" t="s">
        <v>186</v>
      </c>
      <c r="M32" s="120"/>
      <c r="N32" s="120"/>
      <c r="O32" s="1"/>
      <c r="P32" s="122" t="s">
        <v>186</v>
      </c>
      <c r="Q32" s="120"/>
      <c r="R32" s="120"/>
      <c r="T32" s="36">
        <v>2</v>
      </c>
      <c r="V32" s="123" t="s">
        <v>141</v>
      </c>
      <c r="W32" s="120"/>
      <c r="X32" s="120" t="s">
        <v>142</v>
      </c>
      <c r="Y32" s="120"/>
      <c r="Z32" s="131" t="s">
        <v>143</v>
      </c>
      <c r="AA32" s="131"/>
      <c r="AB32" s="131" t="s">
        <v>144</v>
      </c>
      <c r="AC32" s="132"/>
      <c r="AE32" s="112" t="s">
        <v>35</v>
      </c>
      <c r="AF32" s="13"/>
      <c r="AG32" s="68" t="s">
        <v>108</v>
      </c>
      <c r="AH32" s="69" t="s">
        <v>19</v>
      </c>
      <c r="AI32" s="69"/>
      <c r="AJ32" s="69" t="s">
        <v>109</v>
      </c>
      <c r="AK32" s="69" t="s">
        <v>110</v>
      </c>
      <c r="AL32" s="70" t="s">
        <v>111</v>
      </c>
    </row>
    <row r="33" spans="2:38" x14ac:dyDescent="0.2">
      <c r="B33" s="113"/>
      <c r="C33" s="4"/>
      <c r="D33" s="3" t="s">
        <v>112</v>
      </c>
      <c r="E33" s="3" t="s">
        <v>113</v>
      </c>
      <c r="F33" s="3" t="s">
        <v>114</v>
      </c>
      <c r="H33" s="3" t="s">
        <v>112</v>
      </c>
      <c r="I33" s="3" t="s">
        <v>113</v>
      </c>
      <c r="J33" s="3" t="s">
        <v>114</v>
      </c>
      <c r="L33" s="3" t="s">
        <v>112</v>
      </c>
      <c r="M33" s="3" t="s">
        <v>113</v>
      </c>
      <c r="N33" s="3" t="s">
        <v>114</v>
      </c>
      <c r="P33" s="3" t="s">
        <v>112</v>
      </c>
      <c r="Q33" s="3" t="s">
        <v>113</v>
      </c>
      <c r="R33" s="27" t="s">
        <v>114</v>
      </c>
      <c r="V33" s="37" t="s">
        <v>115</v>
      </c>
      <c r="W33" s="38" t="s">
        <v>116</v>
      </c>
      <c r="X33" s="38" t="s">
        <v>115</v>
      </c>
      <c r="Y33" s="38" t="s">
        <v>116</v>
      </c>
      <c r="Z33" s="38" t="s">
        <v>115</v>
      </c>
      <c r="AA33" s="38" t="s">
        <v>116</v>
      </c>
      <c r="AB33" s="38" t="s">
        <v>115</v>
      </c>
      <c r="AC33" s="47" t="s">
        <v>116</v>
      </c>
      <c r="AE33" s="113"/>
      <c r="AF33" s="4"/>
      <c r="AG33" s="61"/>
      <c r="AH33" s="62"/>
      <c r="AI33" s="62"/>
      <c r="AJ33" s="62"/>
      <c r="AK33" s="62"/>
      <c r="AL33" s="63"/>
    </row>
    <row r="34" spans="2:38" x14ac:dyDescent="0.2">
      <c r="B34" s="113"/>
      <c r="C34" s="4" t="s">
        <v>117</v>
      </c>
      <c r="D34" s="10">
        <v>90</v>
      </c>
      <c r="E34" s="10">
        <v>100</v>
      </c>
      <c r="F34" s="10">
        <v>110</v>
      </c>
      <c r="G34" s="14"/>
      <c r="H34" s="10">
        <v>120</v>
      </c>
      <c r="I34" s="10">
        <v>150</v>
      </c>
      <c r="J34" s="10">
        <v>180</v>
      </c>
      <c r="K34" s="14"/>
      <c r="L34" s="10">
        <v>200</v>
      </c>
      <c r="M34" s="10">
        <v>250</v>
      </c>
      <c r="N34" s="10">
        <v>300</v>
      </c>
      <c r="O34" s="14"/>
      <c r="P34" s="10">
        <v>300</v>
      </c>
      <c r="Q34" s="10">
        <v>350</v>
      </c>
      <c r="R34" s="30">
        <v>400</v>
      </c>
      <c r="U34">
        <f>IF(T$32=1,W34,IF(T$32=2,Y34,IF(T$32=3,AA34,AC34)))</f>
        <v>150</v>
      </c>
      <c r="V34" s="38">
        <f>((F34-D34)/6)^2</f>
        <v>11.111111111111112</v>
      </c>
      <c r="W34" s="108">
        <f>(D34+4*E34+F34)/6</f>
        <v>100</v>
      </c>
      <c r="X34" s="38">
        <f>((J34-H34)/6)^2</f>
        <v>100</v>
      </c>
      <c r="Y34" s="108">
        <f>(H34+4*I34+J34)/6</f>
        <v>150</v>
      </c>
      <c r="Z34" s="38">
        <f>((N34-L34)/6)^2</f>
        <v>277.77777777777783</v>
      </c>
      <c r="AA34" s="109">
        <f>(L34+4*M34+N34)/6</f>
        <v>250</v>
      </c>
      <c r="AB34" s="38">
        <f>((R34-P34)/6)^2</f>
        <v>277.77777777777783</v>
      </c>
      <c r="AC34" s="110">
        <f>(P34+4*Q34+R34)/6</f>
        <v>350</v>
      </c>
      <c r="AE34" s="113"/>
      <c r="AF34" s="4" t="s">
        <v>20</v>
      </c>
      <c r="AG34" s="61">
        <f>AH34*U34</f>
        <v>120000</v>
      </c>
      <c r="AH34" s="106">
        <f>AK34</f>
        <v>800</v>
      </c>
      <c r="AI34" s="62"/>
      <c r="AJ34" s="62">
        <v>700</v>
      </c>
      <c r="AK34" s="62">
        <v>800</v>
      </c>
      <c r="AL34" s="63">
        <v>1000</v>
      </c>
    </row>
    <row r="35" spans="2:38" ht="13.5" thickBot="1" x14ac:dyDescent="0.25">
      <c r="B35" s="114"/>
      <c r="C35" s="6" t="s">
        <v>118</v>
      </c>
      <c r="D35" s="11">
        <v>0.4</v>
      </c>
      <c r="E35" s="11">
        <v>0.5</v>
      </c>
      <c r="F35" s="11">
        <v>0.6</v>
      </c>
      <c r="G35" s="17"/>
      <c r="H35" s="11">
        <v>0.45</v>
      </c>
      <c r="I35" s="11">
        <v>0.51</v>
      </c>
      <c r="J35" s="11">
        <v>0.56000000000000005</v>
      </c>
      <c r="K35" s="17"/>
      <c r="L35" s="11">
        <v>0.65</v>
      </c>
      <c r="M35" s="11">
        <v>0.7</v>
      </c>
      <c r="N35" s="11">
        <v>0.75</v>
      </c>
      <c r="O35" s="17"/>
      <c r="P35" s="11">
        <v>0.63</v>
      </c>
      <c r="Q35" s="11">
        <v>0.68</v>
      </c>
      <c r="R35" s="34">
        <v>0.73</v>
      </c>
      <c r="S35">
        <f>IF(T$2=1,V35,IF(T$2=2,X35,Z35))</f>
        <v>2.7777777777777767E-4</v>
      </c>
      <c r="U35" s="41">
        <f>IF(T$32=1,W35,IF(T$32=2,Y35,IF(T$32=3,AA35,AC35)))</f>
        <v>0.50833333333333341</v>
      </c>
      <c r="V35" s="38">
        <f>((F35-D35)/6)^2</f>
        <v>1.1111111111111107E-3</v>
      </c>
      <c r="W35" s="108">
        <f>(D35+4*E35+F35)/6</f>
        <v>0.5</v>
      </c>
      <c r="X35" s="38">
        <f>((J35-H35)/6)^2</f>
        <v>3.3611111111111135E-4</v>
      </c>
      <c r="Y35" s="108">
        <f>(H35+4*I35+J35)/6</f>
        <v>0.50833333333333341</v>
      </c>
      <c r="Z35" s="38">
        <f>((N35-L35)/6)^2</f>
        <v>2.7777777777777767E-4</v>
      </c>
      <c r="AA35" s="109">
        <f>(L35+4*M35+N35)/6</f>
        <v>0.69999999999999984</v>
      </c>
      <c r="AB35" s="38">
        <f>((R35-P35)/6)^2</f>
        <v>2.7777777777777767E-4</v>
      </c>
      <c r="AC35" s="110">
        <f>(P35+4*Q35+R35)/6</f>
        <v>0.68</v>
      </c>
      <c r="AE35" s="114"/>
      <c r="AF35" s="6">
        <f>(S$5*(1-S$10)+S$15)*S35*AH35</f>
        <v>1.8119965277777768</v>
      </c>
      <c r="AG35" s="64">
        <f>((U$5*(1-U$10)+U$15)*(1-U$20)+U$25)*(1-U$30)*U35*AH35</f>
        <v>35651.228239583339</v>
      </c>
      <c r="AH35" s="106">
        <f>AK35</f>
        <v>2900</v>
      </c>
      <c r="AI35" s="65"/>
      <c r="AJ35" s="65">
        <f>0.85*AK35</f>
        <v>2465</v>
      </c>
      <c r="AK35" s="65">
        <v>2900</v>
      </c>
      <c r="AL35" s="66">
        <f>1.15*AK35</f>
        <v>3334.9999999999995</v>
      </c>
    </row>
    <row r="36" spans="2:38" ht="15.75" thickBot="1" x14ac:dyDescent="0.25">
      <c r="B36" s="9"/>
      <c r="C36" s="4"/>
      <c r="T36" s="14" t="s">
        <v>145</v>
      </c>
      <c r="AE36" s="9"/>
      <c r="AF36" s="4"/>
      <c r="AG36" s="71"/>
      <c r="AH36" s="71"/>
      <c r="AI36" s="71"/>
      <c r="AJ36" s="71"/>
      <c r="AK36" s="71"/>
      <c r="AL36" s="71"/>
    </row>
    <row r="37" spans="2:38" x14ac:dyDescent="0.2">
      <c r="B37" s="112" t="s">
        <v>146</v>
      </c>
      <c r="C37" s="13"/>
      <c r="D37" s="122" t="s">
        <v>186</v>
      </c>
      <c r="E37" s="120"/>
      <c r="F37" s="120"/>
      <c r="G37" s="1"/>
      <c r="H37" s="120"/>
      <c r="I37" s="120"/>
      <c r="J37" s="120"/>
      <c r="K37" s="1"/>
      <c r="L37" s="122"/>
      <c r="M37" s="120"/>
      <c r="N37" s="121"/>
      <c r="T37" s="14">
        <v>1</v>
      </c>
      <c r="V37" s="123" t="s">
        <v>147</v>
      </c>
      <c r="W37" s="120"/>
      <c r="X37" s="120" t="s">
        <v>148</v>
      </c>
      <c r="Y37" s="120"/>
      <c r="Z37" s="120" t="s">
        <v>149</v>
      </c>
      <c r="AA37" s="121"/>
      <c r="AE37" s="112" t="s">
        <v>36</v>
      </c>
      <c r="AF37" s="13"/>
      <c r="AG37" s="68" t="s">
        <v>108</v>
      </c>
      <c r="AH37" s="69" t="s">
        <v>19</v>
      </c>
      <c r="AI37" s="69"/>
      <c r="AJ37" s="69" t="s">
        <v>109</v>
      </c>
      <c r="AK37" s="69" t="s">
        <v>110</v>
      </c>
      <c r="AL37" s="70" t="s">
        <v>111</v>
      </c>
    </row>
    <row r="38" spans="2:38" x14ac:dyDescent="0.2">
      <c r="B38" s="113"/>
      <c r="C38" s="4"/>
      <c r="D38" s="3" t="s">
        <v>112</v>
      </c>
      <c r="E38" s="3" t="s">
        <v>113</v>
      </c>
      <c r="F38" s="3" t="s">
        <v>114</v>
      </c>
      <c r="H38" s="3" t="s">
        <v>112</v>
      </c>
      <c r="I38" s="3" t="s">
        <v>113</v>
      </c>
      <c r="J38" s="3" t="s">
        <v>114</v>
      </c>
      <c r="L38" s="3" t="s">
        <v>112</v>
      </c>
      <c r="M38" s="3" t="s">
        <v>113</v>
      </c>
      <c r="N38" s="27" t="s">
        <v>114</v>
      </c>
      <c r="V38" s="37" t="s">
        <v>115</v>
      </c>
      <c r="W38" s="38" t="s">
        <v>116</v>
      </c>
      <c r="X38" s="38" t="s">
        <v>115</v>
      </c>
      <c r="Y38" s="38" t="s">
        <v>116</v>
      </c>
      <c r="Z38" s="38" t="s">
        <v>115</v>
      </c>
      <c r="AA38" s="47" t="s">
        <v>116</v>
      </c>
      <c r="AE38" s="113"/>
      <c r="AF38" s="4"/>
      <c r="AG38" s="61"/>
      <c r="AH38" s="62"/>
      <c r="AI38" s="62"/>
      <c r="AJ38" s="62"/>
      <c r="AK38" s="62"/>
      <c r="AL38" s="63"/>
    </row>
    <row r="39" spans="2:38" x14ac:dyDescent="0.2">
      <c r="B39" s="113"/>
      <c r="C39" s="4" t="s">
        <v>117</v>
      </c>
      <c r="D39" s="10">
        <v>0</v>
      </c>
      <c r="E39" s="10">
        <v>5.0000000000000001E-3</v>
      </c>
      <c r="F39" s="10">
        <v>0.01</v>
      </c>
      <c r="G39" s="14"/>
      <c r="H39" s="18">
        <v>40</v>
      </c>
      <c r="I39" s="18">
        <v>50</v>
      </c>
      <c r="J39" s="18">
        <v>60</v>
      </c>
      <c r="K39" s="14"/>
      <c r="L39" s="18">
        <v>35</v>
      </c>
      <c r="M39" s="18">
        <v>40</v>
      </c>
      <c r="N39" s="32">
        <v>45</v>
      </c>
      <c r="U39">
        <f>IF(T$37=1,W39,IF(T$37=2,Y39,AA39))</f>
        <v>5.0000000000000001E-3</v>
      </c>
      <c r="V39" s="38">
        <f>((F39-D39)/6)^2</f>
        <v>2.7777777777777783E-6</v>
      </c>
      <c r="W39" s="108">
        <f>(D39+4*E39+F39)/6</f>
        <v>5.0000000000000001E-3</v>
      </c>
      <c r="X39" s="38">
        <f>((J39-H39)/6)^2</f>
        <v>11.111111111111112</v>
      </c>
      <c r="Y39" s="108">
        <f>(H39+4*I39+J39)/6</f>
        <v>50</v>
      </c>
      <c r="Z39" s="38">
        <f>((N39-L39)/6)^2</f>
        <v>2.7777777777777781</v>
      </c>
      <c r="AA39" s="109">
        <f>(L39+4*M39+N39)/6</f>
        <v>40</v>
      </c>
      <c r="AE39" s="113"/>
      <c r="AF39" s="4" t="s">
        <v>20</v>
      </c>
      <c r="AG39" s="61">
        <f>AH39*U39</f>
        <v>4</v>
      </c>
      <c r="AH39" s="106">
        <f>AK39</f>
        <v>800</v>
      </c>
      <c r="AI39" s="62"/>
      <c r="AJ39" s="62">
        <v>700</v>
      </c>
      <c r="AK39" s="62">
        <v>800</v>
      </c>
      <c r="AL39" s="63">
        <v>1000</v>
      </c>
    </row>
    <row r="40" spans="2:38" ht="13.5" thickBot="1" x14ac:dyDescent="0.25">
      <c r="B40" s="114"/>
      <c r="C40" s="6" t="s">
        <v>118</v>
      </c>
      <c r="D40" s="11">
        <v>0</v>
      </c>
      <c r="E40" s="11">
        <v>5.0000000000000002E-5</v>
      </c>
      <c r="F40" s="11">
        <v>1E-4</v>
      </c>
      <c r="G40" s="17"/>
      <c r="H40" s="19">
        <v>0.55000000000000004</v>
      </c>
      <c r="I40" s="19">
        <v>0.6</v>
      </c>
      <c r="J40" s="19">
        <v>0.65</v>
      </c>
      <c r="K40" s="17"/>
      <c r="L40" s="19">
        <v>0.7</v>
      </c>
      <c r="M40" s="19">
        <v>0.75</v>
      </c>
      <c r="N40" s="33">
        <v>0.8</v>
      </c>
      <c r="S40">
        <f>IF(T$2=1,V40,IF(T$2=2,X40,Z40))</f>
        <v>2.7777777777777821E-4</v>
      </c>
      <c r="U40">
        <f>IF(T$37=1,W40,IF(T$37=2,Y40,AA40))</f>
        <v>5.0000000000000002E-5</v>
      </c>
      <c r="V40" s="38">
        <f>((F40-D40)/6)^2</f>
        <v>2.7777777777777782E-10</v>
      </c>
      <c r="W40" s="108">
        <f>(D40+4*E40+F40)/6</f>
        <v>5.0000000000000002E-5</v>
      </c>
      <c r="X40" s="38">
        <f>((J40-H40)/6)^2</f>
        <v>2.7777777777777767E-4</v>
      </c>
      <c r="Y40" s="108">
        <f>(H40+4*I40+J40)/6</f>
        <v>0.6</v>
      </c>
      <c r="Z40" s="38">
        <f>((N40-L40)/6)^2</f>
        <v>2.7777777777777821E-4</v>
      </c>
      <c r="AA40" s="109">
        <f>(L40+4*M40+N40)/6</f>
        <v>0.75</v>
      </c>
      <c r="AE40" s="114"/>
      <c r="AF40" s="6">
        <f>(S$5*(1-S$10)+S$15)*S40*AH40</f>
        <v>2.1868923611111142</v>
      </c>
      <c r="AG40" s="64">
        <f>((U$5*(1-U$10)+U$15)*(1-U$20)+U$25)*(1-U$30)*(1-U$35)*U40*AH40</f>
        <v>2.0808305911458325</v>
      </c>
      <c r="AH40" s="106">
        <f>AK40</f>
        <v>3500</v>
      </c>
      <c r="AI40" s="65"/>
      <c r="AJ40" s="65">
        <v>3000</v>
      </c>
      <c r="AK40" s="65">
        <v>3500</v>
      </c>
      <c r="AL40" s="66">
        <v>4500</v>
      </c>
    </row>
    <row r="41" spans="2:38" ht="15.75" thickBot="1" x14ac:dyDescent="0.25">
      <c r="B41" s="9"/>
      <c r="C41" s="4"/>
      <c r="T41" s="14" t="s">
        <v>150</v>
      </c>
      <c r="AE41" s="9"/>
      <c r="AF41" s="4"/>
      <c r="AG41" s="71"/>
      <c r="AH41" s="71"/>
      <c r="AI41" s="71"/>
      <c r="AJ41" s="71"/>
      <c r="AK41" s="71"/>
      <c r="AL41" s="71"/>
    </row>
    <row r="42" spans="2:38" x14ac:dyDescent="0.2">
      <c r="B42" s="112" t="s">
        <v>151</v>
      </c>
      <c r="C42" s="13"/>
      <c r="D42" s="120" t="s">
        <v>184</v>
      </c>
      <c r="E42" s="120"/>
      <c r="F42" s="120"/>
      <c r="G42" s="1"/>
      <c r="H42" s="122" t="s">
        <v>186</v>
      </c>
      <c r="I42" s="120"/>
      <c r="J42" s="120"/>
      <c r="K42" s="1"/>
      <c r="L42" s="122" t="s">
        <v>186</v>
      </c>
      <c r="M42" s="120"/>
      <c r="N42" s="120"/>
      <c r="T42" s="36">
        <v>1</v>
      </c>
      <c r="V42" s="123" t="s">
        <v>152</v>
      </c>
      <c r="W42" s="120"/>
      <c r="X42" s="120" t="s">
        <v>153</v>
      </c>
      <c r="Y42" s="120"/>
      <c r="Z42" s="127" t="s">
        <v>154</v>
      </c>
      <c r="AA42" s="128"/>
      <c r="AE42" s="112" t="s">
        <v>37</v>
      </c>
      <c r="AF42" s="13"/>
      <c r="AG42" s="68" t="s">
        <v>108</v>
      </c>
      <c r="AH42" s="69" t="s">
        <v>19</v>
      </c>
      <c r="AI42" s="69"/>
      <c r="AJ42" s="69" t="s">
        <v>109</v>
      </c>
      <c r="AK42" s="69" t="s">
        <v>110</v>
      </c>
      <c r="AL42" s="70" t="s">
        <v>111</v>
      </c>
    </row>
    <row r="43" spans="2:38" x14ac:dyDescent="0.2">
      <c r="B43" s="113"/>
      <c r="C43" s="4"/>
      <c r="D43" s="3" t="s">
        <v>112</v>
      </c>
      <c r="E43" s="3" t="s">
        <v>113</v>
      </c>
      <c r="F43" s="3" t="s">
        <v>114</v>
      </c>
      <c r="H43" s="3" t="s">
        <v>112</v>
      </c>
      <c r="I43" s="3" t="s">
        <v>113</v>
      </c>
      <c r="J43" s="3" t="s">
        <v>114</v>
      </c>
      <c r="L43" s="3" t="s">
        <v>112</v>
      </c>
      <c r="M43" s="3" t="s">
        <v>113</v>
      </c>
      <c r="N43" s="27" t="s">
        <v>114</v>
      </c>
      <c r="V43" s="37" t="s">
        <v>115</v>
      </c>
      <c r="W43" s="38" t="s">
        <v>116</v>
      </c>
      <c r="X43" s="38" t="s">
        <v>115</v>
      </c>
      <c r="Y43" s="38" t="s">
        <v>116</v>
      </c>
      <c r="Z43" s="38" t="s">
        <v>115</v>
      </c>
      <c r="AA43" s="47" t="s">
        <v>116</v>
      </c>
      <c r="AE43" s="113"/>
      <c r="AF43" s="4"/>
      <c r="AG43" s="61"/>
      <c r="AH43" s="62"/>
      <c r="AI43" s="62"/>
      <c r="AJ43" s="62"/>
      <c r="AK43" s="62"/>
      <c r="AL43" s="63"/>
    </row>
    <row r="44" spans="2:38" x14ac:dyDescent="0.2">
      <c r="B44" s="113"/>
      <c r="C44" s="4" t="s">
        <v>117</v>
      </c>
      <c r="D44" s="10">
        <v>75</v>
      </c>
      <c r="E44" s="10">
        <v>80</v>
      </c>
      <c r="F44" s="10">
        <v>85</v>
      </c>
      <c r="G44" s="14"/>
      <c r="H44" s="10">
        <v>110</v>
      </c>
      <c r="I44" s="10">
        <v>120</v>
      </c>
      <c r="J44" s="10">
        <v>130</v>
      </c>
      <c r="K44" s="14"/>
      <c r="L44" s="10">
        <v>140</v>
      </c>
      <c r="M44" s="10">
        <v>150</v>
      </c>
      <c r="N44" s="30">
        <v>160</v>
      </c>
      <c r="U44">
        <f>IF(T$42=1,W44,IF(T$42=2,Y44,AA44))</f>
        <v>80</v>
      </c>
      <c r="V44" s="38">
        <f>((F44-D44)/6)^2</f>
        <v>2.7777777777777781</v>
      </c>
      <c r="W44" s="108">
        <f>(D44+4*E44+F44)/6</f>
        <v>80</v>
      </c>
      <c r="X44" s="38">
        <f>((J44-H44)/6)^2</f>
        <v>11.111111111111112</v>
      </c>
      <c r="Y44" s="108">
        <f>(H44+4*I44+J44)/6</f>
        <v>120</v>
      </c>
      <c r="Z44" s="38">
        <f>((N44-L44)/6)^2</f>
        <v>11.111111111111112</v>
      </c>
      <c r="AA44" s="109">
        <f>(L44+4*M44+N44)/6</f>
        <v>150</v>
      </c>
      <c r="AE44" s="113"/>
      <c r="AF44" s="4" t="s">
        <v>20</v>
      </c>
      <c r="AG44" s="61">
        <f>AH44*U44</f>
        <v>64000</v>
      </c>
      <c r="AH44" s="106">
        <f>AK44</f>
        <v>800</v>
      </c>
      <c r="AI44" s="62"/>
      <c r="AJ44" s="62">
        <v>700</v>
      </c>
      <c r="AK44" s="62">
        <v>800</v>
      </c>
      <c r="AL44" s="63">
        <v>1000</v>
      </c>
    </row>
    <row r="45" spans="2:38" ht="13.5" thickBot="1" x14ac:dyDescent="0.25">
      <c r="B45" s="114"/>
      <c r="C45" s="6" t="s">
        <v>118</v>
      </c>
      <c r="D45" s="11">
        <v>0.7</v>
      </c>
      <c r="E45" s="11">
        <v>0.73</v>
      </c>
      <c r="F45" s="11">
        <v>0.76</v>
      </c>
      <c r="G45" s="17"/>
      <c r="H45" s="11">
        <v>0.505</v>
      </c>
      <c r="I45" s="11">
        <v>0.55500000000000005</v>
      </c>
      <c r="J45" s="11">
        <v>0.60499999999999998</v>
      </c>
      <c r="K45" s="17"/>
      <c r="L45" s="11">
        <v>0.8</v>
      </c>
      <c r="M45" s="11">
        <v>0.85</v>
      </c>
      <c r="N45" s="34">
        <v>0.9</v>
      </c>
      <c r="S45">
        <f>IF(T$2=1,V45,IF(T$2=2,X45,Z45))</f>
        <v>2.7777777777777767E-4</v>
      </c>
      <c r="U45">
        <f>IF(T$42=1,W45,IF(T$42=2,Y45,AA45))</f>
        <v>0.73</v>
      </c>
      <c r="V45" s="38">
        <f>((F45-D45)/6)^2</f>
        <v>1.0000000000000018E-4</v>
      </c>
      <c r="W45" s="108">
        <f>(D45+4*E45+F45)/6</f>
        <v>0.73</v>
      </c>
      <c r="X45" s="38">
        <f>((J45-H45)/6)^2</f>
        <v>2.7777777777777767E-4</v>
      </c>
      <c r="Y45" s="108">
        <f>(H45+4*I45+J45)/6</f>
        <v>0.55500000000000005</v>
      </c>
      <c r="Z45" s="38">
        <f>((N45-L45)/6)^2</f>
        <v>2.7777777777777767E-4</v>
      </c>
      <c r="AA45" s="109">
        <f>(L45+4*M45+N45)/6</f>
        <v>0.85000000000000009</v>
      </c>
      <c r="AE45" s="114"/>
      <c r="AF45" s="6">
        <f>(S$5*(1-S$10)+S$15)*S45*AH45</f>
        <v>3.6239930555555535</v>
      </c>
      <c r="AG45" s="64">
        <f>((U$5*(1-U$10)+U$15)*(1-U$20)+U$25)*(1-U$30)*(1-U$35)*(1-U$40)*U45*AH45</f>
        <v>50341.692634716055</v>
      </c>
      <c r="AH45" s="106">
        <f>AK45</f>
        <v>5800</v>
      </c>
      <c r="AI45" s="65"/>
      <c r="AJ45" s="65">
        <f>0.85*AK45</f>
        <v>4930</v>
      </c>
      <c r="AK45" s="65">
        <v>5800</v>
      </c>
      <c r="AL45" s="66">
        <f>1.15*AK45</f>
        <v>6669.9999999999991</v>
      </c>
    </row>
    <row r="46" spans="2:38" ht="15.75" thickBot="1" x14ac:dyDescent="0.25">
      <c r="B46" s="9"/>
      <c r="C46" s="4"/>
      <c r="T46" s="14" t="s">
        <v>155</v>
      </c>
      <c r="AE46" s="9"/>
      <c r="AF46" s="4"/>
      <c r="AG46" s="71"/>
      <c r="AH46" s="71"/>
      <c r="AI46" s="71"/>
      <c r="AJ46" s="71"/>
      <c r="AK46" s="71"/>
      <c r="AL46" s="71"/>
    </row>
    <row r="47" spans="2:38" x14ac:dyDescent="0.2">
      <c r="B47" s="112" t="s">
        <v>156</v>
      </c>
      <c r="C47" s="13"/>
      <c r="D47" s="122" t="s">
        <v>186</v>
      </c>
      <c r="E47" s="120"/>
      <c r="F47" s="120"/>
      <c r="G47" s="1"/>
      <c r="H47" s="122" t="s">
        <v>186</v>
      </c>
      <c r="I47" s="120"/>
      <c r="J47" s="120"/>
      <c r="K47" s="1"/>
      <c r="L47" s="120" t="s">
        <v>184</v>
      </c>
      <c r="M47" s="120"/>
      <c r="N47" s="120"/>
      <c r="T47" s="36">
        <v>3</v>
      </c>
      <c r="V47" s="123" t="s">
        <v>157</v>
      </c>
      <c r="W47" s="120"/>
      <c r="X47" s="120" t="s">
        <v>158</v>
      </c>
      <c r="Y47" s="120"/>
      <c r="Z47" s="120" t="s">
        <v>159</v>
      </c>
      <c r="AA47" s="121"/>
      <c r="AE47" s="112" t="s">
        <v>38</v>
      </c>
      <c r="AF47" s="13"/>
      <c r="AG47" s="68" t="s">
        <v>108</v>
      </c>
      <c r="AH47" s="69" t="s">
        <v>19</v>
      </c>
      <c r="AI47" s="69"/>
      <c r="AJ47" s="69" t="s">
        <v>109</v>
      </c>
      <c r="AK47" s="69" t="s">
        <v>110</v>
      </c>
      <c r="AL47" s="70" t="s">
        <v>111</v>
      </c>
    </row>
    <row r="48" spans="2:38" x14ac:dyDescent="0.2">
      <c r="B48" s="113"/>
      <c r="C48" s="4"/>
      <c r="D48" s="3" t="s">
        <v>112</v>
      </c>
      <c r="E48" s="3" t="s">
        <v>113</v>
      </c>
      <c r="F48" s="3" t="s">
        <v>114</v>
      </c>
      <c r="H48" s="3" t="s">
        <v>112</v>
      </c>
      <c r="I48" s="3" t="s">
        <v>113</v>
      </c>
      <c r="J48" s="3" t="s">
        <v>114</v>
      </c>
      <c r="L48" s="3" t="s">
        <v>112</v>
      </c>
      <c r="M48" s="3" t="s">
        <v>113</v>
      </c>
      <c r="N48" s="27" t="s">
        <v>114</v>
      </c>
      <c r="V48" s="37" t="s">
        <v>115</v>
      </c>
      <c r="W48" s="38" t="s">
        <v>116</v>
      </c>
      <c r="X48" s="38" t="s">
        <v>115</v>
      </c>
      <c r="Y48" s="38" t="s">
        <v>116</v>
      </c>
      <c r="Z48" s="38" t="s">
        <v>115</v>
      </c>
      <c r="AA48" s="47" t="s">
        <v>116</v>
      </c>
      <c r="AE48" s="113"/>
      <c r="AF48" s="4"/>
      <c r="AG48" s="61"/>
      <c r="AH48" s="62"/>
      <c r="AI48" s="62"/>
      <c r="AJ48" s="62"/>
      <c r="AK48" s="62"/>
      <c r="AL48" s="63"/>
    </row>
    <row r="49" spans="1:38" x14ac:dyDescent="0.2">
      <c r="B49" s="113"/>
      <c r="C49" s="4" t="s">
        <v>117</v>
      </c>
      <c r="D49" s="10">
        <v>15</v>
      </c>
      <c r="E49" s="10">
        <v>20</v>
      </c>
      <c r="F49" s="10">
        <v>25</v>
      </c>
      <c r="G49" s="14"/>
      <c r="H49" s="10">
        <v>25</v>
      </c>
      <c r="I49" s="10">
        <v>30</v>
      </c>
      <c r="J49" s="10">
        <v>35</v>
      </c>
      <c r="K49" s="14"/>
      <c r="L49" s="10">
        <v>50</v>
      </c>
      <c r="M49" s="10">
        <v>60</v>
      </c>
      <c r="N49" s="30">
        <v>70</v>
      </c>
      <c r="U49">
        <f>IF(T$47=1,W49,IF(T$47=2,Y49,AA49))</f>
        <v>60</v>
      </c>
      <c r="V49" s="38">
        <f>((F49-D49)/6)^2</f>
        <v>2.7777777777777781</v>
      </c>
      <c r="W49" s="108">
        <f>(D49+4*E49+F49)/6</f>
        <v>20</v>
      </c>
      <c r="X49" s="38">
        <f>((J49-H49)/6)^2</f>
        <v>2.7777777777777781</v>
      </c>
      <c r="Y49" s="108">
        <f>(H49+4*I49+J49)/6</f>
        <v>30</v>
      </c>
      <c r="Z49" s="38">
        <f>((N49-L49)/6)^2</f>
        <v>11.111111111111112</v>
      </c>
      <c r="AA49" s="109">
        <f>(L49+4*M49+N49)/6</f>
        <v>60</v>
      </c>
      <c r="AE49" s="113"/>
      <c r="AF49" s="4" t="s">
        <v>20</v>
      </c>
      <c r="AG49" s="61">
        <f>AH49*U49</f>
        <v>48000</v>
      </c>
      <c r="AH49" s="106">
        <f>AK49</f>
        <v>800</v>
      </c>
      <c r="AI49" s="62"/>
      <c r="AJ49" s="62">
        <v>700</v>
      </c>
      <c r="AK49" s="62">
        <v>800</v>
      </c>
      <c r="AL49" s="63">
        <v>1000</v>
      </c>
    </row>
    <row r="50" spans="1:38" ht="13.5" thickBot="1" x14ac:dyDescent="0.25">
      <c r="B50" s="114"/>
      <c r="C50" s="6" t="s">
        <v>118</v>
      </c>
      <c r="D50" s="11">
        <v>0.7</v>
      </c>
      <c r="E50" s="11">
        <v>0.75</v>
      </c>
      <c r="F50" s="11">
        <v>0.8</v>
      </c>
      <c r="G50" s="17"/>
      <c r="H50" s="11">
        <v>0.8</v>
      </c>
      <c r="I50" s="11">
        <v>0.85</v>
      </c>
      <c r="J50" s="11">
        <v>0.9</v>
      </c>
      <c r="K50" s="17"/>
      <c r="L50" s="11">
        <v>0.98499999999999999</v>
      </c>
      <c r="M50" s="11">
        <v>0.99</v>
      </c>
      <c r="N50" s="34">
        <v>0.995</v>
      </c>
      <c r="S50">
        <f>IF(T$2=1,V50,IF(T$2=2,X50,Z50))</f>
        <v>2.7777777777777826E-6</v>
      </c>
      <c r="U50">
        <f>IF(T$47=1,W50,IF(T$47=2,Y50,AA50))</f>
        <v>0.9900000000000001</v>
      </c>
      <c r="V50" s="38">
        <f>((F50-D50)/6)^2</f>
        <v>2.7777777777777821E-4</v>
      </c>
      <c r="W50" s="108">
        <f>(D50+4*E50+F50)/6</f>
        <v>0.75</v>
      </c>
      <c r="X50" s="38">
        <f>((J50-H50)/6)^2</f>
        <v>2.7777777777777767E-4</v>
      </c>
      <c r="Y50" s="108">
        <f>(H50+4*I50+J50)/6</f>
        <v>0.85000000000000009</v>
      </c>
      <c r="Z50" s="38">
        <f>((N50-L50)/6)^2</f>
        <v>2.7777777777777826E-6</v>
      </c>
      <c r="AA50" s="109">
        <f>(L50+4*M50+N50)/6</f>
        <v>0.9900000000000001</v>
      </c>
      <c r="AE50" s="114"/>
      <c r="AF50" s="6">
        <f>(S$5*(1-S$10)+S$15)*S50*AH50</f>
        <v>0.12496527777777797</v>
      </c>
      <c r="AG50" s="64">
        <f>((U$5*(1-U$10)+U$15)*(1-U$20)+U$25)*(1-U$30)*(1-U$35)*(1-U$40)*(1-U$45)*U50*AH50</f>
        <v>63563.223624277773</v>
      </c>
      <c r="AH50" s="106">
        <f>AK50</f>
        <v>20000</v>
      </c>
      <c r="AI50" s="65"/>
      <c r="AJ50" s="65">
        <f>0.85*AK50</f>
        <v>17000</v>
      </c>
      <c r="AK50" s="65">
        <v>20000</v>
      </c>
      <c r="AL50" s="66">
        <f>1.15*AK50</f>
        <v>23000</v>
      </c>
    </row>
    <row r="51" spans="1:38" ht="13.5" thickBot="1" x14ac:dyDescent="0.25">
      <c r="B51" s="20"/>
      <c r="C51" s="4"/>
    </row>
    <row r="52" spans="1:38" x14ac:dyDescent="0.2">
      <c r="B52" s="20"/>
      <c r="C52" s="4"/>
      <c r="AE52" s="56" t="s">
        <v>39</v>
      </c>
      <c r="AF52" s="57">
        <f>((S5*(1-S10)+S15)*(1-S20)+S25)*(1-S30)*(1-S35)*(1-S40)*(1-S45)*(1-S50)*AH52</f>
        <v>1166030.1336163837</v>
      </c>
      <c r="AG52" s="72">
        <f>((U$5*(1-U$10)+U$15)*(1-U$20)+U$25)*(1-U$30)*(1-U$35)*(1-U$40)*(1-U$45)*(1-U50)*AH52</f>
        <v>802.56595485198386</v>
      </c>
      <c r="AH52" s="56">
        <v>25000</v>
      </c>
    </row>
    <row r="53" spans="1:38" x14ac:dyDescent="0.2">
      <c r="B53" s="20"/>
      <c r="C53" s="4"/>
      <c r="P53" s="35"/>
      <c r="S53" s="42"/>
      <c r="T53" s="43" t="s">
        <v>160</v>
      </c>
      <c r="U53" s="44">
        <f>AG4+AG9+AG14+AG19+AG24+AG29+AG34+AG39+AG44+AG49</f>
        <v>500937.33333333331</v>
      </c>
    </row>
    <row r="54" spans="1:38" x14ac:dyDescent="0.2">
      <c r="C54" s="4"/>
      <c r="S54" s="45"/>
      <c r="T54" s="46" t="s">
        <v>161</v>
      </c>
      <c r="U54" s="47"/>
    </row>
    <row r="55" spans="1:38" ht="15.75" x14ac:dyDescent="0.25">
      <c r="B55" s="21" t="s">
        <v>162</v>
      </c>
      <c r="C55" s="4"/>
      <c r="P55" s="35" t="s">
        <v>163</v>
      </c>
      <c r="Q55" t="s">
        <v>164</v>
      </c>
      <c r="R55">
        <v>190</v>
      </c>
      <c r="S55" s="48">
        <f>AF10+AF20+AF30+AF35+AF40+AF45+AF50+AF54</f>
        <v>14.558454861111111</v>
      </c>
      <c r="T55" s="49" t="s">
        <v>165</v>
      </c>
      <c r="U55" s="50">
        <f>AG10+AG20+AG30+AG35+AG40+AG45+AG50+AG52</f>
        <v>196452.26920068695</v>
      </c>
    </row>
    <row r="56" spans="1:38" ht="28.5" customHeight="1" x14ac:dyDescent="0.2">
      <c r="A56" s="22" t="s">
        <v>166</v>
      </c>
      <c r="B56" s="133" t="s">
        <v>167</v>
      </c>
      <c r="C56" s="134"/>
      <c r="D56" s="23">
        <f>IF(AND(Design_Decision&gt;1,DR_Decision&lt;3),1,0)</f>
        <v>0</v>
      </c>
      <c r="T56" s="51"/>
    </row>
    <row r="57" spans="1:38" x14ac:dyDescent="0.2">
      <c r="A57" s="24"/>
      <c r="B57" s="25"/>
      <c r="C57" s="4"/>
      <c r="S57" s="52"/>
      <c r="T57" s="53" t="s">
        <v>168</v>
      </c>
      <c r="U57" s="54">
        <f>U53+U55</f>
        <v>697389.60253402032</v>
      </c>
    </row>
    <row r="58" spans="1:38" ht="25.5" customHeight="1" x14ac:dyDescent="0.2">
      <c r="A58" s="22" t="s">
        <v>169</v>
      </c>
      <c r="B58" s="133" t="s">
        <v>170</v>
      </c>
      <c r="C58" s="134"/>
      <c r="D58" s="23">
        <f>IF(AND(Code_Decision&lt;3,CR_Decision&lt;3),1,0)</f>
        <v>0</v>
      </c>
    </row>
    <row r="59" spans="1:38" x14ac:dyDescent="0.2">
      <c r="A59" s="24"/>
      <c r="B59" s="25"/>
      <c r="C59" s="4"/>
    </row>
    <row r="60" spans="1:38" ht="24.75" customHeight="1" x14ac:dyDescent="0.2">
      <c r="A60" s="22" t="s">
        <v>171</v>
      </c>
      <c r="B60" s="133" t="s">
        <v>172</v>
      </c>
      <c r="C60" s="134"/>
      <c r="D60" s="23">
        <f>IF(AND(CR_Decision&lt;3,UT_Decision=1),1,0)</f>
        <v>0</v>
      </c>
      <c r="T60" t="s">
        <v>173</v>
      </c>
      <c r="U60" s="55">
        <f>((U$5*(1-U$10)+U$15)*(1-U$20)+U$25)*(1-U$30)*(1-U$35)*(1-U$40)*(1-U$45)*(1-U50)</f>
        <v>3.2102638194079353E-2</v>
      </c>
    </row>
    <row r="61" spans="1:38" x14ac:dyDescent="0.2">
      <c r="B61" s="20"/>
      <c r="C61" s="4"/>
    </row>
    <row r="62" spans="1:38" x14ac:dyDescent="0.2">
      <c r="B62" s="20"/>
      <c r="C62" s="4"/>
      <c r="T62" t="s">
        <v>174</v>
      </c>
      <c r="U62" s="55">
        <f>U5*U10</f>
        <v>1.2916666666666667</v>
      </c>
    </row>
    <row r="63" spans="1:38" x14ac:dyDescent="0.2">
      <c r="B63" s="20"/>
      <c r="C63" s="4"/>
    </row>
    <row r="64" spans="1:38" x14ac:dyDescent="0.2">
      <c r="B64" s="20"/>
      <c r="C64" s="4"/>
      <c r="T64" t="s">
        <v>175</v>
      </c>
      <c r="U64" s="55">
        <f>(U$5*(1-U$10)+U$15)*U20</f>
        <v>3.7462500000000003</v>
      </c>
    </row>
    <row r="65" spans="2:21" x14ac:dyDescent="0.2">
      <c r="B65" s="20"/>
      <c r="C65" s="4"/>
    </row>
    <row r="66" spans="2:21" x14ac:dyDescent="0.2">
      <c r="B66" s="20"/>
      <c r="C66" s="4"/>
      <c r="T66" t="s">
        <v>176</v>
      </c>
      <c r="U66" s="55">
        <f>((U$5*(1-U$10)+U$15)*(1-U$20)+U$25)*U30</f>
        <v>8.9447624999999995</v>
      </c>
    </row>
    <row r="67" spans="2:21" x14ac:dyDescent="0.2">
      <c r="B67" s="20"/>
      <c r="C67" s="4"/>
    </row>
    <row r="68" spans="2:21" x14ac:dyDescent="0.2">
      <c r="B68" s="20"/>
      <c r="C68" s="4"/>
      <c r="T68" t="s">
        <v>177</v>
      </c>
      <c r="U68" s="55">
        <f>((U$5*(1-U$10)+U$15)*(1-U$20)+U$25)*(1-U$30)*U35</f>
        <v>12.293526979166668</v>
      </c>
    </row>
    <row r="69" spans="2:21" x14ac:dyDescent="0.2">
      <c r="B69" s="20"/>
      <c r="C69" s="4"/>
    </row>
    <row r="70" spans="2:21" x14ac:dyDescent="0.2">
      <c r="C70" s="4"/>
      <c r="T70" t="s">
        <v>178</v>
      </c>
      <c r="U70" s="55">
        <f>((U$5*(1-U$10)+U$15)*(1-U$20)+U$25)*(1-U$30)*(1-U$35)*U40</f>
        <v>5.9452302604166645E-4</v>
      </c>
    </row>
    <row r="72" spans="2:21" x14ac:dyDescent="0.2">
      <c r="T72" t="s">
        <v>179</v>
      </c>
      <c r="U72" s="55">
        <f>((U$5*(1-U$10)+U$15)*(1-U$20)+U$25)*(1-U$30)*(1-U$35)*(1-U$40)*U45</f>
        <v>8.6796021783993194</v>
      </c>
    </row>
    <row r="74" spans="2:21" x14ac:dyDescent="0.2">
      <c r="T74" t="s">
        <v>180</v>
      </c>
      <c r="U74" s="55">
        <f>((U$5*(1-U$10)+U$15)*(1-U$20)+U$25)*(1-U$30)*(1-U$35)*(1-U$40)*(1-U$45)*U50</f>
        <v>3.1781611812138886</v>
      </c>
    </row>
  </sheetData>
  <mergeCells count="93">
    <mergeCell ref="Z37:AA37"/>
    <mergeCell ref="AE27:AE30"/>
    <mergeCell ref="AE32:AE35"/>
    <mergeCell ref="AE37:AE40"/>
    <mergeCell ref="AE42:AE45"/>
    <mergeCell ref="Z42:AA42"/>
    <mergeCell ref="AE47:AE50"/>
    <mergeCell ref="AE2:AE5"/>
    <mergeCell ref="AE7:AE10"/>
    <mergeCell ref="AE12:AE15"/>
    <mergeCell ref="AE17:AE20"/>
    <mergeCell ref="AE22:AE25"/>
    <mergeCell ref="B56:C56"/>
    <mergeCell ref="B58:C58"/>
    <mergeCell ref="B60:C60"/>
    <mergeCell ref="B2:B5"/>
    <mergeCell ref="B7:B10"/>
    <mergeCell ref="B12:B15"/>
    <mergeCell ref="B17:B20"/>
    <mergeCell ref="B22:B25"/>
    <mergeCell ref="B27:B30"/>
    <mergeCell ref="B32:B35"/>
    <mergeCell ref="B37:B40"/>
    <mergeCell ref="B42:B45"/>
    <mergeCell ref="B47:B50"/>
    <mergeCell ref="Z47:AA47"/>
    <mergeCell ref="D42:F42"/>
    <mergeCell ref="H42:J42"/>
    <mergeCell ref="L42:N42"/>
    <mergeCell ref="V42:W42"/>
    <mergeCell ref="X42:Y42"/>
    <mergeCell ref="D47:F47"/>
    <mergeCell ref="H47:J47"/>
    <mergeCell ref="L47:N47"/>
    <mergeCell ref="V47:W47"/>
    <mergeCell ref="X47:Y47"/>
    <mergeCell ref="D37:F37"/>
    <mergeCell ref="H37:J37"/>
    <mergeCell ref="L37:N37"/>
    <mergeCell ref="V37:W37"/>
    <mergeCell ref="X37:Y37"/>
    <mergeCell ref="X27:Y27"/>
    <mergeCell ref="Z27:AA27"/>
    <mergeCell ref="AB27:AC27"/>
    <mergeCell ref="D32:F32"/>
    <mergeCell ref="H32:J32"/>
    <mergeCell ref="L32:N32"/>
    <mergeCell ref="P32:R32"/>
    <mergeCell ref="V32:W32"/>
    <mergeCell ref="X32:Y32"/>
    <mergeCell ref="Z32:AA32"/>
    <mergeCell ref="AB32:AC32"/>
    <mergeCell ref="D27:F27"/>
    <mergeCell ref="H27:J27"/>
    <mergeCell ref="L27:N27"/>
    <mergeCell ref="P27:R27"/>
    <mergeCell ref="V27:W27"/>
    <mergeCell ref="X17:Y17"/>
    <mergeCell ref="Z17:AA17"/>
    <mergeCell ref="AB17:AC17"/>
    <mergeCell ref="D22:F22"/>
    <mergeCell ref="H22:J22"/>
    <mergeCell ref="L22:N22"/>
    <mergeCell ref="P22:R22"/>
    <mergeCell ref="V22:W22"/>
    <mergeCell ref="X22:Y22"/>
    <mergeCell ref="Z22:AA22"/>
    <mergeCell ref="AB22:AC22"/>
    <mergeCell ref="D17:F17"/>
    <mergeCell ref="H17:J17"/>
    <mergeCell ref="L17:N17"/>
    <mergeCell ref="P17:R17"/>
    <mergeCell ref="V17:W17"/>
    <mergeCell ref="AB7:AC7"/>
    <mergeCell ref="D12:F12"/>
    <mergeCell ref="H12:J12"/>
    <mergeCell ref="L12:N12"/>
    <mergeCell ref="V12:W12"/>
    <mergeCell ref="X12:Y12"/>
    <mergeCell ref="Z2:AA2"/>
    <mergeCell ref="D7:F7"/>
    <mergeCell ref="H7:J7"/>
    <mergeCell ref="L7:N7"/>
    <mergeCell ref="P7:R7"/>
    <mergeCell ref="V7:W7"/>
    <mergeCell ref="X7:Y7"/>
    <mergeCell ref="Z7:AA7"/>
    <mergeCell ref="D2:F2"/>
    <mergeCell ref="H2:J2"/>
    <mergeCell ref="L2:N2"/>
    <mergeCell ref="V2:W2"/>
    <mergeCell ref="X2:Y2"/>
    <mergeCell ref="U1:U2"/>
  </mergeCells>
  <phoneticPr fontId="10" type="noConversion"/>
  <pageMargins left="0.75" right="0.75" top="1" bottom="1" header="0.5" footer="0.5"/>
  <pageSetup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12</vt:i4>
      </vt:variant>
    </vt:vector>
  </HeadingPairs>
  <TitlesOfParts>
    <vt:vector size="18" baseType="lpstr">
      <vt:lpstr>CB_DATA_</vt:lpstr>
      <vt:lpstr>Units of measure</vt:lpstr>
      <vt:lpstr>Process Description</vt:lpstr>
      <vt:lpstr>Model</vt:lpstr>
      <vt:lpstr>Sheet2</vt:lpstr>
      <vt:lpstr>Sheet3</vt:lpstr>
      <vt:lpstr>AT_Decision</vt:lpstr>
      <vt:lpstr>Code_Decision</vt:lpstr>
      <vt:lpstr>CR_Decision</vt:lpstr>
      <vt:lpstr>Design_Decision</vt:lpstr>
      <vt:lpstr>DR_Decision</vt:lpstr>
      <vt:lpstr>FP</vt:lpstr>
      <vt:lpstr>IT_Decision</vt:lpstr>
      <vt:lpstr>'Process Description'!Print_Titles</vt:lpstr>
      <vt:lpstr>RD_Decision</vt:lpstr>
      <vt:lpstr>RR_Decision</vt:lpstr>
      <vt:lpstr>ST_Decision</vt:lpstr>
      <vt:lpstr>UT_Decision</vt:lpstr>
    </vt:vector>
  </TitlesOfParts>
  <Company>Software Engineering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Stoddard</dc:creator>
  <cp:lastModifiedBy>瑜 秦</cp:lastModifiedBy>
  <cp:lastPrinted>2007-09-18T20:30:00Z</cp:lastPrinted>
  <dcterms:created xsi:type="dcterms:W3CDTF">2007-03-01T18:20:00Z</dcterms:created>
  <dcterms:modified xsi:type="dcterms:W3CDTF">2025-07-14T05:36:13Z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B8E87D64DEE9454DB777CFD384C669A6</vt:lpwstr>
  </property>
  <property fmtid="{D5CDD505-2E9C-101B-9397-08002B2CF9AE}" pid="3" name="KSOProductBuildVer">
    <vt:lpwstr>2052-11.1.0.11115</vt:lpwstr>
  </property>
</Properties>
</file>