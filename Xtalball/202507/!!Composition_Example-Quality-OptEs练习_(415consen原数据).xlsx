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D:\415bjConsenTrain\data\"/>
    </mc:Choice>
  </mc:AlternateContent>
  <xr:revisionPtr revIDLastSave="0" documentId="8_{3C4C3253-ADDF-4239-A595-71F427639B97}" xr6:coauthVersionLast="47" xr6:coauthVersionMax="47" xr10:uidLastSave="{00000000-0000-0000-0000-000000000000}"/>
  <bookViews>
    <workbookView xWindow="0" yWindow="870" windowWidth="18315" windowHeight="1449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"'637744281373271287"</definedName>
    <definedName name="CB_Block_00000000000000000000000000000001" localSheetId="3" hidden="1">"'637744281373115045"</definedName>
    <definedName name="CB_Block_00000000000000000000000000000003" localSheetId="0" hidden="1">"'11.1.2926.0"</definedName>
    <definedName name="CB_Block_00000000000000000000000000000003" localSheetId="3" hidden="1">"'11.1.2926.0"</definedName>
    <definedName name="CB_BlockExt_00000000000000000000000000000003" localSheetId="0" hidden="1">"'11.1.2.2.000"</definedName>
    <definedName name="CB_BlockExt_00000000000000000000000000000003" localSheetId="3" hidden="1">"'11.1.2.2.000"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0" i="1" l="1"/>
  <c r="AL20" i="1"/>
  <c r="AJ20" i="1"/>
  <c r="AJ10" i="1"/>
  <c r="AL50" i="1"/>
  <c r="AJ50" i="1"/>
  <c r="AL30" i="1"/>
  <c r="AJ30" i="1"/>
  <c r="AL35" i="1"/>
  <c r="AJ35" i="1"/>
  <c r="D60" i="1"/>
  <c r="D58" i="1"/>
  <c r="D56" i="1"/>
  <c r="Z50" i="1"/>
  <c r="X50" i="1"/>
  <c r="V50" i="1"/>
  <c r="Z49" i="1"/>
  <c r="X49" i="1"/>
  <c r="V49" i="1"/>
  <c r="AL45" i="1"/>
  <c r="AJ45" i="1"/>
  <c r="Z45" i="1"/>
  <c r="X45" i="1"/>
  <c r="V45" i="1"/>
  <c r="Z44" i="1"/>
  <c r="X44" i="1"/>
  <c r="V44" i="1"/>
  <c r="Z40" i="1"/>
  <c r="X40" i="1"/>
  <c r="V40" i="1"/>
  <c r="Z39" i="1"/>
  <c r="X39" i="1"/>
  <c r="V39" i="1"/>
  <c r="AB35" i="1"/>
  <c r="Z35" i="1"/>
  <c r="X35" i="1"/>
  <c r="V35" i="1"/>
  <c r="AB34" i="1"/>
  <c r="Z34" i="1"/>
  <c r="X34" i="1"/>
  <c r="V34" i="1"/>
  <c r="AB30" i="1"/>
  <c r="Z30" i="1"/>
  <c r="X30" i="1"/>
  <c r="V30" i="1"/>
  <c r="AB29" i="1"/>
  <c r="Z29" i="1"/>
  <c r="X29" i="1"/>
  <c r="V29" i="1"/>
  <c r="AB25" i="1"/>
  <c r="Z25" i="1"/>
  <c r="V25" i="1"/>
  <c r="I25" i="1"/>
  <c r="J25" i="1" s="1"/>
  <c r="AB24" i="1"/>
  <c r="Z24" i="1"/>
  <c r="V24" i="1"/>
  <c r="I24" i="1"/>
  <c r="J24" i="1" s="1"/>
  <c r="AB20" i="1"/>
  <c r="Z20" i="1"/>
  <c r="X20" i="1"/>
  <c r="V20" i="1"/>
  <c r="AB19" i="1"/>
  <c r="Z19" i="1"/>
  <c r="X19" i="1"/>
  <c r="V19" i="1"/>
  <c r="X15" i="1"/>
  <c r="V15" i="1"/>
  <c r="X14" i="1"/>
  <c r="V14" i="1"/>
  <c r="AB10" i="1"/>
  <c r="Z10" i="1"/>
  <c r="X10" i="1"/>
  <c r="V10" i="1"/>
  <c r="AB9" i="1"/>
  <c r="Z9" i="1"/>
  <c r="X9" i="1"/>
  <c r="V9" i="1"/>
  <c r="Z5" i="1"/>
  <c r="X5" i="1"/>
  <c r="V5" i="1"/>
  <c r="Z4" i="1"/>
  <c r="X4" i="1"/>
  <c r="V4" i="1"/>
  <c r="A10006" i="4"/>
  <c r="A10005" i="4"/>
  <c r="A10002" i="4"/>
  <c r="B11" i="4"/>
  <c r="A11" i="4"/>
  <c r="P2" i="4"/>
  <c r="H25" i="1" l="1"/>
  <c r="X25" i="1" s="1"/>
  <c r="U25" i="1"/>
  <c r="U24" i="1"/>
  <c r="U30" i="1"/>
  <c r="U45" i="1"/>
  <c r="U5" i="1"/>
  <c r="U9" i="1"/>
  <c r="U20" i="1"/>
  <c r="U29" i="1"/>
  <c r="U34" i="1"/>
  <c r="U4" i="1"/>
  <c r="U10" i="1"/>
  <c r="U15" i="1"/>
  <c r="U19" i="1"/>
  <c r="U40" i="1"/>
  <c r="U50" i="1"/>
  <c r="U14" i="1"/>
  <c r="U39" i="1"/>
  <c r="U44" i="1"/>
  <c r="U49" i="1"/>
  <c r="U35" i="1"/>
  <c r="H24" i="1"/>
  <c r="X24" i="1" s="1"/>
  <c r="AG10" i="1" l="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<sst xmlns="http://schemas.openxmlformats.org/spreadsheetml/2006/main" count="662" uniqueCount="223">
  <si>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</si>
  <si>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</si>
  <si>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</si>
  <si>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</si>
  <si>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</si>
  <si>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</si>
  <si>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</si>
  <si>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</si>
  <si>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</si>
  <si>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</si>
  <si>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</si>
  <si>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</si>
  <si>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</si>
  <si>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</si>
  <si>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CB_Block_0</t>
  </si>
  <si>
    <t>㜸〱敤㕣㙢㙣ㅣ搷㜵摥扢攴㉥㜷㤶㕣㜱㉤捡㤲攵㌸づㄳ㍦攲㠴挲㕡㤴慤挴㑡愰㉡㝣㔸㡦㤸ㄲ㘹㤱㤲攳㈶〱㌵摣㥤㈱挷摡㤹愵㘶㘶㈹搱㜶㘲晦㈸㕡戴㐸㔲㈰㐰昳㜰㡤挴㜵㔳户〱㡡㍥搰挴㑤摡晥㈹㔰㈰㐱攰ㄴ晤ㄱㄴ㐸㠰〰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㠹㘳ㅦ慡ㅣ㍤㌲㍥搳慣㠷㑤摦㍡改㔹捤搰㌷敢㐷挶ㄷ㥡㉢㜵愷晡㤸戵戹搴戸㙡㜹㈷慤㤵愳て慤㤸て㍦㌲昹昰昱攳昶㠹ㄳ㡦㡣攰搵㤹ぢ㌳搳ぢ扥㘵〷㙦㔱㥦㌹づ昹攱㔹慢敡㜰㙥㤶攵㍢摥㙡㘵㘶ㅡ㝦ㄳ攳挷搳㠷㉢㡢㙢㤶ㄵ昲搵㤶㙦㜹㔵㉢㌰搰㜰搸㥤ち㠲愶扢捥挵㌳摣搳㤸㙡搵っ挲㥣㍢㘳搵敢㠶ㅢ昷㕡㜰攷戱㜶㜵㜳㜳挴㕤戴扣挰〹㥤つ㈷摣捣扢㑢攸愸㔶㜲㉦〵搶㐵搳㕢戵㉥㤸慥㤵㜳捦㌴㥤摡愰㑥㤹㠱昷挷㕤㈴〷㈶搳慦㑣〵敥捣㥡改换㠸〲㉥㑣㑡摤搳㝥戵戳敥㍤扤晢攵搰攵つ散昳扥摥昵㔰㜲搹昴㕢㌵㈷㝡搷㡣㈶摦㌹㠲〷㝢搷㑦慣㔱㘷㥢て昴㙥㈳㑢搹㔹㕢つ㐷晣㉤㉢㡡挹ㄸ㜹㠲㈱㠲〲〱〹㘸ㄴ〹㠶〹㐶〰搴攰㝦㘱㤷㈴ㅢ戲㈸扢㙣㘶㤷㔷戲换搵散㜲㉤扢㙣㘵㤷敤散昲㙡㜶㜹㉤扢散㘴㤷㥦捡㉥㕦㐵㥤㌸ㄵ㠶㠶戲㔱扡昶㤳扦㝡昲㜷愷晣挷㍥晦扤㕦扦晦扦㍦昲昳摣挸㍥㔴㝡㍣ㅡ搴慣㙦㕥〷慢戵戹昸㔸攵㈸晦摣㝡㔷㘰㔳搸挷敤て摢㤳㤳戵攳㐷捤㠷捣ㅣ愷㤵㐲晣づ㐶㈹愳敥㠸晤㠴攳搵ㅡ搷㠵㜶㜷㑤㥢㠱搵㕥戸㠹愸㙣扡搱昴㙡挱扢戶㉦㕣っ捤搰扡戳扢慣摤挹㤶㘶㡢搸㔶㔶㈰敦扢扢扢搹㘵戳摥戴愶㙥㌸扡昸摤㕤挵敥㠲摦㔸改㕤㝡摡户慥戵㑡户㡣㘸ち㐲㙤㐳晡摥㌲㑢㕤愴挷㌵㍥戳搶〸㉣㑦㠶㌷攱㉥㌸搵慢㤶扦㘸㔱㈴㕡㌵㤹敡敤㉣㡡㜶晤挴扣㠷㠹㘲户搶摥㤷挴摡㡦摥〸戱㤹慤ㅡ挶扢㙥昹攱收㤲戹㔲户づ㜶㔴搱敦㐴挱攱づ昴改㐶戵ㄹ捣㌴扣搰㙦搴㍢㑢愶㙡ㅢ㈶㈴㑤敤㝣愳㘶つづ㘶㐴㈸㐰攰づっ㈸㤵昹㘰敦扤㈰㠴㐸㤰㤸ㅢ昹㡥㑥戶慢㕣挴散㌰㡢扡㐵㥥捣摥㝢㡢捥㌸㕥㤱㌱㈹㍢㌰㌱㈷敡て扥昴㠱㕢㜴摢愲摣摢㕢㌹㥢ㅤ㡢㘶晦攸㠶攵㠵㘷㑤慦㔶户晣㔴敤愷㌸㈲㘳ㄴ㈰㜷ㄳ〲愱攷敡㔱搵愹ㅢ㙡㌳㜷摤愹㠵㙢昹㌵换㔹㕤ぢ㠱㠳㠶㉣ㄴ戸戴㕢㤲㜱ㅢ㔰挶㝥㠲㌱㠰㘲㌱㤳㍦挰㑡昹㈲㔲㈶㐷改㤴戲㤷㍢〴㌹摢㜵散攵ㄱ晢戴㔳て㉤㉤㤴㐷㙤㔰㐴㙢㌵㈱㕦㠹㉣敡㥢㔵慤㌰づ搸㌳攰㔲搳昱挲捤昶扥摤戲㑢㌴ㄳ敤挹㠲㕤㈷ぢ㈸ち㍡攵㐱捡㕥〳搳㜴㐹㠳昴捡〹㈶攲㌶㐸搱散攸戹㤳挹㔸㍦㐵㐶愰㝥㤲〹㔹晢㘸㙦ㄹ㐱㘶摦捡愴㙣搴㜳㍦敥㐹戳敤㙣㜹㉤捤㙥挷挲ㄹ〷〹づㄱ摣㐱㜰ㄸ㐰晤ㅢ㈴ㅣ愵ㅣ昲㥤挹㜸ㄷ㥥㡤扢〸摥つ〰昹㘴㔰收㐴愲㡡㌶搴㑥散㐸搶㉢挱㑥ㄶ愳㔸㡢㈲㕡挶㉤㍢戳攴ち愱㈳慢㜳㜷攸摡㐱搱戱昷昷收捤攴㜴挸㤱㈹㔵㤳㜳扤㐵搵攴㐲戰㙡㥦㝡敢㍤㘸㙡㡣ㄳ扣ㄷ㐰㉢ㄶㅡ扢㍢戳收㘹㑥扥㈳㑣㈲㙤〸昵愹摣㈳㈶愶昹㥦㈲攰戶ㅣ㕤昶散㘷㥡㠲ㄳ昶㍢摥㝥㍥搲㝢㙦㐷㐴敦搲㤹㝢㍡㠷扥愲㌷㘸㐱扦て摢㑢晤戴愷㝥戹ㄷ挵挶㝤〴昷〳㜴改ㄷ㥥扣摦愸㤷㐰㑣㘲㌷㐱戹晤昴戸㠸㠵扢戴戹㙥㠹昶ㄹ戱㤷㑣㝦搵ち攱扤㌸㌷ぢ㍢戸攱晢㔶ㅤ〷摡㥡㈰㜸㜶㌹搴㠹っ㑥晢つ㤷昸㍤晢㌸㜸㐷㈸㠶挱挱散㐰愶换㍥㑥戱㌳ㄳ晥愶〴攷㔰晦㍥搴㕢㐸㈴ㅡ㜵戲ㄷ摢愵㥦㉤昷㈴㐹ㅦ㤲攴〱㉣慢昱〱〰㐸〹昵捦㍤㈵捡〴慢ㅤ㤱㙡㥤搶㉡扤㝢㈹㈷㤳㉥晦攱ㄶ㌹㌲慣㥤戵搳昰ㅤ〴㈵㜷搱㜱㕢挲㘲搸㕤戰晣㉡晣ち㑥摤㉡㙡㤷㉣㐵捤㥥慣㜸㠷挸㡡㠱㠱㉤㘷改ㄴ摦㥡昰㐹㤷㤴㐸摤敤愹㠵㈹攷昰㌶㔳搱〵㐹愱㤲攲ㄶ㙡㐹㈰㜲ㅥ敢敥㠹㤸㍥㐴㑣〵ぢ㘷㍣㐸㜰㤴㘰ㄲ㈰昷㡦㤰㌴㍢㕤㜸㠶挲㠶㌶攸捥㕥㕥捥ㄴ㐸〶㜱て晥戰愷戰㝡㤸慦㌹㑥昰㈱㠰㉥昳㠷捥挷ㄴ㐶ㄴ㤲㈷ㄸ㤱搶㤲㘱㕦㜶慣敢攴㠱㝤㌶㠲㑡㌳捤㈰㙣戸㡣㉡㤵散搹挶㠵㐶㌸敢〴敢㠸㐲㡤搹㔱收㠹㌵换〳㜷昹戰㝤扡㜰㡤昵㜵慢㘶搸㡢㡤㈶㐴摢戹搹摤㜰㈸挷晣㘰㑢捡戹㍣慢㤰晡㍢ㅢ愳ぢ㈵㈷㘲昸㕡改㠹摤㤱攷㥢㠷扥搱昶㡡㉥㌹㘱摤ㅡ戶昵愶㘳扥㘰㘳ㄵㄱ㌵愸つ搹㑢㙢扥㘵捤㤶散㌳扥㔳慢㍢㥥㐵㘲挰挶㘴愰㙥捥㕡㐵㠴㘰愱挱昸㕦挳㉢搹㑢扥改〵敢㈶㠳㠹㥢晢㍢㥥㈴㈴㤲戳愷ㅤ㉦挰㙢㠴㡡捣㡦摡㡢㙢㡤敢㠸搶㌶㕤敦㡣戹ㅥ散ち慡㤰改㜵ㄲ搲愸慣捡㘶㔵㈱㕢攸㤷㍥㍣㤰㘷㌲挷昰ㅢ㈴㄰㕡㘵㜲昴㤷愷㘸㙦摡昵㔱㝣㠶㜶㍡挷㌴㠲挸㔱ぢ㌹㤰㉡㠵戹㔳㡤㐷搸收〴挰挷捦㕣㍡搷㡥捡扤愹㜸㜵㡥ㅥ晥ㄴㄹ㉦㙣搱ち㠲搰㍦户㑦戳ち㜱攴ㅣ散㐰㔰㥣㑦摤散㔷戴愵づ戹㙦㕦㍢㝢ㅡ㔱愴ㄱ㝢捥㕣戱敡㠸㐵扢㘶戸㑦㍦搰㡣㜵捤㝡㄰㤵捤㌴㕣搷㈴㙢㤱㉤ㄷ慢㈶㌹㜸慡ㄹ㌶捥㍢㥥㘱〳〸晦㐵㈸昳〶㔰收つ㐱㡤搸ㄷㄹㄶ㤴㍣晢㙡慣㥡扥ㄳ慥戹㑥戵挰〷㠶敥㜶〵㑦㘲㤳㔳昲挶㈹㤶ㄹ攳㕤搶晣㈵㤸㙣㐱〵攴慥㐰㡥㜲改㐸㝥㜰㙥㔶攵昱㐷昵改㔸㠲㠰ㄱ㉦愹昱㔱昴㤶㤳㥢ㄱ㄰㌹㤲㙥挶昷㉦㙥㍥〷㡣昶换㤱敡㈹㉣〲㡦㘰㐲挸搳扤㥤户㉦㜹㑥〸敡㤱㘲愷㥤㜰㌶〰挹〱㤰㤵攳敤㥤㐲搵㐴愳㠹㤶㔶㜸捦搶愲づ㌵㜱昷搶昲愴摥戸㜷㥢㘲慤㔱ㄲ㡡攴㔶㤵㐴戳㙣㌳挶摤愴㙡㤴㈸敥㔸摢愸㌴户㘹㝢摤㈹㐵摥㠴㘲ㄲ㥥挹ㄸ㈷㠵㔱㄰攴㈵㜷㐰㐷搱㕦㥦捥ㅥ㠹㘸つ㙤㠰㈲昵㤴挶㤵愲㜰攰㌹㕣㌹愹㔹挵攸〹晢㝢㕦㤴㥤㙦㠶ㅤ㈵收㡤戱愸㘴慡㕥㥦昷㘰㈵㔴㑤扦戶㑢戶㌴收愶㌵㡣散捥㝥戵扦㕥摥挴㐶㡣戶㈱㐳㈲㈹㝥㘰㙣㐳㙣慥㐴㌴㤵搶㔹㠹㑢摤㐲ㄷ昸㜴摥㌲㍤愱挰㘲㔸㥢戵㌶挴っ㙢㕢昲㘳搲愰㜵㕡ㄴ㌹㙡搸㔳㉢〱㔴㝡㐸㌹ㅥ攵㘴㠳ㅢ昶㐵扡愵㜰㠱〱㘲㌷捡㉤㔴㐳㠴㜵㕢ㅤ昰㘴戰㝢愸㠳ㄵ搱㘱ㄳ㕡㘷㤴愰昹ㄴ挶敤㥣〴昷㑥㥦ㄴ㠵㈰戵㈵晤攷㈹昵挲㔷㤹扥㜹㉡ㄳ㘷愲㑤挴㔰㔷㡡昵〰攲㈶愳㤲摣㐵㘳㜱戰㕣㑢㌶ㄱ㕡㈳㌱㡥㈶㐶㠹㈶㥦ㅦ攲〶て攳㔸愳摣㌶㜵摣㜱ぢㅤ㘸搳晡收㍥晢㥣㔷慤㌷㙢㤶愸攲㔸㔶㡢㐶摥ㄵ昴㤲敢㝦㝡㌷愵慣㑢戴㈸攷㜰㤴攲㤴㐹愴晥敤㙥攳搷搰㕣㠴ㅣ晡搰戲㡤挱挷ㄴ户㥣〴挳戶摣㔱愰㝤戸扦㝤㜹㐱㉥捥㐱愴㙤㐱㔱㤶捤攱㉥㕥㉢㠲㉣扢㉤㔱㙤慥㌱搷愰捤㥥㐰㥤㜵㌴㙡㔷搰〸昳搴〲㉦㥦㠷㌱搲攷敥㘰㈷㤹㥢㔱㘴昷收㜳昲㤸戹㜹㉡㌲㍥ㄴ攳扢㍣〵㘵昲ㅦ〳ㄸ㝡扣㘹搶㜱㌱ㄱ㘴搶ㄶ㜸戶㙤㠱㉢㐶㠱㘹㠵ㅢ㔳〰㡡攱㘰ㅡ户愸愹㡤㥤ㄹ攴㔳㡤ㅤ㘳ㄶ㌵愸搱ㄸ㥣㑣㠹㤶㈶〳慢㡣㔹㡥挱㠱て㈲㘲㜷昱㘰扤搴㠰㔲ちて挸㈵戱昸㥥攲㠴㡢㈳㔱挳㍦搸㠵㕣㌰㐳㕣㠵昱づ㜷愱愷㙡㌵㥡扦昰搷敤ち㉡攳ㅡ㠷㌶㑦て㜴㕤搰㤲㌹搱摥扢愷慢㈰扡㌸㜸㙣戶㜲搶っ慢㙢㡢攱愶扥挴搵㉦㡢攴晥ㄶ晥㠹㙤摦㑥ㅢ㝡搰攳愵搴つ慥㝤昱慡搷戸敥挹戸㜲〱㙦〰㠲㑢㜰㥤㜲㠸㠳㉣㘶㝥㠵㍦㤲戲㤹摣摦愰挷㥤っ㥢ㅤ戴ㅤ㈶散㐷㤲㤶づ攳挸愷昰〹㙣昹搶つ〲昲挹㠱㉥㍥ㄱ挱戰挷㈸摥敡㕢挶㈸敡扢㈰㉢㤹㐵ㅦ搱戱收慦㘰晢慢敦〰㐳㠲攳㌹ㄲ㉢戹昷㈲㤷㐲㍡ㄱ散搱㜵て㕥づ昹晦㐳愵㜸㌷㙦扢㥤晥ㄷ㌶戳晡敢㙥ㄲ摤㑤ㄲ扤扡㤵㐴っ捣扥愱㄰㌸㐷扦㜷昴㝣摢慦昹晥ㅦㅥ㍤攷㐰㘱㈶戱捥㄰㘴扢ㄷ㜹㌱づ戰摦㔵㔶㕣㜲㐹㠳攰㍥ㄴ㡢㐱㜰㥥㙤ㄸ扦搷〶㐱攴晤㤸〷㈲搵㈰㤰攳㉤愳㝡㈹㈶㘰㈲挸㥡㜰㘸昰散㜵搰愵㘷散㉣慥摢㕡〱㈲昹㔰㑦挱っ㝣㔱㠷戶愲ㄷ㑣摦㜴てぢ晥㡣㙦㐱㙤昹㑢戸扦㉤㑤搸攲捥㙤㑢愴搱㌶㕥㡡搸扦扥攷㐹搹搹慤㜵㔰㑡㈷敤戸㔷〵㤵㝦ㄳ㍥ㄲ挵ㄳ㐳收㤹〳㝦㜶收㕦㥥晥㡤㔳扣愷ㄶ昱㙡㡥㠱攱㝥㠲昵戴ㅣ㄰捥㑤㕣ㄱ戹㥤㥦攳㥣挷㠷㐹捥㝡摤㥡㌶㝤戱㜷〲挳㡤戳㥡昱ㄲ㡣愹㤹㙦㌷ㄸ㤳戸昱愰㡤挹㑡㤷愳㔳㍥㘷ㄲ攷㘰㈵㌱㜰昱收挵〱㐳搵㔳㘵昵㘹㔷收晥〲㑡攷つづ愴搳ㅥ攴㜹㤳㐹愹㍦敦搶㙡挷愹搵挴㑣㔴っ昸挷㔲ち㤱〷㜲㐸㔲㑡昱㉡㠰㐸愹㡢挸攴㉡〰㈹㌱戵敥攰㉥㍤〱㝢㐲挰㙡㕤昷敢昳搳ㄵ慣㈲愸ㄸ㝢攱晢㍤换搲敡㡣㔵搳㠳捣攳㘷㉣〲挸㌱㠵〸㐶㙤〵扢㠴㑣㥣㜲㤳挸敤搸ㄱ挵㤷㤴㕣ㅤ㜲搳ㅢ㍢攷搲换㔶㜴ㅦ昵㥡戸昳〱㍤㤳ㄷ㠵攱敤㈷ㅡ㐷㑦㠹捥改慡㐵㡤㈲ㅣ搵搹㔶愳攱愸〸㍡换㍢㡣昳㈷挲㝥晣㍥㠸攵ㄳ敤慥㙦敦㉥愱㡥昳㠶㌰㐱晥㘰㝦摤㥤戲戱昱㔶敥ㄸ㐸搸ㅤ搵㉡攸㑢攱㤷搰㐴散㜹㘵戴戳㝣㤷㔲㡣㑥挷㍢㙢㘰慢晥㍦㡥㘲搹㔹㤷㔹㥢〱散づ晤晦〹㈰㙥愹晦ㄵ愳㙥㐲戲㈷愳っㅦ㜲㡣㥣摣㌲㔸挳ㄵ㠱㑦ㅢ㘱ㅢ㌹〲ㅢ㤲㘵戰㕢攷ㄶ昱挹慡㉥ㄶ〹づ㡦搷㘰昷愵㠸㔶㕢摡戶挳㍤〵攰〹づ改ㄵ㠸愰㥥敤㌹攸慤攷搸晣㈷㠱㍥㜰摥愹晡㡤愰㘱㠷攳㡢〸昷㡥昳㡢㌳ㅢ㌶捦㤴晡㐶户㔰扢〷㉢㌱昲㘹戴戹㌰て㠱㝤挱ち摦慡㈸㈴㘳ち㍢㡢㘱昰敢愳㜲㈲戰㐴敤㄰摣㘶㐷㝥愱㜹㜸㌹㐳愲㜶㠵戲搳扥收敥扢ㄹ㕣㍡摣捥㝡っ㥥ㅦ慢㕥㐱㔸㑣愶昰挹㑦㜳㕤扢搷愰戳㙥㌴户㠰㌵晢昳戶ㄵ㜳㉦㠳愶㍢㝢㑢㈷换昰㥤晣づ戹㘸㉣ㄳ挲㑢㐶㙦改捥㕤戳散㙤っ㝣ㅥ㝤挶㑤㤷搷㐴ㅤ㡥戲ㅤ挴扤慦愰愹㥡㈲挰捦㌰愳っ〷愳攸搳攳㔶㔴㕦挳戴戸〱㤰捦攴慢〰扤戹晡挵敤戸㕡捤戲ㄷ晣っ㡢㍤㐴㍦挵〳〷㜹戳愸㕥㐰㉢慥㥤㕥㠳㔵攲㜰〰㤱㠳〵昲挶ㅡ㐰㥣ㄴてㄶ㌲慡㉦愳㐱㙢㔴㑦〱摢㝢㔴扦户敤愸㘸ㄲ挸愸敡㜱攷昸户ㅣ慢ㄴ挳挵㤳攱ㄱ㌴〸搶㔹ㄸ㙢㤶㔱ち㑢㑡愰扣づ㌵㝣昷ㄴ昲㐸晦ㄴ晤晢晡愹ㅦ扥挶昴ㅦ愷㤴㠸㐷ㄴㄹ搷愴㠶〶㡡攲㔱㘶昱㠵攴㉣〲㘰㝢捦攲㜳摢捤愲㑣挹挹ぢ㉡㐶ㄳ愰㌴慡挸㐱㌲慢㡤㈸挳〷㜵㈵挶㕥㐷㈶㑥㘵ㄳ㌹㘹㝢〳㤹搲㘸㤹攴㤱攷㑤㘴㡣愷〹㥥㈱㜸㤶攰㌳〴㥦〵㈸ㄵㄵ㐹㈴㉦㜹㉥捡昰愱㑣㍡戱㜹愹㕣收㤲敡㙣㡥敢㤸昲㥤㤰ㄸ㕤扣㔷㐹㔷㔰㕥晢㜲昳㕡搵ㄶ摣挸㠹扢㉢〴㑥攴㡥敦愹㈷昲㝤㕥ㄸ㔰捦挷㜴㍤㝢㌶晥〸㉢ㅢ㠵戰挰㔷摡捣㈵ㅦ㜲㈱搵㜳㜱攵扦㝣戵敤㜱㐵〱ㄲ㤸㑦㔷㈶扦㑡攵捦挶㤵㡦攱〳㉦愹㤳攱㠵〴愶搷攳捡敢㜸㤰捡㥦㠹㉢晦晣搸攱㔶攵㤸㡤㜵捦㘵昲㜰㐴㔶戲㕢㡡㉤㉤愷㡢挴㜷摦愳愸㥥戳愹㥦㠷㙤㡤愶㘴㤶愰㜴㕤㌴昴〸慥㤹昸昸昲㝡づ户愶㜰戹〴㐲㕣晦〷っ攷㜰㥢㙡搶っ㑤㝣㔸扤㠱㌰戶㙦挸ㄳㅢ攷敤㜹ㅦ㠸㈱晢㕣㠰㌳㕢㙤㔷㜱ぢ捣㡤㐱扤搴户㜰敦愷㤸愶敤昵㠸挳㙦㔹摥㑥改㑦㌹㐹㤸㘶㔰㍤ㄳㄳ㌹昳㝣㥢㝤㡣摦〴㜱㈰㜰〱㤹㌱㝥ぢ㔰㠷㜵づ㄰㔱愶㈴愱戰㌳㝥ㅢ愰㌴㔰愶っ搱㕣愰㈸㌸挸〹昹摦〱ㄸ㡤晦〳㡣昱つ昱挸㘴㔵㌳㝥㕤㤲愷㡣捦戱挱攷〱〶攰ち㠶㙢〹〹ㄷㅥ㡣㉦攰摦挴㙢㜳ㄴ㐲ㅦ敤㙤昱昲㐰ㅢ㝦㤴㡦㔰㘵挷搷昷㡦攲㙢晡㑤㜶㍣㠰晦㑣㈴㈷收昹㘰昶㈳晤昵㐵㔶愳㘵㉤扦㜵㑣攸㑤昴挳㈵㙥㕢㡡散㔱㔴㥥愲愸攵㜴㔵〳晤昳ㅤ㌴扣㡢㡡挲㔷搰㕥㠴㍥㈸㘸㡡㘳㐱扢ㄱ㥡户ㄷ㡡㡡〲㕡搰昵〸㑤敦㕡㔱㔱㘴ぢ晡㙡㠴愶戳愴㔸愶攴ㄶ愲㝥〹㤹搲㐰㡥㍣戰㘳㘶攴㍣晡㌴㌸扥㡣愶㡡ㅣ挶㍥㡣慦㐴ㄹ㍥㈸戲㤷㡣㜴㌵ㅡ改㈹㔶㜹㠱㐵㘴ㄹ㡥搰昸㝤㍥㤱㔳愴昹㡢挸㔰㙦昰愷㌸ㄱ㘹㕥㑤㌶晦ㅡ㡢攴愵挸ㄸ㕦〷㠸㔳㤹㉦㤷㈵㜸〹㤹搲挰㈸摦昴〴㝥搹ㅢ慡㝡愵㜶攵捡㉦㐶〷挷敦ㅣ晣挴挷㐶扥晡晡て㝥昶挵ㅦ㝤敡攴扦晦昲挵ㄷ㝦昴慦㕦㝣敤㤷㝦户㜲昲㝢㉦扦晣てㅦ晦晡㙢㍦摢㙦扦㤴㝤昵ㄷ㜳㉦㍤㍢㜹昵搹㙢昶愵て㥥㜹昶挹愷ㅥ㥦㕣戸㙤㘲㘰㘰㘸攸晤㘳摦扦攳㠱昲昳搷扥愳晥晥挷㠷㍣㈵㠳挷ぢ㡣㍦〰㠸㔳㤹㤳攰㜶㌲㕥㈶昸㐳㠲㙦㄰晣ㄱ挱㉢〴㝦㑣昰㈷〴摦〴㈸ㄵ㐶㌹愹户㜳愴㘵慥㔳戴挵㕦㐲㔶㤶昵㜲戴慣搳㐰ㄴ㔴愶ㅣ㑦㐲㜱摣㔲攳㔲㔴㐳㘶昳愷挰㉡捥㐶㡡ㄶ愳㈲捤敦㥣㥦愰㉦㐶㘸捤敦㥣戱愰ㅦ㡦搰㥡摦戹〶㠲㕥㠸搰㠷㠰㈸㉡慥㡡愰攷㈳戴收㜷慥㤳愰㉦㐴㘸攱㜷挵㤵ㄳ昴昹〸ㅤ㑤㐳㜱㥣挲㕡摦㐲㐶〹㐰挶昸㌶〰ㄳㄹ愴捣〷扤ㅣ挳晦〳ㄸ昷てㄵ</t>
  </si>
  <si>
    <t>㜸〱敤㕣㕤㙣ㅣ搷㜵摥扢摣㕤敥㉣戹㈲㉤捡㤲攵㌸づㄳ摢㠹ㄳち㙢㔱戶ㄲ慢㠱慡昰㐷㝦〹㈵搲㕡㑡㜶㤰〶慢攱敥っ㌹搶捥っ㌵㌳㑢㠹戶〳扢㠵㡢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㜵攲戳㤵攳挷㈶攷㕡捤愰攵ㄹ愷ㅤ愳ㄵ㜸㝡昳搸攴㔲㙢愵㘹搵扦㘴㙣㉥扢㌷っ攷戴戱㜲晣搱ㄵ晤戱挷愷ㅦ㍢㜹搲㍣㜵敡昱㔱扣㍡㜳㜹㙥㜶挹㌳㑣晦㝤敡㌳捦㈱㍦㌶㙦搴㉤捥捤㌰㍣换㔹慤捣捤攲㙦㘲晣㜸晡㕣愵扡㘶ㄸ〱㕦㙤㜸㠶㔳㌷㝣つつ㐷散ㄹ摦㙦搹敢㕣㍣捤㍥㠷愹搶㜵㍦挸摢㜳㐶戳愹搹㜱慦㐵㝢ㄱ㙢搷搴㌷㐷敤慡攱昸㔶㘰㙤㔸挱㘶挱㕥㐶㐷㡤戲㝤搵㌷慥攸捥慡㜱㔹户㡤扣㝤扥㘵㌵㜲㘱捡っ㝤㉡敥㈲㌹㌰㤹㝥㘵挶户攷搶㜴㑦㐶攴㜳㘱㔲敡㥥昳敡摤㜵ㅦ攸摦㉦㠷㉥㙦㘰㥦て昵慦㠷㤲㙢扡搷慥㌹搵扦㘶㌴昹敥ㄱ㍣搲扦㝥㘲㡤扡摢㝣扡㝦ㅢ㔹捡敥摡㙡㈴攲㙦㔹㔱㑣㐶㉢㄰っㄳㄴ〹㐸㐰慤㐴㌰㐲㌰ち愰㜲晦㡤㕤㤲㙣挸愲㙣㑤捦搶㔶戲戵㝡戶搶挸搶㡣㙣捤捣搶㔶戳戵戵㙣捤捡搶㥥捥搶㙥愰㑥㥣㡡挳挳搹㈸つ扤昹㜲收搹愰㝡昶敢㍦㜸攷㥢慦㡥扡㌷㐷て愰搲ㄳ搱愰收㍤晤ㄶ㔸慤挳挵㈷㉡挷昹㘷攷㕤㠱㑤㘱㥥㌴㍦㘷㑥㑦㌷㑥ㅥ搷ㅦ搵昳㥣㔶ち昱扢ㄸ㘵ㅣ㜵㐷捤㈷㉤愷攱摥ㄲ摡摤㌷慢晢㐶㘷攱愶愲戲㔹户攵㌴晣㡦㙣㕦㔸つ昴挰戸户户慣搳挹㤶㘶㔵㙣㉢挳㤷昷摤摦摢散㥡摥㙣ㄹ㌳户慤戰昸愳㍤挵昶㤲攷慥昴㉦㍤攷ㄹ㌷摢愵㕢㐶㌴〳愱戶㈱㝤㙦㤹㘵㔸ㄴ㡥㙢㜲㙥捤昵つ㐷㠶㌷㘵㉦㔹昵ㅢ㠶㔷㌵㈸ㄲ㡤㠶㑣昵㙥ㄶ㐵扢㝥㙡搱挱㐴戱㕢ㅢ㥦㐸㘲捤戳户〳㙣㘶愳㠱昱慥ㅢ㕥戰戹慣慦㌴㡤挳㕤㔵挲㜷愲攰㘸ㄷ晡㥣㕢㙦昹㜳慥ㄳ㜸㙥戳扢㘴愶戱愱㐳搲㌴㉥戹つ㈳㤷换㠸㔰㠰挰ㅤㅡ㔲㉡昳㤹晥㝢㐱〸㤱㈰㌱㌷昲㍤摤㙣㔷戹㠲搹㘱ㄶ㑤㠳㍣㤹㝤㜰㠷捥㌸㕥㤱㌱㈹㍢㌰㌱㈷敡て扥昴攱ㅤ扡㙤㔳敥㠳慤㥣捤㑥㐴戳㍦扢㘱㌸挱〵摤㘹㌴つ㉦㔵晢㈹㡥㐸ㅢ〳挸摦㠱㐰攸扢㝡㔴㜵敡戶摡捣摦戲ㅡ挱㕡㘱捤戰㔶搷〲攰愰㈱㡢㐵㉥敤㤶愴摤〵㤴㜶㤰㘰〲愰㔴捡ㄴづ戱㔲愱㠴㤴挹㔳㍡愵散攵㉥㐱捥㜶㕤㝢㜹搴㍣㘷㌵〳㈳ㄴ捡㘳㈶㈸ㄲ㙡㌵㈱㕦㤹㉣敡改昵㔰㘱ㅣ㌲攷挰愵扡攵〴㥢㥤㝤扢㘵㤷㠴㑣戴㉦ぢ昶㥣㉣愰㈸攸㤶〷㈹㝢つ㑣搳㈳つ搲㉢㈷㤸㠸摢㈰㐵戳愳攷㙥㈶㘳晤ㄴㄹ㠱晡㐹㈶㘴敤攳晤㘵〴㤹㝤㉢㤳戲㔱摦晤戸㉦捤戶戳攵㐳㘹㜶㌷ㄶ㑥㍢㑣㜰㠴攰ㅥ㠲愳〰敡摦㈰攱㈸攵㤰敦㑥摡㐷昰慣摤㐷昰㔱〰挸㈷㡤㌲㈷ㄲ㔵戴愱㜶㘳㐷戲㕥ㄹ㜶戲ㄸ挵愱㈸愲㘵摣戶㌳换戶㄰㍡戲㍡昷㠶慥捤㠹㡥晤㘴㝦摥㑣㑥㠷ㅣ㤹㔲㌵㌹搷ㅤ慡㈶ㄷ㠲㔵〷搴㕢ㅦ㐳㔳㙤㤲攰攳〰愱㘲愱戱扢㍢㙢㥥收攴㠷挲㈴ちつ愱〱㤵㝢挴挴㌴晦㔳〴摣㤶愳换扥晤㑣㔳㜰捡晣搰摢捦挷晡敦敤㠸攸㍤㍡㜳㕦攷搰㔷昴㉥㉤攸㑦㘰㝢愹㝦敥慢㕦ㅥ㐴戱昶㄰挱㈷〱㝡昴ぢ㑦摥敦搶㑢㈰㈶戱㥤愰摣㐱㝡㕣挴挲㕤摥㕣㌷㐴晢㡣㥡换扡户㙡〴昰㕥㕣㥣㠷ㅤ散㝡㥥搱挴㠱戶㈱〸㥥㕤㡥㜴㈳晤㜳㥥㙢ㄳ扦㙦ㅦ晢ㅦち挵㤰换㘵㠷㌲㍤昶㜱㡡㥤㤹昰㌷㈵㌸㠷晡昷搱晥㐲㈲搱愸㥢扤搸㉥晤㙣戹㉦㐹〶㤰㈴て㘳㔹戵㑦〳㐰㑡愸㝦散㉢㔱愶㔸敤㤸㔴敢戶㔶改摤㑢㌹㤹昴昸て户挸㤱㤱搰㔹㍢ぢ摦㠱㕦戶慢㤶摤ㄶㄶ㈳昶㤲攱搵攱㔷戰㥡㐶㈹㜴挹㔲搴散换㡡て㠹慣ㄸㅡ摡㜲㤶㑥昱慤〹㥦昴㐸㠹搴摤㥥㕡㤸㜲づ敦㌰ㄵ㕤㤰ㄴ㉡㈹㙥愱戶〴㈲攷戱敥扥㠸ㄹ㐰挴㔴戰㜰摡㈳〴挷〹愶〱昲㝦て㐹戳摢㠵㘷㈸㙣㜸㠳敥散㕡㉤㔳㈴ㄹ挴㍤昸挳扥挲敡㌱扥收㈴挱㘷〱㝡捣ㅦ㍡ㅦ㔳ㄸ㔱㐸㥥㘰㐴㕡㑢㥡㜹捤㌲㙥㤱〷づ㤸〸㉡捤戵晣挰戵ㄹ㔵㉡㥢昳敥㘵㌷㤸户晣㜵㐴愱㈶捣㈸昳攴㥡攱㠰扢㍣搸㍥㍤㌸㜷㝤摤㘸㘸㘶搵㙤㐱戴㕤㥣摦ぢ㠷㜲捣て戶愴㥣换戳ち㘹戰戳㌱扡㔰㜲㈲㠶慦㤵㥥搸㕤㜹扥㜹攸ㅢ敢慣攸戲ㄵ㌴㡤ㄱ㌳摣㜴捣ㄷ㑤慣㈲愲〶㡤㘱㜳㜹捤㌳㡣昹戲㜹摥戳ㅡ㑤换㌱㐸っ搸㤸っ搴㉤ㄸ慢㠸㄰㉣戹㡣晦戹㑥搹㕣昶㜴挷㕦搷ㄹ㑣摣㍣搸昵㈴㈱㤱扣㌹㙢㌹㍥㕥㈳㔴㘴㝥捣慣慥戹户㄰慤㙤搹捥㜹㝤摤摦ㄳ㔴㈱搳㠷㐹㐸愳戲㉡㥢㔵挵㙣㜱㔰晡昰㐰㥥挹㥣挰㉦㐷㈰戴捡攴改㉦㑦搱摥戴敢愳昸っ敤㜴㡥㘹ㄴ㤱愳㌶㜲㈸㔵ち㜳愷㙡㡦戳捤㈹㠰㉦㥥扦㝡戱ㄳ㤵㝢㑦昱敡㍣㍤晣㈹㌲㕥搸愲ㅤ〴愱㝦敥㐰挸㉡挴㤱㜳戰〳㐱㜱㍥昵戲㕦挹㤴㍡攴扥〳㥤散㌹㐴㤱㐶捤〵㝤挵㘸㈲ㄶ㙤敢挱㠱昰㠱㘶慣慤㌷晤愸㙣捥戵㙤㥤慣㐵戶慣搶㜵㜲昰㑣㉢㜰㉦㔹㡥㘶〲〸晦㐵㈸晤㌶㔰晡㙤㐱㡤㥡㔷ㄸㄶ㤴㍣晢㜲㔷㜵捦ち搶㙣慢㕥攴〳㐳㜷㝢㠲㈷戱挹㈹㜹攳ㄴ换㡣挹ㅥ㙢晥㉡㑣㌶扦〲㜲㔷㈰㐷戹㜴㈴㍦㌸㌷慢ち昸愳〶㜴㉣㐱挰㠸㤷㔴晢㍣㝡换换捤〸㠸ㅣ㐹㜷攲晢ㄷ㜷㥥〷㈶昴换㤱敡㈹㉣〲㡦㘰㐲挸搳扤㕤㌰慦㍡㔶〰敡㤱㘲攷慣㘰摥〷挹〱㤰㤵攳敤扤㐲搵㐴愳愹戶㔶昸搸搶愲㉥㌵㜱晦搶昲愴摥㜸㜰㥢攲㔰愳㈴ㄴ挹㑥㤵㐴戳㙣㌳挶扤愴㙡㤴㈸敥㔸摢愸㌴户㘹㘷摤㈹㐵摥㠳㘲ㄲ㥥挹㘸愷㠵㔱㄰攴㈵㜷㐰㐷搱㕦㥦捥ㅥ㠹㘸つ㙤㠰ㄲ昵㔴㠸㉢㐷攱挰㡢戸㜲搲㌰㑡搱ㄳ昶昷㠱㈸扢搸ち扡㑡昴摢ㄳ㔱挹㑣戳戹攸挰㑡愸敢㕥㘳㡦㙣㘹捣㉤搴㌰戲㍢〷搵晥攱昲㈶㌶㘲戴つㄹㄲ㐹昱〳㘳ㅢ㘲㜳㈵愲愹戴捥捡㕣敡㌶扡挸愷㑢㠶敥〸〵慡㐱㘳摥搸㄰㌳慣㘳挹㑦㐸㠳昶㘹㔱攴愸㘶捥慣昸㔰改〱攵㜸㤴㤳つ慥㤹㔷攸㤶挲〵〶㠸摤㈸户㔴て㄰搶㙤㜷挰㤳挱摥愱づ㔶㈴っ㥢搰㍡愳〴㉤愴㌰㙥昷㈴戸㜷〶愴㈸〴愹㈹改扦捥愸㤷㕦㘲晡晤㌳㤹㌸ㄳ㙤㈲㠶扡㔲慣〷㄰㌷ㄹ㤵攴㉥㥡㠸㠳攵愱㘴ㄳ愱㌵ㅡ攳㘸㘲㤴㘹昲㜹〱㙥昰㌰㡥㌵挶㙤搳挴ㅤ户挰㠲㌶㙤㙥ㅥ㌰㉦㍡昵㘶慢㘱㠸㉡㡥㘵戵㘸攴㍤㐱㉦戹晥ㄷ敥愶㤴㜵㠹ㄶ攵㈲㡥㔲㥣㌲㠹㌴戸摤慤晤㉣㥡㡢㤰㐳ㅦ愱㙣㘳昰㌱挵㉤㈷挱戰㉤㜷ㄴ㘸ㅦㅥ散㕣㕥㤰㡢㜳㄰㘹㕢㔰㤴㘵ぢ戸㡢搷㡥㈰换㙥㑢㔴㕢㜰ㄷ㕣摡散〹搴〵㉢㐴敤〹ㅡ㘱㥥愱挰㉢ㄴ㘰㡣っ戸㍢搸㐹收㑥ㄴ搹扤昳扣㍣㘶敥㥣㠹㡣て挵昸㉥㑦㐱㤹挲ㄷ〰㠶㥦㘸改㑤㕣㑣〴㤹㐳ぢ㍣摢戱挰ㄵ愳挰戴挲戵ㄹ〰挵㜰㌰㡤㕢搴っ㡤㥤㌹攴㔳㡤ㅤ㙤ㅥ㌵愸搱ㄸ㥣㑣㠹㤶㈶〳慢㡣㔹㑥挰㠱て㈲㘲㜷昱㘰扤散㐲㈹〵㠷攴㤲㔸㝣㑦㜱捡挶㤱挸昵づ昷㈰㤷昴〰㔷㘱㥣愳㍤攸㤹㐶㠳收㉦晣㜵㝢㠲捡戸挶ㄱ㥡愷㠷㝡㉥㘸挹㥣㘸敦㍤搰㔳㄰㕤ㅣ㍣㌱㕦戹愰〷昵戵㙡戰ㄹ㕥攲ㅡ㤴㐵昲㝦〹晦挴戶㙦愷つ㥤㜳㜸㈹㜵㠳㙢㕦扡攱戸户ㅣㄹ㔷摥攷つ㐰㜰〹慥㔳づ㜳㤰愵捣㍢昸㈳㈹㥢挹晦〵㝡摣捤戰搹㐱挷㘱挲㝥㈴㠵搲㘱ㄲ昹ㄴ㍥㠱㉤摦扥㐱㐰㍥㌹搴挳㈷㈲ㄸ昶ㄹ挵㔹㝤摦ㄸ㐵㝤ㅦ㘴㈵戳㠴㐷㜴慣昹ㅢ搸晥敡㝢挰㤰攰㜸㡥挴㑡晥攳挸愵㤰㑥〴㝢㜴摤㠳㤷㐳晥晦㔰㈹摥捤摢㙥愷晦㠵捤慣晥扣㤷㐴昷㤳㐴㙦㙥㈵ㄱ〳戳敦㉡〴捥搱敦ㅦ㍤㍦昰㙢扥晦㠷㐷捦〵㔰㤸㐹慣㌳〴搹ㅥ㐴㕥㡣〳散㜷㤵ㄵ㤷㕣搲㈰㜸〸挵㘲㄰㕣㘲ㅢ挶敦㐳㠳㈰昲㝥㉣〲㤱㙡㄰挸昱㤶㔱扤ㄴㄳ㌰ㄱ㘴㑤㌸㌴㜸昶㍡㙣搳㌳㜶〱搷㙤つㅦ㤱㝣愸㈷㝦づ扥愸㈳㕢搱㑢扡愷摢㐷〵㝦摥㌳愰戶扣㘵摣摦㤶㈶㙣㜱敦戶㈵搲㘸ㅢ㉦㐵散㕦摦昷愴散敥搶㍡㈸ㄵ愶搰㜱慦㡡慡昰ㅥ㝣㈴㡡㈷㠶捣戳㠷晥昰晣扦㍣昳攲ㄹ摥㔳㡢㜸㌵捦挰昰㈰挱㝡㕡づ〸攷㈶慥㠸摣捤捦㜱㉥攱挳㈴㙢扤㘹捣敡㥥搸㍢扥㘶挷搹㤰昱ㄲ㡣ㄹ㌲摦㕥㌰㈶㜱攳㈱㌴㈶㉢㍤㡥㑥昹㥣㐹㥣㠳㤵挴挰挵㥢ㄷ〷っ㔵㕦㤵㌵愰㕤㤹晦㘳㈸㥤㜷㌹㤰㙥㝢㤰攷㑤㈶愵晥愸㔷慢㥤愴㔶ㄳ㌳㔱㌱攰ㅦ㑢㈹㐴ㅥ挸㈱㐹㈹挵慢〰㈲愵慥㈰㤳慦〰愴挴搴㝡㠳扢昴〴散ぢ〱愳㝤摤㙦挰㑦㔷戰㡡愰㘲散㠵ㅦ昴㉣㑢慢㌳㔶㑤㡦㌰㡦㥦㔶〵㤰㘳ちㄱ㡣摡ち㜶ㄹ㤹㌸攵愷㤱摢戵㈳㡡㉦㈹摢㘱挸㉤摣搸㜹㥢㕥戶㤲㝤搶㘹攱捥〷昴㑣㐱ㄴ㠶㜳㤰㘸ㅣ㍤㈵㍡ㄷ㔶㉤㠵㈸挲戱㌰摢㙥㌴ㄲㄵ㐱㘷㌹㐷㜱晥㐴搸㡦摦〷戱㝣慡搳昵摤扤㈵搴㜱捥㌰㈶挸ㅦ散慦晢㔳㌶㌶摥捡ㅤ〳〹扢慢㕡挵昰㔲昸㔵㌴ㄱ㝢㕥㘹㥤㉣摦愵ㄴ愳搳昱捥ㅡ摡慡晦㑦愲㔸㜶搶㌵搶㘶〰扢㑢晦㍦〵挴㡥晡㕦㌱敡㈶㈴晢㜲㤴攱㐳㥥㤱㤳ㅤ㠳㌵㕣ㄱ昸戴ㄱ戶㤱㈳戰㈶㔹〶扢挳㕣ㄵ㥦慣㠶挵㈲挱攱昱捡昵㕥㡡㘸户愵㙤㍢搲㔷〰㥥攲㤰摥㠰〸敡摢㥥㠳摥㝡㡥㉤㝣〵攸㐳㤷慣扡攷晡慥ㄹ㑣㔶ㄱ敥㥤攴ㄷ㘷㈶㙣㥥ㄹ昵摤㕥愱昶〰㔶㘲昴慢㘸㜳㜹ㄱ〲晢戲ㄱ扣㕦㔱㐸挶ㄴ㜶ㄷ挳攰搷㐷攳㠹挰ㄲ戵㠳㝦㤷ㄹ昹㠵ㄶ攱攵っ㠸摡ㄳ捡㉥昴㌵昷摥捤攰搲攱㜶搶㤷攰昹㌱㥡ㄵ㠴挵㘴ち㕦昹㉡搷戵㜷つ扡敢㐶㜳昳㔹㜳㌰㙦㕢㈹晦㍡㘸扡扢户㜴戳っ摦挹敦㤰㑢㕡㡤㄰㕥㌲㝡㑢㜷敦㥡㘵㙦ㄳ攰昳攸㌳㙥扡扣愶㥡㜰㤴敤ㅣ昷㉥愹ㄹ戴㘵㝢敤㝡㤴ㄱ㍦㉦晤㜹摣㠶敡㍢㤸ㄲ㤹ㅦ昹㑣㘱〵愰㍦㐷扦㡡㙡㕤晥〱㜲戴㥡㘷㉦昸㘹つ昶㄰晤ㄴてㅢ攴换㤲晡㑤戴攲扡㠵昳挷摥攰晣㤵ㅣ㉡㤰搷㔶〱攲愴㜸愸㤰㔱㝤ㅢつ摡愳戲㠰敤㍦慡㙦㙤㍢㉡㥡〳㌲慡ㅢ㜱攷昸㜷㍣㔶㈷㕡ㄳ㑦㥡㑤攰㄰戸㉣㡣戵捡ㄸ〵㈵愵㑦㈱っ㌳㝣晦っ昲㐸晦㄰晤晢昶㤹ㅦ扥挵昴㥦㘷㤴㠸㐶ㄴ㘹敢㔲㈳〴㡡愲㔱㘶昱敢挹㔹㜸挰昶㥦挵慦㙤㌷㡢㜱㑡㑤㕥㑥搱〲㠰昲㤸㈲昷挸慣㕡㔱㠶て攳搷〹昰搳㌶〰捡㘳攳㈴㠴㍣摦㈲昲㌶挱㈶挱㌳〴捦ㄲ㍣〷㔰㉥㈹ㄲ㐳扡晢㕡㤴㤱敥㐸ㄱ㌶㉦㡦㡦㜳昱挲㙣㥥㉢㤶昲㌵㤰㤸㔶扣㍤㐹㠷㑦㈱昴搸ㄶ㐲㠵㕡戴㈳㔷敤㥥㄰㉢㤱搳扤慦㌶㈸っ㜸㉤㐰晤㐲㑣挱ぢㄷ攲㑦慤戲㔱愰ちㅣㄴㅡ戳攴㌸㉥愴晡昹戸昲㥦扣搹昱慢愲〰〹㙣ㄶ㔶㈶㘷㑡攵ㄷ攲捡㈷昰ㄹ㤷搴挹昰摡〱搳摢㜱㘵㜲戰㔴㝥㍥慥晣ㅦ㈷㡥戶㉢挷っㅢ昶㍣扥㡥捡ㄱ㔹挹㔸㈹ㄶ戳㥣㈱ㄲ㕦㜷㡦愱㝡摥愴ㄶㅥ㌱㐳㌴攵慦㠴㥥㥢愲㠷㐷㜱㤹挴挳昷搵ぢ戸ㅢ㠵㉢㈴㄰搵攱㝦戳㜰ㄱ㜷愶收昵㐰挷攷搳ㅢ〸㔶㝢㥡㍣戱㜱挱㕣昴㠰ㄸ㌶㉦晡㌸㤹㌵昶ㄴ户挰愸挸㠵㑢扤㠳ㄳ㍦挵〰敤慣㐷ㅣ㘴换昲づ捡㘰㉡㐸㠲㌱㌹昵戵㤸挸㤹ㄷ㍡散愳扤〸攲㐰戴〲㌲愳晤㈲㘰ㄸ扣㌹㐴挴㌸㘵〶挵㥡昶㑢〰攵㈱㐵㘹㐱昲ㄷ㝥ㄹ㘰㉣晥扦㉤㈶㌷挴搹㤲㔵户攲㜷㈴ㄹ㐹晢㍡ㅢ晣ち挰㄰扣扣昰ㅡ㈱攱㉥㠳昶慢昸㌷昱慥㍣㈵捦攷晢ㅢ戳㍣慢挶摦摢㈳ち搹昵㘱晤㔹㝣㈸扦挹㡥㠷昰晦㠴攴挵昲捥㘵㝦㘶戰扥挸㕦㔴㜷昲昳㌰愱昷搰て搷戵㘳〴戲㐷搱㘸㡡昲㤵搳㔵㌷搱㍦摦㐱㥢扡愴㈸㜱〵扤ㅥ愱てぢ㥡㌲㔸搰㙥㠴㍥㈲㘸㑡㘵㐱㍢ㄱ㥡㡥戳㤲愲㥣ㄶ戴ㅤ愱改〷㈹㡤㔳㕣ぢ㈵扦㠹㑣㜹㈸㑦挲敦㥡〳㌹㡦挱㙣〹敤㌷搰㔴㤱慤搸㠷昶慤㈸挳〷㐵㥥㤲㤱㕡搱㐸愹㉣戵㙦戳㠸㉣挳ㄱ㙡㉦昱㠹㥣㈲捤㕦㐶㠶捡㠲㍦挵㠹㐸㜳㈳搹晣ㄵㄶ挹㑢㤱搱㕥〵㠸搳㌸㕦㉥㑢昰㕢挸㤴㠷挶昸愶㈷昱换摥㔶昵敢㡤敢搷㝦㌲㤶㥢扣㌷昷搴ㄷ㐶㕦㝡晢敦㝥晣㡤ㅦ晤摣改㝦晦改㉢慦晣攸㕦扦昱搶㑦晦㙡攵昴摦扣晥晡て扥昸㥤户㝥㝣搰㝣㉤晢收㑦ㄶ㕥㝢㙥晡挶㜳㌷捤慢㥦㌹晦摣㤷㥦㝥㘲㝡改慥愹愱愱攱攱㑦㑤晣敤㍤て㡦扦㜰昳㝢敡慦晦改㠸愳㘴昰㜸㐱昷㌰㌸〹㑡㔲敤㌵㠲摦㈶㜸㥤攰㜷〸扥㑢昰扢〴㙦㄰晣ㅥ㐰戹㌸挶㐹㝤㤰㈳ㅤ㡦搷㐹㜱㘹㘴㔱㥦㡡ㄶ㜵ㄶ㠸㈲㑣戶搷攲㠲㈷愳〲㤹挲ㅦ〰慢㌸〵㘹㜳㌵㉡ち㤹㥣㤳ㄲ昴㜲㠴づ㤹㥣搳ㄴ㜴㌵㐲㠷㑣捥㠹ぢ晡㑡㠴㍥〲㐴㐹㜱㈹〴晤㐴㠴づ㤹㥣㡢㈳攸愵〸㉤㑣慥戸㕣㠲㕥㡣搰昱攸㌹捥ㄷ昱搳晥ㄴ㐰〹攰搳㥦〱㌰攵昰ㅢ攷㐳愸攱㐶晥〷戳㈲ぢ㌵</t>
  </si>
  <si>
    <t>Decisioneering:7.0.0.0</t>
  </si>
  <si>
    <t>CB_Block_7.4.0.0:1</t>
  </si>
  <si>
    <t>CB_Block_7.0.0.0:5</t>
  </si>
  <si>
    <t>Decisioneering:7.4.0.0</t>
  </si>
  <si>
    <t>CB_Block_7.0.0.0:4</t>
  </si>
  <si>
    <t>CB_Block_7.0.0.0:3</t>
  </si>
  <si>
    <t>CB_Block_7.0.0.0:2</t>
  </si>
  <si>
    <t>CB_Block_7.0.0.0:1</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</si>
  <si>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</si>
  <si>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</si>
  <si>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</si>
  <si>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</si>
  <si>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</si>
  <si>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</si>
  <si>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</si>
  <si>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</si>
  <si>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</si>
  <si>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</si>
  <si>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</si>
  <si>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</si>
  <si>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</si>
  <si>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</si>
  <si>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</si>
  <si>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</si>
  <si>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</si>
  <si>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</si>
  <si>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</si>
  <si>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</si>
  <si>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</si>
  <si>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</si>
  <si>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</si>
  <si>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</si>
  <si>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</si>
  <si>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</si>
  <si>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</si>
  <si>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</si>
  <si>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</si>
  <si>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</si>
  <si>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</si>
  <si>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</si>
  <si>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</si>
  <si>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</si>
  <si>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</si>
  <si>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</si>
  <si>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</si>
  <si>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</si>
  <si>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</si>
  <si>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</si>
  <si>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</si>
  <si>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</si>
  <si>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</si>
  <si>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</si>
  <si>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</si>
  <si>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</si>
  <si>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</si>
  <si>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</si>
  <si>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</si>
  <si>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</si>
  <si>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</si>
  <si>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</si>
  <si>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</si>
  <si>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</si>
  <si>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</si>
  <si>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</si>
  <si>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</si>
  <si>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</si>
  <si>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</si>
  <si>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</si>
  <si>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</si>
  <si>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</si>
  <si>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</si>
  <si>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</si>
  <si>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</si>
  <si>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</si>
  <si>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</si>
  <si>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</si>
  <si>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</si>
  <si>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</si>
  <si>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</si>
  <si>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</si>
  <si>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</si>
  <si>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</si>
  <si>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</si>
  <si>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</si>
  <si>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</si>
  <si>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</si>
  <si>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</si>
  <si>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</si>
  <si>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</si>
  <si>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</si>
  <si>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</si>
  <si>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</si>
  <si>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</si>
  <si>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</si>
  <si>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</si>
  <si>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</si>
  <si>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</si>
  <si>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r>
      <rPr>
        <b/>
        <sz val="10"/>
        <rFont val="宋体"/>
        <family val="3"/>
        <charset val="134"/>
      </rPr>
      <t>访谈</t>
    </r>
    <r>
      <rPr>
        <b/>
        <sz val="10"/>
        <rFont val="Arial"/>
        <family val="2"/>
      </rPr>
      <t>+</t>
    </r>
    <r>
      <rPr>
        <b/>
        <sz val="10"/>
        <rFont val="宋体"/>
        <family val="3"/>
        <charset val="134"/>
      </rPr>
      <t>问卷</t>
    </r>
  </si>
  <si>
    <t>展示现有相关产品</t>
  </si>
  <si>
    <t>Infosys  高保真原型</t>
  </si>
  <si>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</si>
  <si>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</si>
  <si>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</si>
  <si>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</si>
  <si>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</si>
  <si>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</si>
  <si>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</si>
  <si>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</si>
  <si>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</si>
  <si>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</si>
  <si>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</si>
  <si>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</si>
  <si>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</si>
  <si>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</si>
  <si>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</si>
  <si>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</si>
  <si>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r>
      <rPr>
        <b/>
        <sz val="10"/>
        <rFont val="宋体"/>
        <family val="3"/>
        <charset val="134"/>
      </rPr>
      <t>邮件评审</t>
    </r>
    <r>
      <rPr>
        <b/>
        <sz val="10"/>
        <rFont val="Arial"/>
        <family val="2"/>
      </rPr>
      <t xml:space="preserve"> Email Routing</t>
    </r>
  </si>
  <si>
    <r>
      <rPr>
        <b/>
        <sz val="10"/>
        <rFont val="宋体"/>
        <family val="3"/>
        <charset val="134"/>
      </rPr>
      <t>走查</t>
    </r>
    <r>
      <rPr>
        <b/>
        <sz val="10"/>
        <rFont val="Arial"/>
        <family val="2"/>
      </rPr>
      <t xml:space="preserve"> Walkthrough</t>
    </r>
  </si>
  <si>
    <r>
      <rPr>
        <b/>
        <sz val="10"/>
        <rFont val="宋体"/>
        <family val="3"/>
        <charset val="134"/>
      </rPr>
      <t>Infosys 会议审查</t>
    </r>
    <r>
      <rPr>
        <b/>
        <sz val="10"/>
        <rFont val="Arial"/>
        <family val="2"/>
      </rPr>
      <t xml:space="preserve"> Sampling Inspections</t>
    </r>
  </si>
  <si>
    <t>1 Email Routing</t>
  </si>
  <si>
    <t>2 Walkthrough</t>
  </si>
  <si>
    <t>3 Inspections</t>
  </si>
  <si>
    <t>4 Sampling Inspections</t>
  </si>
  <si>
    <t>Design Decision</t>
  </si>
  <si>
    <r>
      <rPr>
        <b/>
        <sz val="12"/>
        <rFont val="宋体"/>
        <family val="3"/>
        <charset val="134"/>
      </rPr>
      <t>设计</t>
    </r>
    <r>
      <rPr>
        <b/>
        <sz val="12"/>
        <rFont val="Arial"/>
        <family val="2"/>
      </rPr>
      <t>Design</t>
    </r>
  </si>
  <si>
    <t>合并概要与详细设计</t>
  </si>
  <si>
    <r>
      <rPr>
        <b/>
        <sz val="10"/>
        <rFont val="Arial"/>
        <family val="2"/>
      </rPr>
      <t xml:space="preserve">Infosys </t>
    </r>
    <r>
      <rPr>
        <b/>
        <sz val="10"/>
        <rFont val="宋体"/>
        <family val="3"/>
        <charset val="134"/>
      </rPr>
      <t>概要</t>
    </r>
    <r>
      <rPr>
        <b/>
        <sz val="10"/>
        <rFont val="Arial"/>
        <family val="2"/>
      </rPr>
      <t>+</t>
    </r>
    <r>
      <rPr>
        <b/>
        <sz val="10"/>
        <rFont val="宋体"/>
        <family val="3"/>
        <charset val="134"/>
      </rPr>
      <t>详细设计</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</si>
  <si>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</si>
  <si>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</si>
  <si>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</si>
  <si>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</si>
  <si>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</si>
  <si>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</si>
  <si>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r>
      <rPr>
        <b/>
        <sz val="10"/>
        <rFont val="宋体"/>
        <family val="3"/>
        <charset val="134"/>
      </rPr>
      <t>少量代码复用</t>
    </r>
    <r>
      <rPr>
        <b/>
        <sz val="10"/>
        <rFont val="Arial"/>
        <family val="2"/>
      </rPr>
      <t xml:space="preserve"> Manual w/No Reuse</t>
    </r>
  </si>
  <si>
    <r>
      <rPr>
        <b/>
        <sz val="10"/>
        <rFont val="宋体"/>
        <family val="3"/>
        <charset val="134"/>
      </rPr>
      <t>基于现有产品</t>
    </r>
    <r>
      <rPr>
        <b/>
        <sz val="10"/>
        <rFont val="Arial"/>
        <family val="2"/>
      </rPr>
      <t>/</t>
    </r>
    <r>
      <rPr>
        <b/>
        <sz val="10"/>
        <rFont val="宋体"/>
        <family val="3"/>
        <charset val="134"/>
      </rPr>
      <t>平台大量复用</t>
    </r>
    <r>
      <rPr>
        <b/>
        <sz val="10"/>
        <rFont val="Arial"/>
        <family val="2"/>
      </rPr>
      <t xml:space="preserve"> Manual w/Reuse</t>
    </r>
  </si>
  <si>
    <t>Infosys Code Generation w/Reuse</t>
  </si>
  <si>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</si>
  <si>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</si>
  <si>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</si>
  <si>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</si>
  <si>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</si>
  <si>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</si>
  <si>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r>
      <rPr>
        <b/>
        <sz val="10"/>
        <rFont val="Arial"/>
        <family val="2"/>
      </rPr>
      <t xml:space="preserve">Infosys </t>
    </r>
    <r>
      <rPr>
        <b/>
        <sz val="10"/>
        <rFont val="宋体"/>
        <family val="3"/>
        <charset val="134"/>
      </rPr>
      <t>邮件评审</t>
    </r>
    <r>
      <rPr>
        <b/>
        <sz val="10"/>
        <rFont val="Arial"/>
        <family val="2"/>
      </rPr>
      <t xml:space="preserve"> Email Routing</t>
    </r>
  </si>
  <si>
    <r>
      <rPr>
        <b/>
        <sz val="10"/>
        <rFont val="宋体"/>
        <family val="3"/>
        <charset val="134"/>
      </rPr>
      <t>会议审查</t>
    </r>
    <r>
      <rPr>
        <b/>
        <sz val="10"/>
        <rFont val="Arial"/>
        <family val="2"/>
      </rPr>
      <t xml:space="preserve"> Sampling Inspections</t>
    </r>
  </si>
  <si>
    <t>UT Decision</t>
  </si>
  <si>
    <r>
      <rPr>
        <b/>
        <sz val="12"/>
        <rFont val="宋体"/>
        <family val="3"/>
        <charset val="134"/>
      </rPr>
      <t>单元测试</t>
    </r>
    <r>
      <rPr>
        <b/>
        <sz val="12"/>
        <rFont val="Arial"/>
        <family val="2"/>
      </rPr>
      <t>Unit Test</t>
    </r>
  </si>
  <si>
    <r>
      <rPr>
        <b/>
        <sz val="10"/>
        <rFont val="宋体"/>
        <family val="3"/>
        <charset val="134"/>
      </rPr>
      <t>临时</t>
    </r>
    <r>
      <rPr>
        <b/>
        <sz val="10"/>
        <rFont val="Arial"/>
        <family val="2"/>
      </rPr>
      <t>/</t>
    </r>
    <r>
      <rPr>
        <b/>
        <sz val="10"/>
        <rFont val="宋体"/>
        <family val="3"/>
        <charset val="134"/>
      </rPr>
      <t>手工</t>
    </r>
    <r>
      <rPr>
        <b/>
        <sz val="10"/>
        <rFont val="Arial"/>
        <family val="2"/>
      </rPr>
      <t xml:space="preserve"> Ad Hoc</t>
    </r>
  </si>
  <si>
    <t xml:space="preserve">Infosys UT </t>
  </si>
  <si>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</si>
  <si>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</si>
  <si>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</si>
  <si>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</si>
  <si>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</si>
  <si>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</si>
  <si>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没做集成测试只有系统测试</t>
  </si>
  <si>
    <t>1 Bottom-Up</t>
  </si>
  <si>
    <t>2 Top-Down</t>
  </si>
  <si>
    <t>3 Hybrid</t>
  </si>
  <si>
    <t>ST Decision</t>
  </si>
  <si>
    <r>
      <rPr>
        <b/>
        <sz val="12"/>
        <rFont val="宋体"/>
        <family val="3"/>
        <charset val="134"/>
      </rPr>
      <t>系统测试</t>
    </r>
    <r>
      <rPr>
        <b/>
        <sz val="12"/>
        <rFont val="Arial"/>
        <family val="2"/>
      </rPr>
      <t>System Test</t>
    </r>
  </si>
  <si>
    <t>Infosys 两轮</t>
  </si>
  <si>
    <t>三轮</t>
  </si>
  <si>
    <t>四轮</t>
  </si>
  <si>
    <t>1 On Breadboard</t>
  </si>
  <si>
    <t>2 On Brassboard</t>
  </si>
  <si>
    <t>3 Production Hardware</t>
  </si>
  <si>
    <t>AT Decision</t>
  </si>
  <si>
    <r>
      <rPr>
        <b/>
        <sz val="12"/>
        <rFont val="宋体"/>
        <family val="3"/>
        <charset val="134"/>
      </rPr>
      <t>验收测试</t>
    </r>
    <r>
      <rPr>
        <b/>
        <sz val="12"/>
        <rFont val="Arial"/>
        <family val="2"/>
      </rPr>
      <t>Acceptance Test</t>
    </r>
  </si>
  <si>
    <t>两轮</t>
  </si>
  <si>
    <t>Infosys 四轮</t>
  </si>
  <si>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</si>
  <si>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</si>
  <si>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</si>
  <si>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</si>
  <si>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</si>
  <si>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</si>
  <si>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</si>
  <si>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</si>
  <si>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</si>
  <si>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</si>
  <si>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</si>
  <si>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</si>
  <si>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</si>
  <si>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</si>
  <si>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</si>
  <si>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</si>
  <si>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</si>
  <si>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</si>
  <si>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</si>
  <si>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</si>
  <si>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</si>
  <si>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</si>
  <si>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</si>
  <si>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</si>
  <si>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t>㜸〱攵㔸㙢㙣㈳㔷ㄵ昶昸㌱昶㜵㕥摥挲昲㔰ㄱ㘴㈱㡢㈸挹扡㜶㘲挷㐹搸搰㜵㥣散㈶扢㥢㌸㥢㘴户ぢ㐲㥡㥤戱慦ㄳ㈷㌳㥥㜴㘶ㅣ㈵㈵㑢ㄷㄶ昵㠱㤰㉡搴ㄷ㐵攲捦ㄶ戱㉤ㄲ愸㐲㐸㔰愱ち㤰搰ち㤰㄰攲て㠲ㅦ晣㐳愰㑡敤㡦慡㐲攲ㄷ攵㝣㜷㘶ㅣ挷㜱扣㙤ㄵ㠱㉡㐶昲昱戹攷㥣㌹昷捣㜹摤㐷㐰ち〴〲㙦搳㠳㝦㍣㘱㈰ㅦ㕢摥戱ㅤ㙥㈴ぢ愶慥昳㤲㔳㌵㙢㜶㌲㙦㔹敡捥挵慡敤㠴㐸㐰㔶慡挴户㈳㡡㕤㝤㤸挷㤴㉤㙥搹㈴ㄴ〹〴㘲㌱ㄶ㈴㍥㘴昰㑢昸〳㠶ㄱぢ〳㤰㔴愰㕢㈶戰㔲㤸㉡㙡敢愴㝦搹㌱㉤㍥搴㝦挵搵㌲㤹㑥㈷搳挹攱昱攱搱㘴㙡愸扦㔰搷㥤扡挵㈷㙢扣敥㔸慡㍥搴扦㔸搷昴㙡改〲摦㔹㌱㌷㜸㙤㤲㙢愹ㄱ㑤捤㡣愵㌳搹㙣㘵㝣㝣慣㍢㑡㥡ㄷ㡡㠵愹攴〲㜷㡥㐸㘷〴挶愷愷㜹愹㡡慦攴摣慡搶㔶㤳㌴挳㍥晢㤳挵㑤㈷㔹㕣㕥攲て搵慢ㄶ㌷㜸捤㠱㈵摤捡愲挵㉢摣攲戵ㄲ户㝢㤵㤹敤ㄲ搷ぢ㕣搷㤷㜸挵敥㔲捥㔹㘶㝤㜳慥㔶收摢㘱攵㡡㙡挵㤴㜳昵㙡㜹㕥摤散㌱㉥摢㝣㐹慤慤昲〵搵攰ㄱ〳攴㘰㌸㄰づ〵㐲㜷㌵愳㌰㤵㑢敥㥢〶慥㡥昵户㔸て〷㤱挱ㄷ戸㔵攳㝡㤲㡣㠶戱敤挲㍥慢摡㙢㡥慡改㕣敡昲㤲〲挶㐰㘷㥣挵〸攲㘱っ㈰㑥㐰ち晦㤳㜲愹㔹戲㡢愸㐱㐵つ㉡㕡㔰㈹〵㤵㜲㔰攱㐱愵ㄲ㔴㔶㠳捡㕡㔰愹〶㤵昵愰戲㐱㌲晥ㄳ㡢㐶㠳摥昳慢捣㈳摦散㝦敤捥㠵㤷㕥晣捤捤愹㥦摣ㅥ㡡㈰㝤敥㙦昹㤰㐳挲攰㈶㔶㜵㡢扦㝦㠲㐰㈶扦㤷㈰㜴㝢㥥㘳㍤㠴戰㕥〲㤲昴㈶〵〱㠱愸㑣㥤昸晡攸捦扥㌳晢摣搵㝦㍦昶搶㙢㉦愹ㄲ㙡て挹ㅣ㘷〹㠲㜸搸㌱㠰㝢〸㐸搲ㅢ摥㙢敢㝤㜷㝥慥摣昳㤷昳㌷㥦昸攸捤㥦敥摣㝡㌵㠲㐰扦晢挴㐳敤㌳㤱扢㔴慤㜶挴㌸㙢㕡㜶㈸搴㌱挹㍡㌲㤱㜴散㠳〰挷〹㐴㤰㜴㜷㑤敢て㤱㤰愴㑡㕡搴愰㙣㥦㕦戵㈲㠶㕢㔱搳摣㉥㌱㠳㙡㑥㔴㥦㑣㤸㕥攷摤㐶挱慣㌹㝣摢㤹㔶ㅤ㌵㙡㉣慡㔴戶㑥㉦扤㐸㜲㠳㥥㠲㙥㝦〸㍤㡤〱搴㈵㝣㡥慦戵㘷㡦㐰捡㍦攰㡦㥡收㘸攸㜶愷㘲㘲ㅥ㈸㜶㌱㘸敤ㄱ㌴㕦㘵摣ㅢ㤱扥㠴㐰㥢㤴㜵〹㠲慢〹㝤㥣ㅡ㜹㈸散晤戹〳㔹晥㔴㑢昵散㙦〳㘴㈱戹〸㐹ㄸ㤳㍢㐶㘲愰㥤㥡㤲㜶搹愹敡㜶㤲捣㄰㝤つ㝡晥摢昳ㅤ㤵摤戰摤㝤晥昵戶晦ㅦ㤷㤱㑣㠹㝤㉤㝥㈲㌳㈱㝦ㄸ〲㔴㌹㥥㈰愵攷㐷㠸㄰㡦㌳㠸㌳㜰て㌲㍢昱挲㘸愴ㅤ摤て敢攲ㄷ㑤戵㝣㔶㉤搱搲ㄹ昵ㄶ捥㔸挱㌴㌶㈹㘷慤〴㥡㜶挱㉣昳㐵换摣慡㤶戹ㄵ〳㘱㤹㤶敡㌰㉡㔱ㄶ挹㙥㔳㝡㠴〲㤱㐸㔷慣摤㕣㜳扥慥㠱㌶㕢㠱戹〳晡㕦扦㌴昶㐰ㅦ慣㡡愳摦戳㑦〰昴ㄳ㤰搰㥤搰㍤搸〹㠰㑦ㄲ㠸愰㑦㜵慥㕢敡㠴晦愷㜵ㅢ昶ぢ㜶㕦摤摥搷慥摣ㅡ㡢㜷㘳愹㍢㕢慦㈱㌳〶摦㤹昴捡捥㈶户晦ㄷ㌵晡㝥敥〹昱挸㕦愹㤸摦㡤㠷戱㥤㡥㙥㘱㜵㔱㤴㐰っ晥挶戲ㄸ㤷〷〸昶ㄶ㤷ㅢ挱㥢ㄸ㥥㌸搸㉢㍥つ搱㌸㠳散㈱捣㑥㍣〹㥢〱㌴㤳㤶敡㍣〵㜵㐹〲ㄲ㌶〱愲㍡敦〷㈹〵㤲搸づ㄰攲㍥捤摤㉦㑤愴㤶敥搷捥收ㄱㄲ㈳㥢㈱㝤搰㘶挱散挴㤳戰ㄳ昱㙤㐶愷昰㍡捡〴搴㝤㡥㠰㠴つ㠰㉦〰攷㝡〲愷㈱㌰〹〱㙣づ摡〸㝣ㅥ〲て㐰㐰戴㘷㐲攰㤶ㄵ〸扢㑤敢っ愱㉣㑦㈰㠱昶〵搵㌱昸㈶㤰攸㈷㠰㈱㥢〲㜲㠲㐰ㅢ昵〵〸㑣㐳〰㑤慥㡤挰っ〴捥㐲㐰㐴㤵㄰捣㝦㡤晥扤昹捦ㄱ捡㘶〹㈴㄰愰愶昹㐵愸挰㥣〳ㅤ愱㙡愳晥㍣〴㉥㐰〰㘱㙣㈳㜰ㄱ〲昳㄰㄰㐱㈰〴昳㘳㔲㙦晥〵〸ㄴ〹㈴攰散愶昹㠵摢挱㕣〴ㄳ㡥〶㔳扥㐴攰㘴㘱慡戰愴㘴㉡攳㕡㌹挷㉢挳㤵㙣㉥㤳ㄹ捥㡥㘵㔲改㙣㘵㑣ㅤ搵搲改㜴㑡ㅤ㐹㠸戸㤰㌸㕢㈲㤰㐰㈴愰㠱㉤㘳㈴㐲㠲㤱攰㥤㈱っ㥢㔴昹㌲㠱㘳㠵㈹挵㉤㤰戹㌲敤挴慡捥㡥㝣㠵挸扤㈰㙦㍡换㜴搲挲戱㑡㝥㤰㘸㍤㉥㉤㕦摥㕡㜶㔴㐷扥㑡愴愸㌲昳㄰㉤㠰㥢昲ㄷ昶昸㜴㌰搲敢㘵㥥挸ㄳ〹搳戰㉦ㄲ㜰挳㉣㤲㔵晥ㄲ㡤㤷㔲愷㈷扦扣扢㘴㥡捥㉥㙤㔹㜹㐹戵ㅤ㝢ㄷ敢愱㘹㔷㜱ㄶ敥㥦搹㔶㡤㑤㥤㥦扡㔴㔷㜵㌲敡ㄴㄹ昳户㕦晣攸敦㑦扦㤲㑢㙥敢昶昶敥㍣㉤扤晡敥㘴㍥㍢㥡㥣捦㕦扤㝥㝡㌲ㄵ㤳〲㔱㘴㡦昸㙥㌴㠰㔰昳ㄹ㐹㝡㠱㥡ち昶敢收攸搰敦㡥敦晣㘳攱挵㍦扦扡晥㠷㌷㍦扢㉤摤昲ㄸ㍦㥥敤扡昴昲敦㥦㍡昳昲愹㍦㑤て晥㜰㑤㐹㈰摤㐴ㄴㄴ㐲摣㈸愸愹攱㑡㉡㌵挲㌳㘹㥥挹㡣㔰ㄴ㔴㤵㙢攵昱ㄴ捦㔴戴散㔸慥㤲㄰搹㐹攲散ㅡ㠱〴昲㔱㐴㐱挵㐸㈴㈶㈱㉥て㔹㈱摣㠳㈸㌰昸㥣挱挹っ㙥㘵㜰㘷〲㜹㉡㈴搶〸㘹㜶攰㍡㡤搵㈳昰㕥㤱敥ㄴ㔴㕤敦㍦㘷慡㝡㜲㜱㘶愹㌰戳戰㌲㜷㜱收㌳愹攴㜸昶扥敢昰㈷慡攱㄰㝦㍥攳戹㙤攳㡦慦昴㥣慣捥㉥摣扥昵㠳㕦昶㑤㝣扦㈶㍤㝤㤸㍦捦㝢扡㘴㠳㄰捦㥦㌹㜲㘵㑥㑢攵㜲改㙣㈶㥤㑤㙢㘳㝣㜴㘴㌸㌷㌶挲搳㥡㔶搶㜲〹㔱㙤㈴捥㙡〴ㄲ愸㉦攱㑦ㄳ㈳㔱㘸つㅥ㑡慢戳㍦㔱㜷㐲㘲㡢㤰ㄸ㝤ㅥ愹挵搶㔱摥㈶㜰㘴〹㌹㥡㙡㑥㐸㤴昳㈱づ㝣捣昳搳ㅢ㌷㤲㜷㥥㕣㝤愱昸晣㕢户㔳挷㐶㍦㍥㉥㍤㝡㠸〳㈳愸摥㔴换捥攳挰搹扣昵㙥㐲愶㤷㡥ㅢ㜳㌶摤㠶搰摤捦㡡㤹㙦摣㜹ㅣㄳ㝢㔴愲て晡〷挸㤳㝢㤴扣㘶㥢㝡摤攱晥㙢㐵慢昱ㅥㅤ㤷㘸愹ㄵ敦㔱敤ㅥ摦ㅢ㌵ㅤ㤴敥摤愳捥搵㙣㙥㌹扣散㙢戴改ㄴㅣづ㠶愴散摤扥㠴㑡㥥㉥㝢〸攲搰攵㕦攸攰㜳敥㙤戳㕦㥥慡㍡攲昶っ㝣㠹愱㙦捡扢〴搸攴㐰㝥㈰㥤㑡愵㐶㈳㌷挹慤敦㙤㑥㘴捡摥晥〲㌳攰㠹戳慦㄰㤴搰㘰愱ㅡ愴敥㐷〸搰㜹㙦摡㌴搴㙡敤愸㙥挶搰㍦㕢户㐳㈲散敥㌴㡤㉢㌲扦㠱㈳挷扢㡤㘲㐹㕢戱戸戸摣㡡㠹〱敤㐵㝢㡣〷㑤㙢㐳㌳捤つㅣ㠰㝢挵挸㕥攳摣挱㝤㔳㤷攱慥〳挰㈵㐹ち敤㙢㥦捤慤ㄴㅦ㈹摦㈰搰㤳愷收攱㙢戴攵慦ㄲ㈹㐴搷㕣昲搷〸ㄹ㝣㐷捤㍣㉢㥡戹㜴摤换㜸攳愹㘷㝦㝢晡搷てㄷㅦ扦昶晡捥㜷扦㔷㈸㑢扢ㅥ愳昵㥡㑡扡㐶㔳愰ㅣ㈴㠶收㉣㍦㑡愰ㄱ敡慣戴㐳慦昹㌱㠹戳挷㈱愷ㄲ昰㐹ㄲㅡ㉡扣捡㙥㄰㤰扦㐱㈰㐴摦捥㘰户攴ㅣ㘶㡢敤㌱づ㕣昸愰㌵戹戶愰戱挹㑦ㄲ㘸搸㌲㉣㙤敥戳攵㕢㤸〲摤慢㘱ぢ㥡㔱挳ㄶ〶ㅦ扡㜶㙣ㅣ㘶挷扡挷㘸扤㐱ち㈳ㅤ㍢㤵〶㉥愵愲㠶愲攲㤲㌹㘶㈸㍡慦慤㍡㙢㡤㡢㘵摡㌶挷攸㘶昹㌹ㄲち搲て㡦〴捦㐱㉢晢㌶㠱〶ㄵ摦㈰愸捦㌷㔱晢昰㈲ち㈵㐶扦㐰ㅦ㕥搸ㅢ㐱戰㌱敡晡てㄹ㙡㙣攳</t>
  </si>
  <si>
    <r>
      <t xml:space="preserve">WAR </t>
    </r>
    <r>
      <rPr>
        <b/>
        <sz val="10"/>
        <rFont val="宋体"/>
        <family val="3"/>
        <charset val="134"/>
      </rPr>
      <t>审查</t>
    </r>
    <r>
      <rPr>
        <b/>
        <sz val="10"/>
        <rFont val="Arial"/>
        <family val="2"/>
      </rPr>
      <t xml:space="preserve"> Inspections</t>
    </r>
  </si>
  <si>
    <t>WAR 三轮</t>
  </si>
  <si>
    <t>㜸〱敤㕣㝢㤴㕣㐵㤹敦敡㤹扥搳搵㌳㍤㜳㐳挲㌳㍣〶㐸㜸㘴挲㌰敦㐷㈰㘶㈶昳㐸㐶㤳㑣㤸㐹〲挸㘳㜲扢晢㜶愶㐹㍦㘲㜷㑦挸㈸ち㈲攲㘳㕤㜱攵て㐵㐵〲〸ㄸㅥ挲敥昱㜰㜴㔵㐴て换㝡㍣㐱攵愱慥挷戳扢挰ち愸㍣㡣扡㡢慣换捡晥㝥㜵敢㜶摦㝥捣㌰㠴㜱㌷㝢㡥㌵搳㕦㔷㝤摦㔷㔵户慡扥晡敡慢慦敡戶㑦昸㝣扥㌷㄰昸捤㔰换挸㠹㤳戳戹扣㥤㙡ㅤ捡㈴㤳㜶㌴㥦挸愴㜳慤㠳搹慣㌵扢㈹㤱换搷㠰挱㤸㑡㠰㥥ぢ㑣攵ㄲ敦戵㠳㔳㝢敤㙣づ㑣〱㥦㉦ㄸ㤴㝥搰㠳晡㘳扡〹挹㕣戲㤶〰㕣㍥㘹㄰搴ㄱ㤰㔵㑡㠲㄰㐰㐳㍤挰戶愱昵攳㤱㉢㔰昱㘴㍥㤳戵㔷㌷敦㜰㡡㕦摢摥摥摡摥摡搱摦搱搳摡戶扡㜹㘸㈶㤹㥦挹摡㙢搳昶㑣㍥㙢㈵㔷㌷㙦㥤㠹㈴ㄳ搱㜷搹戳摢㌲扢敤昴㕡㍢搲搶ㄹ戱扡晡摡扢扡扢攳晤晤㝤つつ㈸㜹换搰晡慤㔹㍢㥥㕢慣㌲挳㉣㜳㝣㘸㝤敢ㄶ㍢扦㔸㘵㌶愲㑣ㄴ㌹㥣㐹㔹㠹昴㈲ㄵㅡ㘰昷户て摢搱〴挷挹戶戳㠹昴慥㔶㍣㜶㐹㐷㈳搵摢ち㥥ㅤ㔶㜶挸㑥㈶㈷散㌸挷愶㌱戵㍤㘷て捤攴昲㤹搴ㄶ㉢㘵㌷愴搸㠱㜶搶㑥㐷敤㕣㘳㙡㘴㕦搴㑥㙡敥㕣㌰㠵慣㘴慡㘵愴㈹攵っ攲㔸捣㑥攷ㄳ昹搹㌰ぢ㥡戰搲扢㙣戲〴㔲ㅢ㘶ㄲ㌱㕦㙤慤愸慤昵搵㠸㤵搵㥥㑤つ㤵㝥㈲ㄵ攷㄰㉥愸ㄵ㈵㡦㐵㤱㍡扤慣㝣㡥搹昸㥥晣扢散㙣摡㑥敡㉡㌸㤸㉤㘵㝣慡㡦㥣愱㈸㜴㤶摢㈰づ㤴愸搷㔳㠵慤㘱㐵㐲㌶〱㑡ㄳ挰㔸〲㔰㍦㌱㍣攵㤶㈹㡦㈲㘹㈹㠰愸㝤〹㜳慥㍣慦㝦捡昲㑦㐵晣㔳㔱晦㔴捣㍦㘵晢愷攲晥愹㕤晥愹㘹晦㔴挲㍦㜵㠵㝦㙡㌷㜲扡㈱㔸㔷攷搷攱㤹㝢㥡づ㍥戵攷㌳ㅢ扥晣挸㐹㝦搸晤扥㔵㑦〶㌸捤扡摤㑡攷ㅢ散挱㕣㙥㈶戵㠷昳摢㌳攰㌲㌵㥣换㙦戵戲愹摣攲㡥㌵〶㕡㡤昵㤹搵㥥捣ㄹ敡挱㕣㙡㘸摡捡收摦收㘰㌷㤷搵挰挱㥥㑣愴昴㘰愳㤲㐵ㄹ㘹攳㘸㜴昳慡㉤㤹㙣ち摡㘷戳㙤愵搷戶戵㜶慤㥥捣挷㠶敤扤㠸戶㜵户㤵㠴㜶㜹っ昸攵戱〰挶㜱〰㡤戹㐴㙡㈶㘹戱昳搷戴㜷慣㤱挷㤳㝡〲㠰㄰捦㐱㌶㈸ㅦ搷㑣㝣换摥㙢扥戰㜱㝦㜳慥晢戳愱㔳ㅦㄵ㔴㥤㥣挹㐲㥥㐸敥㤳〰㡣㤳〱敡㈷户ㄵ㠵散ㄴ㤲㥡〱㠴昸㔷㕤搰捤慦ㅤ㝣攲搵㤷㕦ㄸ晤㑡攴㍢摦扢收戹挷摥㄰㔴扦㤴ㄲ攳㌴㠰戳扣㙤攸敡㜶㥢搰搹摡㔹ㅡ扡攵改攰㤶㉢㤸㙦㈵㐰搸搳㠲捥㌵昲っㄲ捦〴㄰攲㥦㜴扤换㘶㙦㍦敥攱㝢㍥㌳晥挵慦㍤晥㤱ㄵ晤搷〶〴㌵扥搳㠰戳挹扤ち挰㘸〱〸て㘵㘲㜶戱〹慢㐹㍣〷㐰㠸㈷㜴㔱㕦㍢昷ㄳ攷㝥敢扤挷㙥戸扦攱扢昷晦挳攷㘷㍦ㄹ愰㙥敡㉣ㅢ攸慡ㅡ㙤ㄴ㙢㐸搴捡攵戵㠸昳ㄱㄶ㔷戰摦㕣慥㐷戳搱㍦扦㕣愳㤲㐵㤱㙢㜹㉥㝢扦つ挰㘸㘷㕦㡤㘳㜵户㤲挹收つㄹ㉢㈹㍢㐸敢〴㄰攲愰ㅥ㤹摤㡦㝦㍤扣㌲戱㜱换㕤户摤晤㜰搳㥡㍢搳㠲㡢戹㌳挸摤攴敥〱㌰㝡〱敡〷㍤㔲摡㐷㔲㍦㠰㄰㡦敡㠲捣㡢扥㜴昲㐳换敦ㅢ晢搴㐷㍡昷㍦㝣晥㌳㌷〹ㅡ〴㑡㑡捦㐳攴㤸ㄲ㈹㜵㠵戴㕤㥥捦㠲搶〲ㄸ敦〰㈸㤹㔵㙤㙢攴㍡㔲〷〰㠴昸戶慥收㐲晢挱㘳㝤㝤愹㤱捦㝥攰扣晥㡦㝣㙣攵〳〱㉡散㠵慤㍦㥣㌶捤㐳搳㤹㥣㥤㔶㉡慡㈵戵㌵ㄱ摤㙤㘷㈷㙤㥡㐹㜶㙣㌲㙦攵敤愳㐹搲ぢ㘴换㜸ㅡ〳㡦㈵㉦㜶㥡ㄷㅢㅦ搹㤷户搳㌱㍢戶㌵㥢搹㘳㘷昳戳摢慣㐸搲㍥愶㠴㘵㄰㜶搷㕥ㅢ㠴攳㑢搰愳㤹攸㑣㙥㈸㤳捥㘷㌳挹㔲捡㘰㙣慦㠵㐵㌹戶ㄹ㔳挹㔷㔳㈳㠴捦扦㔴㉦㑥㈳㝢戱〴㙦戴搲戱愴㥤㥤搷戶ㄳ㕣㘱㡤㄰㠲㉦挰㈵散慤㉦戶㌴昸愴㕡摢㘱㠹攵〲㈹捣扥㕣㑤㑤戵㑡㌷㕡戹改㍣摢㍤㉦㤱㙢慡㕣㑦㌰〴㄰攰ち扡㤰戵㥣摡㔴㔸㈲㈲愲㈲㈶散扡ㄴ搶晡捤扢戲〱㘵挲〴㔲挳㜶㉥㉡㘹愳㡣㘱㄰昶ㄹ㠸㈵㘷㘰搹戰㕢敤㝤昹㘱㉢㙦搵愵戰〲愲搳ㅡ㤱ㄱ㝣㉤扡㠰〶㌷愹㑣㈱㌷挱攲㑣㌷攱㤶ㅡ㉥㈲㔰昸㔲㌷攵愹愳㔰戶㔳㤵㔴昵戰㘰㈷挶㔲挳ち攷ㄶㄹ搲㈹㤴㘷慡愸愷戰㝡㠵㜰㑡㐲摢㘹挸挳㤲慦㠱㙥㔲㕦づ㌴ㄸ收敦㍥㍣㈷㍡㡡㡡㈴㘸捣㍢㌰㉢捡㜴慦戲愸愲㤱敤昹㐴㌲搷㡡㠷搹㤰捤捣散㘱㌹晦摢昵㉤搶㜳昳搹㥤㜰㠸㕡〴㈱㌸愰扥ち摦㉥晥改㙦㠷㈴㙤㍤㘳㠴㜴愸㤹㌷ㅣ㍥〸敤㈸㘲㈱㠷㉡㐹慤㈴慡㥣㜳搰〲戴ㄵ摦㡡㐹㑡〳愱㈱㌵ㅥ㡤㙣换摡捡捣づ慡挴散ㅥ㍢㥣扡㌰㤳摤ㅤ挹㘴㜶㔳挲ㅡ㔵㉡㌷㙤摢㜹㘵戸㙡㔳㥤㜱㈱㐴㑤㑤㠹㘵敡戱㜰㘹昲ㅡ㥢〱挲㠳㔸ㄱ摣ㄲ㜳挶ㄶ攲㈱㄰ㄸ㜷㘳ㅣ昱戶愱㑣㙡㑦㈶㤷愰㜵㌳㌵戲捦㑡敤㐹摡攷㕣㌰㘳㈵戱て㌸〷㈲㌶㤲㝢攱ㅢㅦ晡挵搷昷㜷搸戹昶搶㝤挹摣㍥昱㠰搶捥㝦户戱晥㠲〷ㅥ扢㜱攰㠱㜳㝥㌲摣㜲摦昴㤴戸㕦ㄳ捡慤摣㠶〹搴㜳㠱㝥戶攱慣㜵㈵戶㌴挵摤㔲㐷㉢㉣戰㠵㙣ㄳ戱㑢㡣㜷挷㝢攳敤敤戱敥㌶慢搳ち搰㑡㕢愸㠹㑡ㄵ搹㄰扦㌰㤱㡥㘵慥愴㤶捥㥤戸摥挲㘶愹㘰挲戶㘸摡晡捣㑣㍡㤶㕢㕥㥤愸ㄶ㡤ㄳ捡㘹挵㐲㉡戲㑤㘲晢㘶攷㔴㝤㈷㤷㘷㔳㥡㙣㜰㕦挲㈱㥦㔴㐶挶摥㉤ㄳ㤹㥢㍡㥡戵摦㔳愰㔶㍣㤱戳㈰㤱㕥搱㑡㠷攴㍣搷晦㡢昵ㄱ㝢捥㕡〶㥦㜰㔶捡㔵㘵捡㑣ㄹ㤲慡㠷㕢搵㐰㜸㠶㤸㉢攴㜱愵㘲搷㍡㠱搵ㅦ慢㝣搲愶㑣晡换㌵㘳㜹㘱慡㕣ㄶ㜳昶摣戵㤲㐷摢㄰昴戹㤰晢慣戹戹搵㌳ㄶ㐶敥捦换散㍦㑣慢㐲㑥愲つ㠱㝢㌱㥢攷散㍤摡㝡㘲㥦㤸つ㕣㤹㠸攵愷㡤㘹㍢戱㙢㍡てㅣ扣㑡挱㈰扢戶㈲挸敤㐰挹ㅤ〴ㄷ〲挰㙣㔱㥡搴〸挹㡢㥤愴攰㝥㡢搳㔴扥㥢攰ㄲ㠰〰㙤㠳㌷摤㈲搲㈸慣攵㑥㌸っ㙢㈱㙥挱搹愴愶㤶戰摥扡つ戱㜸ぢ㍢愴搶扢㥣捦摦〸㍥㍢ㅡ㘱㤴㑢㔹改㙥ㄸづ㤹搸〶㍢扤つ㑢㐴㡥散㡢戵㝡㉥㔶㌹㝣㈶㜹㈹㠰ㅢ〲户㐳㠴ㄶ摥㈶扡㌳敢昶搲扥㥢㥡昲〵㔹ㅡ㌱挶攵〰㈵㝢〵散挰㉢搶攷㥤㘰ち㐹戲捥㐱ㄳ摣慦㜳㡤㤶㥢〱っㅢ愰〶敥〵挹㈵㔰摣㌴搷㡡昶㔹㑤愸搸摥㜳㔳㑦戹㜳っ㜰挱敤扤ㄲ摤〴㈲昲ち〰挱扤㍤㑤㘰㈷戸昶㠷晢敤摡㈷㙥摡㌷㄰㌲攸㌳㉡㜱て戰㤵摥㈰㔳㐸挱㐴㈱愳㙡㘶㈵㜱㍥㥡㘸〶㝦愱ぢ㈴つ〱愷昹ㅦ㥢慢昹ㅦ搵㠴ち愷〴扤ぢ捡㐷㌲㡢㠸戸ㅥ㙣搴ㄶ㠸㤷〶昹㍥愴攵㔵〴敦〷昰捣昹慢㥤愴愰㠷㐲㜵摣㌵㠸挸て〲〸㍡㈷㌸敦攵戵〰㙥㄰敦㐷昹ㄴ㈷㈵ㄲ搷〱㕤收搲愸㤰㠸敢挱ㄳ㤲攴慣㤴〸㐵ㄳ㜴㠰ㄴ扢㠳ㄲ攱㜴㐷づ搵搰愷㔳㘱摦㘴㌵愱挲㔷㐲て〹愵愱㑥㙤挷挴㉡㐴㔵愳㙥㘰㤹㥦〲㄰慢〱㉡愵攱㌵摤㘵收〰挸〸慥㌴〴㈱つ㝦㠳㜴㤹慦愵㐲ㅥ㙥〴て攴㠱慣㤵昲愰㠸昳搱挴㌹挸㔷散㠰愲㍣㐴攷敡㠰㠸㈶㔴㜸㜸捥㐵㐹昳㔸㘲㈵㑥㤵㘵攰㉤戱挴ㅡ攲愳㠹㘴摥捥慡挵戶㈹㡥㉦挷昷慤搲㘱㙥挰戳㔶搴㜱㌴㉥㡢て㘱てづ㘷㝢㝥戶㘸㜵㔵搸㌸㡥〹昰ㄷ㑢敥〸昳㜴㈸㌳慥捣㥡㥢挷㔲㠲搰㤴搹㜲昳㌳㝢㠴㠸㘶㔵搵扤㤸ㄲ愹㔶㤴㕣㉡㘴攴㉦㕦愷㍣愶㈰昸扤㐲㐸敥戶戹㉤㍣ち㝢愵㤰㌲搳㥣搶ㄴつ愶扦搸愲攵愷㤷捡挳㈵㙦㐱摦挸晤〴户ㄲ摣㐶㜰㍢㠰戸ㄴ捡㠸慢づ㑤搱㘶㝣㍥〷㐷收〱昸戴㠴扣〳㈹㜹㈷挱㕤〰㥥㔵攷〰㤲挶摤〰㑤慥愷戹搹ㄱ戱㤰㄰㙤㐰㉢愵㝤て㈲昲㕥㠰㠶晢〰戶㙣戴㤳昰晢㉤搶㌱㘴愰〳㘵捥㙦っ㐲㝥戸㔲ㅣ㤳㥡㥣㑤㐷愷戳㤹㌴捥㙤改攷ㅡ㡣攲ㄸ㉦㈷㉣㈳戵㈹㌳㌴㤳㌷㔲ㅢㄳ昸㙡㐸㑤搸㝢㙣㉢㍦㠴㝤㉢っ攰㑤昰㥥㉢敢㜷㉣戶敦晦搲晣㔵捥㘰㜸㜲改搷搲戰㝣昶㍡敥㈷摤扤慤挳ㄹ㥣〹摢敡攴㥡摤㙥ㄸ搸㐷㉣㤲㔷㙢戱捡〹攳戹㝣昲㉢〰户晣昶敥昳㔶摥㝣晦ㅢ晡晢㙡㐸愱ち挶晤㈰㤶㝡攱㉢散㤲扦〵㑢㐸㤲戱搲㉥㔱㌴搱〹㕡㘱㔹㌶ㅥ㐴慡〶㌲攱搸㈶ㅢ㔱㑦㔵摢㘴㠳㈶㔴戸昸改搸㙦挲㐷㕢慡㍤㠸㉡㌱晦㝢㐴攴㌷〰〴晤晢㤴㌸㈷ㄴ㙤㄰㈷㕤捤㔲晤㈶㐸㈵㐷〴ㄵ㤶挹㐳攰㠰㘵㐲挶㑡换㐴ㄱ攷愳㠹㝥攴㉢㜴㠱挷㔲敤㥢慢昹扤㥡㔰㜱㌰㜱㍥㑡㔲㤶敡昷ㄱㄱ摤㘰慢㙥愹ㅥ攴㤳㍥㐶昰〳〰㡦捥昸㤱㤳ㄴ㍣户㔰ㅤ昷㌸㤹㥥〰㄰敢〰㤴愵晡㈴㈲㙥㄰慢㔱㐷挱㔲晤㌱搰㈵㥢ㄷㅣ㜴㔴㠸挴㑦挱ㄴ㤲㘴㥤㠳㈶〶㐰㉢昶㠷㑤捥㜱〰㜱摡㕣晤㜱慡㈶㤴㥦愰搴搲㍦㍦慦戳㤸㠷㙥愱㑤ㄹ㉢㌶ち愳㉢㤳慤搳㌷㍡㠲㜴ㄳ挲捦㥥㌵㜹ㄸ挰㌳㐰㌸愸昶㈶㘲㜶㌶㐸挴㈴㤴㔴㉤㡦ㄱっ愵㝤㜲㤰搹ㅡ㕦㈰㔰ㅦ慣㔶搷㤸㕢搶ち敤㥣昱㕥㕥ㄹ慢㈸晦愵ぢ晡搸搳ㄸㄴ㜵挲昰㌴愲昲ㄹ〰㌱〴挰昶㤴㌱㍣㑢㠶㝦㈳挳愸㠷攱ㅣ挴㜵〹扦㈰挳㜳〰㠱㐹㠰户攰㔰㔲昵挷㜷㈴散㉢戹〹㙦㡣㤷㕣户〸挷㠷㌳㕢㌲昹攱㐴㙥㑦搲㥡㕤ㅡ搷㤱ぢ愷敤㌴晣㠶㔹㥣㌹㤵攱㌲㝢昶搸㌱ㄹ㥦捣捣㘴愳昶搸昰ㄱ㜱ㄸ㠵晥昰挱愹っ㤵敤㠷㜷㔹ㅣ摥愹ㄴ昴扥㐰㕦慢愳㈹㝡㝤ㄶ攴㘵攳摣㙡㉡昶攸戶㐴㍥㘹搷挷㤵㤵慦攲挱㌸㝡ㄱ㈷㜸戱扡昸戶㘹戸捣㠷挳昱つ搹㐴㉣㤹㐸摢ㅣっ散っ攸换摤㘴敦挲㘹摤㔶敤捦づ挷户㘵慤㜴㡥㜲㥢㡥捥ㅥ㔵㤲㔲㜲ㅡ㠸慦㑦愴㜳愸㐶㕤㥡㘱扣㈹㍥㌹㥤戹ㄲ〲㌹㤳㑡㙦戰昶攴㡥㠸㔱挱㌲慡㠳ㅡㅡ攱ㄷ㝥扦〸晡㠳㠷㍢㍥挶昳㈸㙥愹㜳㑡摢っ㌹捤㘷ㄳ㤱ㄹㅥ〰愸㕡㘸愲搴ㄲ愸㌱昴〵㜶㈰㌶㡦㜵㑣㥢摡攳晦攴戳㤶ㅣ摡㔷㍤㔱㉣㕣㔱愳㕤㉣㕦㘰㥥㕦〲扣㜳挳昶戱攲挹挰摢扡㐴ㄶ愰㤷戱摣收昰ㄸ昵愵㡥搸愳挱摣攸㠸㄰㥤戳㤴㈸捣㑣㐸〲㔳攵㘲ㄹ㡡㉢ㅥ㑡㘸㘳㌱㍡㡡㈳挹㠶昸㈶㉢㘲㈷㘱㕤愶慣㝣愳㤳攰㑥〱昷㑥㜲㥡〶摤㤷戲㈸㜲ㄴ搷挹愸㤵戴㠳昱挱㤹㝣㘶㜳㈲㉤攳〰㑡㉥㌵捡摡〷㤴戵㑦愱ㅡ攲ㄳ㍣㥡㜰搴㉢捡捡散戲戲㠹晣㜴㉡ㄱつ㌲挱攳㠳㈳㐲㔶愱㍦㘸㤱扢挱搵㈵攵㌶慦㘳晤㘱戸㕢㘱㠱戳敢㌸晣㤰㘸扦㌰昰㈷づ搳㜳つ捤愳㤶㔰昹㙢㤴ㄶ挰㘶㐰愹㈲昵㉣㠷摣㝢㤳㠷慥㠶㠸㍡㡥㥡㡢挹㠰㡦㝣㔱㐷㤸㄰㜴㍦扢换捡㉡挴昵慡昱ㄲ愲昲㘵㌲搰㌵㕤㠵攱ㄵ㌲晣〶㈰㜰㈹㐰㜹㠳㑢㝤戹昰昸昲敥㐵㉤㑦昸㙡㜹㝣ㅣ挴㜹㥣㍡攲づ愸ㄱ慥昷㥣ㄷㅢ捥㔱㜱搰扤敢㘵㑣㐲㜴散㔸挸㔱㕡摣ㅡ搰挲昶晢㙢搱㝦㐶戹ㄷ愶愲㕡ㄴ㤶㥡戴㤵扦㔹搰愲㌵づ〱ㅣ㐳〹㐴昹戸㈴㕡㜲搳愹摣㔴㠱㐹昷㍢戰晢㐲㘲㈷愰摢〷〳挴㌸㡢昳敦ㄱ㤵晦づ㈰攸〹㜵ㄹ㄰㜵ㄹ晥〳㔱昹㉡㠰戸〲愰ち挳ㅦ挸昰ㅡㄹ㔲ㅥ㠶ㅦ慡㌱攳〹㠱晣㑦㠲㍦㤲㘱ㄶ㠰㉢戸㘷扤ㄱ昴㌸㜲捤昱ㄹ晦〵戰㔰ㅤ㈷慥〲㌳昵㥣㝣ㅤ㐰搰㔹㐹昵㔱㄰愷㍦㈱晥收攲㜴㌵㜳攰㈳摦搰ㄱ㈵㑥搷㈰攱戶搳㈳㑥攴㤴ㅣ㌸昱挱敡っ㝥㌲搴㤰攱㕡㌰㔰愴っ摥昸㍤扡捡㔰攱㑡㔷㤵㤱㌲挰㡤㤱愲戳搳慤㝦㠰ㄸ㘷愴敡㔸㝣㤰挵摦攰㘱㐰搴㘵㤰㘴〸㤱攱㔳搵ㄹ敡挹搰㐰㠶ㅢ㍤っ慦〳ㄱち愹㤱ち㤳愱ㄱ㈰㜰ぢㄸ收搱挵搸摥㜸㕣㍤㡤㘰㌶攲摢搳㠹㍣搴㈴㕢㍢㥡挸㐳㌶ㅢ攲〰㠸㉡ㅦ捥〹㑡㝤㝡㌲戵ㄴ捣戲㔳㉡㐹㈵㜶摡挹㤵㜴慦攱戶愲ち搹㌱改㍣㤶摣㥢㌱㈹搳慥捡㌳ㅥ㐹戶㥥㜰昶攸摡摣㥢昷㕡㙦戱摦戹㕣扦つ换㔰㠹㈹慥摣㐲㈶㈰晦㌴ㄲ攵ㄲ㈵㉦扥挰㝥愰收ㄷㄱ㡦㠳㡦㠶㜸㠸挶愲㠳ぢ㙢て昲㔸㍡㠷ㅤ㐹㐸愷戰㤸㌶敡攸昸㑣扥㠴㘲敤㕢慡㈹戸ㅣ㌱㥥㠶〹ㄴ戵戲戱㈳㘴晤㐴摢ㅣ㌳㑦㉤㠵㠷㘹㠲愳㄰〶捦慡㠷捥挶戶㌶㜰㉢戰㙦挵㌷㑡摦㐱㤸㕤㕤㜰㤹〶㤹攲㉤㕡㌵〲捥㉤㕡戵ㄷ摡㙡㘳㈳㠳ぢ攴㐹㝢愹捡㔰㐸慡㈵㑤挶〷㈳㌹搸搵㜹ㅡ㑤㍡愶㈶戹㡣㑦搸扣㕤扢搷㠶㡤愳㘳㕢愳㜹㥣〴ㄴち攰挵㡢㈳㘷㜴搰㈳戵㝡㠴㠴ㅡ㈳㘳ㅥ挱㉤㙤〴攷捦㘱㡥㈸收㐹㕣㠵㔷搶㠹捦摤挴㜰㘰㥤捦㡤㜰㙣㌱戸户愱昸㜹㑣㜵攸㔹慦㈳㥢戳㘸愹㝢扥攲㘸㌷愵戸ㅡ㕣ㅣ敦㌳㠴戹敦捡收㜱㘵㠷户㜲㥢㌸㙤㤲昰〹攴ㄳ㌰㕤㤳戳㡤昱戱㜴㌴㌹ㄳ戳㤵摤敢敡㙢㘵晥ㅥㄱ攳愵摥㤱㜱挶㙡㥥㝥搱㥤㌲㠶ㄷ㘵摣㉢ㅣ㠷扦昹㤵㐷㘱愴㤴愲㐳ㄹ㈱戹㑣敢户摢搱搹㙦昹搴㈰㠴㑣㐷ㄵ捦扣搴㉢ㄹ㔰㙢ㄵ㈸敡㌳扡㝥ぢ〷て㙡挶㜹搸㌶㘵㌶㘵戸㜹昶愰㌶㈶ㅣ搴ㄱ㌱㑥㘸愷愳昴㜰敢昱㜰摤づ搷㍦昳挴㡢ㄷ摦戱㘲昰㌴昳慢㙢㍡敥㘹ㄹ㉣捣ㄶ㐷昳㠹㍢㔰㠷㌲つ㤵昷㤵ぢ㤰㡦扢㕣㝦㜱慢㉢㜸㘸愰捣挰㘳㐰ㄴ㍣㍤㜰捣㐰㘷㍣攵㜱挰捥㙢〶捡攳㥤搱ㄶ㍣㘹㐰ㄴ慦〹㌰ぢ㈲晣㠸㝢〰㕣㔳っ㔱㍣ㄷ愷愰㕣づㅥ㜹㈲㠰戸户㍡挳㐹㘴㌸㤹㈵㝤〵っ攵捡㘶㑥㐷㝡つ㤸㜱㠳ㄶㅢ㠴㘰㡡づ㍡㑣㔵〳㌷㘷㜱㔰〰㈷㥦㔱ㅦ扣㡦㤵㥦㠲㘲ㅦ㍢㜸㤰敥㑤㥦愰〳摡㝤挰〱挴昵〳㌶戳晥㔳〱〴扤挶㉥〳愲㉥挳㘹㘴㌸㥤っ昴㈸㔷㘱㔸㐱㠶㤵㘴愰昳搷㘵㜸ㅦ㄰摡㔶㍣㠳っ㘷㤲攱晢㘰㈸户敡て〲攷㔸昵㘷㠱㘵挱㔶晤㘳挸愶㠶昳㙣ㄶ晣〳愴㑡慣晡ㄶ㘰攷ㅤ㑥敡㔴昱㈳㘴〳愳㑦慥㘶㈱㍡㈱攸〵㜶㥢攱戱敡捦〱㠳㙣㈵攳ㄳ搵ㄹ捥㈵㐳ㅢㄹ㥥〴㠳戲敡摢㤱慡扡〱慢攲㉢㠶挱搴〹㜶㤸昵㍦昵㤴㍦㐰㡣㈳㑢㕤㉣扦ㅢ挰㝣ㅡ㐸〶昳ㄹ攷摢㘷㍥敢㐶攸ㅣ㘵㌰改〹㌵昸改㘱㡥愱昵㔳㈵㤶戲搱ぢ㙣㜸捡搹㘷㍡㡥〷愳て愸㈵㘰㉣㝤㘱捣攸〷扡〱㘸挵㌵㠱敢㤵挶ㅡ㘰ㅡ㠱昱戸㠷㡣昳㠰慢攷扢㈳搸散搲挵㘲㍥愷敢て㔲㔳㥥て慡㝡ㅢ㑢扤㤷ㄵ攴摥挴㈷攸ㅡ㘲㐴慥〳㔴ㄸ㈴〲扦〶㈸摦㘰㔷㜸ㄴ攸㠶㠰㉤〸摦挲㘴㝥㌶〹㝦づ愳敡搲戶㠳挴㡣㜰挸昰昶㘵戲㔸㈹㙡换て㘸ぢ㜹㈷㔰㔴晤戲戲慢㠴㉡ㅢ㈹㜴㕤〴ㅥ晥㔳攵㜵戹㐲㝥㍥㜸昱㙡ㄳ昳㌰ㄸ㠳挰㉦摢㥣㠸㘶㌳戹㑣㍣摦㍣〹㕦㘵㌳慦㘶挶戱㔴っ〶ㅥ㐲㠹㔵敢㘴挳㙡搳㝣㌳㙦㉦㙦㑢㠵㜶愷㌳㔷愶搵搳〴㜲㝣慤㠱戵挹扡㍡㔶挳〵㐴㠵搳搱㜹收㡢㠸搲捦㉡㠷挰ㄲ㙥㌲㕦㐲摣㡦㡦㌱㡣昴捡愱昵㐳ㄳ㔳搱摥戶㘸㍣搶搹摦搹搶摦摢搵搱㙢昷㐷㝡晢愳㍤扤㙤㍤㔶㍣搶㙥挵㉤㘳愴挰摡ㅤ戵㝢㍢㈳ㅤ㙤㥤㝤敤晤㕤㍤㤶搵ㅦ戵㝡散㉥换敡改户㈳搱扥戶㕥昳㘵㕤扣ㅣ㐵ㅥ戹〱挰愴㡦㠴㌵捡㡤㐴㡤ㄱ㐵㡦㠹㐲ㄵ戸〲扦〳㙡愱㡥っ㜶㠶晢昲㐰㙤㕤㕤挵㍥愶挲〱㐲挱㔳昷攷っ㈳㡣扣㠱慦愲㥢换摦㈹愹㥥〹㑦敢ㄹ㐵㘶愶㠶㤵㥢搹㤴㉤〰㈱昳昷ㅡ㘷㡣㈳㔹㘵㥡㙣〵扡㜴㥡㕣〰㑣搹㌴㌱改㍦㔱㈵㑦㠰愸㕥㐳㔳㉦愴㤹昴㥤㌰㤸昴㥦㌰㤸㝦㜰扥㝤㈶ㅤ㈶っ㈶扤㈳搰敥㍥㘳㍢昲㔶捥攸ㅤ挰㤶捤攸ぢ㉢㥦挰戸㠸㙣㙡㍡㘷〷㘳戱㉣捥㥤㡤㡢㠱慡搲愲㜷〳㕤摡愲㑢㠰㈹㤹攴昴搵昰㤱搴㈴㍦㤱捦㜶ㄹ㔸扡捥扣挴㜳昳扣戹敡捤昳㍥㜵攱晣㌲扥㈶㤳㍣昳搴㙤㕤ㅤ昲㜲攴㔴㉦搳㘹昵愰摣㌵㈸㔲敥〴〱晦捥㠷敥ㅡ慡〸㜱ぢ挶㤶ㄳㄳ㜱㥦ㄱ〱㝤捥搹㈶㙥〶ㅢ㘷㕣改㡣㘱㑥㌵㘳㘲挸㡣ㄹ挳昲搵㡣攱㈴㜳㘶㑣㐷㔷㕢㘷㑦㑦㝢㘷㘷㍣㠲㘹搰ㄷ㡤挴敤捥㐸户ㅤ㡢戴户挷敤扥戶ㅥ㈳㕥㘰敤改敥㡣㜷搸㕤昱㥥戶㜸愴慢扦愷捦敡㡤㜶昷戴昵戵昷㐴扡㍡愲搱㡥㕥㔳㌹昲㔰愵摣㠵㍣㜲ㅡ挰愴ㅢ㐸㑤㡦〴㔱㔷㄰㐵愷㤰㐲ㄵ戸戰ぢ昱昹㌸㙢挴㡤㘸〲㈵㕡挹㑦㥡㔹㌲〰㈱戳づ㔰攱㈸㤹㤲㜲㈸㈹㝡㈶戵慣挲攷㠸㕡挱扡㑦㘷㥢改晤㘱㌰改〱㔲ㄱ扡㝢㔴㠴㉥ㅦㄵ愱㝦㠷〳㉢㈹㙢㤲愲㈵㈹㑣㤲搲㈳㈹㉦㤲搲㈱㈹㄰㈶摤㐰〵㈱㌸ㅢ㤹㡣て〰㜳ㄸ㐲搰搱㈱改挰㔵㉦㈴㍡㐲㄰愰㍢愱㝣〶㝢㍣晤ㅥ户ㄱ㥦挰昴昸㤴㤴㉥㔸ㄲ搷慦㍢㡣㘳㜳㤳㈷敡㐸㌰㠹㙢㥤㉤收㥢慡㐱搵㠴㑢㉥愳㌶㉡敦㠳㔲㉤愶摢愶㔴摦攱㙤㐱㐳㠱慢㈱㔹ぢ慢〵㐳㔲㐵㔷㠶攴戵㈰搰慡愲摢㠷㍣昲㐳㠴㍡〴戸㜵㕡昸㍥㡤㌹㤷㘲摤搳㍦㝣挰㈳㤰㤶㈴㝦昶愰摡愱㜳改㠹搳㜵挸㉢戸㌵㘳ㄹ昲挳㠰㥣㔰晣〸㘵晡ㄳ㝢扤㈶㜳㝡〸㥡晥㑡愵捣愲ぢち㉡攵愳挰捥慤㔲慥〴㙢㠵㑡ㄱ摣㈲攰摦㈷㍦づ愸㡣㉦㈴㑣敥ㄳ㤴愲昹㉢㐴攴㈷〸晥㥡攰㤳〴㌷〰㠴敢捤攵昸㘲㌰戹㔷㔰ㄱ㙥っ㔴㠴㥢〳㠶㈶㥡昳㔴㘱㉣㜸㔱㠳搹㡣㤲慢㘹㄰敥ぢㄴ晥㐶㐴搴换愸敡戵㔴㤳㝢〲〶㤳晢〲ㄵ㔹攱㐶㔶扡㤱㌳㄰㔹愸〶㌹㔳昳慡㘵愴ㅢ〵ㅡ㕦〴收㌰㌴㐸㔷慦扣〵㌹搵摢慥㝡ㄹ㔱晢〳ㄴ㈹㙦〵〱晦捥㠷晢〳㌵收㤷㝢挶㕣㜲ㄹ愱㝤㈶㉥慤㌶扣㈶㜷〹㙡㈰敦㐰〴㉢〶㜷〴㤴㉢攳㑥㐴㥣ㄵ㈳搲搹搱て扤摦ㄹ敦敢戵扢晡愳ㅤ晤晤㥤㜶㜷ㅦっ愸㐸㑦㝦㝦户摤㙥摣㔵㘰㙤㡦㐴散戶慥昶昶慥㥥晥捥慥㥥戶㥥扥晥扥㥥㔸㔷㘷捣敥戲愳㝤㥤ㅤ㤶搹慡㡢㤷㕦㐶㐴ㅥ〰㌰捦㜵㔱挵ㄵ㠳ㅢづ戵㘲ㄴ戸〴户ㄱ㙡挵㤸㐰㌳ち㉢挶晤挰捡〷〰㐲㈶㜷ㄲ搵挶㥢㥢ぢ㠵晦㉡㜹戹㙦㔴㉦昶ち㥡敦㑢㤹摡㑣戰㠵㘰ㅣ㐰㡣愲晣慡㔷㤶㐶㌴愱晣㜵㌱㤳愶扥敡挲㙦㈲ㄲ㙥ち搰㕡㍤㙦敥ぢ㤷㥥ㅤ㐶ぢ㍣㌹㈵㙦敢㡥攰敤摢㔹戶扣〶㤷㔳㥣愳戵㕡晦㥡挳㉢㡢㥡㤶晥㍢㝥〲㐳㜸昸户㔱づ㕡攴㔱㡦㉣昱ㄴ㝣攴㐳挰〷㐶〱慡㝡㡡㍣扦戴愲㝥〰挴晢搳ㄹ㥣敦㐷愷挶㜲搸㝢攱戶攲戶捣㘰攱攷㍢㤶戸㝢戲ㄶ昷㕤摦㤵㐵㡣敢㠸㜵戳㡤㘷ぢ昹昰㐲㉢㌶ㄷ㈰戴昰捤攰愳㡢㈹捦搱攴昲㈲ㄶ扥㜷㜸〵敤㤸㕢㘲づ㠷㘷戵晥ㅡ㔱敥慤㔰ぢ戳晥㤹づ㥥㐵戲㌴扣㈰㍤ㄶ㙢㐴ぢ㤶㔷戹㄰戴㍥㤱㔷扡㥢慥ㄲ㈱戹㔳㌱ㅥ㈶㔸扢㘲挷㡡昶戶挰㍡っ挴㠲敢㐰㍥㑦户戳㐶㑡㜲㐸㝥ㄷ〴戱〱㠰㝤㡦㈳㘴㐰攳ㄱ㠲戵㉢㐶㔰㠹㌸て㤵戰㈲㑡㔲㐸㍥㑡愶㡤〰㐴戱〰㌱愶ㄳ愴㌷㜱㍦㐰㜷㑦㤹ち㜶㉦搶昹〶㐰㐳〸づ愸㉦㥦㌹搰戴挵捤㜱㤹㌸昵搳㠳㠱愷慦㉥扦㘰攸戸㜹㝦戶敥昳摡敦㉢戸㌳㈸㑥㌶ㅢ㈵㌹㤳慤〷㑦㔴㜵戲㜵㙢㐲挵㥢㉣㤷㤷㤴㔴㥣戶敤㜳㤵搴愶〹攵㉦㠵㤸㍢㔱㤲㥡戶㡦㈳ㄲ㙥挲摢摣㍥ㅦ愷慥㘸㐵づ捥ㄷ㈵攲㑦ㄲ戳ぢ挰改㙡ㅢ㌱攳挷〰〱㡥㘷户㔸〵㍥户㕢㐳昲愷㘴㥥㉥㌰挷挹晣㌳㠷㜹〴捣㘷㘸㘶㘷㔸㝥㑥㘶敡㍣㌷扦愰戵散づ㕢㔳㥡昹搰㔱ぢㅦ㤶㡣㥢㘳慥㘱㔱〳㜸捤攸挰㍤㜷㌳㠴〶〴㡤攸㙡挳㜲㉡ㅥ戴敡戰㌴㙢㐲挵㉢㈵戴㜱㡢㈵ㄵ㠷攵挴戹㑡㕡慥〹攵敦㘶〸㕡㕣昸昷挹攷㜵㠴〹搳㌵扢挴㜵㉥昹〵攲ㄱㄴ昹挳㠰㙡㉣㝦㠹㠸晣ㄵ㐰戸搱扣摥㐵晥㥡改㈶㤳〶㡣㘲㝡ㄱㄱ昹ㄲ挱换〴慦㄰晣㠶攰㄰㐰㌸㈴㘸搳㈸㐹㘸挲㐳㔲ㄲ㑥㐶㍤㔸挷〵敤ㅣ㐵㘸搴〴㑥挹愰ㅥ愱搷摥㄰㌴㠱ㄴ㍤慣改㍣㡤昲搰㍦改搲ㅢ㌴㝤㜹㈹晤〶㤷㕥慦改㑡〴㕦〵㔶搰㕡㈹㜶昰㠳挸攷捣㈰〳㥣㔵㠷㉡愰〹ㄵ㌷㙣㘹㑣ㄴ㑢㉡づ㤵㤸慢㈴㥦㈶㤴㕦㔶㌵㘹㝤愸づㄵ㤰㘸捣㈰㥡㄰慡昹㝦晡㙦捦っ慡〱㔱㜰㈱㜷㘶搰㥤㠸ㄹ㜴㘳慡ㄹ搴㉦晥〸㕥㜷〶㠴㘴ㅤ㤹てㄴ㤸㘹㔹ㄸ晣摤㉦㌰㡦慣攸ㄷ慦㙡㘶㘰愰搸敡昱搵㐴ㄳ攰慤捤ㄳ摡ぢ㉡挷扣昳〴㡡づ㤵㈰ㅣ㕡㈷㘸㍡ㄴ扢慣愸扥㝥㡢挷愹摡昹㠷㌴愱晣㍥㙢㠰㈶挲㥢摤攰昴扣㠵㑤昹〹挴改〴慣㡦㍢㘸慥敡敡挴㌸愹㍣㘸つ戸㜰㤵挵敦㠴㙣挲扤㐲㕣搹挲㙦ㄱ㘹㑦㈷敥ㅢ搲㤳敥摥㝡㤵㉡挵捣㐶㝣㍣㡢㙢戰㜵昱戱ㅣ扣愷戱㈰㝥㡥㈲㡦户㤹搲㐷挲㈶ㄲ㍥捤㕡づ㉤搶㌹㜵愷戳慡㍢㜱〲攴慡㉢愸扡㘹搱㕡散て昷㙣捣捦㝢㕡㠷户㠵㌴㤶攰㜱㕣晦㝤捣㜳昳戰㔶扣㠲㈱㜶㜶㑢搷昸攸㜶㐱昰攳㈷戸挰㙦㉣〳愸挱摢㥡㑡㌷〱㠴攴搱挰㌸㌷扤㐶挸ㄸ愰攱㔴摥㌸ㅥ㜹㡣㠲捦㔷昶㤲㜲㝤㍤㕢散㠶㕡慥晤昳搹ㅤ㕣攰敢㔲㔳ㄶ㝦㔴㉦㤸㥡㑡摡改㕤昹改挲て改㘱昷㠲㌷ㄵ攴戱愸㠷㔵昱㈳ㅥ㐵㠹㉣㔵ㅥ攷挵㜲㔵愴戴ㅡ挷〳㕢扤ぢ㥥慦摡〵换挱㙦㥣〸㔰摡〵㈷〱攳改〲挱㠵㤵摤攰〶挱挵㔳㍤挶㈹攰挴扦昳㜰㕣㈵ㄵ戶搹㠳㌵㥦〷㤶㥥㔴㜹㉡戰攱ㅡ㤳㡢〱㌵㔱搸ㄴ㕣〱㤴ㄲ晡ㄷ㍣ㅤ㤵昷㌱挰〷㜱㝢㠳慢㠲㈲晣戳㈶ㅣ㑢㐲㄰㌷捦摦㄰㕣㈱㔴㘳㔷愰扣攲摢㌶㝢㘹㔲收晣攲攷㙥㐳㕦散㌸扥㌸搶㘷㠰㔷㔲ㄳ㔳晤〱㘲㥣捦㈲㡡㐳慣㠰㑦㜰愵㔱㜵晥㐴搷愹散㌷挱戵㐷愱㝦慣搱㑢㤰㈵㈴戸ㅡ㈹昴㔳ㅡ捤㐷て〹慥㑦ち晤愴㐶昳挱㐳㠲㉢㤶㐲㍦愱搱㘷㈹㌴搷㌰㠵㝥㕣愳改扤ち〹㉥㈲散敥〳敢㝥㌵昰㠱㠱㡦て攲捥愲㙥㜲ㅢ㈲搵挷昷㠷㈸愱㔲挴㍢挰㙦㜴〲㤴㡥㙦ㄷ㌰摥愶㔳敤㤷㡣㉦㔵扢ㅡ挹ㅥ㐴昰敦㡣㉦㜵戸挲昶㝡戰〱㑥愳〵捦㜱戴敡㜰晤㉡㝤愸㐷㜰㜲戲っ搹敦㜹㠴㈶㑥ㄱ㘲㠳ㅣ戲㈶㑥㡤㐲㑡㔰挴昹㠸㜲つ搱㤴㙣㤵晦㍣㐴昰慦㍥㑤㤴攲㐲㡥愶㘶㙦㑡㔰㙡搵ㄸ㍤愲挷㘸ㅤ慢㕦㑢ㅥち㤵㉡晡ㅤ㑣㔱㥥㔴搱敢㄰〹昲㘹昰ㄱㅣ〱挵㌳㐰㌲㍢㕥昱っ㈲㠲㝦愷㝡㜶㜲戱㝡㜶㙥㈱㈵㔴慢㔹攳㝡戲敢㘰戲昵㙡㌵ㅦ㐲㐴づ〳㠴ㅢ㠵㙡㈰㌸攴㠸㤷㤵つ㔵慣搴㔷㜲㠳㘲㙤攲攳㕦〸㔶晦㍥ㄱ摤ㄹ摢戹昳戵愶摡收ㄳ㙡㉦ㅡ㘸戸改改敦㍦晢改愷㉥㕤晢挲敢㕦昸挲㔳扦昸昴挱搷扦ㄹ㔹晢㡦户摤昶挸㍢㙦㌹昸散㔱昱晤晥〷㕦摢戴晦慡昶摤㔷扤㈷扥㝤搵㠶慢㉥扥攲㠲昶慤㑢㕡㙡㙡敡敡捥㕣晡扤攳捥㌲慦㜹捦搷挴㜷㝥㜶㙣㕡愸ㅥ攱戳㙣㐴㑤っ㍢昰㌱搹㌳敡㔹挶㄰㤱敦㈴㜸ㄷ挱㈶㠲捤〴㕢〸挶〹戶〲㠴㠳㐲㜵ㅢ昲捡ぢ㤰㜶㠳挹敥㔳〵㑤㤰㜵㤲慣㡤㈶㝢㠸㐸㈸ㄶ㜶㡢ㅡ戴㝢昵愰㈹收敤挰ち㜶㤶㈲摤慤㐹敢㤱〵㍡挷㘴慦改散散㉡挵㜳挰㥢晤㈲㘰〵㍢㔰㤱敥㉡换捥㠶敡散㙣㥤攲戹搳㥢晤ㄲ㘶㘷㥢ㄵ改㑢㥡攴㈸ㄹ昶㠲㐲摦慥搱㡥㤲㘱扦㈸昴㙤ㅡ敤㈸ㄹ昶㤴㐲摦慡搱㡥㤲㘱摦㈹昴㝥㡤㜶㤴っ㝢㔳愱㙦搱㘸㐷挹戰㝦ㄵ晡㡢ㅡ扤㕥昷〳㍢㕡㌷㠴扤慢㜸㙥搶㍣慡ㅢ㔵㍦戰捦ㄵ改昳愵搹〵㍢㤹〲ㅦㄲ攴㜳㘲㙣㍡㘳㌲づ㈰ㄴ㐰㘵㜲ㄷ㔲㙥㌰㤹㜰慡慤晦ㅦ㔵敢戸搷</t>
  </si>
  <si>
    <t>㜸〱敤㝤〷㥣㔴搵ㄵ昷摥㘵昷戱㜷㘰搹㔱〴〵㉣㠰愰㈰扡㑥摢㤹㔹ㄴ㔹㍡㈸㑤挰㕥㜰捡ㅢ㔸摣㠲扢ぢ㠲㈱昶摥㍢㘲㌴㜶㘳搷挴ㅡ㘲搷ㄸ扢㈶ㅡ㕢㌴㤶㔸ㄳぢ㤶㈸戶昸晤晦攷㤵㜹㌳昳㘶〱㘳扥㥦摦敦昷㍤㜶づ敦㥥晢㍦攷摥㜷㙥扦昷捣㥢ち㔵㔱㔱昱〳㉥晥捦慢㡡㌷㥢捦㕤摥搹㘵戶搶㑦㘸㙦㘹㌱㌳㕤捤敤㙤㥤昵攳㍡㍡㔲换愷㌷㜷㜶昵〰挰㤸摦㡣昸捥敡昹㥤捤㠷㤹㌵昳㤷㥡ㅤ㥤〰㔵㔷㔴搴搴攸㑡挴て戰㍦㐱㈷愰㈹愵慢㐸㠰慡搰〶㐹㑦㤲ㅡㄲ㑤ㄲ㈰改㐵搲㥢愴㤶愴て㐹ㅤ㐹㤰㘴㈳㤲㡤㐹晡㤲㙣㐲搲㡦愴㍦挹愶㈴㥢㤱㌰㝤㍤㤰㘴㄰㐸敦捤㐱收㑤ㄸ㍦㉢扤〸㑦㌳户慢扤挳摣㝥昰㥥㔶㥥挷㠴挳昵攱晡㐸㘳㈴㕥ㅦ摡㝥昰㠴㈵㉤㕤㑢㍡捣㌱㙤收㤲慥㡥㔴换昶㠳㘷㉦㐹户㌴㘷㜶㌳㤷捦㙢㍦搸㙣ㅢ㘳愶㐳搱㜴㉡㤶っ挷ㅡㅡ㜲㡤㡤挹摥㕢㐰昳捣〹攳㘷㜷㤸戹捥㥦㑡攷㤶搴㌹㙢挲昸晡㤹㘶搷㑦愵㜳㉢攸㠴捡㠹敤慤愹收戶㥦㐸㘹㌵换戴㘱愲㤹㘹㘶攱㥢㘶㐷㜳摢㠲㝡㘴扢挰搰〸㈵敡挷㜵㜶㉥㘹㕤捣㝡㌴挱㙣㘹㤹㘳收愴搰㕢㈷㜶㜶捤㑥㜵戴㜶昶㙥愵晤捣づ戳㉤㘳㜶昶㘹㥤戴㉣㘳戶搸挰捥㥡搶㍤㔳ㅤ㌳㔳慤㘶ㄵ㙦敡㕡慤㌲㥣㤶㌵摢扡㥡扢㤶搷戶敥搱㘹捥㐹戵㉤㌰〹愹㙥㥤戲愴㌹慢慡慡昰㔷搱㘳㕢扦㥣㐹㐱㈱㍦慤ㄳㄶ愶㍡扡㈴挴㈲っ晢㘱㍤搵㐵㥥愲㈰㕦慣㔲㠳㡢愴㔸㘶㜳㥢㕢㜷㌳㍢摡捣ㄶ㈶挲㤲ㅣ㔵〴ㄲ〳㔹攵攰㕡捡㜹ㅣ㤶㤲敡㘵㌷㍥㍥ぢ㔳㌱〶㠳㙣㍦戳扤愳ㄵㄵ㜲㠶㤹㙡ㅢㄳ慡㡦㌶㙣㍦户㉢㍢搱㕣㡡晢㔰㌸㕥㜰㈵愲㝡〸㈴昴㔰捡㙥つ搲愷戳戹㜵㐹㑢㡡收ㅦㅤ㑢㡥搶挳ㄸ㍢ㅣ㐴㔵扤㠲㤶敦㑤㡦慤慦㜲㝥慡㜲㝥扡㜲㝥愶㜲㝥戶㜲扥㔹㌹㍦㔷㌹㝦㐱攵晣㠵㤵昳㥢㉢攷㉦慡㥣㝦㌰㌰捥㔵搳戳㘷愵㝤ㅤ昹改㌷㠳㌳㜷㕥㌴攱㠶㙤㡦㍡敦愱捤㕥㥥慣搸搸愵慦搸ㄶ㌷㈳扣昹捦攷㍥㕡ㅦ㉤扣ㅡ昴〸愰昵㐸㄰㘳㍢㤰㐰㍥敦㝡ㄴ㘳戶〷㔱敡㌹攴㥢㜹敦搳㥥ㄸ㜷攲㤰攸捣摦扥㝢改挵〳㍥㜹敢㌵挵捥㐵ㄲ慤挷捤㐸㙦愲㤱㠶㤰㘳戳㜰扣扥挰㘲昱愴摥㤱扡㐳㈰㐶ㄸ挴㙢戱㐸㜸戴㡥㌰㌶ち愲搴㤳㜶捡㠳晡㉦摡晥敢晥搳挷慤扡㜳挰㡡㌷て㝦晡敥㙡昶㘸敢㔵㡤㔰ㅦ㔰㤳㍤つ愱て㉢昱㠴㈵㥤㕤敤慤慣挵㍦㙤㙢愸戰㕢㠳ㅡ敥㔷て慤收㘰攵攸扦㙣っ㕢ㄷ改㘷㘳㤸戵戸换㙥っ㔶ㄲ㍦㐹㝢㔰扡㠱挵ㄱ〷㌱ㄲ㈰扤㈶捣㤹敦愴慤㤳㡣㙡〴㔱敡ㄱ扢愴ㅥ㥤戱晡戶攴攵㍦捣扡㙢㠷挶㤱㔵捦㥤㝦㑥㌵㠷㥤愸㈳搱㕤户㌵ㄹ〳㐵㈶搵搹㘵㤷ㄵ攵㝥摡挲㔹㜷㑦㌵戹㈳昳扦敦愹㤰挸㑦㔲㌲㝡㈷㕡㝦㘷㄰㘳っ㐸搵㤸㜱つ㜱扤ぢ㜹㘳㐱㤴扡摦㉥㤱昶昸昶㡦昷㕢晥摥捣㙢㕥扡㘷搱㌳㥦㙥户㑣㜱㌸㤰㔶㍢づ㌷㈳攷㜵㌴愳㐷㐷㡦搵戱晤㡣收戶㌱㠹㔰㘸晢改捤〷㥢㉤捤㘶㘷搷㤸㈴㐲㌳㔲换挶㠴㐳愱㤰ㅥ㑦摤ㄳ㐰㡣㠹搴㌰㙥㙡㑣㑦㈲㙢㌲㠸㔲扦户㤳㝢㙥慢㔳㉡㜶慦㔶攳慦㜹攷㠱㥢㌷㝦㜶昵㍤㡡戳つ㐹㙥㉡㙥ち㝡愶㤸摢慦晡昴㑣搳愸㝡㔷㄰㘳㌷㤰摡㝣捦㌴㍡㌶㕡㑦㘷攴っ㄰愵㝥㘷愷㝢昸愰㔵㥦㝦戱敡散㐹㉢ㅦㅡㅡㄸ㜶攲㔵㌷㉡㑥㜰㈴摤㔹戸ㄹ攵敤㥣㐲昵挹愴搳㍢㤵昶攸㐹㍤㥢摡㜷〷㌱收㠰㜸扢愷㘸㜴戴㥥换搸㜹㈰㑡㕤㙦愷㍤扢昷ㄵ愱挷㝡昴摤昵搸慤ㄷ攴㙥晥攱㠴㤵㡡㍤扢愴扤㈷㙥㡡搲㑥戸㑦敤㤷昶㕥搴扥㌷㠸戱て㠸㌷敤㈴扡挶㝤ㄹ扢ㅦ㠸㔲㔷摡㘹㕦昴挹敥㐷敦昰挱户扢㕥戱㐵慦挳㍥摣昲戱てㄴ愷㜳㤲昶〱戸ㄹ攰㝤敥㈸㑡搳ㅥ挸ㅡ㐲晡㐰敡㥡て㘲ㅣ〴攲㑤㈹摣㌸㕡愷ㄸ㥢〶㔱敡㘲㍢愵㍦㕣戴㙡攷愵改㉢愷㕥扡昵㤴㡡昳㔶㉥ㅡ慥㌸㘷㘴㌳搵㔹ㄲㄳ挴挸㠱搴㑥㙥㌶㕢戲ㄸ慥㜳㤸晦㜵敡〵㡣㕣〸愲搴㑡㕢搳晤搹扦㉣㍥㘸挲㈷㤳㔷晥敥挴㉤晢愶搷㕥愸㌸昱ㄴ㑤㡢〸收㤸㘷戴㠰戰㑥㈷㜵㉢㜹㙤㈰㑡㥤㘵㉢搸慣攱㠱挸㍤ぢ㝡㑦扦昹㤵昱ㅦ㕦㝢㤹㕥慥㌸㘹㤵㠷㕥㡣㥢㔱㐵㜵㍡ㅡ㉢愸搴〸㔹戵㍡ㄶ㐷慤㍥㠴摡㍢㐰㡣㑥㤰慡㜱㔳㈳㌱摤㐵摥ㄲ㄰愵㑥戶㔳ㅣ昷ㅦ㍤愷晤扢戱㔳㡦㥡㜴㜴晦昷晢㝦扢㤳攲っ㔹㔲㍣ㄴ㌷〵搵㍡攲㕡㌹㕣㌴昲挵ㄳ㝡ㄹ㔵㉦〷㌱づ〳昱㕡㍤ㄶㅡ慤㝦挱搸ㄵ㈰㑡ㅤ㘳㈷扣换㉦㝡づ昹摤敥㐷㑣扥敢挳㌳摥晢昰挵昸搳㡡戳㜲㐹昸㜰摣ㄴっ扡㘸愵㑥昹晡㌴愸㈳愸晢㐸㄰攳㈸㄰㙦捡㤱㠶搱晡㘸挶ㅥ〳愲搴ち㍢攵扤て㥥扤㘲昳挰搲愹户て㝥攵搷㝢ㅤ㜳挸㐹㡡㑢〱㐹昹㌸摣㙣㤰㤱㡦愷昶ㄳ㐰㡣ㄳ㐱㘰攴㜰㐸㥦㐴摥挹㈰㑡㉤戱㔳㍣敤扡㘷ㄶ扤ㅡ慤㥣㜶敥昵敦㝤㕦㍤㝦摢㙤ㄴ搷ㅤ㔲㉦㑥㈵昸㌴㄰攳㜴㄰搴㡢㜸㐸㥦㐱摥㤹㈰㑡戵摢ち㍥㍡戲晥㤱㌳ㄶ㕣㌱㙢搵攷扦〹㙤ㄴ摦戲㔱㜱捤㈲㔹㍥ㅢ㌷㥢㝡ㅢ㐳搸戵㔵㔸㥦㐳㑤攷㠲ㄸ攷㠱㜸晢㥡挴㘸㝤㍥㈳㔷㠲㈸戵搰㑥收敡ぢ㠶㡥扣敡慥㝢愷㥤昲搱㌷敦㉥㝡敡搸晢ㄴ㔷㐵㥣㤲㈸扤㡡攸ぢㄹ晣ㄵ㐸慦㠹㥥搱昲㈲㐶㕤っ愲㔴摡㔶昴愷㍢㕡㡥摦㉣㝥摢攴㍦㕣㝥搷摡慦㉥ㄸ戱㑡㜱㘵㘵㈹扡㠴攸㑢ㄹ扣っ愴搷ㅣ㡦愲换ㄹ㜵〵㠸㔲晢摢㡡㑥㝤愱搷搵㉡昴改慣㑢㝥㌳㜲昸㉥挷昷昹㑥㙤㡡㘸㜹昰慢㜰㔳㔰㍤扢㥤て㕥㑤搵扦〱㌱慥〱昱㔶㤲㌰㉡挹戵㡣扤づ㐴愹㍤散㠴㍦㥦㜹㔱㐷㝣敤攳搳㑦㥦㝣㔴㔳晤㉦ㅦ晣㡢攲㡡㔰ㄲ扥〱㌷ㅢ㌰扡摣㐸摤㌷㠱ㄸ㌷㠳戰㡡挴昵㉤攴晤ㄶ㐴愹㤹㜶㝡愳㜳㐶㜸敢㉢挷㑦㍥㌶扣敤㕥换ㅦ㍤㐶愹〱ㄴ㈱㐴摦㑡昴㙤っ摥づ搲㙢㡦㜹昹㠹捡ㅤ㡣扡ㄳ㐴愹愹戶愲て㍡㤶㍤晣搱捡〱ㄳ㙥晣散摢戱搱㘹捦㌷㉡㉥㘰㈵攳扦挷㑤搱ち愰愱㥢㍥㍢ㅥ搵慢愹晥て㈰挶摤㈰㕥慢挵㈲愳昵㍤㡣扤ㄷ㐴愹㜱㜶攲㈷㉥㜸攴捥〷扥扥㙣搷㔵㈳㜶扡戴摦挳敦㙦愳〶㔱㤸㄰㝤㍦愸㝥㠰挱〷㐱敡㈶㥡㥤捤ぢ摡昲㑦昲㄰愳ㅦ〶㔱㙡㈷㕢搹捤扢晦㘷昳慦晦昶攵昸ぢ〶晦㝡昳愹〳㔶㍦摣晢ㄱ㐴敦㙥慦㙢㈶㜶愴づ挵㑡㌱扦〸㡤搴㘳搸㔹㥦搵㌷ㄶ摦戹㠶㕣㈲ㄷづ㘷ㅢ㐲愹㘸慡㝡〸搴慥敦㌲㡦扤㘳敦摣㕥捤㙤搹昶㐳㘵慡扢昹昸ㄴ愶摤敥㌲㜰㤴ㅤ㌷扥㝤㐹㕢戶㜳㤰㝦攴摣慥㔴㤷㌹戰㌸㉥慦愴㐴㙣㉥㔶挵㘶愷愴户㘵戱搸㥥愹㤶㈵收戸㘵捤㔶昴ㄶ㐵搱㔸ㄳ户愷换挷㑥敥㌰て㜱㘳㑢㜲㌴づ㥢㌶㑢㐵㜷挹㔳㕡㔱㔶扥〶㑦㔸搸摥㘹戶㐹昶㐶戵捥㙥捥ㅣ㙣㜶捣㌵戹攵㘳㘶攵㔱晢㌱捡㕥㤸㡦㥡搵㠶〷挵㔲㍢㍢搴换捤㑤㕡搶㘵戶㘵捤㉣昲扢搸散攸㕡㍥㉦㤵㙥㌱晢ㄷ㐰慣㌴ㄱ㌱愰㠰㍤戹㍤戳愴㜳㐲㝢㕢㔷㐷㝢㑢㘱捣戸散搲ㄴ㌶〳戲㌳摡戳㈶搶昲㔵扣㉡㔴㐵㡦ㅥ㑡㔵㙣攷㌷㜵愷摥捥㝡㈹〸㑦ㄱ㙦㠱㌲摦慣戰摡搵捦挱搳攱㈹㕡㑣搶挹捡㘱敢㔰㈶㝡愹㘶㘴㜹愰攷㤹戸㍦㐶昴㠸昲㘸挹愳㕢㜲晦㕢㜰㘵㘵㕦晢改㈷㉤挵㠶挹搴㔴㕢戶挵散攸㜶㜷㑦㌱㐷晡㑦㈰搵㐹戴收戲搶攳敡㕥㉤㔳换慢て㙤捥㜶㉤㌴ㄶ㥡捤ぢㄶ㜲㤲㠲ㅤ挰㥡ㅡ㥡戶攴搲㡦㠱愵ㅦ㈷㜹〲㈴㄰愸㌰㥥㈴挸〸攸愷慣㜰昵㔰晣扦㕥㙢攸㠲慤㤸㑡㐸㘹搹晡挱㍥㕤㘷㜵㉢㤶㙤㥤㍤㝡昸㍤攵搴㔴攷挲㉥㔶捦敥㈳愹敦㘹㤲㘷㐰慡㠷㠱慣㜳愷愷づ愰㉡㙥㘸搵戶㘲㤶㤹挲㌶愲戴㙥㤵慡㤶㌵㝤㌵戸㥤ㄹ捤㉤慣㘹㘸㉢换っ摣愱昱昷㙥㘵敤㌷㤷㜵㑤㑣㜵愵㝡戶㘲㌳っ愵愴〱ㅡ㈵㔲搶ㅤ㈵㙢㠵攷㐸〷散㄰㌴〴攵搶愳愵㤷㌰㉣㑤㘸㌸㘸㉦ㄵ㍤㙣摡晤㐳㈰敦㕢攲㈱㡣攲㡡㕥戸愹㠵扤戶散ㄴ戳㙤摥昲挵㘶㈷攱㌵㐶户愶㉣㙥㕥戲㈹㤰㐹敦搱搵摣搲㔹㡦㥣㑥改㘸㕦戲昸愷搴㐳㕤晡㔹㄰攷慡摥ㄱ戵㜸晤㥦〹收慡攸戹㤴㘵㌳㝦㝥㐵つ戵㤱㘳晣〵愴㘰㄰挵㌶ㅡ㉢㉦㜴晦㠰晦攴搲捦攳扦㠰㈶戴㑣㕣昵㜰挴㙤挸㝥㘰㌵昰扤㕢㘷㘵搲昳㍡㑣搹攱慣㤱〰㡣㕦摢扡㔷㝢挷挱改昶昶㠳戹㘵搴㐷㐲㥤ぢ㑤戳㡢扢㠶扤散㕤㔲搹つ㔵慡㐷㡦㠲㉤㍥捦昶攲㔶搰㙦扣〴㔲㍢慥愵㘵戰愳戱搳㜸ㄹ慣ㅥ搸扦㌴㕥挱㑤㘸㐲㝢敢攲昶捥㘶敥ㅦ捥㥦戴㉣搵扡戸挵摣㘱昷㈵愹ㄶ散扦敥㠰ㅤ㥥㐹㥤敦晤攱㤸户㝦㝦㘹挴散っ搷㉦㙢改㕣愶㠶挳㉡摣㥤晢摤搴㕥扢摦昲搴㌹㑤户散昰挲挴㔱㌷㉥㥣慦㠶搹ㄱ㈵㝢㠵㈳㤰づ〷㜳晤ㅡ㠸ㅡちㄸ㍢ㅦ摣ㄷ㕥晡㜵㠴昵ㅢ㈴㙦㠲愰ぢㄱ㑢愳〷昹㠷ㄵ㔴㈳昱㍦㝢ㄱ晤㌶挹㍢㈰㙡ㄴ〸摢戰㝥ㄷ挴戹搴〰攸㘷搵㤰攲㝤ㅦ㙣敦㑥㘳㐹搱晥㤳〰㑤㔸㘹搱㑡㥣摡ㅥ㜱㉣㕥㑤㜳㙡ㅡ㔰搳㜸慡づ㘹昸摡愲㡦ㅤ㔱戲㠵戹㈳挴挴ㄶ㥦㔳扥㌷㘰晥戶昸㌷搳昸㤲攴㉢㄰㡦㉤扥戶㠲㉡㠴晦挵ㄶ摦㄰昴㉤㠸㡡㠰㠸㉤扥挳㡤㜳愹ㅥ㐸挳戵挵㝦挰昶㔶㜵敥㝦㤶搸㠳慤㈲愰〹㉤ㄳ愷愲㠸昳戳挷搷晦㈹㘳㡦戵㜶㐴挹挶㙡〳㌵㤵ㅦ㑦ㄱ㠳㡥㐴挶㘹〳挸晦㈷愶㌴搶㐴收㐷づ捥㐶〰㔷㠵㡡攳㘱愵㜴㌵捡㐲〷㐰慡㤳㘰慤捦㌶散〰攰㔴㑡愵㔵㐶㘵㤵搹戳ㄵ㡤㜸挶㠲㡥つㅦ愹晡㐰㔰㠶ㅢ㑢㐱㙦㈷㈸扢搸㑥㠰挳㔷搰〹〰㉤攳㕦㙤㥥㠱慥戶慦ㄳ昲㡣㘳慥敥㥦㝡㔰挴戳㘳愸戶挶挵㠲攱搱攰搵扤昹㤰㑦ㄸ㡡愳挲㑦㌵敥晤摦㑥敦愷捡㌷㙤㘰㕤㙢挶ㄶ晥㕦搳㔴ㅣづㄸ扤㔰㍢ぢ戶改搹愱㜸㉦㕤换づ㈵愰〹㤴ㅥ愵㌴戲扢㌸搵〸扣摢摢ㄸ晤愰挵戰晡〵慢ㄳ晥愰㕣愷昳扥ㅤ㔱㜲㐶戰ㄳㄴ㜶戳戲㉣搸㤶摦〴搸㠲㤵㘵敦摣攴收㤶㉥搳敡㤴敡㜲攸㥢慣㈳㔲改愴㙡戹㘰敡㐸㘵慣挳挷㑤㜲ㄳ戰㘶挲㤹㙣搷昲晣㉡戲㘴捤㘶㉤㘹晥晦捡昴㘷户㌲㤵㜵㘹挱敡戴㥢㤵ㅦ㉡㑤搱摡戴㝢戰愷ㄲ㜱㔱收㍢㜱㤴㉡㔵て捤㠵㤵㡣昸攲㐹慦ㅣ㍣扢㜸㙦㈵㈴㍡㔴㝥㠴㘵㘵㉦慤愴ㄴ㉡扢㍡晣晦㙢㙢㍦捦ㄹ㙢㙤㍤㠰㝤摣㐰㤲㐱㈴㥢㤳㙣〱愲摥㐲㘷攴㍦搵摢㡡㤸挱㈴㐳㐰㍣㔳扤慤ㄱ㌴㠶㠱搴㌹㘷㤵㠳慤㉡ㄶ㔰㙡㘷ㄴ㤰㑣㄰㠶㔳㜰ㅢ㤰摥摢㠲捣㥣㙡戶㘰㥦收愷昲㔶愹摥〵挹㜴扦戲㐴晤搹ㄸ愰晥慤㜳㤷户㘵ㄶ㜶戴户挱㘷㠸ぢ摥㜱ㄹ戸㝢㜴慡㤴搱㍡扤㝤挲㤲㉥愳㜵㙡㌳晥敢摤㍡挷㕣㙣愶扡㈶㘰ㅦづ慢改改㌸㝦㤵戵昲戴散戲つ㥦愱晣㜴㙢改㡡㉡㍣〲戶㌸昳换㘹㔵摣㝡慤㔵慤㙤摥晡㠹敤㜰ㅤ㌲挵㙢㡡㘶㌷っ散㡢晣っㄷ换ㄵ㝡〴㜲㜷挹愷搷敤㌴晣攲㥢㝦戰晦㍦〲ぢ〲戹昴ㄸ㍣㜴改ㄴ㝦ㄴ㐴〲摤挵㈹㑥ち昲〳㜲㠸㘶㐳㌵戰㐶攳愷换㡤挶㑦搹ㄱ㈵攷挳攳愱㙤〸㜳ㄲ㠳㈲昵㐴搹㜶ㄲ㐷戴㑥㤰㈴㐱㍣敤㘴戴ㄵ㔴ㄳ愰㐴摡挴㑥〴敤っ愲㈶㠱㈵㑢愲㌱〸㌹㤷㝡㄰㘹戸㑢愲戱㠸㤱挳攵㤲㜵搰㌸挴〴㌴攳㑢㡤㈴㜱㙡㌲㔴扡㠶昰慣ぢ敦㉡㘷㠴㍢敤㠸㤲㔳敢㘹搰㌴〴ㅦ扤㉢㤲㔳户㤷㌵挲㜴收㘶〶挹㑣㄰㡦ㄱ㘶㕢㐱戵㉢㤴㠸ㄱ㜶㈷㘸づ㠸㥡づ㤶ㄸ㘱㉥㐲捥愵㙥昰ㅡ㘱て挴㜸捦愱㜰收㕤㘲㡥扤㠰〹㘸㈲换挴愹ㄹ㔰敥㘷㡥换换㤹攳㌲㍢愲攴㌰㝤㌶㌴つ挱㐷ㅦ㠴攴搴㈵㘵捤㤱㘶㙥㌲㈴㔹㄰㡦㌹㜲㔶㔰昱㔸㕤捣戱㠰愰㠵㈰㙡㉥㔸㘲㡥㘶㠴㥣㑢㥤敦㌵挷挱㠸昱㉥㤳㜹づ㕦㘲㡦㔶㠰〲㥡搰㌲㜱㙡ㅥ戴晢搹攳搴㜲昶㌸挵㡥㈸㌹攰摦ぢ㥡㠶攰愳㤷㈲㌹㜵㔲㔹㝢㉣㘳㙥㤶㤳ㅣ〶攲戱挷ち㉢愸昶㠶ㄲ戱挷㉦〹㍡ㅣ㐴敤ぢ㤶搸攳〸㠴㥣㑢ㅤ改戵挷㔱㠸昱摡㠳扥〱㈵昶㌸〶愰㠰㈶戴㑣㥣摡て摡晤散戱戴㥣㍤㤶搸ㄱ㈵㑥〷〷㐲搳㄰㝣昴愹㐸㑥㜵㤶戵挷改捣捤ㄹ㈴㘷㠲㜸散㜱戶ㄵ㔴昳愱㐴散㜱づ㐱攷㠲愸ㄴ㔸㘲㡦昳㄰㜲㉥戵挸㙢㡦㤵㠸昱摡㠳ㅥっ㈵昶㔸〵㔰㐰ㄳ㕡㈶㑥愵愱摤捦ㅥ〷㤵戳挷㝣㍢愲挴㌵㈲ぢ㑤㕣搵攸换㤹摣ㄵ㈴㔷㤲㕣㐵㜲㌵㠸摡挷戶㔱㌵㔰〷攰戳〴㘷㡦㉤㤵㠸搰搷㄰㜳㉤挹㜵㈰ㅥㅢ摤㠰愰㜱㈳㠸捦晣挳㠴ち戱摢㑤ㄴ扣ㄹ㐴㉤〰㡢昳㠵ち㝤ぢ㠲㘵〷㥤ㅣㄱ㈵挶扡ㄵ㈲〱摤㑤㥣㕡〸戹扣戱㌸攸㔸〳捥攴㜲挶㥡㘴㐷㤴㜸㝦㉣㠲㈶㌱搶摤㔴㜲て挹扤㈴昷㤱摣て愲挶摡挶〲戰昰搲てㄲ昳㄰挹挳㈰ㅥ㘳㍤㐲ㅥ㈷㙢㤸㥣搱愱㐴㡣昳㈸㤹㡦㠱愸㔶戰㉣攳㍣㡥㘰㔹攳戴〰㔶㙡㥣愷愸㔶㜷ㄳ愷摡㈰攷㘷㥣敤换ㄹ㘷㤴ㅤ㔱攲搹㐲晦㤴㈱捣挵ぢ捣昶挸戲㠶㜸〹搱晡㘵㤲㔷㐰㍣㠶㜸搵ち慡づ㈸ㄱ㈳扣㐶搰摦㐱ㄴ㡦㤰愴㘵扤㡥㤰㜳愹挱㐸挳ㅤ㡤摦㐴っ㥤㘲㐲愵㔶昸〷愲〲㥡㠰㌲㜱㙡〹㜴收慤㤰摦愶敤㕦捥ち晤散㠸ㄲ㙦㥢㘵搰㌴〴ㅦ晤㈱㤲㔳㝤换㕡攱㘳收收ㄳ㤲㌵㈰ㅥ㉢㝣㘶〵搵㜲㈸ㄱ㉢㝣㑥搰ㄷ㈰敡ㄷ㘰㠹ㄵ晥㡤㤰㜳愹㠰搷ち㕦㈱挶摢扦搰㔷愷愴挹㝣つ㔰㐰ㄳ㕡㈶㑥慤㠰㜶㍦㝢㔴㤴戳挷て摦㕢晢户㈵㑥㐰㐷㐰搳㄰㝣㜴㘵㈵㥥攰㝢挰晣搷㌲㔵㠸搶搵㈴〶㠸挷ㅥ㌵㔶㔰ㅤ〹㈵㐳愹㠸摦㈴搰〱㄰㜵㌴㠲㘲㡦㕥〸㌹㤷晡〲㘹戸戵愲ㄶ㌱㕥㝢搰㠳愸挴ㅥ㜵〰〵㌴愱㘵攲搴㌱搰敥㘷㡦㝦摡㡦㕤㜲愴昱㠱ㅤ㔱攲㥡㜴㍣㌴㠹㍤㌶㐳㜲敡扤戲昶ㄸ挸摣っ㈲搹ㅣ挴㘳㡦㉤慤愰㍡〱㡡㠶攲愳户㈲㘸㌰㠸㍡〹㐱戱挷㄰㠴㥣㑢晤摤㘳て㝤㈲搸愵て㌹ㅣ昸㐰㜷㜱敡㘴挸昹ㄹ攰昹㜲〶㜸捥㡥㈸昱㤴㍡ㄵ㥡愴て慤㘷扥㜷㈴〹㤱㠴㐹㈲㈰敡愹戲㐶㠹ㄱ搳㐰ㄲ〷昱ㄸ㈵㠹愰搱〸攲㌳攰㥣㠶〴㠷昲戱㐷㈳㕥敦〴愲捥㐰搰敡㔳㜷㐶戰㙣㥦㝡㍡愵㑡㙡换㔸㠸〴㜴㌷㜱敡㑣挸攵㡤㤵ㅦ㜰㔶㤷㌳搶敦敤㠸ㄲ慦戰㜳愰㐹㙡换㔴㘶晢捥戲㠶搹ㄵ搱㝡㌷㤲改捣㕤晥〰㙣愶ㄵ㔴攷㐲搱㔰㍥捥㉣㠲㘶㠳愸昳ㄱ㤴摡戲㍢㐲捥愵㙥㐲ㅡ㙥敢㤹㡢ㄸ敦攴ㅥ㑥㘶㈵收搸〳㤸㠰㈶戲㑣㥣㕡〹攵㜹㜳攴㍢搷㉢换㤹攳ち㍢愲挴㝢㙤ㄵ㌴昱摣挷㍥敢戸㄰户㐳昱搱〷㌲昵昹㈰敡㈲〴㜹摥㘱㕤捥㈶昴摡ㅦ慣戰摦㈶昴㐱㄰㉢昰㝥攳ㄳ㝡㉦㥤〶〲㥢搰〴捡㈳㤶㐶㜶ㄷ愷㉥〶㍥晦昸晤搸敢捡ㄱ攰戹攵ㅥ晦ㅣ㍢愲挴攷敥ㄲ㘸昲㍣晥愵〸づ挵㐷户㌱㘷敤㈰敡㜲〴㌷散昱ㄷ㐳慣挰㘷慦攴昱㍢㠰挰攳ㄳ㔸晡昸ㄲ搹㕤㥣扡〲㔹昲㝢晣㘳换㍤晥㌱㜶㐴㠹愷攰搵搰㈴㡤攱㜰㘴㐵ㅤ〵㤸晦㔰㜲㈴㜳㝡ㄴ挹搱㈰㥥挶㜰慣ㄵ㔴㜴ㅢㅣ㡡㡦㍥㡥愰攳㐱搴戵〸㑡㘳㌸〱㈱攷㔲换㤰㠶摢ㄸ㑥㐲㡣㜷㈸愱㥦㘱㐹㙢㌸〵愰㠰㈶戴㑣㥣扡づ摡昳昶挸户㠶戶㜲昶㘸戵㈳㑡ㅣㄸ㙦㠴㈶戱挷戹㐸㑥ㅤ㕣搶ㅥ攷㌳㌷㉢㐹㉥〰昱搸攳㐲㉢愸㙥㠲愲愱昸攸㕦ㄱ㜴ㄱ㠸扡〵㐱戱挷挵〸㌹㤷㑡㝢敤㜱〹㘲攸晤ㄸ㉢㝤搲换㄰ㄵ搰〴㤴㠹㔳昴㤵昴戳挲摥攵慣戰㤷ㅤ㔱攲㔶㜹㉢㌴㜹ㅡ挵㙤〸づ挵㐷㕦挷搴慦〷㔱昴愹㉣㙤ㄴㄵ㑤㘰攳㉡敥ㄳ摥戸㉦愰㙦〷扦㌴攷㌷㐱ㄹㅡ㐲㌷㤱摤挵㈹㝡㜵收ㅦ㌹摦て㑣㉤昷挸㔳散㠸ㄲ〷搰搵搰㈴〵扦㥡㡦㌷〹㌰晦㠶㜰㌷愲昵㍤㈴昷㑡搶慤㘷㠲㕢挴晤㔶㔰晤〱㡡㠶昲㔹ㅦ㈰攸㐱㄰㜵て㠲㔲昰て㈱攴㕣㙡㘷愴攱㌶㠴㍦㈲挶摢㄰攸㍡㕡搲㄰晥〴㔰㐰ㄳ㕡㈶㑥摤ぢ敤㜹㝢攴ㅢ㐲愴㥣㍤挲㜶㐴㠹㑦敡晤搰挴㉡搰搳㍡〲㝦〰户㐳昱搱捦㌲昵㍦㠳愸㠷㄰㉣慤〲捥戰㔰搱㠴㘸㕣捥㜰挱㉡昰㈰挲愵㌹㝦ㅥ捡㔰〵扡㠹散㉥㑥㍤っ愵昹㐷捥㔷㠱愱攵ㅥ㜹㠸ㅤ㔱散㌹㕢㑤㑦扣つ昰㜸散挵愷挹敤搹㙣ㅥ㑡ㄷ慤㍥戹㠲㙦㤶搵收㈶戶捦㙣敦㥡搸摣戹戸㈵戵扣㙦捥扥搹㙢愱搹〶㙦捦づ㌸㝤ㄶ昱摡ㄷ㉦㌶戳㍡㌷户㝤㐹㐷挶㥣㌶昱攷攰つ㡡攷㐳㌱㡢㈳㘸愵挲昵攳ㅣㅣ㉢㈰㠹昲愵㈳㐵昵㘳㔰㔸散愷收㌹㉢换ㅦ换〶〱慣换㕢㜴㕥㜳㔷㡢搹㉢㈷昱㜲㕦㤳㠳ㄵ攱㐲㥢敤㤹㥢户㄰づ㕢ㄳ㙢㜳㔳㍡㥡戳㉤捤㙤㈶ぢ〳㐷扤㜴㌶㥥㙥㉥㠰扢散㙣摢愱慡㌶㌷慦㈳搵搶戹㤸㥥㝦㤹攵ㅢㄷ㠴攴搸愳㍡㌷扥戹慤ㄳ挹挸昷〳㜹㕦㤷㥢扢戰晤㔰㝣㌵㝢㐹㙢摢㤴搴攲捥㥦㐵愹㈸ㄶ㡢㕣㔲㌴慡㔲㔵㔶慡㥡捡㥡ㅦ㕢㍥挶ㅢ㘸㠰㝤慤㙦㐷っ㐶㍤敤敡㘸㑥㉦愱〷㥡愴㐱㌷愶㉡ㄲ㈹挳㡡敡挷㜱搷捤㜱㈷て㍤㙤㈷㘶㍡攸㌲慦〵摦攳昳昵ㄵ㜵扦敦扥〵攰晡㑤㘴愷昷㕢㈰扢㑥搹㘳㕡摥㜵晤扦晡昲㜸㌵摤㘰㡢て㤱㡡㙢㥥敢㈹摣て攰㍥㔶ㄵ㈲㡦㌵ち㉤ㄳ㌵㠱愱攲㙡ㄹ挸〹㠶㌵戴㑦晥㜶㌲㥣㑤㝢攷愶愷搲㘶ぢ㡥ぢ㕢㔳㕤㝤慣〰㡦㝥昱攵攲㑥㍢づ晥㝥慤㈹㔶㌹㔶搷戹㤹㔴㡢㔹㤳ㅢ户愴慢ㅤ㕦挶搳㌹㄰愹㤷㌶㉢戵っ慣搴㌲㘱昵捥捤愱敦扣摣㔳㔷晢㠲㔴㐷㜳搷挲搶收㑣つ〳昴㙦晦㔹搴㔵昴ㅦ㔵㌰愶㜳㌹㝤㐹昱㈱愶㜵㥣㠷攲慥挷㤱㉡㑤挷攲㐷㡤慥㔴〶晥愹ㅦ改扤㠵㥥㐷㐶ㅢ晤㌶戴㔵攳㈳㕤㤱攴㘵捤て㜶㉢㕡挳㙤㜶㙢㠸㝢㡡〰㝣昴㍢㠰昲㠶㥦慡愷㐱扡昵扢敤〹㐰㘰㝡㝢㉡㍢ㄹ㡥㈶敤ㅤ㍤敤㤷ㅤ搴搰㤵ㄳ㕤㑤㐷㤰㥥搰ㄳ攰㕣て愷晤愵捤㔹戳愳㠶㡣戹㌸㤸慤愲て戵㘱㤵㈱㑥扤㝡㔴㔴㔷昷慡昱㑢㙢㥡愳㙢㤸敤㔰敡㝤㔹挴戴ㄲ晤ㅦ敥㥥ㅣ扢ㅤ㜳ㄵ㤰㈱敡㕤㍣㡥㝥㡦捦㐴ㅦ㙢㍥㑦ㄱ攰㝤〲㍥〰愹㝥ㄶ㤱挵㘵㔳攸㤴っ搷㘵つ㔰ㄵ晤捥慡攸㙦㔶攳昸㤹㔵换㠳昴昲昸㤵ㄹ㤶㍦㔹㡤昳敥〱㘳㉥㙡戹㤹つ㔸晤㉢㡦愵㌱㌲㔴㔴㔶㔶愱愸㡤㘲て愰㤲㘴愱慣㜵慥㈹㡥搳㙡㑢㘴挱昸㈷㜲摣㥦㡤〵晡昱㜲㡣㠲敦摤ㄷ㑦㥤㌰扦昸㄰㜰㙣〷㍦て敡搸愰㠹ㅣ换㐸ㅦ搱〶ㅦ㠳愸搷挰攴㑣挰㌳㙥愹搷ㄱ攴搸㔵㘱㝣〲挸晡昶㤵敡つ㐸戰扦搴㙢愸昸㑤摣戱ㅢ㜲慢攵㘷攰慥扢㕡晥㠳ㄲ昸攸捦愹挴づ愸户㜱攳㍣㠶愷慣扦〰㐶晦㥢挰㜷晣〱㕦ㄲ昰ㄵ〱敦〲挰昲㌶搶㈲戴㜱愹ㅤ㑢㈶㙡戰攱㌷㠰挲㠶晦昴攸㙥㈲挷戲攱户搴晤ㅤ㜵㝦づ㘶戱つ晦つ㥥㘵挳敦〱㔹㙦ㅢ搲敢㔶㙣昸ㅦ㉡愶晢㙤㠱つ昹愵慤㜵摢昰㙢㠸㠹つㄵ攰慥つ扦〱搷挷㠶㤵挰㘸戴挶ち昵慤㍦愰㡡〰扥㤱㐳搱戵㔷㙣㘸㈰攴㔷ㄷ晤㍣㝡㘱挷ㅡ挰㘱㐷㘶挵挹㐰ㄳ㌹㤶ㅤ昹〲ㄷㅤ愰㝥晡㥢㍡〰挴㍢㠰㕥〴昴㈶〰㍡晣〰戵〴昴㈱愰搶〳愸㠴〵〳㠱㑤愱㐷搷ㄱ㄰〴愹ㅥ〰㐰㌷〳㈳㍣〹㍣㡥㔴㝤㈰㙢攴昶㘸㙢敥挲㤸挵㉡㌳戹戹ぢ慤慦㜷づ〴户攲昱㌴㔰挶㌲㡦搰㈸㜷㡥扣㔵㘹㔴挱愴㜹换搲㜸敦㉣㝡㤸㑦戴㌵扦昶㑣慢搷〵㤲㜹戶㑦ㅥ㝦㑥ㄳ㙦㘵㜹挰搸㜳敦㙥㕦㈷㤱户㍢攷㑥晦挵㌴㕤㥡㍢㕥昸㠳㍡攱改昹慡改㍣搵㝤昵昰戸捥㜱戸〹㜰搶㙥昱㙡㙤摦捣㘹㙤㥤ㄸ昷〲㜶〸戳㥡㍥昶敤慣㈵㕤〵㌱愹㘵㝤敤ㄸ㝣㐷㘲㔶ㅢ收愲㤹㔴㐷昶㘷㌲㤱挱戳㔹昳㙤㤹㤳晣挸戵㄰㤴昰昲㑣㍦搰㈲戹㌲愲㝦摡㠶㜸ㅤ昲㑢㔰戵㌴戵敢㡣㔸挳㄰摦㔹㈳㈵㘰㝤搳㕦ㄶ愵戳㑤慣㈸昱ち㥦ㄶ戳慦〸戸㐱ㄹ戰㜵㙥㕣扡ㄳぢ㥣㉥捥㕥敤㍢㘹攰㍡㌷挷攴㥢㙣㤶㥡㤸㙣摡㜷戳㌳㕤昰戱㜵ㄵ昰㝢㡢㍦㥦搲㠱㐵慡散ㄲ㔲㔲㐶㐶㌷ㄵ户昰㈱搸㜶㝥㘴㠹愲摣㜲㜲㝤㍣㔶㕤戸㡡搷戵㘳㉢㥣ㅢ㤶㉤ち㜷㜳㠰扡㔹㌳愱㡦昵扡㠸戲ㄵ昵㜵㍣㤷慤㥥㑤㍡慤摥づ㡦ぢ慢㕡㉥㠰㍢扡昰攵㕥扥㌱愵㡥捤愶〵㌳捦慥㘶慣㈱㕡㤶昷挹㑤㙢换戴㉣挹㥡戲〰㜱晡㙡㔹㠷晣㉣捡慢ち〶戱㕢㔳㌷㜶戱㡤㌲つ慦㍦㜳扥散昹攳㜷㈱㜴㕦づ㜹㥣ㄷ㐲㐷㐰昷㐳㠸㐵戳〵㜲戲挱晥戸〱㘸搹㌸敦㑤㉥㉦挵㐲户㔶挲㘲㝦㐶愷㑡搷愵㔷㕡㥣〷㌶扤㝤㝡㍢㜷㌱㍣慣愹捤ㄶ敢㘷㔱㑥㜸㑥慢㤸昰㜵㡤ㅦ扤晦㐳㈵攸昱攴扦㡡㌵㐷搸晦㡦愵晤㔱〲㙡㉢㤴㠰㌵㉦散㡦㌲改㘹㝦摢つ挵㔴㔱挱㙤㠷捡晣摥㠳ㅡっ㥥捣〵㌷〵㔲つ㐱挸㥡ぢ㕡攵慡〷㠰摢敤㕣㔰て戴㑡㕤㙤つ㔱晣攱㌰ㄸっ㉥㔰昹㔱㜴摥㜵㘶㕢ㅢ㠳㘱㑦挷㌶〷㐶㙦〱愲戶昱〷㙣㐹挰㔶㈰搵昴敦㉣敥㜴捡扡慡㐲愰〲㕦㔶挵㌲愸愶㤵换㐱㌴㔹〳㕦㔲㠵㉢㉥㤶㤴㐶慦ㅡ扡戲敡挱㐰㍤昵攴㤳㘳㠰挵搷敢㍣改㌷㠱㘱㘷㜰〸搳ㅦち愲攸戳㈹昳㙥㔴㜲㌱㉦扦扣〴㥥㘵摦慤〱搹㌴晦㜶㤴㜵敥昵愸〴㐴挵摥挳愸㥣㝥㥥〵㜳敦㙤挰敤搶摥㔲扥昴〷挵㕦㠵摥㤶㑡昸ㄸ晣搰㈹搴戱昵戰晣愳㡣〰㐶㡦㈴㜰㘷㝦挰㜶〴㡣㈲㘰っ〰㌲昷摥ㅥ愱㕥捥晡㠵敦㈵昲㔹晣搵〳㠳〹昷㌸㡦搲愶㝣慡㍢㔲㘹㠸㑡㜷〵愰㜸攱㐲㈷㑦换㠰㘱㐰搶㝢攱㌲〳㘲㘲扣〸ㄵ搳㍦戴挰㜸㌱㜰搷㙤扣搹㄰挳ㅦづ攸愹〴㌷昲愱㌳愹㘳扣敤昲㡦ㄱ〷㐶㈷〸愴愳愹て㈰㐹㐰㈳〱昴㍤ㄵ攳㡤㐶愸㥦㘳㍣敦㈲扡昴昸〱敢㤶㥤㠱㠶ㄹ昷昲愸㙦捡愷㍦㠶敡㜷愱晡㠳〰㈸㌶㈳㥤㐳挵㡣㥡敢㍦戹搸戴㍤㝢㡢昸㡥㥣㙤戲㈶㉡挹㈲㔴㘰戲昱攰慥摢㘴㌹㠸攱て㉦慢愲ㄲ摣挸㠷づ愷㍥ㄶ㤹〸㡣㥥㐴㈰㥤㔱㝤〰㤳〹㤸㐲〰晤㔳挵㘴㔳ㄱ昲㕢敢昹戹愵挲㘶扢〲づ㥢戵㝡昴㌷㤱㘳慤昵㜶愳晥改搴㑦㕦搲㘲㥢搱㠱搴慡㝡㌳〰㔹敦慡户ㅣ㘲㔲昵㘶㔲㌱㝤㑦ぢ散㌸ㅢ摣㜵摢㜱〵挴昰㠷㜷㘱㔱〹㙥攴昳㑢㔰ㅦ㌳捤〱㐶捦㈵㤰㑥慣㍥㠰㜹〴散㐱〰㌷摣挴㡥㝢㈲攴㘷㐷㍦㜷㔶搸㜱㙦挰㘱挷㘳㍣晡㥢挸戱散戸て昵敦㑢晤昴㐱㉤戶㈳ㅤ㑦搷㔱昷攸㤶㉡㌶摢㥦㑡捥㐴愸挰㘶〷㠲扢㙥㥢搱㡦ㄵ㝦昰㥢愰ㄲ摣挸㠷捥慣㍥㈶㌹〸ㄸ㥤㈲㤰㡥慥㍥㠰㌴〱ㄹ〲捥〳㐰㙣㤶㐵挸捦㘶㝥㉥慦戰㔹づ㜰搸㙣㤵㐷㝦ㄳ㌹㤶捤ㄶ㔰晦㐲敡愷㥦㉡㌷〲散㐵攰㈲㡡㜱㜷〲㉡づ挶㍤㠷改㉢㄰捤挵愰㜳ㄵ㉣㘱㜴㡢㡤扡ㄲ〸㉥㘵昸攰敢㥡ㄶ㉢扡挳㜲㙡㡣㌷㑡㐰㍣㍦㌷㙢户㤵㕤㡤㌸捥捦㡥㝤散晢㉤㌷㕢戶㜲散ㄷ㝢㔶㝤㜵挸换㌷㡣㜵ㄴ㌳㘳捣ㅡ㕤㘶慤搲捤㐹敥㄰㉣㥥㌹搰愱㔶㑡昷㄰攸㔶搷㈱㘴㤵慥㍤㜳攸〴户摢搲搵㝣ㄵ㉦搳愲ㄷ㉥晥昰㠲㌰㉡戲ㅥ戴㐲搱敤搶㈹㐰㘶挱㌶昰㔲㘰昴愱〴搲㈵搷〷戰㡣㠰攵〴摣〲〰㘷て晡㌰㠴摣〱㥦㝥戸㡥ㄸ昷㍣㙤扤扦愰搸ち㡡摤つ㠰愷攰づ〷捦戳㝡㔷昷㈰扡㙣愱㠹敤攸㙡扢摥〵㜶ㅦ挰㔶㠱ㅤ挱ㅣ戸㤳改愳㄰愲㜱敥㐷㍣ぢ捣扡捡㑦昹攸戶㙢ㄵㄸ愷㝣挸㜱㘹㠱㍤〴㥥ㄴ搸㌱㐰愸㠷ㄱ㉡㈸戰㜵㑦昵㡥户昳昴〸㐴昱㠷ㄷ㤰㠱攱㑥昵ㅥ〵换㌱慣㘷慡㜷㈲㌰晡㈴愶㐸㌷㘱ㅦ挰挹〴㥣㐲挰攳〰㐸㠱㥤㡡㤰㕢㘰昴つ㜶挴㥡㤰慡㕤㘰愷㔱散㜴㡡搱㡦㔷㝡㈷捦っ㡤捥扢㔶㉦㝦〶㈰ㅢ㌴㐳㝢ㄹ愲㘲愶㌳愹晣ㄵ㠴ち㝡慤戳挱敤戶㕥㑢ㅤ㜸ㄵ㘲昸慢搰攷㔰〹㙥攴昳ㅡ愸昳㈸愱晣愳㥣ぢ㡣㍥㡦㐰㍡ㄱ晢〰捥㈷㘰㈵〱慦〳㈰扤搶〵〸昵㜶㈶ㄹ昲㡥㍤㥦㈹摡㠵〰愱慦晡㠷㐷㙢㔳㍥搹㕦㔱敢㐵搴㑡ㅦ攰攲晥㥤㡥扦㤶〵㉦〶㘴扤挷㐹扡ち㡢昵㝥㑤挵㙢㄰㉡戰摥愵攰慥摢㝡昴㉤挶㕦㠵扥㡣㑡㜰㈳ㅦ㍡ㄸ㍢挶搹㉥晦ㄸ㤷〳愳慦㈰㤰捥挷㍥㠰㉢〹戸㡡㠰㝦〳㈰搶扢ㅡ㈱扦㍥摦捦つㄹㅤ昶㌵㠰挳㡥㕦㝢昴㌷攵㌳㜰㉤昵㕦㐷晤摣つ㉥戶㈳ㅤ㠶慤㠶㔹㜶㡥㐶㠳㠸捤㙥愰ㄲ晡ㄵㄷ搸散㈶㜰搷㙤㌳晡ㅦ㈳㝦昸慡〲㤵攰㐶㍥㜴㐲昶㌱挹㉤挰攸摦ㄲ㐸〷㘵ㅦ挰敦〸戸㤵〰晡㉣㡢捤㙥㐳挸捦㘶㝥慥捡戰搹ㅤ㠰挳㘶㜵ㅥ晤㑤攴㔸攳攴㥤搴㝦ㄷ昵搳扦戸戸昵づ〴捦慡㝢扦〷㘴㠳㕡㉦㕤㤱挵㤶慢愹㝣㜳㠴ち㙣㜹㌷戸敢戶攵㤶㄰ㄳ㕢摥㐳㈵㡥㉤户〲搷㌱㤵愷昵摥ぢ㡣扥㡦挰挱晥㠰晢〹㜸㠰㠰㈱〰㠸㉤ㅦ㐴挸搳㝡挳ㄱ扦〵搶挳〰挱㠲挳㍤㕡㥢挸戱㉣昸㐷㙡㝤㠴㕡敢〱昰っ㔸㡦㔲㉣敦㈰愲㜶㐴㜴昷〳㔶〸㠸昵ㅥ戰攸晦㙣つ㔸㡦㌱〷敥㠰昵〴㐲ㅣ戰攸ㅡ扤㍥〳ㄶ㝤愴慤㌲㝥ㄲ㤲摤敥㔱搰㤳㕡捡昴㈹㈰ㄵ㕤慡慤㌲戵㘷ㅡ捦㠰摢㙤㤹敡㘷敤扣搱晤㕡捡昵捦㘰戸〳搷㘸㜰㥤㜲昵っ㕣㝦〱㐶㍦〷愲攸㡢敤〳㜸㥥㠰扦ㄲ戰㌳〰㌲㜰扤㠰㤰㍢㜰㡤昵㠸㜹ち敥㐵㡡扤㐴㌱㍡㑢ㄷ㜷ㄷ昴㤰戶捣昲㌲㈰敢摤敤搲愷㕡㑣昴ちㄵ搳戹扡愰摡扦ち㙥户㈶㤲㐱㙢㈶挴挴㍣慦㔱〹㙢ㄱ㍦戳挰㜵㥥㝥㍢㌰散晡昷㜷㘰昴敢〴捥昶〷扣㐱挰㥢〴搰㜱㕢慡晤㕢〸昹慤㡣㝤晣戵搱㠳扣つ㌴敡㍦ㅤ户㥤昴㥢昲改扦㐳昵敦㔲晤㠱ㅥ〰攲㥤っ扥㐷挰晢〴捣昷〷㝣㐰挰㍦〹㐸㝢〰ㅣ挰散ㄳ扤㝦ㄱ昰㈱〱㙤ㅥ㠰㈷㠹㡦〸昸㤸㠰㜶㝦挰㈷〴慣㈱㠰づ挸捥㔳㔸摦ㅣ㤱㐳挳㑦〹昸㡣㠰挳〱㈸慥っ㐷㠲㘷㔵㠶捦〱㔹敦捡㜰ㄴ挴愴㌲㝣㐱挵㐷㈳㔴㔰ㄹ扥〴㜷摤㤵㠱㑥挸㔲ㄹ扥愲ㄲ㍣戴㝣㡥〳搷㜹っ㑦㘵㔸ぢ㡣晥㥡㐰㝡㈹晢〰扥㈱攰㕢〲攸戸㉣㤵攱㍢㠴晣挶ㄳ㍦㝦㘵搴㠶晦〰㡥摡㐰挷㘵㐷㝦ㄳ㌹㔶㙦昸〳昵戳㐹㉢㍡ㄹㄷ㡦㈷昴㉣戶散㐸搷㤹つㅡ㑦攸㡦㉣戶㠴㑢㐵㠵愲㘳㜲㠱㉤昱㕥挷昵戰攵㠵㄰ㄳ㕢㔶㔳㠹㘳㑢㝡㌱㍢㡦攲ㄹ㑦っ㘰㜴㑦〲㉦昲〷搴㄰挰ㅦ㈳㔱ㄷ〳㈰戶っ㈰攴ㅤ㑦攲㝥攳㐹㙦㠰㘰挱换㍣㕡㍤ㄶ慣愵搶㍥搴㑡㡦㘴㈷㕦㤰㜰㑣㕣㐷㐰㤰〰㝡㉢晢〰㌶㈲㘰㘳〲㙥昲〰㈶攲㜹敤昶搴㤷㠰㑤〸㔸つ㐰㜱㘵扦ㅢ㍣㈹㈴㑤攷㌹戹㡡㌷戳敥㐱㠴ㄴ㐶㝦㉡戹ㄷ愱㠲挲搸っ摣㜵㔷散晢㈱㈶㠵㌱㠰㑡㤰㡥㝣ㅥ〰搷㜹㈶㑦挵ㅥ〸㡣ㅥ㐴攰㠳晥㠰捤〹搸㠲〰㍡㈲㑢㘱㙣㠹㤰㕦挵昶昳㍦㐶挵ㅥっ㌸㡡㠵㡥挸㑥〶㥡挸戱㉡昶㄰敡ㅦ㑡晤昴ㄲ㜶〰㠸㜷〰㕢ㄳ㌰㡣〰㝡㄰晢〰㠶ㄳ戰つ〱昴ち㜶〰摣〹戴㡢㘵㕢〲㐶㄰昰㈶〰㘲㥡㤱っ㈱つ㝥慡改敡㔵散挱㔴攲㕤〶〱㥣㔳搳捦㙣㙥搷昲ㄶ昸昶昱㤶ㅥ㑤搶ㅤ㌷攳慤㘸昸㔹戵㜷㔴攱㌸扥昸敤㉢慥散㈳㔰搵㙢㤳愲昷㥥㡡ㄸ㘳摥㐲㙥慡㕦昸戶昴摤㥥慥㍣㌳㥤㝦〹㈲㘵㜸ㄹ愳㤰挵㑤㘶㌴㘷㍡摡㍢摢㜳㕤㠳攷挲㙦㜵㌰摦㈳㡢つ㡥搰戸敡攷愱搱㌷㑤㍥㔸㔵ㅢㅥ愴㝡㈹摦慢ㄸ㌸戸慤晤搰㌶挹㑤㜵㈷㕦愷㉢昶敡搹㤳挹〴㤸づ慦慤㘱戸攰㍢挸㘸㄰〱扤〳㔴搴搶〵改㌳㠶扦ち愳ㅥ攱攱ㄳ挶攳㜷ㅦ愲戱㉣㕥〵㥣㐸攷㤲挹㔸㉣㥤㑥㈷搳㤱㘴挸㑣㐴戳改㜰㉣㡡〸㘳㐷ㄷ㥡㡤㐵㜲愹㠶㙣㈲㤱㌵㤳戱㕣捡㑣㘵ㅢ㈲愱㔸〶㉦㤹㡤愴㜳昸㌵㥦㈰扤搱愸㕥㠷㈰愳挳㈰㐱㍡愱〹㉢㐲㔶㤴㉣扡愴〹㡢〰㠱㔶搳㠹㙢㝤㍤挵㈰㠴搱搲㝡昱㕡㔵捦㥥㈵㙥ㄴ㈵ㅥ㘶敥㥢㌶つ㠳㥢㉤搵㡦挳捣挵㙦挳昳ㄷ㉡㉣㐵ち㜳〰搰〹收㍢〹ㄲ〸搲扦㡣㍣愳ㄱ挱㡤㈶㡣㥦㕦昸攳㍡挶㘸戰㝢㠳㉤㈷㠴㜳昰㠲㕤㘳㈷㜰晡㠰攳昱愸つ㝥㙣㙢搱㍢㈳㔲て㘵ㅡ㐳㐰㤴昸㤷㌱㌴ㄶ㝣㘶㐶㍥昴㉦㘳㝢㔰昷攳㐱㔸ぢㄱ㔱㘱㡣〳愴㙣搵㔲昷〲挶敡㔵㔸㍤攸㝡㈶搵㘳〲㠴㔱㍤攸㘶㠶㍦扣昹ぢ㘱慢㝡㈴戲㠹㕣㉣㤵㠹㈵ㅡ攲攱㔸㍡ㄱ㐹㐵㤳㡤攱㘴㉥㤷㐹攷ㄲつ攱㔸搶㤸攴㐲㌳昱挶㕣㈶㤳㡥攰㑤晣戹㔸㉥ㄹ㐹愶㌳搹㠶㔴㉡ㅥ挹㈵愲改㜴㉡ㄲ愴〳ㅢ搵敢挹㤰搱㔳㐰㠲昴㕢ㄳ搶㔴戲愶㤱㐵㉦戶㐲㤴晡〶㘱㔶ㄱ㜵ㅢㅥ㠱挵㈷挵㌰㠳㈲㌳㐱〲㐱扡愸㐹㌱捣㐲搰愷ㄸ㘶㠳㕤㔸っ扢㠳㔳㕣っ摦搹㕡昴ㅣ㐴捡て攸挸㑦改愸晦㌰㘹收㝢て昰摤㘲㘰㠲㔲っ搷㈱㐳㙥㌱散〵㐸昹㘲戸〶搰搲㘲㔰搰㈴挵戰て㠴㔱っ㤵〸㈳挹ち㘳㕦㠴敤㘲㠸愶挳昱㘸㌸㙢㥡昱㑣㉣㤷㑢愶ㄳ昱㔰㌲㥢㙣㠴㈳㜲㈸㤲㑣㌴ㅡ晢戹搰㔰㈲㡢〶㥣㑥㈶㈳つ挹㔸㍡ㄷ㑥㠷搰㤲戳昱㔴㉥ㅢ㑢㈵ㅡ㘲㘶戰㠷慤㕥敦てㄹ㝤〰㐸戰捡㘱ㅤ㐸搶㝣戲慡ㅤ㤶㡢㔲㌵㘰㐹㌱晣摡㕢っㄹ㡡㘴㐱〲㐱つ〰晥㉡っㄳ㐱㥦㘲挸㠱㕤㔸っぢ挰㈹㉥㠶㠰慤㐵㉦㐴愴晣愲㤰晣戶㔰戰ㄷ㔵攳ち昶㜶㙥㙡㥤㥢㍥捥㑤ㅤ㙥㝡〲㘳ㅣっ搹㈰㥡㔹㠱㈳㥡搱〲㙥敤㝣换㔱㔵㥡㘴愷搱㕡㥡〳愳㡤㌰㘹戵ㅤ攳戲搹づ扣㘲挹㘸〷换攷㠹ㄶ㠳㕤昸㐴㠷㠰搳㡢慦㜶㠷〳㉤㝢㥥㘰搰捥㔲つ晤ㄳ昸搵ㅢ愳ㄳ㤰搸戶晢㜹㕥ち㍢搸昷愵戰㐹㜹ㄷ散〱㝣㠳㜷换戶㐳收㐵ㄲ扡ぢ㤲昲戳㍤㌵㌵慣㠷搵ㅢ㐳㜷㜱㔷收㜱㝦昷戸敦搱㈸㐱㡦㙦㥦㜴㡡ㅢ攵散㘳昹㔹㜰㌴改㈲敢攷攰㥥㔰㘵戹晢慣㜳㍣㤰㐷搸敦〰㜶换挵㌶㈸散捥敤㘷㤳户㉤晦㌸㜷愰㐰昵挹愸昲敢㤷ちぢ㈶㍦昴㍢㠳㐶㐰ㅦ㡡戲挳收㐴㜵㕦㤴搹晡㝢挷㔰㕢摦扣㕦㌸扦〱㌰慡〵㡥㐲敢昱㠵㡢㘵㐸㔰昵㐳㙡搴愱㤷㈳挴㑥㠵ㅦ戵愹挳㍤㡣ㄸ㜰㄰慥㔰摣㝤㤷ㅥ敤㌸㙦㡦戶〲㤰昲㍤摡㌱㝥㍤㥡ㅡ攸攸㍦ㅣ挲〶㜴昳ㄳ愴㔷㠶昴㜳㐷㠰慢㡦㈴㌹㡡攴㘸㤰摡摥挱捤㙤㈱攳ㄸ㠴慤㙥㉦㤴㡢㐴㜳㔱っ㌴搱㘸㈴ㄶ〹愷搲戱㔰㈴㤱㙡㡣挴㌰ㅥ㘵㐲昱㠶攰ㄶ㑥㐲挷㐲㈶戸愵ㄳ㍡㡥愱慤㥣㄰攳敡〶㈳挴搱㡦㌹昹㐹慦攰㄰㘸挶ㅦ㝥㉣〷改㘸昶㜱㥡摤㕡㜰愸挳㍦㤹㉣扥㑢㑥㝥摤㐹つ〳㕦㡡攴㌴昰㕤攳㙦〳慥ㄸ扦挳㙢晣㌳〰㈹㙦晣挵㝥挶て㙥ぢ㑤㘲收戳㈰㡣攱㘴㠴㥤て攳㙣㠴㉤扢收㈲㠹〴㑣ㅢ捤㥡㡤愹㔸㈶ㄴ㑢挷戲つ搹㠶っ挶昹㘸㌲ㄹつ挷㡣㜳㕣㘸戲㌱搷㄰挹愶愲㘹㡣晥㌱っ敡㈹㌳ㄲ㙢㡣㌵㈴ㅢ戳愹㐸㉥㥥〸ㅢ攷扡搰㘸㌴ㄶ㑥㘷㌳㠹㜴捣っ挵愲搹㕣㘳㈶ㅤ㡡㠵㐳㠹㑣㌸㘲愶㌲㤹㙣㜰愴㥤ㄳ㝤ㅥ㘴昴昹㈴㉢㐱㠲摢㌹晣ぢ挸㕡㐵㜲㈱昹愳ㅣ扥㐰㐵㠸㜸㔵て扥っ㐴㘹ㄸ㠰昳〱㔶㙡㝤〹攵㉥〵〹〴㜷㜴〴㡢㡡㈴攴昰慦㈴㜶〲愵挶㠳愸〸昸㔲㈴扦愱㝡㜲昸㠹㠱㉢㐵戲户户㐸慥〵愴㝣㤱散改㕢㈴つ搰㈴㐵㜲㍤㠴㔱㈴㜱㠴㤹㘷攳〶㠴慤㈲㠹愵ㅢ㜳㘱㌳㤹㙤㑣㈶㑣摣㥢㡤㡤つ攱㕣㈲㥥换㘵㘱㑦㑣戱㡤ㅢ昳搰㐴㌶㤲㡤㈴㐲㡤攱〴㑡㉦㙣㌶㈶捣㘴㌸ㄳ㑦㐵㤲挹㔰㉡ㄷ㡤〴ㄳ戶㝡㝤ㄳ㘴昴捤㈰挱愴挳扡㠵慣摦㤲搵攸戰㕣㤴摡ㄹ㉣㌱散㜴摢戰〸㔷攸摢㈹㜲〷㐸㈰㌸〶っ攱ㄵㄹ㜶ㄷ㠷扦㥡搸㕤㈹㌵㡤㈶㙣〲㕦っ㝢て昸慥㘱挷㠳㉢㠶ㅤ敦㌱慣收搴㠹敢㈰搵攴㙢挳〹㄰ㄲㅢ㍥〰ㅣ㙣㌸ㄱ㘱戱攱㠳〸㕢㌶㘴㤵ぢ挷㔳㠹㜴㉡ㄱ㡥㘱昵㠲㡡㤸捤愲戲㌶㈶搳昱㐸㍣摢㘰㍣攴㐲㘳改㑣㈴㥤㌴攳戹㜰㘳㉣搶㄰挶慦㤲㐶捣㔸㈳㔶㍤挹㜰愴㌱ㄹ㑡〴㈷搹敡昵挳㤰搱㝦〴〹㑥㜶㔸昹㔹搲ㄴ㠷㐵㠰㐰搵慥㘰㠹つ攳㕥ㅢ㍥挱昸㈷㐱〲挱摤〰挰㕦㐹㝦㌱摤攱㍦㑢㉣摦愹㈶㍦㕡愶㘶㠲㉦㌶㝣づ㝣搷㠶戳挱ㄵㅢ㙥敦戱愱昱㔷㐰捡㔷捥敤㝣つ扢㍢㌴㠹㘱㕦㠴㌰っ㍢〷㘱㌱散㑢〸摢晤㜰㍡ㅣ挹㌶愴挳愹㐶㔴挶㠶挶〶捣㉤戱㉣挸㐵ㅡ搳つ㔱晣扥㕦捡㜸搹㠵愲㘳捥㘴戳㘶㌸㠷㥡ㄹ㑢愷戲㡤愱挶㈸愶慡搱㙣㈶ㄵ捦㠶㌳愱攰㕣㕢扤㝥〵㌲晡㙦㈰挱㜹づ敢㔵戲㕥㈳㙢て㠷㐵㠰㐰搵摥㘰㠹㘱〷㝢つ晢㈶攳摦〲〹〴昷〱〰㝦ㄵ挶㍦㄰昴㤹慣扤つ㜶攱㘴敤ㅤ㜰㡡愷㥦晢摡㕡昴扢㠸㤴㕦㙤搳㝢㐱愹摡ㅦ㝣㈹㠶て挰㜷㡢攱㐰㜰愵ㄸ晡㝢㡡㈱㕦㤵㌷昱戵昸㝣〸㠹挵㍦㠲㉡㔸晣㈰㠴挵攲ㅦ㈳㙣㔹扣搱㌴㘳搹㜴㈸㠷㝡摣㄰挳扣ㅦ晤㘷〲换慢㙣摡㡣挴㈳㤹㘸搶昸挴㠵㠶㜳㘶㌸ㄶ㑦愴㈲戰㜴㉣㥡㡢愷搲挹㜸㉥ㄳ捤愰㌱㈴㜳㠹㜰㈶㤸戲搵敢㌵㤰搱㥦㠲〴搳づ㉢㕦㤵㌳づ㡢〰㠱慡ㅣ㔸㘲昱㠰搷攲㕦㌱㝥㉤㐸㈰戸〰〰晣㤵㔴攵㠵づ晦㍢㘲攷ㄳ㜱㈰㙤戸〸㝣捥㔹昱晡㉥㘸攴㥣㡡搲〱㕤㔱つ㡡㠳㥢㠳ㄱㄴㅢ㉢㌰㥣㑢戵昸㜲㕢挱攵㕣㑡㔷〲慢摡㝤㌱㠷㌸摣㉡㘲愰㄰㘱扣挹づ㔴捡散摢㙦㍣㉢㌷〳㤰昲㑤攷㙢㐰㑢㔶㙥慡换搱㕦〳㘱㜷㥥戳〴㕣㍣㌷㌶㐸挱慤敤ㄱ㕣捡㔴㜱〵て㜵㙥㤶㌹㌷换敤㥢扡挳㜰昳扦㤹㥥搰慢㠴愹ㄸ〱攴挶愷㔵昴〲扢戰㔵昴〶愷戸㔵慣戰戵攸㕡㐴捡捦〲捡て〴慡挳挱户㑡㜴つ㉣㤴㉦搱㡤〰㘳㠹ㅥ㠱㜸㈹愵㡤挱㔰㐷㈱㈴攵摢ㄷ㈱搶㜸㝥搴㌱づ㜷ㄳ㘲挰㐱ㄸ扢昸づ户ㅦ戸慥㙤㑦〰㔷㥡㑥㝦㜰昵愶㈴㥢㤱っ〰挱ㅣ昲㐴㕢挸ㄸ㠸戰搵㤲㜲㤹㤰㠹ㅤ〹戳㈱ㄶ㙡挴〶㔶ㄲ挳㘴慡㈱㠵㈶㤴捡愴ㅢ㔳愱㜸昰㈴㈷愱㐱㤰〹㥥散㠴㌶㘷攸ㄴ㈷挴戸扡㔳ㄱ晡摦ㄴ搲㘹搰㡣扦㤲㠶㜴扡挳ㅦ㠲昴昵挱㐴㉣愲㜱捥〴㕦っ㌹っ㝣摥挸攷㙣㜰愵㘲晦捤㕢戱户〱愴㝣挵㝥搹慦㘲〷捦㠱㈶㌱昳〸〸愳㠷㍡搷捥㠷㌱ㄲ㘱换慥㤱㜰㍣㠲㐱㈱ㅣ挷ㄸ㄰㙢㠸㘰づ㤹㑢㘶攲㠹㠶㐸㌸〹㍢㘷㈳挶㜶㉥㌴ㄷぢ㘷搲改㙣㈶㥢ぢ挵㘲攱㕣慡㌱摥㤸㙡っ㘱㡣㠸㘶㤲ㄹ㌳㤵㌶㐶戹㔰搳捣愵㐳㡤㤱㘸㍡㙡挶㘳改㐸㈶㤵捥㈶ㅡㅡ搲つ㘶㌲ㄳ挵ㄸ摤㄰㍣捦捥㠹摥ㅥ㌲㝡〷㤲㝡㤰攰昹づ㝦㐷戲㐲㈴㘱昲㔷㍡㝣挱ㄳ㉡㐲敡㐲昰愵㙦㝢〲〶㜸ㅣ㍤ㄱ慢愲㡥㌳㍥〱ㄲ〸搲㌵〵㝦㈵㐵㜲㤱挳摦㠹搸づ㈲昸㍡㍦昵㙢昰愵㐸㜶〱摦㉤㤲㑢挱㤵㈲㜹挰㔳㈴昹昱攱㍥㕦敢㕦〶㈱戱晥㜸愸㠲昵㉦㐷㔸挶㠷〹〸㕢搶㑦㐷㘰换㜴㈲㤱㑡㐵ㄳ㌱㤳㔳㤹㔴〶扦慡㡥㐱㌹㠶㈹㑣㌶㘳㑣㜴愱搱㐴㍡㠱〹㝣㡡㘵ㄳぢ㌷挶㤳㜱散敤㐶搱ㄲ㐲㤹㌴慣㥤っ㕥㘱慢搷㤳㈰愳㈷㠳〴慦㜴㔸㔳挸㥡㑡搶㔵づ换㐵愹㙢挰ㄲㅢ摥㙥摢㄰㘱戸扤㔲㘴〶㐸㈰㜸㉤ㄸ挲㉢㥡㉥㕥攷昰㜷㈷㜶㌹愵㤶搱㠶㌷㠰㉦㌶㥣〷扥㙢挳㥢挰ㄵㅢ㕥敦㙢挳㙢㝤㙤㜸㌳㠴挴㠶㝢㐳ㄵ㙣㜸ぢ挲㘲挳㝤㄰戶㙣㤸挸收戲愱㠶㐴㍣㤳挹攰搷㐴挳愸㠸㡤㤹㐸〳挶捤㙣㡣㑢愱㠸戱慦ぢ挵㙡〶ぢ捥㘴愲㈱㤷㠶つㄳ㜱㔴攱㈴㉡㍤收㤹㘶㈴ㄴ捦㈶㠳扦戵搵敢晤㈰愳昷〷〹晥捥㘱攵挷搸㕢ㅤㄶ〱〲㔵㜷㠰㈵㌶扣挴㙢挳㌴攳㌳㈰㠱攰㥤〰攰慦愴ㅥ摥攵昰ㄷ㄰㝢㈴ㄱ晣ㄲ㠶㕡つ扥搸㜰ㄱ昸慥つ敦〶㔷㙣㜸㥥搷㠶散ㅡ㘴捡㝤㡥慦つ改㝡㈲㌶㙣〳づ㌶扣搷㑥搲㘸㐷搸戲愱㠹㌵㘰〳散ㄵ挹㠴㈲戱㐴㍡㡣戹㜳㈶㤵㌰捤㄰㙥㔰㈳愳挶㘲ㄷ㡡戹㌵㝥㐱㍣ㅣ㡤攵攲㔸捣㌷㈴㔲戹〶捣挲㔳摣㕣づ㘷愲㡤㐹攳㄰ㄷㅡ攵㌴㍣ㅣ㠹㠷ㅢㅢ捣㔸〸ㅤ㑢㍣㠴㜴㌲つつ㡤搱㠴㠹晥㍢㜸㥦㥤ㄳ摤〱ㄹ摤㐹搲〵ㄲ扣摦攱ㄷ昵〲て㌸㝣愲昲㐲敡㘱昰挵晡挷搹搶㤷㕥㘰〵㐱扦〴〹〴晦攸〸ㄶ搵攰㐷ㅣ晥㔱挴㥥㐰敢ㅦ㑦敢㍦ち扥㌵ㅥ慥㠰挶晣㜸㜸ㅣ戵㘱㍣㝣っ昱㌲ㅥㅥて㠶㝡〲㈱㈹慢ㄳ㄰㘲搲晣愸愷ㅣ敥㠹挴㠰㠳㌰扥攵て㉡㈵㜸愸愷〴㡤㤳〱㈹摦戹㉦昱㉢㔶昵慣愳晦㔴〸扢㈳敢㥦挱㤵挲㍥つ㕣㝤㍡挹ㄹ㈴㘷㠲㘰㘴晤㡢㉤㘴㥣㠵戰㔵昶愱㡣ㄹ㑥㘴ㅢ㜰㈶ㄴ攲㔹㔱㍡㡤搵㔴㈶ㄲ㑥㈷㤲改㕣戴〱敢搰攷㥣㠴捥㠶㑣昰㜹㈷㜴づ㐳㝦㜵㐲㡣慢㝢〱愱晦捤挸晡㈲㌴攳て㕦㤰攰㔴㜴㌴〹㡦㘰㠲㉦㌹晣ぢ㤰扥晣ち慤㍥㤵㘶㝥〵㝣㈹㤲㕦㠱敦㌶㥦㔷挱ㄵ攳㘷扤挶扦ㄸ㤰昲挶㑦晢ㄹ㍦㐸扦ㄶ㌱昳㈵㄰㐶㥢晡㍢挲搲㉦㕤㡡戰㘵搷㘸㍣ㅢ㡢㥡搹㔴㘳ㅡ㡢搷㙣㉡㥢捥㘴㜲搹㘴〳㍡㙢散㝤㈵㌳㈱攳㌲ㄷ㡡晥ㅦ慤㈸捥戶ㄶ㡢㘵挳〹摣㐴捣㜰〸㍢㉦㌱㡣㤹昱㐸昰㜵㕢扤扥ㅣ㌲晡ち㤰攰ㅢづ敢㑡戲慥㈲敢㑤㠷攵愲搴摢㘰㐹换搸ㅢ㡦挱昱ㄱ㘱扣挱㤸㈲搷㠱〴㠲敦㠰㈱扣㈲挳扥敢昰㙦㈲㤶㉦㔳㤴㥦攲つ扥㐷㌰慥攰晢捥捤〷捥捤㍦㥤㥢㝦攱㠶㍢搵㥡摢昷㥡扢昵㥡晢昳㥡ㅢ昲㥡㕢昰㥡ㅢ敥晡㄰㤰攰㠷㌶㔶昶搵㔷㐱挸昸㍤ㄲ晣ㄱ晢敡攱㠴㕥捤慣昲ㄵ㠹搶扥㝡昰㈳㈷㐳ㅦ㍢㌷㥦㌸㌷㙢㥣㥢㑦㜱戳扥㜹晤捣挶㑡㕥㉦㘱㕥ㅦ㐶㡡搱つ㍦〳㐸攸㍦㌲慢㤷扡㔹㔵㕦㐰戵搴搷㍦㈱挲慤慦㕦㠲㉢昵㌵改愹慦㥡昵㔵扡晢戸㙦搵晣ち㐲㔲㌵㥦〰づ㔵㜳㉤挲㔲㌵㥦㐴搸慡㥡昱㤰㤹㙣㌴㤳昱挶㑣㈶ㅥ㡢㈵㌱㘲㐶㜳㔹㌳㤴换攰㑣㌰ㅡ㙤㑣ㄸ㑦戹㔰散ㄲ㐶捣㐸愶㌱换㘵㈹づ㤸㔳㘱㙣捥㈴㜲愱㜸㈶㡣㡤慤㕣㈸昸戵慤㕥㍦つㄹ晤っ㐸昰ㅢ㠷昵㉣㔹㝦㈶㡢づ㍢捣㠴〰〴慡晥〳㤶㔴捤敤扤㔵昳慦ㄴ㜹〱㈴㄰㘴㕤挵㕦㐹㥢攷慡㑣昸慦㄰晢ㅢ㈲慥〶㔱㤵攰㡢つ㕦〳摦戵㘱ㄵ戸㘲挳愱ㅥㅢㅡ慦〳㔲扥捤て昶㌵㙣㌵敢㉢㔳㝢ㄳ挲㌰慣㘱攷挳㜸ぢ㘱换戰㌸㔵㑦㈵㘳挹挶㠶㙣㌲ㅡ㡢㠷愳㘹㙣〵㘲㈷㈵㘹㐶挲㘱㙣㜷㌷ㅡ晦㜰愱挹㐴ㄲ㝢㠲搹㠶ㄸ㜶戵㘲挹㘸㍣㠹晤㤵㔴㈲㠳〱ㄸㅢ㠸㘶㌴㘴扣敤㐲戱㜵㘰㐶ㅢ㘰昶㜸㐳㈶ㄶ㡡㐶ㅡㄳ搱㔰づ㥤㜴㉡ㅥ捦㐴攳愹㘸戰愷㥤ㄳ晤づ㘴昴扢㈴敦㠱〴改摦㈳㤶㝡㥦慣て㐸晥㐹扥㜶昸㐴㔹㜸㑡慡摥攰㑢㤱㙣㙣ㄷ㠹ㄴ搹㈷〴慤〱〹〴㙢㙤㐱攳㔳〴㝤㔶愱㥦㠱㕤戸ち晤ㅣ㥣攲㔵㘸ㅦ㈷昹㉦㄰㈹㍦㉣慤昹㘶挷㘰ㅤ昸扣㠲㐱攷㘶㈳攷㠶捥㐰ㄲ搵ㄷ㌷㙣慦挶㔷㤰㉤㍤ㅡ㕣ぢ㙥搱搱攰搷愵㌹㌰扥㈱慣昰㘸昰㕢戰㝣㥥攸㍢戰ぢ㥦攸㝢㜰ち㡥〶改㠷挴㉣㐹户挰㤷㌳ㅡ㍦〰昲㈳扡戰㘸㐴㜳㈰㤷ㅦ捡戶扡㌰㈵敥㐹㔰愹㉢ㄱ攱搶改捤㤰愲搴改敦扦捥㙦㝤攸㔱㘲㈳散扣㝥ぢ㙥挹㉥㐷㜰〰愲愵晡ㅡ㔰㠵敡㍢㄰㘱改ㄷ㝡㈲㙣㔵摦㐴㈶ㅤ捦攲㐰㈶ㄵ㡢愲戲攲㜴㈰搷㤸换㌶挴㘳㌹ㄳ㈳㔲愳ㄹ㌵㙡㕣㈸㑥慣捤㔴捥㡣收㘲搱㔴㉣ㄱつ愳ㄲ㈷捣㔴〴㥢㕤㈶愶攰㤸㌵っ戲搵㙢つㄹㅤ〰〹㙥敥戰昲㕥㈴昴㜷㤲㑡㐶㠰㐰搵㘰戰愴ㄲ㝥㡡挷㜰㠷慣㈰攳㌷〲〹〴㠷〰攰搷㉦っ㜵昸晤㠸攵㥢ㅥ攵搷扦㠳㕢㠳捦㉢㌸捣戹ㄹ敥摣㙣攳摣㙣㡢ㅢㄹ〶㔸慤㌴㙢㤱㘶扤搱慣㈸㥡㔵㐳戳㈲㘸㤶㝤㤰づ㑥㙥㜹摦て挵挶㘰㈴昸㈳捡ㅢ捥摡㐳㤸搵〷愰挳ㅥ戲㐶㐲户ㄴ搲搶㠸愸慤慢摥〱攱㥤捡晦㈲㤵挷晤㘴ㄴ扥㤰㕦昰昳搳㤳昰㜳搲换㘹摢ㅥ㜸㤳㤵昵晥愷慡捡搱㍦㑥ㄷて㘹昹ㅡ〶㝥慡㕦㐵戹晣ㄷ㝡㔸㡢昳㈷慢搴戸ㄵ㍥㝡㌸ㅥ戸㍡㠴挷昵晤挲扦攵㤰㌳ㄷ慦昰㌲敢㈷㡣㑦搴㝢㝦昷ㄸ㠲ㄵ晤㕡愷㜵挲㌱〷㍦攷㌴慦㝤㥣㝣攵㥦ㅥ㘳ㅢ㌹づ㍢愳㥣㕦㐵ㅥ㥥攷㌸敦搳㜰挴㘶㜵戸㜲昸㤵㘱㌸㘸㈱㘲ㄴ㝦㐳戹㕦㍥攴㜹㝦搶愰㍣ㄷ慦㔰挱换ㅤ捣慣愳戱ㄳ㑥昳㔵㤵㍤㑡㝥ㄷ㐹捥昴㈷戶户攲㔷敥敡昹挲㉣㙡挳㉦㝥㑦换搲〰㠳㝣摥ㅥ㌶扥戹㑢摥扥户㌹攲㤵慥㠷㜱㡣㙤昱戴挶㤸㘱搳㠶㐵㐳搵㉦愱㈰㡡扦搰㕥㌶㡤㐲戳㌳㐵搶㡤㠰ㅥ〹㠵㉡㑣扢攳愳昴㡥㑣㘴㤴㤵挸摥㐸㐴㍤㡦㐴㤸㄰㕢㕣㐰敦㐰㌴㥢慦挳㔲㔱㍢㐰㙤㜵〹〴搰㐴㘴㌹㠲晦㥣换㜹捤㘸㐵㤳挵愹戱晦て㌶搵㈵ㅤ㠹〳搴㤰戳挷㔵扦㜱㐴昱扢挹慤敦ㄳ扥㌰戶敦㐶扣捥ㅡ慢㜶㠶挴㜰攸㈹晥㠱搹㘷㤰挹㔷昰㘳㑤㈵㙦愶㝦摡㡥㈸晥戱摤㈰晤戱愴戱㐵昱㔴戵㜵㙡〲挲㙣㜰敡㐹㐸戰㤶㑢挵㙣攰㈳㑦〶摢㌲搰㐴摣ㄹ〹昰慡挷っ摢㜳㔸㑣㍤ち㥣㘳㡣㠰㙥㈴㜸㡡ぢ㥥㐴昰㑥ㄶ㜸ㄲ挰て摢㘰换昴㘳〸愶换㤴㈳慦愶搹〱㌱收っ〴㌶捣㤸㌳ㅤ㠹㜲挶ㄴ昳ㅦ㌹慥改晡敢㜸〵㥡搴ㅣ㐸昸ㄹ昳㍥㘴搴搷㤸昷摡ㄱ挵扦搶ㅢ摣〳㥡挴㤸ㄳ昰㔴㌰收㍥〸㡢㌱敦㠶㠴㙢捣㐹㝣攴晤ㄱ㘵ㄹ㜳㕦摣ㄹ㔳挰㐳㤵摥㜳㔸愴㐱摤㘵ㅢ挸慡㙤搳㠸愶㙢㤳㠵摥㡦攸摤㉣昴㈴愲㙦戳搱㤶㌹㘷㄰捤㕤ㅡ搷㥣㜴㠱㘲㐰捣㤹㐱㘰挳捣㤹㜵㈴扡㌵㘷㔳扢㙤捥㔰㤳愲慦㤳㥦㌹㙦㐶㈶㝣捤㜹㤳ㅤ㔱晣㘳扦㡡㍥㐲㜹㑤昹ㄷ攷㕥㔷㑥搳戵㜶㐴昱㉦㜸慡㐳愱㠹㡤㕦敦㑤晢攰㐶㍥换ㅣ敥㍥攰昲㈲㌷戸ㅣ㕣㈹挴㝤挱搵晢㠱搴昶〹ㅥ收㌰昷㘷戸㉥㜸戸ㄳ㍥㠰愰〳㐹收㤳ㅣ㐴㤲㈲㐹㠳搴〶ㄴㅤ㐴愴ち㕣㡣扣戱ち搰㡤〶戳㈴㜵愴ㄳ㜱㤱ㅤ搱㠷ㄱ㄰攲戵昶〷㐵㝦ㄲㄱ晣㤵ㅤ捦ㄷ㉡㜹攲㡦㜶攲㉦戴攳〷ㄵ挶ㅦ㡢㜸慢捡ㅣ㠳㍢㘳㈱㌴愳㠲㡤ㅢ搶㄰慦㕥〹〹摦搷〸摢晤㌲㕥昷攳㜴散㤳摡㤶昰扤〰㥥挱㡡晤〱慦㠰㕥〴㤵敡㌸㈸愷㍥戲ㄴ摤㐳昲〵ㄶ㠲愰昵搲晢戳〱昰㉤晡戳散㠸攲ㅦ㜹ぢ㥥〶㑤㔲〸㡢㘹挶㍡㜵ㄶ挲㘲㡤㌳㈰攱戶愴づ收㠰捥ㄴ搶㠳㥥㡤㍢愳换㝥搰摤搰搵㥣〲戰搳㄰〲㝡㈹搱昴扦戰搰㜴っ㌱㤶搹攸改㐰㥦㘰愳挱挷搳ㅤ㐶昴㑡ㄷ㑤摦㄰㘳㠵㡤摥ㄵ攸㘳㙣戴搵敥づ㈷晡〲㘰㤸ㅣㄵ愸㔵㜶㠰慤㔸㕤㘸〷愴ㄱ㕥㠲〰攰敢㍦㐰〰㡢㙢㤳愶扡㑢ㅤ挹㙥ㅢ攳ㅢ挷㌵㠹㐰挵㐹搶晦㑤㘷㌴愹㉢㈱㤹㉦㤹晣㙢户て㐷㜶㝤㑢收㤷㜶㐴昱㉦捦〵改㔷㈲㈵㜳㉣㥥〱㈵㐳㍦㄰㈹㤹㕦㐰挲㉤㤹攳㘹㡦㥢㄰㘵搹㥡捥㈱挶㠹攰㘱挰搸ㅢ挶㍢ㄴ搸㝣挱㥣㑣昰捤㉥昸㐶㠲㑦戵挰搳〰敥戴挱㤶愵㑦㈷昸ㄶ㐰ㅣ㜹昵㕢㍢㈰挶愵㠷㐷㌵ㅥㅦ㈸敦搵捤攸㑢㜷㄰㤱攸搶愸㐷㑥捥てㄸ慢㈱攱㘷捣㌶摢㘶㈵愳㙦慢ㅤ㔱晣扢㜵㐱晡㤲㠸㌱捦㐵㝥㘱㑣㍡㠴㠸㌱て㠶㠴㙢捣昳昹挸て㈳捡㌲收㠳戸㌳㉥〰て敤ㄹ〳㙡㠳㕡㔰㘰愰ぢ㠹晥愳㡢㝥㠸攸㡢㉣㌴挶敡〶㤵戱搱搶昰昲㙢挴搴搱愵㘳挳㡣㐶晦㡦㙥㡤㌶㜲晦㌳ㅥ晣昷㠸て挷昶㜳愶㉣捦㐲挲捦㘸〷摡戶㈹㌱摡〱㜶㐴昱㡦摢〵改㍣㈲㐶扢ㄲ㜹㠷搱㕥㐴㔸㡣戶ㅦ㈴㕣愳㕤㑤㌳扣㠲㈸换㘸㉦攱捥戸挶㌲挳㡣㘱戱㤰摡换㌶㠳㔵慢慥㈳㥡づㅡㄶ晡㘵愲㙦戰搰晢ㄲ㍤搷㐶㕢㐶扢㠹攸㔷㠱㜱敢㈰㍤㍤ㄸ㤰㍡㐸㐷㡥つ㌳攷㕢㡥㐴户㜵戰攲晤扣㌹改搲攱㘷捥㤹挸㠴㙦㠳㥥㘱㐷ㄴ晦㌶㕥㤰㑥㈰㘲捥摢昰㔴㌰攷㐷〸㡢㌹㜷㠳㠴㙢捥㍢昸挸㙢㄰㘵ㄹ攸㘳摣ㄹ㜷㔹〶挲㌴㈴愶愶〰散ㄸ㈰愰㔷ㄳ晤愹㡢晥㠴攸扢㉤㌴愶㌸㌱㌵挱㐶㕢收扣ㄷ㌱㜵㕦〱戳㘱㐶㕢敢㐸㜴㙢戴晢㍢㥡慣㡥㘰㕡㤳晡づㄲ㝥㐶摢挵戶㑤㐹ㅤㅣ㘳㐷㤴晣㠰ㅥ戳捡㜱㔱㍦捣㈷挵つ㍦㐱挵〷挰愵㉡㥤㘸㤷〳㙥戰ち㕣攴〰㕦㌴㠶㄰扣㈹㙡㄰慥㘱昸㑦〸敢㐷㐹ㅥ㈳㜹㥣攴〹㤲㈷㐱㙡㉢ㄵ扤㉦愴㐸愲挸㡦㕢㈴㑦㈳㔲搵㈲㙡㌸㜵扣㐴㤲ㅦ㜲敢换㍤搲づ㜶㐴挹捦摣㙤〴㑤昲㐸捦㔳㉦戴挹㘷㘳㠷晢㔷㜰㜹挹㠳搲改㐱敡捣ぢ攰敡ㄷ㐱㌰㐷摡挴㘱扥挴㜰㕤㤰摥づ〲㝡㤹愰㔷㐸晥㐶昲㉡挹㙢㈴㝦〷挱ㅣ㠹づ㄰昲㜸㐳散挷㜳收㐸㜴㡡㤰㠸挱㜶㐴搱ㅣ㘹㌳㈷㝥㉢㍢扥㘸㡥㌴挰㠹摦搲㡥㉦㥡㈳つ㐲扣㔵㥦〷攲捥㜸ㅢ搹戱收㐸㐹㌵〸ㄲ捥扣㈶愰摦㐵㡣摡ㅣㄸ㠷愵㠶㈰㌰ㅣ收㈸戶㝢㝦挸昹戶扦㝥㜶挴㘶つて㐴敥㔹搰㝢晡捤慦㡣晦昸摡换昴昲攰㌰㘸ㄲ㌳㝤㐸㙢搴愹ㄱ〸换㐳昷戵㌳㉤㉢戰㡦㤹〳ㅥ晣㕢昹愵昳㠲戱〶扣㥥㤸搳㑤ㅦㄶ〹愹㍡愰搹〰㔹挱〲晡㌳挲㜷㜰攱摢ㄱ晥㠵つ摦㤵昰㕥㌶摣敡晥扥㈴扣摥㠵搳㠹挱㔸㙢挳㜷㈳扣愷つ户ㅡ散㌷㠴昳㕣搲㐹㔰㠵散〰攳㔵搸づ㐸㘷㐸㍦〴挰搷㝦㐰〶ㄶㄷ㘶㍢㜴㕥㄰挹㙥摢昷㤹搷㌵㠹㐰搳捤搶晦㙢㝦摢愴㜶㠲攴㜰㜰㡢㤷挷㤵㜸ち摦挲㔱㜶㐴昱て晢〵改〱㈱㠵挳摤㉥ㄴ捥㜸㠴愵㜰㝥㔸敢㘹㠹㤵㠸㔴㤳㄰㘵ㄵづ㝤ㅢ㡣㉡昰㔰㤹昶ㅥㄶ㙥㔴摦〲㑣㔳㔹搶㌳㠸愶㙦㠲㠵㥥㐸㜴㡤㠵㥥㐶昴㔷㌶摡㉡㥡〰搱㔳㠰㜱ㄴ愸愹㜶㐰捣㑢ㄷ〵晣慤扦㜹敢㘶㌸ㄲ摤㥡戵㈲㘶捦㜷扥ㄹ慢㜶㠷挴㜰ㅦ㜳㝥㠶㡣晡㥡昳㔳㍢愲昸㜷〱㠳昳愰㐹捣ㄹ挴㔳挱㥣㝢㈳㉣收晣〴ㄲ㙥挷戶㌱ㅦ㜹㍦㐴㔹〶摡〷㜷挶㈶㤶㠱㈶つ㡢挶搴扦ちっ搴㥦攸晤㕤昴扥㐴㙦㘶愱昷㈴晡㍤ㅢ㙤ㄹ㝦㈰㘲敡搲挰攰㙦〳㡣㐶〷〶㤱攸摥㘸晢攴㈷㠹ぢ〰ㅦ敥㘳戴户㙣摢㤴㡣㌵㙦摡ㄱ挵㍦ㅥㄸ㕣〴㑤㘲戴挱挸㍢㡣搶㠶戰ㄸ敤㜵㐸戸㐶ㅢ㑡㌳㜴㈰捡㌲㕡㍢敥㡣㘱攰戱㠳搸㙤㔸㌸愴晥㔶㘰㠷㙤〸愷户㠱〵㕦㑣昸〸ㅢ扥㉢攱㉦摡㜰慢ㄶ㙥㐷㌸㍤づ㉣昸㈱㠴㙦㙦挳愷ㄳ晥㥣つ户扡㥦㝡㐴搵慤㈰㘸㐳慣っ㉣㉥戴晣㕦㍡㤲摤㕡摢慦攵ㅦ〵挹攱㔰㔲摣昲㥦㐶昶㝣慢敡㔳㜶㐴挹㉦ㄶㅥ〷㑤㌲ㅣ挶昸攸㔰㈹ㅦ昱㜵愰晥〶㜰㜹挹㜰㜸〲戰㔲㐲㜱㜰㜵〲〴挳攱㠹づ㌳挹㜰㕤㤰㉥ち〲㙡㈴㘸㌴挹㑥㈴㍢㤳㡣㈱搹〵〴挳攱㘹〰㑡昹㍥㠰扣戱㝣㥤攱昰㜴㈷攲㝥㍢愲㘸㌸㍣挳㠹扦捦㡥㉦ㅡづ捦㜴攲敦戵攳㡢㠶㐳晡㉦㔸攵㝢ㄶ敥㡣㠹挸㡥っ㠷昱㤰晡〳㈴㥣戱㉦愰㈷㈳㐶搱昷挱㘱愹ぢ㄰ㄸづ㜳ㄴて㠷㜷㐰捥搷敥户摢ㄱ挵㍦㝥ㄸ晣ㄵ㌴㠹㤹愶搳ㅡ㜵㡡捥〵㘲㡤㕢敤㑣换㜰㌸㤳㌹戸ㅣ㔱㔶㝥㉦挵㥤㌱ㅢ㍣㔹㕦㌶慡㥢㠱㜵晡换㠰㥥㐳㌰ㅤ〶㉣昰㘵〴捦戳挰搳㠶㌵慡敢㙤戰㔵搳昷㈴昸㑡㐰ㅣ㜹㜵㤵ㅤ㤰晥㤶㙥〳昸摢㠰慥㠳㍥〶㈲搱㙤㘵慥ㄸ搶〴慤戸搶㡣㔵㌷〱㍥ㅣ户挵㤵昸㙡摢㘶㈵㕤挷㔵㜶㐴挹㑦㈷慥㉥搰㤴摦㐱扢慣㥣愶㑢敤㠸㤲㕦㈱晣㘳ㄹ㑤ㄷ㤵搳昴㉢㍢愲昸〷晤㠲㝦㠲㈶㈹攰ㅣ㉣㡤〲收ㄱ扤ㄴ昰㉡㐸戸摤搹㐲ㄶ挳搳㠸戲捡㡣攷昶挶㈲昰㔰㈱㈷つぢ㌷愸昳〰㘶〹㔹㠵搶㐲昴㌳㉥晡㈹愲摢㉣昴㥥㐴㥦㘵愳慤㌱㘰㌱搱捦〲攳ㄶ昱㥦敤㠰ㄴ㌱㡦摦昱户〱㐵捣戳㝡㤱攸戶㠸扤㝢捥慦〰㍥摣愷㠸㑦戵慤㔶㔲挴愷搸ㄱ挵扦〷ㄸ攴㐱扦㤸㜳㈹㥥ち收㝣ㄳ㘱㌱攷㐹㤰㜰捤戹㡣㡦晣づ愲㉣㜳扥㠵㍢攳㌰昰㌸㍡愰扢㡦愹攳㙣ぢ㔹昶㕣㐱㌸捦搰㉤㌸㑦散㡤挳㙤㌸〶㤳㤸㍡捡㠶㕢〶㍤㤲昰昷㕣昸摢㠴ㅦ㙤挳㌱㍡挴搴㉦㙤戸㌵㍡ㅣ㑢昸晢〰搱晥㘴㈹ㅥ换扢㠵挱攳㜹愷㘸敢㍥愱慥つ㈹っ㘰㜱㘱㄰㔹攳㐸㜶㕢㈸㙦ㅣ搷㈴〲摥捤㌲ㅥ挹て〷户戸晤㉤挳㔳昸㜶㘶㠷摡ㄱ㈵㍦㔳挸慣攷㌵攵摢㕦㘷㌹㑤ㅤ㜶㐴昱慦晦〵㜹昶㉤挵㝣〶㡣㠷㘲㌶㄰㤶㘲㕥っ〹户㤸捦愲㘵㜹搸㙣㤵ㅢ㑦戵㡤㜳挰㐳慢㤹挶㘹㝣ぢ挰㡥㘹〳晡㍣愲〳㉥扡㠶攸㤵ㄶ㝡㙦愲ㄷ摡㘸慢㤰㔷㈱〶づㅦㅢ摡㌶㜸㕥つ㝢㔶ㄸ攵㡡挱㝡ㄵ晤㥢㘳㠳捥㑥ㄱ㡦慥昳㐶换敦㔵㘶㙣摢㤴戴㡤戴ㅤ㔱昲ㄳ㠱㍣㔹捥㙢捡㥢晦挰㜲㥡づ戰㈳㑡㝥㜹㡦㐷搱扥㕢收昲㡢㈲昵昲扢ㅦ㝣晤㠵搹㈹っづ扣搵㌹ㅥ扦昶捡㔹㙣㥥ㅥ换て㑣戴挸摢㉥㝡攳㠷戲㍡づ㌶㍢愶攳昷攰昰昳㔸㜳㥢㕢敤搷㉤攰㜷攲昸挲㙤攷愷㤸戴㠴㈸㙣攴㘶㜵攰户㤹㝡收愶㜵攲㥢攰搹㥡搶搹愹慥㉥戳愳敤攷昰㍤㘷扣㝦愴㡡ㅤ〷捥搹㝢攰扤摥㤵扥慦晥㜸〴搱扥㈷戵㤶〹昳昶㜰㕥愵㕦挹摦搷晡㜱摦㜲㌶慥㐴㘵㜵摥昰㤴昵晣㘲㕣㤵摡て㐵㙣㌹㠶ㅣ㔹㈱愷ㄶ㍣〴搶㔷戳摡晦〶愴挷戸捥㔶㤹搴㠱攰㔵㠵攰挸换㝦㠴㔴㔴昳㠰扥昸攱昸㌲㤶挹㝣晡敡㐳㥢戳㕤ぢ㡤㠵㘶昳㠲㠵㕤昰㡦改挵㈷㜶慥㉡㥥㌱㜷㜷扥捤㐶搶戳㜵㝥慡愳㈳戵扣愶㜵㝥㡢搹戶愰㙢㘱捤晣愵㌸捥挷㉦摤㈱ㅦ㌵㌵㌵晡㍡晣捦愴昸㔱㍣㠷愶㔶㝤扤㤷换㜳㕣搶㔶攳〶㜰晤㑤㌰搷搷〴㌷〱㙦摣っ㔲㘸㠲㕢挰昱㤸㐰昱㈸㤸㘶㜰㉥挵攳㕥挹挶敦㠰㜴㌳挷㜳㕤攱摥敡攵昲㕣㔴㌲㜷ㅢ戸晥㤹摢捤㌷㜳㜷〰㙦摣〹㔲㤸戹扢挰昱㘶㡥㐷慢〵㤹㥢收㘴㘳㌵㤰㙥收㜸㑡㉡㤹晢㠳㠷ㅢ摣ㅢ㕣㡥㐶晡㙥㜰戱㍤挷㔳㐱㜶戹戵㐱戵㉦㙥愵户㥤㠰摣戱户敤て㍥㕥㕣愰㜸㍣㈸ㄱ攳敤〸扥㠷慣愶〶㐷昰㍦愸晤ㄱ㈷て㝢ㅦ昴攵㝦愲㝣㈹晤㉡㍡㉢㔵㤳昳愰晦㡡っ挸㔷挴〷㠰㌵ㅥ〴改㠱㔳㌸挵ㅣ攳ち攸㠷挰昱㍥㈸㡦ㅤ㈵摤㥤散㜴愵㡦㔶〷㍡散搱㌶㝢㈳㑡㉢ㅥ㑤ち扡搱㘶㌳晢〱㜵㤰挳㑥摡㙣㘶㍥愰㜸㝣㈹攸㠴捤ㅥ㈱㙣ㅥ㘸ち㍢㙥戳㐷ち㝢ㄱ搸㘲换㈷㤰㐵搷挲㍣戶㤳㘷㝦ㄲ㕣敦㉢挲ちㅢ㘳ㄴ慡㑡ㅢ攳搳㤰㌱㥥〱㈹㉣散㘷挱昱摡㠰愷㝦〵㠵扤搴挹捡㕦㠰㜴戳㜲㤸挳㝤捥换㍤摣攱㍥敦攵昲㑣㑢戲晤㔷㜰晤敢攷㜶扥㔹㝥ㄱ㜸攳㈵㤰挲㉣扦っ㡥㌷换挷㐳㝦㐱㤶㑦㜶戲昱㌷㈰摤㉣昳㡣㑢㙣晡慡㤷换㌳㈲㘶㑥戳昱㔴愹愱扥ㄹ㜹㥤㈹戲愱攴㍢戱㌷挹攲㥢㈵㠵攰〸ㄴ㍡ち㌲㜱愱㤳摣㍦㠰㜴㌳昱㙢㠷晢戶㤷换㌳ㄷ戱搰㍢攰晡㕢㘸愰㙦挶摥〳摥㜸ㅦ愴搰㐲ㅦ㠰攳捤摣搵挵㤹扢捥挹挶扦㠰㜴㌳挷ㄳㄸ戱搰㠷㕥㉥㑦㌰㍣ㄶ摡搸㌷㈳㥦㌰挵㐲ぢ㝤㕡㤴㠹㍢㡡㌳戱摡㐹敥㜳㙦㜲昷㍡摣㉦㍣摣㈰㑦〴愴ㅢ昹㌷戸戵㍤搴㈳〸㡢挵扥㐴戸戴ㅢ搰㑥㈶ぢ扡㠱戵挰捡㙥扥搵〵㜰㉣晡㠶㉣㑦㌱昲搰㐰摡㘳ㄵ㌴戰㑦戲扡〰ㅥ㈳〸扢㠷捤戶扡㠰挷ㅣ㜶愵捤戶扡㠰挷ㅤ戶戲搹㔶ㄷ挰挳〷㔱〲㑦〴搱㙤㜵〱㍣㡥㄰昶て㕦㔹㙣慢ぢ攰㐱〴㉢搴戵㘳㍦㘸㍡扣改攴㜱㐱㥥㈰㠸〹㉡㜱扣㠱㥥㤴㘷〷㜶㑦晡〲㙥㐵挵昷戶ち愷㈷攵㈱㠲㐴㝣㘷㐷㜸㝡㔲ㅥ㈸㐸戹戲㈷慤㔴摦〰㈱扤㐶㠱挹㝡㈲㉤愳〶愴戰攷搴攰㜸捤挶挳〸㐹攷摦㜶㍡㤶搹㕥㜱搸㕦搸㙣换㙣㍣戰㄰昴攷㌶摢㌲ㅢ㡦㌰㠴晤㤹捤戶捣挶㐳つ㘱㝦㙡戳㐷㐸ㄷ昹㜷㠷扤挶㘶㕢㘶㝢ㄷ㙣愹挳ㅢ㈱㡢㙥捤收㈹㠰㔴㤷㡤挱㉤摦㜳㝥〴㔵愵㍤攷㈶㤰㌱晡㠱ㄴ㌶戲晥攰㜸㙤挰挳㠴㠲ㅥ㠰挷〵㤲㤵捤㠰㜴戳昲愵挳ㅤ攰攵㝥攳㜰〷㝡戹摣ㅦ㤷㙣て〲搷扦㕦㜸摢㌷换㕢〰㙦㙣〹㔲㤸攵慤挰昱㘶㤹㕢散〵㔹㌶挰㤰㉣て〱搲捤㌲㜷换㠵㍢搴换つ摡㤹戳㝢捥㔷㝤㌳㌲㥣㈹ㄶ昶ぢ摢ㄶ㘵㠲ㅢ搳〵㤹攸敦㈴㌷搲㥢摣㐰㠷扢㥤㤷换摤㕢戱搰㈸㜰换ㄷ散昳扥㤹摢〱㌲㐶㍤㐸愱㤵㜶〴挷㙢㈵㙥〲ㄷ㘴㜰ㅢ㈷㉢㘱㈰㕤㉢㜱㌷㔷慣ㄴ昱㜲敢ㅤ㙥搴挳つ挶挰㤵戶ㅣ〳ㄷ㙤㤹ㅢ㥦㜶㕢㡥攳㔶慡晢ㄳ挸戳㜷㔶㤴㜰㈲ㅥ户㈳㍣㙤㌹㠹㌸㌱㐳〲晡㑡扢挳㐷㥤挷㉦㘸摢㡤挰ㅡ愳㐱ち摢昶㑥攰㜸ㅦ㥦㍢慢㤲愱㠷散㜴慤戶㍤摡㘱㍦㘸戳慤戶捤摤㔷㐱㍦㘰戳慤戶捤晤㔸㘱摦㙦戳慤戶捤ㅤ㕡㘱摦㘷戳㐷㐸摢收㥥慤戰敦戵搹㔶摢㥥っ戶㔸㜸〲戲攸摡㝤㍡戸昲散ㄳ挱昵㙦㈴㝦㠰㥡搲㜶㍤ㄹ㜸㘳ち㐸㘱昱㑦〵挷晢晣㌳愱扦愰昸戹昳㈹搹搸ㄵ㐸㌷ㅢ㝢㍡摣摤扣摣㥣㤳戹改攰晡㘷敥㔶摦捣捤〴摥㤸〵㔲㤸戹搹攰㜸㌳挷ㅤ扤㠲捣戵㌸搹㤸〳愴㥢㌹㙥捥㐹㤶攷㝡戹㑢㥤捣捤〳户㝣攳戹摥㌷㠳㝢㐲挶搸ぢ愴㌰㠳㝢㠳攳捤攰戲攲っ㜲ㄷ㑣戲戲㉦㤰㙥〶戹搹㈵摣晤扣㕣敥㘹〹㜷㝦㉦㤷㥢㌵㉣㜰捤昵㘸㤵扡摣㌷㝢昳㤹て慥㍤昳㔳戶ㄴ㔹㥥戱㥥晢㍡〵戶攳搶㡤㈴㤷昱㈶挷㉤ㅡ攱㘶㍤摣敡慢挱㕤敦㠵㌷捦㌳㝥攴㕢扡㑣㈴慡戸㘲愶づ㥤昳㘴愱㡥敢㔶㜲㙢搸㈰敢戸㕥㜵㐳㡡敢㑥㘶㔱㉦愰㍣㤷㥢㈲扦搰㉢捦愵愵㉢㔱挷㈵愵ㅢ㔲㜷㈰㈴昲捤㤴扦换㤱㕦攴㤵攷敡捦㤵愸攳慡捦つ㈹慥昶愴〵㥦㠷搲㘱㉦㌶㤶搹㙦愱㌲㉥挶㐴㜵㉢㐳㕣㠳㔱㑣户㜹㔵㜳搹㤳㔷挶愵㡢㐸戴㔳㠲㉢ㄶ㤱㔸捣㄰㐴昹愹攳敡挴㤵愸攳慡㈴ㅦ攲㙡挴つ愹ㄷㄱㄲ㙤㠷㔰㥥㡢〹挶改づ㙦晡㕣㌸戸ㄲ㜵㕣㌰戸㈱挵挵㠰挸㜷㔲㥥敢〰㤱敦昲捡㜳捥敦㑡搴㜱慥敦㠶ㄴ攷散㈲扦㠴昲㥣慡㡢晣㔲慦㍣愷攵慥㐴ㅤ愷攳㙥㐸㜱慡㉤昲㠷㔲㥥戳㙣㤱㕦收㤵攷㡣摡㤵愸攳㑣摡つ㈹捥愰愵㘸㑥昰ㄶ捤㘱㔴挶〹戲愸晥〵㐳㥣ㅢ㡢敡ㄵ〸攱㑦㍥㡡戳㑦ㄱ㍦挶㉢㝥㌸〵㌸㔹ㄴ昱㈳ㄸ攲ㅣ㔱挴㡦挴㡤搳搰敢㌸㉤换攷㠵㔳㉢㤱㌸㡡㙣捥愸㐴攲㘸摣戸ㄲ㥣㍤戹ㄲ㜵㥣㌵攵㐳㥣㉤戹㈱挵㔹㡦㘸㍢㠶㙣㑥㜶㐴摢戱戸㜱戵㜱㘲攳㑡搴㜱㐲攳㠶ㄴ㈷㉢㈲㝦ㅣ搹㥣愷㠸晣昱戸㜱攵㌹㈷㜱㈵敡㌸ㄷ㜱㐳㡡昳〹㤱㍦㠱㙣㑥㈳㐴晥㐴摣戸昲㥣㌲戸ㄲ㜵㥣㉡攴㐳㥣㈲戸㈱挵愹㠱ㄸ晡㔰慦愱㑦㈶㠶㈳户㈴㜴ち㐳ㅣ戰㈵愱㔳㜱攳㈶挴㌱㌲慦㡣㘳㥤㐸㥣㐶㌶㠷㌸㤱㌸ㅤ㌷慥〴㠷㌳㔷愲㡥挳㤸ㅢ㔲ㅣ㡥㐴晥っ戲㌹ち㠹晣㤹戸㜱攵㌹攲戸ㄲ㜵ㅣ㘹摣㤰攲㘸㈱昲㘷㤱捤㐱㐲攴捦挶㡤㉢捦〱挱㤵愸攳㐰㤰て㜱〰㜰㐳㡡㥤扢㘸㍢㠷㙣昶敢愲敤㕣摣戸摡搸㠷扢ㄲ㜵散扢摤㤰㤲㑥㤵㡤晥㍣戰㥤㉢挸捥㔵㑥〳捥挷㡤㕥〹㔲摢㐷㐹晦㐹攸〵㕥㈸晢㔱㠱慥㈲昴㐲ぢ㉡㕤㈵愱扦昲㐲搹㘵ち昴㈲㐲㉦ㄶ㘸ㅤ㍢挲扤〰慤㕣愶㌲〷㘵て㍡㘸㙤㕤搵攰㠱㔵㝢㌷昵㕥昵挶攳㙦㥤晤晣晥㘳摥晢敥愲㡢㥥㝦晢散㈷扦扢㍢㍤收㑦㤷㕦晥昰慥㤷㍣昹搶挶戹㑢㉢敦㔸㍢晤搲ㄵ攱㠳㔷ㅣ㤲摢㘳扢㈹㉢昶㔹戴㝢㜸昶㐶愳㝡昴攸搹㜳摢扥㡦㙥㌶㈲㜸攴㈱㜷愹〷㕥摥戴㑤㐹摦捡扣晣ㅡ㈹昱攲㙣㌳挸㍥㔶愶㥤㤷攰㐶㕦ち〲㍦㌸改㔴ㄱ慢㉦戳愱㠴〷搹戹ち昴㜲愲㝡㈸改㉣㠹扡挲㡢㘲愷㈹て㜷㈵㙥昴㔵㠴昶㔱搲㉦ㄲ㕡㘰〷昶㡦〲晤つ愱搷㔸㔰改〲〹扤ㄶ㘱攷ち戲㉢ㄴ攸㜵㠴㕥㙦㐱愵户㈳戴㐰㉢㝢㍤㠱摥㐸攸㑤〲慤㘳㕦昶㍦戵敥㉦㤰㠰搴戸㥢㜱挳㉢㠴㑦搰改㈶昵㉤攰敡摦㤲晣㡥攴㔶㤲摢㐸㙥㈷戹㠳攴㑥㤰㍡㜶㥡晦搳㝣㑡㍦㡣慣改扢㤰ㄲ㉦愹〵散㡦愵㘸㝦㡦ㅢ扤ㅡ〴戵㐰㍡㘰㈰ち捤换㡥㔸捣㝢㌷愱昷㄰摡㐷㐹敦㕡〲㘵㉦㉢搰晢〸扤摦㠲㑡㐷㕡〲㘵㠷㉡搰〷〹㝤挸㠲㑡㥦㐹攸挳〸㍢㔷㤰㝤愷㐰晦㐸攸㈳〲慤㘳ㅦ昸㍦戵㥢㜴慢捣换㥦㤰ㄲ㉦戱ㅢ扢㔷戱摢愳戸搱㡦㠱挰㙥搲㥦〲愱ㅦ户愱㠴〷搹慦㑡戶㥦㈰昴㐹㐲晢㈸改㍡〹㉤攸㜵搸㠵ち昴㘹㐲㥦戱愰搲㑢ㄲ晡㉣挲捥ㄵ㘴㙦㈹搰㍦ㄳ晡ㄷぢ㉡㕤㈰愱〵㕡搹ㄵち昴㜹㐲晦㉡搰愰㠳㔰散攰㘴㘸搹捥ㅥ㕡〴晡㈲戸㡡摤㥥㐴㡤戰愳挶㐳㌷㌶攵㠳㑥晦愷搸攵〹㘲㕢慦昰㉢ㄴ㘶㐷㈸㔱挳㡢㠴㥤㌶慢搸〹ち㘲㤸㔷昸㌵ち戳㙢㤴愸愱㐵挲散挲㘸昷摡㉡挵㝥㑢㌰㐳ち㌱㡡㝤㤹㐴っ昶敡㝤ㄳ摣㈰扢㌵㍥ㅦ㑥ㅣ搸㤷〹㙡换㐲昱㈰㍢㌵ㅢ挳㥥㑣㌰㕢㜸㌵扤つ慥㘲晦㈶㔱㠳ち挵ㄵ扢㌴㠹ㄸ攸㤵㤱愷㘲㐷㈷㔱㥢ㄵ捡〴㥤ㅥ㑦戱㤳ㄳ挴愶㕥攱㝦㠲慢搸昵㐹㔴扦㐲㘱挵摥㑥㈲㌶昱捡㐸㠲散〳㈵㙡攳㐲㤹㈰晢㉡摢㡣散愰〴戳㤱㔷㝣つ戸㡡摤㤶㐴搵搹㔱搶㙡㥦ㅤ㤹戰晢搸㙣㙢戵捦慥㑤搸戵㌶摢㕡敤戳戳ㄳ㜶㙦㥢扤㈹散ㅦ㔰户㍢散㕥㌶㝢㠴戰搹㈱ち㍡㘰戳慤搵㍥扢㐸㘱㙢㥢敤搴㐴㜶㘶昶㠳戰〷ㄳ㑣㑤㈱㐶戱㔷㤳㠸㥥㜶㠴搴昰㙦挰㔵散捡㈴慡摡ㅢ昵ㅤ愳敥㜱愲㝡ㄴ愹㘳㥦㈶㌲㤵㕥㤹ㅦ㈸挳㥥㑥愲㉡㡡㘴搸戹㐹挴て㕦㕡㑢㈰挹㠲㤴ㄱ扢㍣㠹晡摥㡥㜲ㅥ㡤㝤㥦㕤て搹攱〹收㍢慦戸㘴㤳摤愰㐴㝤㔳㈴捥敥捡戶っ晢㈸挱㝣㕤㠸㔱散户㈴㘲慤㔷慦搶㐸㤸㕤㤸㥤㍡晢㉤㐱㝤改㐵昵〲㑡戱㌷㤳愸㉦㡡㌴戳〳㤳㠸捦扤㌲㝤㈸挳㙥㑤愲㍥㉤㤴〹㍡晤㥢㘲㤷㈶㠸㌵㕥攱㡤㈸捣㡥㑥愲㍥㉥ㄴ㔶散摢㈴攲㈳慦㡣㜴㘳散昱㈴敡㕦㐵㌲㡣攵搴㌱愰搸㘳㔹㜷㉣ㄳ敢㡥ㅤ㠶㑣㉣晢㌳㘱㌶㝡㡢捦搶㘸摤戱㤱〸㘲㔳㈲㔸愱㈴戴ㄹ㐳㉣ㅣぢ挵㥡㘱摤搱戰㠲ㄸ㐰〴つ㘸昱㘹ㄶ敢㡥捦㘸摤㐹愲㘸ㄲ㝡㈰㔸捥愵㈴㈱㜲〷搹㕣㤶戰㤲〴挹㉤挰㑡㈲挵摣愰〳〹㔲㠳㔵挰扤晥てづ㔹つ〲</t>
  </si>
  <si>
    <t>㜸〱敤㝤㜷㥣ㄵ搵昹晥㥥㘵㜷搸戹㤴扤㠸愲㔸〱㐱㐱㜰扤扤愰挸㉥ㅤ改㈰㘰㠷㕢收挲捡ㄶ摣㕤㕡㌴ち㘲㠹㈵昶搸㘳㡤ㅡㅢㅡ㑤搴㐴㘳㌴㔸㘳㐹㉣㌱戶㐴㔰ㄳ㤳㘸㉣㌱㠹挶㔸㝥捦昳㑥搹㜳敦㥤㑢昱㥢敦攷攷ㅦ摦㘱敦换㥣昷㍣敦㝢捥㍣攷捣㤹㜳捦扣㜷愶㑡㔵㔵㔵㝤㠵㡤晦㜳慢攱捥敥昳搶㜴㜶㔹慤つ攳摢㕢㕡慣㕣㔷㜳㝢㕢㘷㐳㔳㐷㐷㘶捤昴收捥慥ㅥ〰ㄸ㡢㥡㤱摦㔹扢愸戳昹㕢㔶摤愲㤵㔶㐷㈷㐰戵㔵㔵㜵㜵㘶㌵昲〷㍡㥦愰㥢㌰㘹㘵搶㔰〰㔵㘵ㅡㄴ㍤㈹敡㈸㑣㡡〰㐵㉦㡡摥ㄴ㝤㈸晡㔲搴㔳〴㈹晡㔱散㐰搱㥦㘲㐷㡡㥤㈸〶㔰散㑣戱ぢ〵换㌷㜷愵搸つ愲昷敥㄰㠷㡥ㅦ㌷㉢㝢㉣㡥㘶㕥㔷㝢㠷㌵㙡搰〲扢捥㘳挲攱㠶㜰㐳㈴ㅤ㐹㌴㠴㐶つㅡ扦愲愵㙢㐵㠷㌵愶捤㕡搱搵㤱㘹ㄹ㌵㘸昶㡡㙣㑢㜳㙥㥡戵收搰昶㘵㔶摢ㄸ㉢ㅢ㡡㘶㌳戱㔴㌸ㄶ㡦ㄷ搲改㔴敦㍤攰㜹收昸㜱戳㍢慣㐲攷㝦换攷㥥昴㌹㙢晣戸㠶㤹㔶搷㝦换攷㕥昰〹㤷ㄳ摡㕢㌳捤㙤晦㈵愷戵㙣搳昸〴㉢搷捣挶户慣㡥收戶㈵つ愸㜶ㄱ搱㐸㈵ㅢ㥡㍡㍢㔷戴㉥㘷㍦ㅡ㙦戵戴捣戵ち搲攸慤ㄳ㍡扢㘶㘷㍡㕡㍢㝢户㤲㍦慢挳㙡换㔹㥤㝤㕢㈷慥捥㔹㉤づ戰戳慥㜵㐱愶㘳㘶愶搵慡攱㑥㝤慢摤㠶㔳昳㔶㕢㔷㜳搷㥡㍥慤昳㍢慤戹㤹戶㈵ㄶ㈱戵慤㤳㔷㌴攷㔵㑤つ晥慡㝡散敢㔷㌳㘹㈸搴愷㜵晣搲㑣㐷㤷愴搸㠴㘱㍦慣搶㕤攴㈸㡡敡挵㉥㌵愸挴㡡㙤㌶慦戹㜵㥡搵搱㘶戵戰㄰戶攴挸ㄲ㤰㄰㘴户㠳挷㤴㝢㌸㙣㈵搵换㌹昹㜸㉣㉣挵ㄸ〴㌱㝣㘶㝢㐷㉢㍡攴っ㉢搳㌶㈶ㄲㅡ㌵慦㉢㍦挱㕡㌹㈶摣㤰㈸摥㤲收㘰愰捤㈱戴摢ㅢ愲㙦㘷㜳敢㡡㤶っ愹ㅦㅤ㑤㡦㌶㠷㌲㜷ㄸ㠴慡㜹ㄵ㘷扤㕥ㄶ捦扣敡㐵㤹敡㐵搹敡㐵戹敡㐵昹敡㐵㔶昵愲㐲昵愲㈵搵㡢㤶㔶㉦㙡慥㕥㜴㙣昵愲㘵挰戸㕢㕤捦㥥搵捥戶昱挹㜳㍡㝥昵㥤㤷て戹攴戸㑢扦晤敢㘳摦㡦㈹㥥攸㌲㑥散㡢㥤晤昴扡㠷ㅡ㘲㙥攵㐳つ愱㜸愸㘸ぢ㥢挳㠱㌷㐷㐰ㄸ晢㐱攸戵て愷㐶㥢㈳㤹㍢ち㐲愹ㄷ㔰㝢ㅥ㐱㈱㜶昷摣挳昶㥥㍢晥收挶㤹㥦㥣扥㜳晤㐵㡡挳㡢ㄴ摤㠰㥤㈲摡愲㜱户攴㘸㐳戴㜸㡢㥢〷搰㜵〸挲〸㐳攸〵㈷愳愳捤〸㜳愳㄰㑡㍤敤ㄴ㝣昷㠸愹㑦戵扦㝥挷愴晢㕥扣㜲捣㌵㐶敦㥥㡡㐳㥡ㄴㅣ挷捥愸攲㘳づ愷摣愲㜱搰攱攲㈶㑢㈴捣〴摤㈷㈱㡣ㄴ㠴㕥㜸㈴㌶摡㑣㌳㜷㌴㠴㔲㡦㍡㠵ㅦ戱昷ㅥ㥦晣晥㡤摢㘷晥散戶攵㈳摥㍢收㠱搳ㄵ㠷㔲㈹晣㈰散ㄴㅤ㜵㙡㑢㥤㘵っ㕤ㅦっ㘱㡣㠵搰ぢ㡥㠶㐷㥢㡤捣㙤㠲㔰敡㐱愷攰攰攳㉦敤昶改挳㉤㌳敦㤸晡㡢晥摦㥥搹㝣㠱攲㤹㉣〵㡦挷捥〸晤愸挳㜱慦㘴ㅦ扥㈷搰昷㐴〸㘳ㄲ㠴㕥㜲㉡㌲摡㥣捣摣㈹㄰㑡摤敢㤴㝣㘳扦戱㍦㕤㜷晤晤ㄳ慥㝢收㠱㕢㈷㝦晣挹㉦ㄴ慦ㄹ㔲昲㈱搸㈹㍡攴挴㤶ち㥥㐶搷搳㈱㡣ㄹ㄰㝡挱㘱㌴昴㑣收捥㠲㔰敡㑥愷攰㈷㜶㝣昱搹敦慣㝥㘸挲挹㤷昷戹㜹扦搶ぢ收㈹㕥愷愴攰㌹搸㈹㘹攸㤴搷挷㝣ㅡ㍡㙡捥愵晢㜹㄰挶愱㄰㝡攱㈹㌴昴㝣收㉥㠰㔰敡㘶愷昰敦㙥㥥㝥摡㑦敦扡㘰昲㐵慦捣㔹㌵㘶挰愸㕢㔴㉦㘴㑢攱㠷㘱愷攸愸挳㘱敦戰ㄳ㈵挳㐲搲㍣㥣慥㡦㠰㌰㡥㠴搰ぢ㑥㠲敥愳㤸㝢㌴㠴㔲搷㌹〵㑦㍡晣挵㕢愷㕤昹晣昸慢㉥㝡昰㠴㈳攷扣昶戰攲㌵㔹ち㕥㠴㥤晤昵㠶づ㌵愴搳㕡昷㉥敤摦愹戰戹ㄸ㈶㘶〶挲挸㐲攸愵愷㤲愳捤ㅣ㜳昳㄰㑡㕤攱㤴㝥搵搸摥昳昶昸攸ㄷ攳㉥㜹戶戰晡㤷㘷㠷ㅥ㔷㥣っ㐸改〵散散慣㤷ㅥ昵㡥㍡㙣㉥愱愷愵㄰㐶㌳㐴ㅦ㙤散㑢㡣㌶㡦㘵收㌲〸愵㉥㜲㡡㜹㝤摡㐱〷捤㌶敡㈶摣昹敢ㄷ㑦㕦㜵摥慡ㄷㄴ愷ㅢ㔲㑣㉢㜶㐶敡挵㠴ㅡㄲ摡㌱㤶㥥挲㔱戳㡤摥摢㈱㡣攵㄰晡㈱挶搱戲挷㌱户〳㐲愹敦㍡㘵㜷㕥扤㜶敦㤶㤳㝦㍣昱戲ㅦㅤ搰㝢昴捡愶㠱㡡戳ㅣ㈹扢ぢ㍢㐵㉤扢挵昱㝥〵㕤慦㠴㌰㔶㐱攸〵㐷㔱昰㙡收慥㠱㔰敡㌴愷攰㤷㘳㙦昷摥晦散㕦㑦㌹晤敦㑦㥥㜴攴扢㤱捦㙡㌹戳㡡晡㕤愵㑡㉦㠰㤳㌰㜱捡㘵㍡扢㥣㙢㌳挷㥣晦敥愵㝢敢㔷敥㐹ㅤ戹晦晤㉢㌷ち昹慦㕣戹捤攳挹晥〹㄰挶户㈱㝡捥㔹㤱㘹挱愴挵㍣㤱敡㤳㈰㤴㕡敢㌴捡㤷㑢㥥戵㥥晥昸晥㤹㌷㙥摡愷昹敡摢㌷づ㔳㥣改㑡㙦㔸㠷㥤攲㜱㌵敤昵昸㐴挹㜵㉣ㄵ㌳㑦愶敦昵㄰挶㈹㄰㝡㜷㠸挵㐷㥢愷㌲昷㌴〸愵搶㌸㈵㈷慢㘷㍣㜶㔴攴戰愶㔳㠶ㅤ㌰㌱晥敤ㅦ敤愶㌸扤㤶㤲扦㠳㥤愲㝥ㄸ㡥戸愷㐰愴愴攰㘸摣㍣㠳慥捦㠴㌰捥㠲搰ぢ㡥㘰㠴㌹㥢戹摦㠵㔰慡挳㈹昸愰摥摦改昷晡愷㠹改㜷昷摥攱昹ㄳ捥㥢昸愹攲㤴㕥ち㍥ㄷ㍢㐵〵㙦昱㑡㜲ㅥ㕤㥦て㘱㕣〰愱ㄷㅣ㐷挱ㄷ㌲昷㈲〸愵㤶㌹〵㥦㌴晢㌵挳㕣㔷㤸昱昳㝦㑥摤㍦晣㝣搳慥㡡㕦㈳愴攰㡢戱㌳攲搰㡥㘶㑣㈸㌱㘹敡ㄸ㌵愳戹㙤㑣㌲ㄴㅡ㌵扤㜹㤹搵搲㙣㜵㜶㡤㐹㈱㌵㈳戳㝡㑣ㄸ昳ㄶ昳ㄲ晡扥ㄴ挲戸っ愲愶㘹㑡㌸㘴㕥㑥摤ㄵ㄰㑡攵㥤昲〶ㅣ昱挹攲㐷㌷捤㙥晡挹慢㈳㑦㤹㔲摦晣㤴攲㌷ㄶ㈹敦晢搸搹㡥昲慥愲敦慢㈱㡣㙢㈰㔰㕥㈴㘲㕥㑢摤㜵㄰㑡ㅤ敤㤴户晢敥㝦㔹昴㜴㜸㜳攳㘹㝦㝢摡㝡敤㠸㌵㝤搵〰㘴㑢㜹㍦挰㑥挹〵㉢扥攵ぢ搶つ㜴㝦㈳㠴㜱ㄳ㠴㍥愲㘲㌲昹㐳㘶摥っ愱搴〲愷散昹搷敦扦摢㠶㘷㘶捥㕣㍦晡㥥搳昶摣㍣散㘵挵敦㘴㔲昶慤搸ㄹ愸㡦愸㌱㙤㐰㡤㥢户搱搷敤㄰挶〶〸扤ㄵ搳㤸㠹摣挱摣㍢㈱㤴㥡攵㤴㜴敦㠴㍦㕦㝡搵㠳つ㌳㙦㝡散愰㡦晦昹收㝢㌷慢㕤㤰捤愱捣扣㡢攲㙥〸攳挷ㄴㄳぢ㠵昶㡥㉥昳㈷搴摥〳愱搴㔴挷㐵㘱搲挵㙢て㍦敤愱㈹㈷捦㍣㉥戸晦挹㌷慣㔲〳㤱㉤㤵扤て㍢晢敡㤵㡤挴㤲㙥摦㑦㌵㐴昴挹㘳捣晣㈹㍤晦っ挲戸ㅦ㐲慦㝡っ㌳㡡〷㤸晢㜳〸愵挶㌹攵敥昸昰敦摦晢㜲㤷愳ㅡ㉦戹攱昹戵㐳㔷昴㙤㔳扢㈲㕢捡晤〵㜶㑡㉥㍢㝡晢攸攵㘲㍦㤲㌰ㅦ㠲㠱昹㌰㠴昱㑢〸扤散〸慥慣ㅢ㤹晢〸㠴㔲〷㍡㘵㑦㝣愲挷扤㝢ㅥ戹搷㈱㙢㥢ㅡㄶ㌴㉤散㜵慡摡つ搹㔲昶㘳搸㘹搰㡦ㄹ㌳㤸㤰㕥㝡改㠵㍤㤱㌲ㅦ㘷〱㑦㐰ㄸ㑦㐲ㄴㄵ㡦改晡慦㤸晢ㄴ㠴㔲㌱愷昸晡つ敤攷㥦昹挷扢愷摤㝢攳搹攱㠱㑢㝡㥢扤㥦㐱昶ㅣ攷ㅢ捦㠴㡥捣㉡㝣㠷散晥㝡ㅡ㘹㐰ㅤ戶攵㝢㌹扥㤶ㄷ攲㠵㘴㈱ㅣ捥挷㐳㤹㘸愶㜶㌰摣㙥敢ㄷ㐰㜶㥡摥㠵㠵捤㙤昹昶㔵昲㡤㜰昷㜱㤹㑥慢晢㌲㌳搲挹ㅢ搷扥愲㉤摦戹㥢㝦收扣慥㑣㤷戵㙢㘹㕥户㤳㌲戳㜹昸扥㙣㜵㑡㜹㝢㤶㥡㉤挸戴慣戰㥡㔶㌷摢搹㝢㤴㘴攳摢㜲㝢戶㜲敥愴づ敢㌸㉦户慣㐶㑤㔸捥㔹㈹扥换㡥搲捥戲敢㌵㘸晣搲昶㑥慢㑤慡㌷戲㜵㜶㜳㙥㤹搵㌱捦攲㘲㤰㤵㤷㐳摤㠹㔹捥㔷昶㤱戳摡㜰愰昸ㄲ㥥ㅦ愲㙢ぢㄳ㔷㜷㔹㙤㜹㉢㡦晡㉥户㍡扡搶ㅣ㥡挹戶㔸〳㡡㈰㜶㤹挸ㄸ㔸愴㥥搴㥥㕢搱㌹扥扤慤慢愳扤愵㌸愷㈹扦㌲㠳㘵㠲晣㡣昶扣㠵㙦昹㌵摣慡㔴㔵㡦ㅥ㑡㔵敤攷㌷㠹愱摦捥〶㘹〸慤㠹昷㐰㥢敦㔲摣敤ㅡ收攲攸㜰ㄴ㉤ㄶ晢㘴昵搰慤㌸ㄳ扦㜴㌳愲㌲㔰㍢㈶慥㥣ㄱ㍤扣㌲㕡敡攸戵摣晦㉥戸扡扡扦㜳昴ㄳ㔷㘲㈹㘵㑡愶㉤摦㘲㜵㙣㜱摤㑦戱㐶收戳㄰戵㘱㥣捤ㄵ搹慢〱㐲慤㔶㙢㙡㔷㌵攷扢㤶ㅡ㑢慤收㈵㑢㌹愵挵摡㘰㕤ㅤ愹㉤摢捣摦㐰㘵㍥㐷昱㍣㐴㈰㔰㘵扣㐰㤰ㄱ㌰㕦戴搳戵㐳昰晦昶㉦搲㔴挳捡㤴㐵㈱慣攰㜵搶戶㘲〲摢搹愳㠷摦㔱㑥挹㜴㉥敤㘲昷摣㜲㈶晤晤㤶攲㈵㠸摡愱㄰㕢㕤〳攲戴扥㠶㑢㕤㝤㕡㈷㔸㠵っㄶㄸ攵散㔶㤹摡㔶㝢捤㙡㠲搵㤹㌳戹戸㌵ㄵ攷捡㙡〳㝢㌸昹㝢户戲昷㕢慢扢㈶㘴扡㌲㍤㕢戱㑣㠶㔶㌲〱ㅡ㈹㔶昶ㅥ㉤晢㠸捥戵づ㌸㈹㜸〸捡慥收愵㤷㈸㙣㑦㌸㜱㜰扥㔴昵㜰攴㤶て〲㜵攷㜴搸㈸敤攸挵换㕤㔸㠵换㑦戶摡づ㕤戳摣敡㈴扣捥搸㈲㤵愵愷ㄷ㥤捤捡㘵攷㜷㌵户㜴㌶愰愶㤳㍢摡㔷㉣晦㙦晡愱㉦昳㜷㄰敥㔶㍢ㅣ扤㜸摢㡦〹㜴㔵昵㕣挹戶㔹戴愸慡㡥摥愸㌱㕥㠱搰慦㝢㕣㘴㘳攷㠵敦慦昰㥦㙣收㙢昸㉦㘰ㄲ㕡㈱慦㜶ㄸ昲戶㘷愵戰ㄶ昸摥慤㈰散搰づ㑢搶㍥敢㈴〱昲晢戴㉥㙣敦㔸㤶㙤㙦㕦挶敥搵㔷㔲㥤㑢㉤慢㡢敢㠹扤㥣昵㔳㔹㈷㔵慡㐷㡦愲〵㐰㙤攱㜱㉦昸㌷摥㠰攸搳搴搲㌲挸昵搸㘹㙣㠲慡〷㔶㌶㡤捤搸〹㡤㙦㙦㕤摥摥搹捣搵挵㐵ㄳ㔷㘷㕡㤷户㔸晢㍢㕦㜲昶㥦戵扣㙢㘲攷㍢昷慦㝦晢愷搷㐴慣捥㜰挳敡㤶捥搵㙡㑦戰挲㔵扢扢愶昴㥡㜳攷㌳ㄷ㌶摥戹晦㑢ㄳ㐶摥扥㜴㤱摡挳挹㈸㕢㐹ㅣ㡥㜲〶攳㘳扥つ愱㜶〳㡣㠳て昶㡢㌷昳㑦㐸㥢敦㔰晣ㄹ〲㐳㠸㌰㡤ㄱ攴慦㜶㔲㡤挰晦ㅣ㐵捣㜷㈹摥㠳㔰㈳㈱㜸づ㥢㝦㠳㜰㌷戵〳晣戳㙢㐸昳㝥〰戵摥扣㕣㠵㉣㙢摥㡦〰ち㤸㠴㔶挸㔳愳㤰挷㈶㌶㐹愹戹㠹㠲〴慡㍡㤴攳换㐷㑦㈷愳㙣㜹昳〰㤸〹ㅦ㥦搱扥ㄶ㌰㝦㍥㍥㘷ㄹ㕦㔰㝣〹愱昱挱㙥㡢愴ち㐱㉤㝣㜰㈰㌰慢㈱㔴〴㉡攱愳〷㔲敥愶㍥晦㔲攳愳ㄶ㌹㍡ㅦ㕣ㅣ㉤攳愳㈷㐰〱㤳搰ち㜹㉡ち敦㝥㝣晣ㅤ㘵昹昲昱㤱㤳㔱戶敡㥡㠰愷挱昸㤸㐱ㄴ愷㍥〰捣㥦㡦ㅤ㔸㥢晥ㄴ㍢㐲㘸㝣っ戰㤳㉡〹㈷挲挷捥〴敤〲愱搲㔰〹ㅦ〳㤱㜲㌷昵㈷㥤㡦摤㤰愳昳挱昵摡㌲㍥昶〰㈸㘰ㄲ㕡㈱㑦㡤㠶㜷㍦㍥㕥慦挴挷㙢㑥㐶搹㐲昰ㄸ㜸ㅡ㡣㡦戹て㡡㔳慦㔴攴㘳㌸㙢㌳㠲㘲㍦〸㡤㡦㔱㜶㔲ㅤっ㈷挲挷晥〴㌵㐰愸㐶愸㠴㡦〳㤰㜲㌷昵ㅢ㥤㡦㌰㜲㜴㍥戸㡣㕣挶㐷ㄴ愰㠰㐹㘸㠵㍣搵〴敦㝥㝣㍣㔶㠹㡦㐷㥤㡣戲昵改〹昰㌴ㄸㅦ昳㈰ㄴ愷㌶㔶攴攳㘰搶㘶㉣㐵㈳㠴挶挷㌸㍢愹㈶挲㠹昰㌱㥥愰〹㄰㙡㌲㔴挲挷㐴愴摣㑤晤㑣攷㘳㌲㜲㜴㍥戸戸㕤挶挷㔴㠰〲㈶愱ㄵ昲搴ㄴ㜸昷攳攳捥㑡㝣摣攱㘴㤴慤㥡㑦㠳愷挱昸㤸㜳㔱㥣扡扤㈲ㅦ㠷戲㌶昳㈹ㄶ㐰㘸㝣ㅣ㘶㈷搵㜴㌸ㄱ㍥づ㈷攸〸〸㌵ㄳ㉡攱攳㐸愴摣㑤晤㐰攷攳㘸攴攸㝣㜰捤扤㡣㡦㐵〰〵㑣㐲㉢攴愹㔹昰敥挷挷攵㤵昸戸捣挹㈸㕢捣㥦ぢ㑦㠳昱㌱㤷愲㌸㜵㐹㐵㍥㡥㘵㙤㤶㔱戴㐰㘸㝣戴搹㐹㌵て㑥㠴㡦㜶㠲㤶㐳愸昹㔰〹ㅦ挷㈱攵㙥敡ㅣ㥤㡦㑥攴攸㝣昰㌶㐰ㄹㅦ㉢〰ち㤸㠴㔶挸㔳ぢ攰摤㡦㡦㔳㉡昱戱摥挹㈸扢扦㜰㌸㍣つ挶挷㍣ㄱ挵愹㜵ㄵ昹㔸换摡慣愳㌸ㄹ㐲攳攳ㄴ㍢愹㡥㠰ㄳ攱攳㔴㠲㑥㠳㔰扣捤㈰㝣㥣㡥㤴扢愹搵㍡ㅦ㘷㈰㐷攷㠳㜷㈷捡昸㌸ぢ愰㠰㐹㘸㠵㍣㜵㌴扣晢昱搱㔶㠹㡦㔶㈷愳散戶挷㘲㜸ㅡ㡣㡦㜹ㄱ㡡㔳换㉡昲㜱㌱㙢㜳〹挵愵㄰ㅡㅦ㤷摢㐹㤵㠱ㄳ攱攳ち㠲慥㠴㔰㌹愸㠴㡦敦㈳攵㙥㉡慢昳㜱㌵㜲㜴㍥㜸扦愴㡣㡦㙢〱ち㤸㠴㔶挸㔳㜹㜸昷攳攳戰㑡㝣㉣㜴㌲捡㙥挴㉣㠱愷挱昸㤸户愰㌸㌵扦㈲ㅦ户戱㌶户㔳㙣㠰搰昸戸搳㑥慡愵㜰㈲㝣晣㠸愰扢㈰ㄴ敦搰〸ㅦ㜷㈳攵㙥㙡扡捥挷㑦㤰愳慦㐲攲扥㑥ㄹㅤ昷〲ㄳ㌰㠹慣㤰愷㤶挱戹ㅦㅤ攳㉡搱搱攴㘴㤴摤㌰㙡㠳愷挱昸㤸て愱㌸㌵戶㈲ㅤ扦㘴㙤㌶㔲㍣〲愱搱昱㤸㥤㔴敤㜰㈲㜴㍣㑥搰ㄳ㄰敡㌸愸㠴㡥㈷㤱㜲㌷㤵搰改㜸ち㌹㝡昷攰扤愶㌲㍥㥥〱㈸㘰ㄲ㕡㈱㑦㜵挰扢ㅦㅦ愳㉡昱㌱搲挹㈸扢㠹戵〲㥥〶攳㘳扥㠴攲搴㠸㡡㝣扣捣摡扣㐲昱㉡㠴挶挷敢㜶㔲慤㠴ㄳ攱攳昷〴晤〱㐲昱㕥㤶昰昱〶㔲敥愶〶改㝣㙣㐶㡥捥〷㙦㠱㤵昱昱ㄶ㐰〱㤳搰ち㜹㙡つ扣晢昱㌱愰ㄲㅦ㍢㌹ㄹ㘵昷搶㡥㠷愷㉤慣㐳ㄶ摤捥攲㙤㠸愲㜵挸摥㠵㐹捤㉤㕤㔶㠷㉣㌵搵ㄷ昰㥦ㅤ㙡㈳改㍥㕣㕥敢挸攴散㈰㤶ㅤぢ攳戱挲㠶搸㥥慥㌵摤㙢㡥㘵㉢㝣昶〲搸晦慤㘳㝥攳搶㌱㘵ㄵ戳㘸㉤㜳ぢ敢㠴攸㌴㈵㉢㤹㕢〶㙢㥤㠸㑢㜸扥换っ搲愵ㅡ攰戹戸㤳ㄱ㕦扡㐴㈲〱㑣ㅥ㕥敦㠴㐴㠷㉡慦㙦戲戳㤷㜷㔲ㅡ㔵㕣㑢晣扦㤵㔸扦〸㑣㝢㈵昶㍤づ㘰㝦愳㜸㥦攲〳㡡て㈱㔴扤㌳敡摥ち㘶挷攱㤳挴敤㥤㔴㌵㜶捣扦ㄳ昳㌱挵㍦㈰戴㔱昷㕦㐸ㅡ㥦㔰㈷愳挷㈰慥攲〵㤴攲慤㙢ㄹ㠴㍦愵捤扦㈱㝡㝦〶㌱㜳㡡搵㠲〵晤晦㔶挰㘳敤㠹㈸㘶换㑢㤰攸㍡㍢〰㌴愰㜵摥㥡戶摣搲㡥昶㌶㠴㥤㜲㘵戴㈹㠷㠸挱㑥㤵㌱㕡愷户㡦㕦搱㘵戴㑥㘹挶㝦扤㕢攷㕡换慤㑣搷㜸摣戰挱戲敢㜴㠴㉣挸愲敡搴晣敡晦㥦㡢慥㔵㌵㌸㠴㉡〵〲摤㜵㔷㔵㝡攲摡换㥦づ扤つㄳ摡ㄱ㝤㙡㐹攰㉤㘹㌷っ㉣愰㝦〳㔷㔵慢捣晦愰㜶㔷㝦㜴换㠱挳扥㝦挷㔷捥晦㈷㘱㘵㑡㌶攳㜳㘴㝡愱て㘵ㄷ攳㉦㤱ㅢ㌰㠹㈹扦ㄸ㑢㥥㍡〹愴㜹ㄷ㘳愳〷㍡㜲て㜴〷㜳㌳戹晣捦ㄷㄵ搶㡢㍥㜳㌲捡攲㉡㑥㠶搹㘰㝣捣㥥㜰愴㍥〵捣㝦扤㠸㘱捣㘶㠰愲ㄷ㠴㜶慡昴戱㤳㙡㍤㥣っ愱愳扥〴搵㐳愸㔳㤱㤴〹㡡㠴㍤㈳挱㑤㝤㠰㌲扣昵挴ㅤ㠰搳㈷㈸っ捡㈸攳㘴㐷㠰〲㈶愱ㄵ昲ㄴ㐳㌸㍣㑥戴昵挴㍦㔶攲攳㙤㈷愳㉣摡㠳㘱ㅢ挲挷ㅥ㍣㠲㌷㉢昲戱ㄷ㙢㌳㠸㘲㌰㠴挶挷摥㜶㔲㌱昴㘳〸㍥收㔰㠲㠶㐱愸戳㤱ㄴ㍥昶㐱捡摤搴㉢㍡ㅦ挳㤱愳昳挱㔸㤱㌲㍥昶〳㈸㘰ㄲ㕡㈱㑦㝤ㄷ摥晤昸昸㜵㈵㍥㥥㜵㌲捡㠲㔰捥㠳㈷攱㈳㡡攲搴搳ㄵ昹㠸戳㌶〹㡡㈴㠴挶㐷摡㑥㉡㐶愴っ挱挷ㅣ㑤搰㠱㄰敡㐲㈴㠵㡦㠳㤰㜲㌷戵㔱攷攳㘰攴攸㝣㌰㠴愵㡣㡦㐶㠰〲㈶愱ㄵ昲搴㐵昰敥挷挷㑦㉢昱㜱㥦㤳㔱ㄶㅢ挳ㄸㄷ攱㘳㉡㡡㔳昷㔴攴㘳ㅡ㙢㌳㥤㘲〶㠴挶挷㉣㈴㡤搹ㄴ昶愴〵㑢捦っ㤹ㄹ㠲㡦㌹〷㙡㜳㉥㠴扡ㅣ㐹愱㘶ㅥ㔲敥愶㙥搳愹㤹㡦㥣ㅥ㑤㔳搲攵挷扣㄰㌹〱㤳昹ㄵ昲搴ㄵ㜰改挷挷㜵㤵昸戸搶挹㈸㡢摤戹ち㥥㠴㡦挵㈸㑥㕤㕤㤱㡦㉣㙢㤳愳挸㐳㘸㝣ㄴ散愴扡ㅡ㡥㠶攰㘳㉥㈱㘸㈹㠴扡ㄶ㐹㈱愱ㄹ㈹㜷㔳ㄷ敢㈴㉣㐳づ〳㡤㝣㔸㘸㐵㔶挰㈴愰㥣〵挹㔳搷挱愷ㅦぢ㘷㔷㘲攱㉣㈷愳㉣愲攸〶㜸ㄲㄶ㔶愲㌸㜵㐶㐵ㄶ㔶戳㌶㙢㈸扥〵愱戱㜰㠲㥤㔴っ㉤ㅡ㠲㡦昹㙤㠲㑥㠴㔰㍦㐴㔲㔸㌸〹㈹㜷㔳㙢㜵ㄶ搶㈱㐷㕦〵昰扢攷戶ㅥ㤸㠰㐹㘴㌹ㅤ㤲愷ㄸ戹攴㐷挷捡㑡㜴慣㜰㌲捡㠲㥣㙥㠳㈷愱攳㙣ㄴ愷㍡㉢搲㜱づ㙢㜳㉥挵㜹㄰ㅡㅤㄷ搸㐹㜵㍢ㅣつ挱挷扣㤰愰㡢㈰搴ㅤ㐸ちㅤ摦㐳捡摤搴戱㍡ㅤ㤷㈰㐷ㅦ㌴ㄸ㌱㔵㌶㘸㕣〶㔰挰㈴戴㐲㥥扡ㄳ摥晤昸㔸㕣㠹㡦㐵㑥㐶㔹㈸搶㕤昰挴㙦扥收㜵㉣敥㝡㡡ㅦ㔰摣㐰㜱㈳㠴㍡摣攱㠸㤳搸㠱㐰摥〱攵㥦戱㕦㘵晥㤰㤸㥢㈹㙥㠱搰㌸扡つ㐹攳㜶㠸㝡㌷づ㜵㤰㌳愲㈸㜵㌷㉣㠷搰㝡〳昲㑤㍡㔳㡣昷攲挴ㄲ㜱㘳㐸㔶㥣㥤晣〸㤹㙥㠸㔸ㄹ㘷㜷㈳㌳㘰ㄲ㔲捥㤹攴愹㝢㔰㐰㌷㘷㍤㠸摣っ㤵㥡㔴㠹戳㠹㑥㐶㔹散搹㑦㘱㈶㝤攸〱㌸㔱攳ㅤ㝥愰㉣摥捣〷㔹挶㉦㈸ㅥ㠲搰昸昹愵㥤㔴㍦㠳挱㄰㝣捣㡤〴㍤〲愱ㄸ㠳㈶㝤攸㔱愴摣㑤㡤㐶ㄹ摥挴攴㜱攴攸㝤㠸愱㙢㘵㝣㍣〹㔰挰㈴戴㐲㥥晡㌹扣㜷昳戱〹㈹㥢㡦㔰㈵㍥づ㜰㌲捡㘲攲ㅥ㠲慤昰昱㍣㡡㔳晢㔷攴攳㐵搶收户ㄴ㉦㐱㘸㝣扣㙣㈷搵挳㜰㌴㠴ㄵ㜹㠵愰㔷㈱搴㐶㈴㠵㡦搷㤰㜲㌷㌵㔴攷攳昷挸搱昹㘰㌸㕤ㄹㅦ㙦〰ㄴ㌰〹慤㤰愷ㅥ㠱㜷㍦㍥㜶慤挴挷㐰㈷愳㉣㑥㡦愱㜶挲挷㥦㔱㥣摡戹㈲ㅦ㝦㘵㙤摥愵㜸て㐲攳攳㝤㍢愹㥥㠰愳㈱昸㤸ㅦ㄰昴㈱㠴㘲愰㥥昰昱ㄱ㔲敥愶晡敡㝣㝣㡣㥣㈲㍥晣㙥㠴晦ㄳ愰㠰㐹㘸㌹ㅦ㤲愷㥥㠲㜷㍦㍥㙡㉡昱搱挳挹㈸つㅣ慣㝤ㄶ㥥戶㈳攰慢ㄷ攰㘶㘱㐱戳戵㡡摦㙤晢ㄶ昰扢戱昱㉢㍡扢摡㈵㥣愶㑦㘱㐲晢捣昶慥〹捤㥤换㕢㌲㙢晡ㄷ㥣㥤㠵㑢慤㌶〴扢㜵㈰收慤㐴搷扥㝣戹㤵㌷ぢ昳摡㔷㜴攴慣愹ㄳ扥〹挱㜰搲㙣㠸攸㔰慡慡㕡㘱晢㝡昱㕤㔵戰㐴愷挱㔶㔵换愸慣搲㌰ㅤ㙤昱愷㝢㥤㌱〸㘰㝤㌷愳㠷㌶㜷戵㔸扤ち㤲㉦晢㜵〵戰㠸〸挲㝣捦挲愱㑢ㄱ慦㌲愱㑦㘱㜲㐷㜳扥愵戹捤㘲㘳㘰敤㤲㍦挶㥢㙥㉤㐱戴攰㙣㈷㥥愴㑦攱搰㡥㑣㕢攷㜲〶㍥攵搶散㔰㤴㤲㉦昳戵㠵㜱捤㙤㥤㈸㐶㕡㤱晢昵㠵㜹㑢摢㔷攱㌷慢㉢㕡摢㈶㘷㤶㜷㝥㈳㕡㐵㐹扢㔰㐸搳愸㙡㔵㕤慤敡慡敢扥㙥晢ㄸ㕦攲散敡㙦㠷改づ㐲㍦敤敡㘸捥慥㘰〰㡥㤴ㄳ㠱慣愱㤰㌶慣慡㘵㑣摤ㄶ搶敦戸㡡攷挴㜰㌲㍥㤱㜵㉤晡㐱㠷㙦愸㥣昷㐳㘰慥摣㤹㕦愱㍡扤ㄹ㐰㝣挸攴昹㔳扢㈳㜷晦㐷扦慡慤㝤ㅥ㥥㑢㤷㐶㑡㝢㥥ㄷ㈸戹ㄳ挰㝤敤㉥㐴ㅤ㝢ㄴ捥㑣昴〴愶㑡扢㘵愰㈰ㄸ昶搰扥摤扢㤳㄰㙢搷扢㌰㍤㤳戵㕡㌰户㘸捤㜴昵戵ㄳ㕣换挴慦㉥㍢㥤㍣㠴㍢戵㘶搸攵搸㕤攷攵㌲㉤㔶㕤愱㘹㐵㔷㍢㝥㈶㘰ㄶ㈰愴㕦㍡慡捣㙡愸㌲慢㐵搵扢㌰㤷愱挳戲㑦㕦敤㑢㌲ㅤ捤㕤㑢㕢㥢㜳㜵㑣㌰扣昷ㅢ搱㔷㜱㈵愸〱㤹敥收㡥㈵愵㑢㜳昶㈲ㄵ㥡扢〱昳㉦㔲挷收㐷㡦慥㔶〶晥愹慦ㄹ㔹㡡㤱㐷㉥ㅡ㘶㌵扣搵愲㔷挹㔰㈴㜵昹昰㉢攷㉣晡昰㈴散挸攰愴ㄸㄸ㑡慤搹〳㜰敥昰㔳昳㕢㠸㉤㠶ㅤ昶〴㈰㌰扤㍤㤳㥦㠴㍢㈷敤ㅤ㍤㥤㕦㠱搷㌱㤲つ㐳㑤㐷㤰㠱愰攳ㄱ㕢㡣㤸攵㤵捤㜹慢愳㡥㡡㜹㔸㙥慣㘱〸愹㘱户㈱㑦收慡摡摡㕥㜵㝥㘵㑤㜵㝤つ㜵攲改昴㕦搱㑦㉤昳晦摥㥣搴搸晤㔸慢㠰㕣愲㙡㜰㌸㈶㝦㔹慤㕥㠲㤲挷㔳〲㌰〸攸〹㔱换㘰挶搲戶㈹㡥挹㐴攴愶〹㔰㡤晣㝥㥡搱愲㜵㠸慣㤴㌰搳㕡㌹㤰㕥㕡㜸愸㘱㐷㠶搶戹㍦捡㌶收愱㤷㕢昹㠰㍤扥㜲戱ㄵ㔷㠶慡敡敡ㅡ㌴戵㔱㝡㑢慢慣㔸㌸㙢㥤㘷㐹摣愸摡ㄳ㔵㌰敡㔰攳〱㍣㔹攰ㅦ㑦つ㈸晡㔱㜲改扣㉡㄰㌰〳㠰㔷〵ㄴ〳㈷㕤づㅡ愹戱㐹敡㐵づ㝡㐳愸户愱攴㑣㐰扢㙥㈹㠶〲昲摡㔵㘵昴〱㘴㕢挷㑡昵づ㉣㌸㕥㥡㝤改昸捦搸攳㌰攴㜵换㈰戴㕢敦㤶㝦愵〵㍥㘶㍦㍡㜱ㄲ敡㕤散戸㠷愱戵昵づ挰㤸晤〹㝣捦ㅦ戰㈳〱㍢ㄱ挰〸㐵戶户㌱〰㈹㍦ㅥ晤〲ㄳ挱攳㉥㠰㠳挷㡦㌴晦㡤搴搸㍣づ愴晦㕤改晦㌳㈸㑢㜹㘴〸愱捤攳㙥㠰㙣㌳㡦㕦挰㑣㜸摣㥤㡥扦㐴慡㠸挷㍤愱摤㍡㡦攴㑥㜸摣㡢㑥攰㐳㍥散㠱㍥㍣づ〲挶ㅣ㑣㘰戵㍦㘰〸〱㝢ㄳ搰〳〰攱㜱㈸㔲㝥㍣晡〵㌴㠲挷㝤〰〷㡦㍤㌵晦㡤搴搸㍣敥㑢晦挳改㥦㔱㠸愵㍣㌲昴㔰㜸㌴搹ㅦ㘵攳㈵㕡扢㑥慢晥㠰〸㘷晢搱挹㡥㐸ㄵ㜱㌶ち摡慤㜳㌶〰㘶昸慢㌲昷愷ㄳ散挸㠷攱㡣㍥㥣㌵〰㘳ㅥ㐰攰㉥晥㠰㄰〱㘱〲ㄸ晤㈸㥣㐵㤰昲攳捣㉦攸ㄱ㥣挵〰〷㘷㝢㘸晥ㅢ愹戱㌹㡢搳㝦㠲晥ㄹ愹㔸捡ㄹ挳ㄳ敤扥挷扢㔷摢摣昷㐶挰㑣㜸㑣搱㌱㈳ㅢ㡢㜸ㅣつ敤搶㜹ㅣ〵㌳晣㘱搱㤶㑥戰㈳ㅦ㠶㐱晡昰㜸㄰㌰收ㄸ〲ㅢ晣〱〷ㄳ㌰㤶〰㐶㑤ち㡦㡤㐸昹昱攸ㄷ㉣〹ㅥ挷〱づㅥ愳㥡晦㐶㙡㙣ㅥ挷搳晦〴晡㍦〸㠰㔲ㅥて㠶捥收㜱㈲㈰摢捣攳㔸㤸〹㡦㤳攸戸ㄱ愹㈲ㅥ愷㐰扢㜵ㅥ挷挱っ㝦㔵收㔴㍡挱㡥㝣ㄸ㍥改挳攳㈱挰㤸搳〸㘴㘸愵て㘰㍡〱㌳〸㘰戴愵昰㌸ㄳ㈹㍦ㅥ晤㠲㉣挱攳㙣挰挱攳㔴捤㝦㈳㌵㌶㡦㜳攸㝦㉥晤㌳㌲戲㤴挷㐳愱戳㜹㥣〷挸㌶昳挸〰㑡攱昱㔰㍡㕥㠰㔴ㄱ㡦ぢ愰摤㍡㡦㠷挱っ㝦㔵收㐲㍡挱㡥㝣ㄸ㜶改㐳搳㘱挰㤸㠷ㄳ㜸㠴㍦攰〸〲㡥㈴㠰㔱㥡挲攳㔱㐸昹昱攸ㄷ㥣〹ㅥ㡦〱ㅣ㍣㉥搲晣㌷㔲㘳昳戸㠸晥ㄷ搳㍦㈳㉡㑢㜹㘴ㄸ愵捤㘳〶㤰㙤收㤱㠱㤷挲㘳㤶㡥㕢㤰㉡攲㌱て敤搶㜹㙣㠳ㄹ晥慡㑣㡢㑥戰㈳ㅦ㠶㙢晡昰㔸〰挶㕣㐲㈰㐳㌹㝤〰㑢〹㘸㈶㠰搱㥤挲攳戱㐸昹昱攸ㄷ搴〹ㅥ㕢〰〷㡦㡣敥㜴晤㌷㔲㘳昳搸㑡晦㙤昴㝦㈲〰愵㍣慥㠵㑥㜸㌴挹愳㙣ㄱ㐸晤㥡戲づ㄰攱㙣㌹㥤㥣㡣㔴ㄱ㘷ㅤ搰㙥㥤㌳㐶㜳攲慦捡散愴ㄳ散挸㠷㈱㥤㙥㤵戵昹っㅦつ㘵慥㈰㤰攱㥥㍥㠰㤵〴慣㈲㠰ㄱ愰挲搹㙡愴晣㌸昳ぢ晣〴㘷摦〲ㅣ㥣㌱〲搴昵摦㐸㡤捤搹昱昴㝦〲晤㕦〴㐰㈹㘷ㄷ㐳㘷㜳挶戱㔰戶㔲捥ㄸ挰㈹㥣㥤㐸㈷㤷㈲㔵挴搹㕡㘸户捥搹攵㌰挳ㅦ挲㘳改〴㍢昲㘱搸愷㕢㘵㡤戳㤳㠱㌱搷ㄳ㜸愵㍦攰ㄴ〲㑥㈵㠰㔱愲挲搹㘹㐸昹㜱收ㄷㅣち捥扥〳㌸㌸扢㔶昳摦㐸㡤捤搹ㄹ昴㝦㈶晤㌳愲戳㤴戳摢愰戳捦搷戳〰搹收昳㤵㠱㥦挲攳搹㜴扣〱愹㈲ㅥ捦㠱㜶敢㍣㌲㔲ㄴ㝦戸㘳㐲㈷搸㤱て挳㐵㝤㜸㍣てㄸ昳㝣〲ㄹ㑡敡〳戸㠰㠰ぢ〹㘰㜴愹昰㜸ㄱ㔲㍢昹㝣㈷昱〹㉡〵㡤ㄷ〳つㅡㄹ㕤敡扡㙦愴挶愶昱ㄲ扡扦㤴敥ㅦ〲愰㤴㐶㠶㝦摡㌴㕥〶挸㌶搳挸㠰㔱愱昱㜲㍡㘶攴㘸ㄱ㡤㔷㐲扢㜵ㅡㄹ㘱㡡扦㉡昳晢㜴㠲ㅤ昹㌰捣搴㍤っ慤㍢㕥〵㡣㜹㌵㠱っ㐱昵〱㕣㐳挰戵〴㌰㉡㔵㘸扣づ㈹扦敥攸ㄷ㡣ちㅥ㝦〰㌸㜸㘴㔴慡敢扦㤱ㅡ㥢挷ㅢ攸晦㐶晡㝦〹㠰㔲ㅥ㕦㠶捥㍥㠵㌹㉤㤴慤昴ㄴ㘶㔰愹㜰昶㐳㍡㜹ㄵ愹㈲捥㙥㠱㜶敢㥣扤づ㌳晣㔵㤹户搲〹㜶攴挳㔰㔴户捡ㅡ㘷户〱㘳摥㑥攰ㅦ晣〱ㅢ〸戸㠳㠰㌷〰㄰捥敥㐴捡㡦㌳扦㠰㔵㜰㜶ㄷ攰攰㡣㤱慢㙥〵ㅡ愹戱㌹扢㥢晥㝦っ㔱换摢㘹㕢㔸㌸㐳摣㡣ㄶ㌹搸ㄷㅥ㡣挲晣戶收㉥慣㘹昱㌴㤸搴摣㠵㙦攷扤ぢ㄰搸㤵㄰扦㕤㘵慤㑢㌳ㅡ改慤愱敦㔵㥥㔵戴愸扥㘷㜹扥扥捡㍥搴㈷摢㕥㝦搷㤶摤户〶㤲㜵㜸㥦㍡㝥㤳ㄶ收㤵ㅤ昷㠵敦㥥㕣㥢㔷挳㉡〷㐸㙡扣㜳㙤昵㝦戰㡣㉦㉢㘹㜸摣〵扢つ捡㐴㐷㌱敦挵㍥㔷昵ㄹ㌱戸攵㉥愲挵㡢㜲㐹㉡挰㤵㝤㕢搷挷〹㐸㥥摡搶㠹戵戱㠰㤳挲捡㘷㕦㘷㜷搶㡡慥愲㥣捣敡晥㑥づ㝥㐶㍡慢つ敢搵戹㑣㐷晥ㅢ戲搸㠹㘳戳㥢㐴搶㉤扦收晤ㄲ㌸攱愶㉤㔱㠲㘵昲晣㍥㜸摥㥥㔰摢㝡㜸改㐳慡扤〸摣㍡愶昸挰㍦㘹〱晢㠹㝦㜲攳㙡戶㠵扢㑥㜸晥㘱㡢搵㕦っ扣愴㉣敡㤹㠵愶㙣㈷㙥㠲㜴㜱㠵摢搹㤳㤳摣㉣捣戵昸㈸挰㤵ㄶㄶ愴㥤扤搹戹㉥〴㤶㝢づ昸㘸㠷㙦㑥敢㠰㤱ㅡ愷㠵㤴戴㤱戱㠵㡥㕢㝣㄰㍣㝦扥㘶㡢愲摤ち戲扤㍦㔶㕤㝥ㄹ户㥢挷㔶戹㍢㙣㕢㌴㉥㠳㙤户㜰㕦〵攳慣ㅥㄷ捤戳愸扦ㅢ慥㙦㡦㙥㌲㜰昵㜶㜵扣昹搲㠷㌷挹㍡扡昰晣ㄳ㍥㕥慢㥥愷㑤ぢ㔶愷扢㥡㜱㥦愱㘵㑤摦挲搴戶㕣换㡡扣㈵㌷㈹摣昱㕡敥㔵㝣㈳摡慢〶㠴㌸㘷搳ㄶ㜸㜱㐸㤹㡡㘷挷扡捦挳昸晡㜷㉡捤晢㜸搹攳摡㌱㝣〴捣㥦㌹攳ㅢ㐳愰户㍢〸㍤〰㉦㍢㜴晦㠴㐲㥥㈸㡡㘱慤㑣挵昱㡣攱挴攳摤㌸㜶㌹攳㌴搸昴昶改敤扣搳愹愹愶㌴摢慡㙦㐴㍢攱㌸敤㘶㌲っ摣慡昹㝡㘷挸㝤㠷㙦㔸昷慤搰づ㑤晢散戰晦㡦ㅦ㠹散摣攴㥥㉤扣扥攰攴㔰㡣㌲户㈷㘹っ敢攵〵愸㡡㤳戴㙡ち〷挲ㄸ㜴㤹愴㍤㠰㔶㔳晦㐰捡㥥愴搹敤㘹㍥〸敤搶㈷㘹晦㠲ㄹ晥㄰つ㐳㌸㜶昸㔱㥦㐲攵捥㤱㤰㐶㠱㜲㕦攵㈱㘰捣㠷㔹ㅡ挳搸㝤〰扦㈴㘰㈳㍤㌱㥡戹㜴愰愹ㄸ㤸つ㠳慡摡㔶摥ㅥ愹㙢攵㙤㈲㥣愶〶㥥摤㠱挰㜳摣㙡㌲㝡搵㌱㜰摢㝣〴愸㘷㥥㝥㝡っ敢愳ㄸ搵散㤶摦〸㠵㔳挱㐷㔹晥㘳㄰㡡㤱挹愵ㄳ㕦ㄳ㍡晢ぢ挴攳㠰㙣昳ㄷ〸〶㌰ぢ捦㑦搰㜱㉦愴㡡㈶挳扦㠲㜶敢㍣昷㠱ㄹ敡㡣㐷㌹搱〹て㠱ㅦ㠶㍤扢㠷愱㑤㠶㥦〶挶㝣㠶挰㝡㝦挰戳〴晣㥡㠰㈰〰㌲ㄹ晥つ㔲㝥㤳㘱扦攰㘸捣㘴㥥〷ㅣ㤳㘱㐶㐹扢ㄵ㘸愴挶㙥攸ㄷ攸晦㐵晡㘷㐴㜳㈹㡦㝢㐱户㤵㉦㄰っ㜲ㄶ捥㕥愲㤳挱㐸ㄵ㜱昶㌲戴㕢攷㙣㙦㤸〹㘷慦搰〹昹攲㘷㈸戴㙥㤵㌵捥㕥〵挶㝣㡤挰㘱晥㠰搷〹昸㍤〱㡣愴ㄶ捥晥㠰㤴ㅦ㘷㝥〱搴攰㙣ㄳ攰攰㡣㤱搴㙥〵ㅡ愹戱㌹摢㑣晦㙦搲㝦ㄴ㠰㔲捥攲搰搹㝤敦㉤㐰戶戹敦㌱㌸㕡㜸㝣㥢㡥ㄹ㈵㕤挴攳㥦愰摤㍡㡦㡣愶ㄶㅥ摦愱ㄳ㜲挸て㐳慡摤挳搰㜸晣㌳㌰收㕦〸㘴戸戵て攰慦〴扣㑢〰㈳戰㠵挷昷㤰昲攳搱㉦昰ㅡ㍣扥て㌸㜸㘴〴戶敢扦㤱ㅡ㥢挷て攸晦㐳晡㥦ち㠰昰㠸㡢ㄳ㜲㘵㕣㥣〶㥤捤攳㐷㠰散摣晤㥣挱慤挶㜱㈸〶㔶ぢ㤷㝦愷昳ㄹ㐸ㄵ㜱昹て㘸户捥攵㉣㤸〹㤷晦愴ㄳ昲挸て㘳戰摤㐳〹㜵ㅦ捡扦㠰㌱㍦㈱㤰昱搹㍥㠰㑦〹昸㌷〱昳〰㄰㉥㍦㐳慡户扢㥥㈲㑦㐳昴戹戳晢㌹㐰㘰㤰㌱摢慥搷挶敥㘲扦愰搷㉦改㜵㌱〰愵っ㌲愸摡㘶昰㉢㐰戶㡢挱ㅣ㑣㠵㐱㝥ㅢ㔳㜹愴㡡ㄸ挴㙤敤㙤㘰㤰戱摢挲㘰て㍡㐱慤攵挳〰㙥昷㔰㌴〶昱㕣㌲摣挹㈷㤰挱摤㍥〰㠳㠰㥥〴㌴〳㈰っ搶㈱愵㌱㠸攷㍢晡㌰ㄸ〰〸っ㌲愶摢昵慡㌱搸㡢㕥㝢搳㉢㘳戳㑢捦㘵〶㘴摢っ昶〱㘴㥢捦㘵㠶㜰ぢ㝢㝤改㤸戱摣㐵散〵愱摤㝡晦㘳捣户戰搷㡦㑥㕣昶ㄸ昸敤ㅥ㠶㜶㉥敦〰㡣搹㥦㐰〶㠵晢〰㜶㈴㘰㈷〲㑥〲㐰搸ㅢ㠰㤴摦㝡㥥㑦㜸㌸㑥攵㕤㠰〶㡤敢㌵昷ㅡ㡤〳改㝥㔷扡㘷㑣㜷㈹㡤っ攴戶㘹摣つ㤰㙤愶昱㕣㤸〹㡤扢搳㌱㘳挰㡢㘸摣ㄳ摡慤搳挸㔸㜱愱㜱㉦㍡㜱㘹扣㄰㕡ㅦ㤶〶〱㘳づ㈶㤰挱攴㍥㠰㈱〴散㑤挰昷〰㄰ㅡ㠷㈲攵㌷㈴晡㠵㤵㠳挷㝤〰〷㡦㡣㉦㜷晤㙢㍣敥㑢晦挳改㥦戱攰㕣㥦㜲搶㈶昶愳㤹戳㌶㌱ㄲ晢㥣㌹㕥て〸搷㈷摣慤散㕢戵㘲ㄸ㌹扦㔹昳挰摤㜹㘷愵㙦㘹敡〶㠰昹㑤つ捦㡣㘷㉤扣慦ちつ㑥㜱㡣㐴攷搷〵㜷晢摢摢昷㙣晡攳㙢㠳扣〹慤㍤㜲攳ㄷ〹挰㐹㙢㑢㈸戸㤴ㅤ㠱㡤㍥愱扤ㄹ㄰㘹搹㄰㝣㉢㐶慥摢㉤敢㑣㘸㈳搰㙥戱㘵捤愸㔳㈷㐶戹㑢㤵㘳㌴㐱㈹㌲愹㘵㔸扢㑢㉥㙢敢㕣㙦攲挰㤸〹〸㜵㠷㍦㈰㐹㐰㡡〰〶挱㜳㘲㙢愶㤱昲收愲㜷㙢㘶㡤摤㝥㐷搳散㐰㥡㌱ㄸ扤戴昳㌳〲摤愶㠳㜳㔱搹㐸㠷㝥敦改ㄷ㠰〸ㅤ㘳攸攴㈱愴㡡㍡晡㔸㘸户㐸㠷㕣㉦ㄹ搰㉥㔴㌴搲〹㑡㤰捦㐶㘸㕤㉡戴昱愲〹ㄸ㜳ㅣ㠱㡣㜸昷〱㡣㈷㘰〲〱㡦〲㈰ㅤ㝤㈲㔲㝥ㅤ摤㉦昶ㅤㅤ㝤㌲攰攸攸㑦㙡晥ㅢ愹戱慦晤㔳攸㝦㉡晤㌳㘰扤㤴㌳㐶愹摢㥣㔵㕣戸晥㉤㈰挲搹㌴㍡㘱㌰㝢ㄱ㘷㌳愰摤㍡㘷っ㝡ㄷ捥㘶搲㠹换ㄹ㈳摦㝤㈸㤹〵㡣㌹㥢㐰㐶挵晢〰收㄰㌰㤷〰〶捡ぢ㘷昳㤰昲攳捣㉦㍥ㅥ㥣捤〷ㅣ㥣扤愱昹搷㌸㕢㐰晦ぢ改㥦㐱敤愵㥣㌱㤲摤ㅥ㘴て〳㘴㥢〷㔹挶扥ぢ㡦㠷搳㌱㠳攰㡢㜸㍣ㄲ摡慤昳挸㘰㜹攱昱㈸㍡㜱㜹晣〰㕡ㅦ㥡㡥〶挶㍣㠶㐰㐶搳晢〰ㄶㄱ戰㤸〰〶搸ぢ㡦ㄹ愴㝣㜹昴㠹慢〷㡦㌹挰挱㈳㠳攸㕤晦ㅡ㡦㜹晡户攸晦㉢〰愴摥〵愶㥣㝡搷㔶攳㍣㉤㡤ㄴ㉣㡢攲㤴ㄲち㡣攷㥣搷戵愶〵㌱戴摣㘵攴愰扤挷㉦户㔸昱㠵づ昱㡣敤ㅤ㔸昰愹㈹晤搹扥㘷换㥦敤昷摡戱攴昱慡㘲挶㥣㉡搴愶昶戲晦㤴㍦㐲搴戳㘷挵扢㥦戵㈸㌶搰ㄸ㑢㔱挵ㅤ㘷㌴攷㍡摡㍢摢ぢ㕤㠳收㈱㍥㝣㄰ㅦ㔷㕢挰㡡㑦㔳敤㈵昰攸㕢㈶て慣愶㡤敦㠷㔹挹挷㌷〶㤶戵戵慦㙡㤳摡搴㜶昲愹扤挲㔷捦㥥㉣㈶㠰㡦㙣㝢㠳扣㘰て㔴㌴㠸愴㜹㉣㕣昴愹て搶㈰つ㝥慢㡣㘵㐸てㅢ㍦㙥晣摣㐵㘹㉢㔹挸收㤲戱㜰㈸㤲㡢愵昳改㙣㈱ㄵ㡥㠶戳㜱㉢ㅥ换攷㈳㤱㤴搱搲つ㑤㐷慣㜸㈸㤵捦㕢改㙣㉣㤳㡡愷㌳攱㑣㈱ㄲ捦㕢搹㔴㉥ㄴ捤㘴㠲戵㡥㝢戳ㄵ㌶㘶ㅢ㐴搰㜰㔵敤㔴㉤愷慡愷慢㈲㐰愰戵〱愸戶㌵㈲ㄳ㐶㔵㉡慢㜲㉡慦慣㥡㥥㍤换㙥㐷㤴㐵㜲㌲㥥㕡ㅥ攸㘹ㄸっ攴慣晤㉥㘸㉥扤㠷攱㙦㔴摣㡡㌴㐶㍤慢捣㉥搶㝢〵㐴㈰搸ぢち敡㡣㤵㐸昶ㅢ㍦㙥㔱昱摢㝤㡣㔵㔰昷㠶㕡㔶搹收攲㌹扥挶㙡㘸晡㐲愳㐵慥〷㝢㍢㕥捣㌵挸㌴㠷戰㡣挱㄰慡㉦昴搲戶㈷㐰捦ㅤ昹〴愱攵昹愰搶攳㐰搸ぢ㤱㔱㘵㥣〸㐸挵慥愵搶〱挶敥㔵摣㍤晡挱㡢㜴㡦戵㌰㐶昷搸㠱㥥改㙣ㅤ搲㜶昷挸ㄵ㌲愱㘴㉣ㅤ㡤挷㌳搱㔸ちㅤ㈳ㄷつ愵ㄳ攸ㄸ改㜰挴ち㐷ㄲ挶挹ㅥ㌴〵㐴っ扤〸㕤㈷ㄹ换㠵昱㐶㉡㉢㤷换ㄶㄲㄱ㜴慥㐴愱㤰っ昶㜷摣㥢敢㘱㘳㥥〲ㄱ摣搱㔵㥤㑡搵㘹㔴㌱㕡㤴㤵㄰㠰㐰搵㉥㔰戱㡢愸㔵㌸〴㌶ㅦ昶㜱换㥦㈶㘷㐱〴㠲〳愱㄰ㅤ㥢挱㈴改㈶㜹づ敥敡敡捦愵㡡て搰㤴昷昳愸摤愱ㄷ㘲㉦㠰摥㈳㜶㑦㘸㠵搸㔶ㄴ攱ㄱ㝢ㄱ㈰㤵㠹㕤〶㘸㌹戱㝢挱㤳㄰㝢㌱㡣㐱散㈰㝡㈶戱㤷㈰㙤ㄳㅢ㡦愵ぢ搹㔰㉡ㄶぢ㘷㔳戱㔰搸㑡㠷愲㠹㐲㌴ㅢ㑦挷㜳㘹换捡㠵㡤㑢㍤㘸㍡㤹㑦㠴ㄲ攱㝣㌲㤱挹挶昲挹㜰㍡ㄵ㑥愴㔲戹㜸㈴㙣挵愲昰ㄲㅣ散戸㌷㉦㠳㡤㜹㌹㐴㜰㠸慢扡㠲慡㉢愹摡摢㔵ㄱ㈰㔰戵て㔴㐲㙣㐶㈷昶ㅡ收㕦ぢㄱ〸敥ぢ〰晥慡㡣敢㤰昴改摦搷㐳㕤摣扦㝦〰㑤㘹晦ㅥ敥㜸㌱㙦㐰愶扣愳㐸摥㔶愴昶㠳㕥㥡攱㠷搰㝢捤㌰ち㕡㘹㠶㠵㕡㌳㤸散摦ㅣ㈵搵㝣㕦挶昷㠷㤱㌰㝥ㅢ㜰㘰扣㠱㑥㔸昱摢㤱㜶扡戲㤵捥㐷搳戱㑣㍡㥣㡢㘲㙣换愵㈳搱㘴㍡㠳愱㉢㕤戰㌲攱㔰挶搸攰㐱戳戹慣㤵挸愴㈲愱㕣㈸ㅥ㑢愴㘳改㙣㍣㙢挵㌰㕤㑦攷挲㤹㜰㍥ㅣ㍣挰㜱㙦摥〱ㅢ昳㑥㠸㘰挸㔵㜵㜷攵戰慢㈲㐰愰㉡〶㤵㌰㍥㑤㘷晣ㅥ收摦ぢㄱ〸㌲慡ㄴ㝦㜸㈳ち㜵摤㕤㌹攱敡敦愷㍥㐹㐴〲㐲愵愰ㄷづㅦ㠴摥攳㜰㌴戴挲㘱㤳捥㈱㉦㍦挲攱㔸㕦づㄹ㉤㉡ㅣ晥ㄲ㌸㜰㜸㄰㥤挰挰搸㠸戴搳㙢ㄳ搱㤴㤵てㄵ昲攱㐸㌶㤶捣㐷㔲㔶㌴㥦㡥愳㍢挶挲㈹㉢㙤㠵㡣㐷㍣㘸㌸㤴㡣㈴㌲愱㐸㈶㤱捡挴㐲㐹㡣ㅦ攱㑣㉥ㄹ挱㜵㈲ㅤ㑤挷㔳攱㈰㘳㑥攵㐴㝦ㄴ㌶收㘳㄰挱㠳㕤搵攳㔴㍤㐱搵㔸㔷攵愱搴㌸愸㠴挳戸捥攱搳㌴㜹〶㈲㄰ㅣて〰晥捡㌸㥣攰敡㥦㈳昶㘰㈲戸愲慤㈶㐱㉦ㅣ扥〸扤挷攱ㄴ㘸㠵挳㤱ㅡ㠷挶㑢㠰㔴ㅥづ㐶昸ㄲ换昰㔱㈱昶㘵ㄸ㠳搸㐳攸㤹挴扥㠲戴㑤㙣㍡㤵㑢㐴㜲愹㉣㤸㑣挶㐲戹㐸㍡㥢捥攴搲愱㑣挲㉡㈴㜰挲攷㡣㔷㍤㘸㈸ㄳ㑢㘴挲㠹㔰㈶㤳戲㘲愹㕣㉣ㄳ攷㠸㡢㙢㌲㉥攵昱㠸㤵つ㑥㜳摣㥢慦挱挶㝣ㅤ㈲㌸摤㔵晤㥥慡㍦㔰㌵挳㔵㜹㈸㌵ㅢ㉡㈱㜶㉦㥤搸㌷㘹昲ㄶ㐴㈰㌸〷〰晣㔵ㄹ㙦㈳改㌳ㅣ晣ㄱ敡攲攱攰㑦搰㤴づ〷㜳ㅤ㉦收㍢挸㤴㔷㘸㤹ㄳ搸っ㠷㐲㉦捤昰㔷攸扤㘶㔸〰慤㌴挳㑥㝡㌳扣〷㐸攵㘶攸敦摢っぢ攱㐹㥡攱㝤ㄸ愳ㄹづ愳㘷ㅥ捤〷㐸扢晤㍢㥢㡡㠶ち戹㘸㌸㠶换㕤摡挲㔵㉥㠴晦㜰摤㐳㥢攴㔳〵攳㐳て㥡挸攲㐲ㄸ㡤㐷㐲㤹㜴㈲㤶㡣挷戲昹㌰㥡㉥ㄲ戲㜲戱㜰㍣ㅥ㑤〴て㜷摣㥢ㅦ挱挶晣㍢㐴昰〸㔷昵㌱㔵晦愰㡡㠱慣㜲ㄶ㜸㈸㜵っ㔴搲っ愶摥っ㥦搲攴摦㄰㠱攰㈲〰昰㔷㘵㝣㠶愴㑦㌳晣〷敡攲㘶昸ㅣ㥡搲㘶㔸散㜸㌱扦㐰愶扣㔰捣㥣挶㘶挸㐲㉦捤挰㙦敥㕥㌳攴愱㤵㘶昸敡㌳敤攲㔸つ㐸攵㘶昸〲搰昲㡢愳〵㑦搲っ㌵㌰㐶㌳ㄴ攸㤹㐷㔳㡢戴㌳㔴攷攲㈰㌶ㄵ戱㤲㔶㌲㤶㑣攵搱っ㠹㑣愴㄰ち㈵㐳㤱㔴㌲㤷㌵って㡡攱㈷㤳挳攵㌱㥡㈹攴㘳㔶㌸㥡㑡㘶ㄳ戹㐴㈶ㅥ捤愴挲㌹扣攵㉡戸挴㜱㙦昶㠴㡤㔹〷ㄱ㕣敡慡昸㉡㑦㌳㐰ㄵ攳㘰愵ㄹ㍣㤴㙡㠱㑡㥡攱㘳ㅣ㠶㌷敢攸㑢㤳㝡㠸㐰戰ㄵ〰晣攱㈱〱㈴㤰㤷㐲㤳㔷扦㘰㥢慢敦㑦散㍣㈲收㤲搸攵搰ぢ戱〳愰昷㠸敤㠰㔶㠸晤㡢㐶慣㐹㘲㘵愸㝥挷㤷挳㑥ㄸ〹㠷扢〲〷づ扢攸〴〶挶㙥㐸摢ㅣㄶち愱㜴づ搳〳戰ㄸ㐳攷㑣㘷ㄳ㠹㍣㘶㜰愹㔰摣戲愲搹㤸㘵散敥㐱挳㔶㌶ㅡ㠹㘶昳搱㝣ㅣ搸㔸㉥ㅢ㡢㐵挳改㙣㉥〳晢㜸㍣㤹づ㌲㈴㔶搸搹〳㌶收㥥㄰挱㤵慥慡㥢挳㔵慥㡡〰㤳㔰昵㉤愸㠴挳摦敢ㅣづ㘵晥㌰㠸㐰㤰〱慦昸㉢攳昰〴㔷㍦㠲㔸㍥㡡㔵摥〰愷㑥㠴㕥㌸ㅣ㐵昷㔰换㘷㉤戴挲攱ぢ㍡㠷ㅣ慡㠵挳攷㝣㌹㕣〷㈳攱㌰〴㔷攰昰㘴㍡㠱㠱ㄱ㐶摡收㌰ㄳ〲㕤挹㑣㌴ㅥ㉤㠴挰㑢㈲㥢㑡㔸戸慡㘵挳挹㥣挵㡢㥡ㄱ昱愰㌹㥣昲挹㔴㌸㠵愹㕡㌴㠶㑢㘲〶㜳〶ㄸ㘴昲㔹㉢㘵愱㉦〷搷㍢敥捤㈸㙣捣ㄸ㐴昰ㄴ㔷搵㍤㉡㥦敡慡〸㄰愸晡づ㔴挲攱攳㍡㠷愳㤹㝦㈰㐴㈰挸〰㔸晣攱〹昳散㠲ㅣ㠳㑤づ扢挱㌳㕤晤㔸㘲㌳㐴㉣㠶㔰㘷㐳㉦ㅣ㡥㠳摥攳昰ㅣ㘸㠵挳㥦㙢ㅣㅡㄳ〰愹㝣㠲摦敦㑢散戹昰㈴挴㑥㠲㌱㠸㍤㡦㥥㔱戰㌱ㄹ㘹㥢搸㄰㑥搸㜰㉥ㄲ㤶戹㔸㌲㠱ぢ㕣ㄶ㕤㉤㤹挲攰㤹づ㠵戳㜹㘳㡡〷捤愷㈲愹㜸㈲㠶㘹㔸㈴㠴慥㤹㐸ㄵ戲搹㐸㉥㘲愵㜳昹㜸㌶㤱捤〶捦㜷摣㥢㔳㘱㘳ㅥ〲ㄱ扣挰㔵㑤愳㙡㍡㔵ㄷ扡㉡〲〴慡㉥㠶㑡㠸晤㤱㑥散㙣收捦㠱〸〴㉦〱〰㝦㘵昳㠸㑢㕤晤㝣㘲昹ㅣ㔸㜹㜱㥦扡ㅣ㝡㈱昶㌰攸㍤㘲慦㠴㔶㠸扤㐹㈷昶〸㐰㉡ㄳ㝢㠳㉦戱㡣㝦ㄵ㘲㡦㠲㌱㠸扤㡡㥥㐹散搱㐸摢挴愶ㄳ挹㑣㉥㤵挲㜵㈹挱㑢㤲㤵㡤㈴愲ㄸ㐸㐳ㄱ捣扦㈲㔰ㄸ挷㜸㔰㑣攳慣愸㠵㙦㈰昹㙣㈱㠶搳㍤ㅤ捦挷㘳搱㐸〱摦㉣挲㤱㍣㉥㘰㔷㍢敥捤㐵戰㌱ㄷ㐳〴慦㜱㔵ㄹ慡戲㔴㕤敢慡〸㄰愸晡〱㔴㐲散ㄵ㍡戱〵收㉦㠱〸〴㙦〰〰㝦㔸㄰㐱搲攷〲搶っ㜵昱〵散㔸㘸㑡㉦㘰㌷㍡㕥捣㘵挸㤴㔷ㄷ捡㑢っ搵て愱㤷㘶攰晢㥣扤㘶戸〵㕡㘹㠶昳戵㘶㌰扤㈹昱戹扥㡣摦ち㈳㘱扣〳慥挰昸㙤㜴挲㡡㜷㈲㙤㌳㥥戵挰㙤㍣挵搳㍦ㅤ㑢㠶昰〵㉥㙤挵搰㍤㌱㉦挳㈸ㄱ㡤ㅢ㕤ㅥㄴ敢㉢戱㔰〶㙦㜹ち㘵攲戱〸㕡㉡㥦㉥挴㜲㤱㕣㈲㥥㡣㈶昳㤹㔰昰㜶挷扤戹〲㌶收㑡㠸攰〶㔷搵㍤㈵扥挳㔵㜹㈸㜵ㄷ㔴挲昸愹㍡攳㈷搰换户㈱〲挱扢〱挰㕦㔹㔷晥戱慢㕦㈷㈵ㄲ戱〲愲昶ㅥ攸㑢ㄷ㐹戴ㅦ戰㙢㠱㥥晣㐱㜲㔰㡢扥㤵攵㤶㝥〵攷㉤ㅡ戳㄰〶搶㐵搵㌷㈱㜸愸挶づ挶摢敡㑡㤳ㅣ挲㤱㐷㜳挱愷㤴㠳攲㠵㈲攷搸㘴㜵改敢㠵㈲〵㙡㑦㐰㡢㙤㕢㈹散捡摤㡢㡡敥㜲㔴挰㍣㤵㉤㡣㥢㑦昷愲捤愴摦㥦〶㠵扢搵摥〷敤戶㐷戴搱扥㝦昷敦扤昹换晥㤱㉤〸敥摢㠶〷㈹㥣㡥㔲搵捦摣㍡㝣〷㈹㥥㈹晣愸〷㕣敤ㄹ挴㐰㔳㐷敤㠳搰捡ㄹ戹㔲㍢㈳㡤戳〰愹㍣㌰㜶昹㥥愶扦㠰㈷㌹㑤扦ぢ㘳昳ㅣ㡡㜳㈹捥愳㌸ㅦ愲㑦慦攰㐳挰㜰ぢ㍥散敥晣搲摤搹攸散搴㍦㠲ㅤ㉥㤱ㄹ㠲晣㉦㡡攰愳昰捣㔲㑡攷㡡㡦戹晡敦戱慡㝣㕣愹扣㜳㔳㍤〱扤戴攵愵搰㜳㐷㍥扦㠲㔶ㄸ㕢愲㌳㜶㌹㈰㤵ㄹ戳㝣ㄹ㝢ち㥥㠴戱㉢挹㑥㝤昰㘹㝡㐶㌱挶昷㤱戶〷戶㜸㌴㥥て攷㌲㘹捣㝣愲戱㕣戲㤰ち㘵昲㔶愶㄰攵㈷ㅡ㑤攷㡤慢㍣㘸㈶ㄱ挲ㄸ㤸ぢ㔹昱㘸㉥㤶㑢㘳㉤㈰㠷敢㜵㉥㥦㑢㘱㌱㉢ㅥ捡〷㥦㜱摣㥢㔷挳挶扣〶㈲昸慣慢扡㤶慡敢愸晡戵慢昲㔰敡㜹愸㘴㘰㍢ㄲ㠷攱㑤挲㙦愴挹㑤㄰㠱攰ぢ〰攰慦㙣㘰㝢搱搵摦㑡散㝡㈲㑥㈶㡤㉦㐱㉦挴㙥㠰摥㈳昶㘵㘸㠵搸㌹ㅡ戱摤ㄷ㠷㔹扥ㅣ㌲㌲㑡㌸扣ぢ慥挰攱慢㜴㐲づ敦㐶摡收㌰㠵㔵㜴㉢㥢挵ㅡ㝢〴摦㈸㔳愹ㄴ㔸挱㤷挵㔴〴㌳㥥㑣㉡㤹㌲㝥散㐱ㄳ搱ㅣ㘶㤷昸扥ㅦ〱㠷㔸㠴㑦㠵㘳㠹〲㔶摢戱㉡挸㠹㜹㉣挸昸㉡扡㌷㝦〲ㅢ昳ㅥ㠸攰敢慥慡晢攲挰㈰㉢㐱ㄱ㈰㔰戵〹㉡攱㜰愲捥攱〳捣晦㌹㐴㈰戸ㄹ〰晣㤵㜱昸愶慢㝦㤸搸㌳㠹攰搳㌶搵摢搰ぢ㠷㡦㐰敦㜱昸㈷㘸㠵挳〳㌵づ㡤挷〰愹摣㌹搳扥挴扥〳㑦㐲散ㄳ㌰〶戱㝦愶㘷ㄴ㙣㍣㠹戴㑤㙣㍥㥡挴扣〵搷搸㉣收㌹搱㘸㈲ㄵ㠹挵慣〸扥慤攰㥢㑤挸㡡㈶㡣㕦㜹㔰ぢ㑢愶㠹㙣㌲㤶㡡攰㥢㄰㝡㙡㌶㠲㥢ㄶ㤹ㅣ㍥攸搸㔸戲づ㌲攰㑡㈸㝢ち㌶收搳㄰挱扦扡慡㘷愸㝡㤶慡㜷㕤㤵㠷㔲敦㐳㈵挴ㅥ愰ㄳ晢㍣㑤㕥㠰〸〴㍦〰〰㝦㘵㌳昳て㕤晤敦㠸㍤㥦㠸昳㐸散摦愱ㄷ㘲㕦㠵摥㈳昶ㅦ搰ち戱挳㜴㘲㕦〷愴㌲戱㝢晢ㄲ换戸㈹㈱昶て㌰〶戱晦㜲敡㘱扣㠱戴㑤㙣㌸ㄴ㡦愷㐲㠵〸收㈷㤸㐰愶ㄳ愹戸挵〹㘱っ户〱愲攱㔴㈲㙣㙣昲愰搹㜴㈱㤲戴ㄲ搹〲㤶㍢㘲㠹〴搷㐱戰㙥㘵挵昳昸挲ㅥ㉡㈴㘲挶㘶て㥡挶ㄷ昹㙣㈱ㄹ㉡㘴昰攵搲㡡攴㌲㔶㉥㕦㐸挴㌳挹〴㝣㘳㘹㈵昸㠹㔳ㄳ昳㑤搸㤸㙦㔱扣つㄱ晣搴搵晦㤱慡㍦㔱扣㐳㍤攳戶昰攷㐰挵㠸㜸昵㌹㤴搲㈴㍢㌹㑤㈲つ晢ㅥ敤晥〶ㄱ〸㌲㍥㡢㠶挶晢㐸晡㑣㍤㍦㠰扡㜸敡昹㈱㌴愵㔳捦㉦ㅤ㉦收㐷挸㤴㌷攸捡扢㜴攵㤷㌲搲㠰晦㠰摥㙢挰㙡㝣ㅢ㤳〶散愵㌷攰扦〰愹摣㠰愶㙦〳昶攰昷㍡ㅥ昶愷㌰㐶〳搶㈰㉤㐷昳㙦愴敤〶㐴摢攱㌵愲昸㝡㥡捣㠷㘲挹㜰㌴ㄳ戳愲愹㜸㈱㤲㐹㈶㈳㤹㙣㌸㙥㝣收㐱ぢ搹㝣㈸㥦㡣ㄷち㤹㐲㉥ㄶ㑡㈷戳愹㜸㌲㥦㡤㘳戹㈵㤱戳㤲改㤴昱ㅦて㥡挲ち㐱㌲ㄱ㐹㈴㜲㘸挰㐸㈴㥥㑡愰㝢㠴㐲戹㘴㉡㤳挴㉤㈱摣晢㜳㙡㘲㝥づㅢ昳ぢ㡡㉦㈱㠲㠶慢晦㡡㉡㕥㔹㑤〵ㄱ散改敡㠹戲昱戴㔴〱攸愵〱晦昳㙦㝢挰㤷〶㌴㘸搷ㄳ〲户摣㕣㐳㉥㝥㤹㕣敡㌲戹扡ㄵ散敤敡㝢ㄱ换㠷㤳㥡㔷㐱愸扥搰㑢㤳昴㠵摥㙢㤲㈰戴搲㈴ㅦ愱ㄸ敦㕥㑦㄰㤰捡㑤昲〱愰攵换㔹晤㔸㌸㑢摢〱挶㘸㤲ㅤ攸ㄹ㘹愳㍦搲㜶㤳ㄴ愲愱㜰ㄴ户㔷ㄳ挹㝣㉣㤶挱㤷搸㘴愱㄰㑥㘱㈹㍣㡥㍢㘴改㝣挱搸搱㠳㐶攲㔶㌲㤱捡㐶慣ㄴ㤶ㄴぢ戱㙣㈶㤷ぢ㈷愳戹㙣㌶㔳㠸攷戱敡ㅢ㘴㐴㤹㔰戲ㄳ㙣捣〱㄰挱ㅤ㕤搵捥㔴敤㐲ㄵ挳捡〴㐵㠰㐹愸摡〵㉡㈱昶㡦づ戱散㌷收敥捣摦〳〲㌷搱〰㄰㕤挹㥤㠷㕤㕤晤㘰㘲㙦愴搵つ㄰㙡㜷攸㠵搸愱搰㝢挴敥〹慤㄰晢㥡㑥散㍥㠰㔴㈶昶ㄵ㕦㘲ㄹㅤ㈶挴づ㠷㌱㠸ㅤ㐴捦㈴㜶〴搲㌶戱戱㑣ㅥ㜷愰愳㠵㔴ち挳つ㠶愷㔴扥㄰挵㈴㈵㘱㘵攲㘱㝣慢つㄹ晢㜹搰㐸戶挰〵㜳昰ㅤ挶㤲㜹ㄴ摦戶攲㠹㜴戸㤰㐶攷㡦愵挲挹㐴㜰戰攳摥ㅣ〹ㅢ㜳ㄴ㐴㜰㠸慢摡㥦慡〶慡昶㜶㔵〴〸㔴敤〳㤵㄰晢㙢㥤搸〸昳愳㄰戸㠹〶㠰㄰㕢戲㑥㌸摣搵㈷㠹扤㥤挴昲㌹慣㙡㍦攸昹晤㉢愰ㅥ㠳㐷㝥㍦愰㜵挰㍣㤰摥㌰捦ㅦ㠹㝣㈱㕥㥦攷慢㔱搰㜲慥㙦㡥〱㑣㌵戸㤸㠳㤱㈲㙢晣愸㤰慢ㅤ㑢っ㌴㜴慣㈲搰㑡㤳㍤愴㌵㤹挹㜹戸慣㥥㍤攸搷㍡㡡攱㕥㔲㠹昱㜰㠵㍦昹〴㘳搰㑡㥢㑤㠰捡㥣㐸㌱㠹㘲㌲挵ㄴ〸㑣挴ㄹ昳挵㉤㤸㜰㜷㤲敥㑥捡搹愹㑦㘳攷㝦㘷㈲㍥ㅡ㥥㜹搴愵ㄳ昱〳㕤晤㜴㔶昵㙥㈲敥㠲㔰㘳愰㤷攳㥣〵㍤㜷攴挳昸㉦愱散㑥㥤㌲㑥挴㠵戲つ㝥㤴〵ㅢ㘱㈴攴捣㈳ㄱ昵挱㈶㍡㠱㠱㜱㈸搲㜶㠷挶昲㔷㌶㥣挶㠸㥤㉤攰㝥㘳㈶㤶㑤㔸昱ㅣ挶摢㘴㍥ㅤ㑤㈶慤扣㌱摦㠳昲〶㜰㉥㤷挴㠴㈶ㅣ挶搲㈴㠲㌸愲㈱㕣慤攳改㜴ㅡ㈳㑣㍥ㄵㅣ攷戸㌷ㄷ挰挶㕣〸ㄱㅣ敦慡扡攷摣ㄳ㕣ㄵ〱〲㔵㤳愱㤲づ晤〳ㅣ㠶㌷攷㍥㥡昹挷㐰〴㠲㔳〰㄰づ㑢㐶ち〶㡦㠹㍥㑢㉣ㅦ攳㉡慦ㄶ㔷搳愰ㄷづ㉤攸㍤づㄹて㈶ㅣ㕥慥㜳攸㉤挸㕣敡换攱㑣ㄸ〹㠷捤㜰〵づ㘷搱〹㌹㍣ㄶ㘹㠷挳㜸〴敢㉣搱㔴ㄸ换摡戱㤰ㄵ挶㈴㈳ㅢ㡦㕡㠹〲愶㝥戹㘸㌶㙤㉣敢㠶㘶ㄳㄱ㕣搳戰愴ㄸ㡦挵㜰㥢ㄲ摦㜵㌰㤳㑣㘳ㄲ㡥搹㜹㈱㥣ぢ捥㜶摣㥢㉤戰㌱㕢㈱㠲㜳㕣㔵昷㥣㝢慥慢㈲㐰愰㡡㘱㘳挲攱㌹㍡㠷㥤捣敦㠲〸〴ㄷ〰攰挷攱㐲㔷扦㥡搸㠷挹攱㐳㄰敡㜰攸㠵挳攳愱昷㌸㍣ㄲ㕡攱昰ㄴ㥤㐳敦㕥昹挹扥ㅣㅥ〵㈳攱昰㈴戸〲㠷㐷搳〹㌹㕣㡢戴捤㈱ㄶ〳ㄳ㌱挴㈱愰㑢㘱捥㥣㡡㘴昲㔸ㄶ挴㙤戱㔸愸㄰㑦攰㥦戱捥㠳收㤲㤸晤㘵㌲㜸愵㝣㈸ㄱ㡢攳〶っ㙥〴攷㌲搱〲慥㜶㔱捣散㘲挱㘳ㅣ昷收挹戰㌱搷㐳〴ㄹ㑥挶ㄲ捤㔳戱㘳㠷㝤㉣㜶㔵〴〸㔴攵愰ㄲづ㔷敢ㅣ㥥挱晣㌳㈱〲挱㍣〰㝥ㅣ㕡慥晥ㅣ㘲昹戸㔸㜹捦㝢戰〰扤ㅣ昸昹搰昷愹慦㍤ㄶ改〳㉢晦㥡㔹ぢ搱ㄹ㠹ㅦ晥ㄵ扤〹㝣㈲摥散捤㤸昲慡ㅥ㜸慡㥥晤㉣扡㥡敡搱㕦捦ㄷ㤷㥢昸㜳㑦㝥㙡摢㜰慣晦〳㍦散ㄹ摤㙢㐴昴戸ㄷ㍥收㠵㌸攰㕡㐶㘵昹晥戰搰づ㕡㥡㠷挷〹㕡つ攳挷㈵ㅢ㈶慥捥㔹㉤晣ㄱ㈷㈲㤶㘰㔸戵㔳敢搴㑥散攲㠵㈹㠷戶㌷挹㑦ぢㄹ㔵搷捦つ㙡ㅡ改扥愰㝡㔸户挶晤摤慥㙢㌶慢挳戳挳ぢ㥦ㄱ挴㠶㡣㤱㝣㥤昵㑥摤㈹敤㔹㝥扢㜵㙢昱㔳㙤晣㔶搱捡扢ㅥ㍢昱㠳㤴㥡敡ㅥ㘵㙦ㅥ㤱搵挹〹敤慤㜸㠵㔴挳㙣㍣扣㡦摥昰昲昵愹㜹ㄲ戰㥢捦㤳っ挷㌵㜷挹㤳㐰㜷㐷扥㌲㤷㠱ㅣ攳㝢㌸㕡㘳捣搰愹㐳挳昱摡㘳搱㄰愵㍦愲慢㔸㐶㌱敤㉣㤱㝤〳㑦㉢㠷㐳搵〶搷攴㕥㤹㉤㉣攴㌲扢㤰挳㔰㠸㉡愰㄰ㄶ挴㕥ㅣ㌰慦㈰扡ㅤㄸ㔷愵㤶㍢〹㝡慢敦㐲㠲㔷ㄸ愰昴敤挳戱㑥慡搱晥扦捥昹㍦搸㔸捦㈰㌵戱㌸㕡つ扥愰愹㜶搳㐹愵㑦ㄱ户㉤㘲㡤户摥挲敤戳戱㙡つ㉣㠶㐱㕢晡㥥摦っ㉡昹㉡㕥㠷㔲昶摥攳挵㑥㐶改㝢㡦㠳㈷挰㤳㥣㙣搷愲扥㝤敡搵㕡愴㜹挲愹㘳㘰挱㕥㉥ㅤ昳㝡ㅥ昲㝡愸㙤㠲ㄸ㜸㘶摣〰ㅤ㕡㘱攲搰㐸㐸ㅤ〱㈰搹戰改扣㠹攸㔳㍣昴挹㐴摦㙣愳ㄷ㄰扤挰㐱摢㜴摥㑡㌴㐷ㄸ㡦捥搳㥣㠴搰㜹㈶ㄲ摢㐷攷㔹慥㐵㈵㍡敤ㅦ㔹扦㌲昶ち攷㔷搷敡㕣㔸昸搱㌹〷ㄵ昵愵㜳戶㤳㔱晡摡攴攰〵昰㈴㜴晥〸㐷〵㍡㉦㐶㕡攸㥣〹ぢ㡦捥扢㜹挸㤷㈱换愶昳ㄲ散ㄹ㍦戱〹㥡㌱㌴㤲㔶㠷㌸〴搹㜴摥㑢昴攵ㅥ晡㔲愲㝦㙡愳㡦㈰㝡㤲㠳戶改扣㥦攸㉢㠰昱攸扣搲㐹〸㥤搷㈰戱㝤㜴㌲挴㑣㉣㉡搱㈹扤㜳㙤㤳搳㍢〳㡤敡〶㔸昸搱搹攴戰㔶搶㍢ㅢ㥤㡣搲户㉥〷㝦〸㑦㐲攷挳㌸㉡搰㜹ㅢ搲㐲攷挱戰昰攸摣挸㐳扥〳㔹㌶㥤户㘳捦㜸搴㈶㘸攲搰㘸㐸㡤㜶〸戲改㝣㥣攸㍢㍤昴〶愲㥦戴搱ぢ㠸㑥㌸㘸㥢捥愷㤰㔳㝦て㌰摢㐷摡扤慥㐵㈵搲〲扦扢㝥昹㤸挰攳㘳晢挹㜶晥㔸㜵㍦㉣晣㐸ぢ㍢摣㤴㤱ㄶ㜲㌲㑡㕦捤ㅣ㝣㄰㥥㠴戴攷㔰㜷㤰昶㑢愴㠵戴〶㔸㜸愴扤㐰ㅡㅥ㐵㤶㑤摡㐶散ㄹ扦㜵㘹㠸挵搴㝥㐵㌴晣㡥攸挷㍣昴㈳㐴扦㘲愳㈷づ〵㝡ㅦ〷㙤㔳晣ㅡ搱㥣㜸㜹㝤昰〹㈷㈱㝤昰㘹㈴戶㡦捥㘷㕣㡢㑡㜴摡㈳攴愱摤㈳攴㜳戰昰愳㜳戰挳㕡ㄹ㥤㠳㥣㡣搲㌷㍢〷㕦㠴㈷愱㜳㌳㡥ち㜴扥㡣戴搰戹㈷㉣㍣㍡摦攲㈱扦㠶㉣㥢捥㔷戰㘷晣搱㈶攸〸ㄲ戴慢㐳㤰摤慢摥㈱晡㜵て晤㉡搱㝦戱搱㌳㠸ㅥ攰愰㙤㍡摦㈵㥡挱〷ㅥ㥤㝦㜰ㄲ㐲攷㥢㐸㙣ㅦ㥤㙦戹ㄶ㕢愴昳愱㙣昷㈹晤づ㉣晣攸散攷戰㔶㐶㘷搰挹㈸㝤㌱㜴昰慦昰㈴㜴㝥㠴愳〲㥤敦㈳㉤㜴昶㠵㠵㐷攷挷㍣㘴挶㕡搹㜴㝥㠰㍤攳㥦㌶㐱ぢ㠶㠶㘳㉡攰㄰㘴搳昹〹搱㝦昷搰ㅦㄲ晤㙦ㅢ㍤㤱㘸挳㐱摢㜴晥㠷㘸㠶㜶㜹㜴晥挳㐹〸㥤㥦㈲戱㝤㜴晥摢戵搸㈲㥤㔵㌳扢改晣〲ㄶ㝥㜴㉡㠷戵㌲㍡慢㥣㡣搲昷㑡〷㔹㔵愱㔳攱づ㉦攸慣㐱㕡攸晣昲㔳㡤捥ㅥ挸㔴㍤㤱㘵搳挹㄰㉥愳㤶てづㄸ㌳ㄴ扤㌳慥㍥〳搸㘵㈳㘰昶㈴扡捥㐳ㅢ㐴㥢㌶ㅡ扤㌳慥晥攵愰㙤㍡㝢ㄱ㙤〲攳㍡㔰〱㈷㈱㜴昶㐵〲㝦摢㌱ㅤ㘲搸㤶㔸㔴愲ㄳ昷戵戰扤㍢㌶攸㡥㥤晤〱ㅦ收㌳ㅤ晡〸ㄵ昵扤㝥㝦攸㘴㤴扥㤶㍡㌸〰㥥㠴捥㝥㌸㉡搰戹㉢搲㐲攷晢戰昰㝡㘷㝦ㅥ昲ㅥ挸戲改㘴㌴㤷戱㤳㑢㔰㈴慥晥㕡㐴搰捥㐴敦改愱㜷㈷㝡愰㡤挶昵㍢慥晥攴愰敤扥扣ㅢ㜲敡㠷〲㠳扦敤㈰㡤㜱㕡㘲㔱㠹㌴ㄹ㈱搷ㅥ改昴挱㕤ㅢ搵〸挰㠷昹㤰戶搹攱愶慣て㙥㜲㌲㑡摦㕤ㅤㅣ〵㑦㐲摡㘰搴ㅤ愴㌱㔲㑢㐸晢〳㉣㍣搲昶㈶つ㔱㘴搹愴㌱㝣换ㄸ㘶搳㌰㘳㘸㍣愴㕥㜵㘸戰㝢搵扥㐴㌳扡捡㐶㌳㠲换ㄸ㘱愳㡦㈰晡㈵〷㙤㤳㌶ㄲ㌹昵愳㠱挱摦㜶㤰挶挰㉣戱愸㐴摡㠶挹㥢扦戵攳㠶て挶捥摦敤捦㍦㕥㌷昳挸戱㙡㉣攰挳㝣㐸㝢捥攱愶㡣戴摦㌸ㄹ愵㉦戸づ㡥㠳㈷㈱㉤㡣扡㠳戴㐹㐸ぢ㘹捦挲挲㈳㉤㑡ㅡ愶㈲换愶㘱㌲昶㡣㌸㜴戵晣晡ㄳ㔷扦㜲㔸戰㌹㑢ㄲ捣挰㈹ㅢ㍣㠵攰戴つ㍥っ攰挷ㅣ戰㑤搹㠱〴㑦〳挴㍢㙤愷㍢〹㌹㙤ㄹ㕦㠵扦敤㈰㤳挱㔸㘲㔱㠹㑣㜸挳㜶㜰愳晣㔷昵攱㔸㌵ㅦ昰㘱㐸㤵㝥㡢㜹搸攱慣㡣捣㠷㥣㡣搲搷㘳〷ㄹ挹㈵㘴㌶攱愸㐰收㔱㐸ぢ㤹て挲挲㈳㜳㍣て㜹ㄱ戲㙣㝥㡥挶㥥㌱ㄱ㍡昹㉥ㄹぢ愹㥦㌹〴搹㙣㑥㈶㝡戱㠷㍥㠶攸愹㌶晡戰愱㐰摦攳愰㙤㍡愷ㄱ㥤〱挶愳㌳敢㈴㠴捥〲ㄲ昸摢づ㍡㤷戸ㄶ㤵攸戴㐷挱户扡㐷挱㘵戰ㄸ收㐳攷㡦ㅣ搶捡攸扣搳挹㈸㝤扢㜶戰つ㥥㠴捥㌹㌸㉡搰挹戰㉡愱㜳〳㉣㍣㍡攷昱㤰ㄹ摣㘴搳搹㠹㍤㘳扥㑤搰㠲愱戱戴扡愵㠸愰㠵㐴慦昴搰っ户㌲づ户搱㤸㐱愶搵㡤づ摡㈶晦㐸攴搴㥦〰っ晥戶㠳戴㙦扢ㄶ㤵㐸㠳㌷㙣摡㌷改㜵戰ㄸ〶㔵㘹ㅦ扣搶攱愶㡣戴㙢㥣㡣搲㔷㜰㉢挶昷挸搲㕦㠶㐷ち㤷晣〴摤挵㝦㜵扡㥢㥤㐵㌶㌷挹㘶晣㡤㌰㥤㠳搶捣㐳昴改ㅢ㍣挳㔵㕡㑣搷㉢㠶换〸晤㤷愳㙣搲捦愰愲㍡㍣㡤敡ㅣ㌷攳㌲㈷愳㉦㌳㌰扤攱昶改㔷㡡搱㌵㘲㜸愹㤳捦㠷扦㘹昹っ扣㤱晣㑢㥣晣摤㡡昳ㄹ㤳㈳昹ㄷ㍢昹戲ㄸ戰っ戵㔲っ㠴ㄹ〶戴捤㕢て戴㥡戹ㄹ㐹㜵㍥㤰扥㤷摣昳㥣㡣搲㌷愵〶ㄹ㍡㈳ㄴㅣ㘷ㅦ敤㤵㙥愱攷攸㠵㜶戲搰慢㤱㘵㜷戶敦㘳捦㔸〱ㅤ捥摤挳㜸ㄱ㍤ㄳ㘰昷搴ぢ㤸慢㠸扥挶㐳㕦㐵昴ㅡㅢ㍤㤵攸搳ㅣ戴摤搹㡥㈷晡㕡㘰㕣〷敡㍡㈷㈱攷敥㡤㐸攰㙦㍢扡攱㑤慥挵ㄶ扢攱㐳㑢ㅡ㡦㥣捦㙤㘰愳扡ㄵㄶ挳㍣㍡㌷㜱㑦攸㕣攷戰㔶搶つ搷㍡ㄹ愵㉦㕡つ㙥㠰㈷愱㜳ㅤ㡥ち㥤㠷㔱㉦搲㠶㈷挲挲㍢㜷搷昳㤰ㄹ愱㘲搳㜹㌷昶㡣㔳㙤㠲戰愰㤳㔶摦㉡㈲攸㜴愲ㄹ愹㘲愳ㄹつ㘳㥣㘱愳戱愰㤳㔶㉢ㅤ戴㍤ㄴ㥥㠵㥣晡〷㠰挱摦㜶㤰昶㜳搷㘲㡢愴㔵つ㜷㘶㌰搵㡤敡㘱㔸っ昳㈱敤㌸㠷㥢㌲搲㤶㍢ㄹ愵㙦㘳つ㍥〲㑦㐲摡昹愸㍢㐸㘳㐴㡢㤰搶〶ぢ㡦戴ぢ㐹挳㔳挸戲㘹㜸ㄲ㝢挶昷㙣ㅡづㅢㅡ㑤慢㘳㡢㘸戸㠴攸愷㍤㌴㈳㕤㡣换㙣昴㔴愲ぢづ摡敥㠳㔷㄰捤㌰ㄶ慦て㍥敢㈴愴て㌲㕡〵㝦摢㐱攷ぢ慥挵㤶改㥣摡晤愵㠴㔱㉥挳㝣攸捣㌸慣㤵搱戹搸挹㈸㝤㤹㙢昰㔵㜸ㄲ㍡慦挵㔱㠱捥㍦㈰㉤㜴ㅥ〳ぢ㡦捥敢㜹挸㡣〹戱改㝣〳㝢挶つ㌶㐱㑤搳㠶愶搵ㄱづ㐱㜶慦扡㠹㘸㐶㥣搸攸㑤㐴摦散愰愷〳扤挰㐱攳㥢ㄵ搶㘸㙦㈵㥡愱㈶㌶㝡㌳搱户㍢攸㐳㠰㥥敢愰㙤昲敦㈰㥡愱㉢㈴㥦づ搴㥦㥣〴换㔶敦㌸〹㘹㠹昷攸ち㕡㘷㤴挵㥥㙣㤵㤷㜷敤晣ㅤㅢ敢ㄹ搹㈲㤶㕢㙣㤱㑤愷㌶摡ㄶ㘷搸晦㌷㥥摢愸ㄸ扥㌲っ摡搲㡢搴っㅣ㠵敦㘰㍢摤挹㈸㝤慤㙣㤰〱㉦搲㌲㍦挱㈱愳㘵ㄸ愰㈲㉤㜳〸㉣扣㤶戹㤷㝣㝣㡥㉣㥢㍤㐶慤ㄸ㍦㠵慥攷㤸愱㑤㠷っつ㘳挹戱㠸扥晢〹晦挲㠳㝦㐶昸捦ㅤ昸㌴挲挷㌹㜰扢㈵㝦㐱昸㤷ㅥ㥣搱㉢挶挳づ㝣㍡攱〷㍢㜰扢㈹㌷ㄲ晥ㄵ㐰㕥攳㤰㐵敦㌴㔱㑥㐲ㅡ㠷〱㈸㐲戱㑤愱㉢户愱㜱㝡扡㤶摢摤㌸扤㘰㌹捣愷㜱搲㌸ち摦挶㐹㌹ㄹ愵㙦扢つ㌲昴㐵ㅡ攷㐹ㅣ㌲ㅡ㠷愱㉡搲㌸〹㔸㜸㡤昳ㄴ昹搸〹㔹㜶攳昴挷㥥昱っ㜴㌲㡢つ㠷㔴挴㘱捦敥摡扦㈶㥡攱㈵㌶㥡㈱㉣挶㜳㌶ㅡ户㌶㐲慡挱㐱摢㑤昳〲搱㍢〳攳搱换㌸ㄵ㈶㠴㕥㠶愱愰㈱戶扤敦搷㌳㘶㐵㉣㉡搱㙡慦挵㙦敥㥥挵づ㠶㠵ㅦ㥤㈳ㅣ搶捡㐶愱攱㑥㐶改摢㜲㠳っ㜸ㄱ㍡㕦挱㔱㠱㑥〶愸〸㥤晢挰挲愳昳㌵ㅥ昲㐸㘴搹〴㡤挰㥥昱㝢㥢愰㌹散㡣㐳ㅣ㠲㙣㍡摦㈰㥡㐱㈵㌶㥡㠱㉢挶㘶攸㜸㘶㡣㈳㝣㑦〷㙥昳昹ㄶ攱っ㑢昱昸㘴㜸㡡挷㈷愳㑦戶㡦捦愸㙢㔱㠹㑦扢换㑦㙥戴晦摦㌴㔶㈵㘱攱挷攷㐰㠷戶㌲㍥㜷㜱㌲捡摥戶㝢㈰㍣㜱搲㙡晥㠵㐷㠵ㅤ昹㐸ㅣぢ戵㝦㠵㤶ㅢ戵㐱挶戳〸昷敦㐲㙢扥〷㠱㜹㉤挳㔹㐴昹㌷愶敢㠳攳摤昴晢〴㝤㐰昱㈱挵㐷ㄴ㝦愷昸ㄸ愲㑦㐰㌱㑣㐵㕡慥㌷敡挶㤶㜳㈷挰ㄳ摤㡣㕥㑥㐶挹〴㤸㔱㉤㘲ㄸ㜰昲㑢㈶挰㤳摤㝣搳挹㉦㤹〰㌳ㄶ㐶散敢㥣㝣㤹〰晦ㅢ戵㔲っ㐰改收戵㝢〲摣〳㐸摦搳扥摡挹㈸㝤㈳㙦㤰㈱㉢㐲换㔷㍣摡㝡㌵捦㉤ㄴ㔳昸敥㝥慡㄰㡣慦ㄸ㈳㘲昷㍣〶愳ㄸ㍤愰㤳搳㍥ㄲ㔳㥦㝦愲摦㠲慢㈵㝡愱㠷㥥㑦㜴㑦ㅢ㡤改㜲㑣㝤敡愰敤㙥㙡㈲愷㥥㤱㈳摢搷ㄹㄹ㘶㈲ㄶ㕢散㡣㥢摡ㅡ㡦㕦挵㙤㔰愳㘲挴㐹㌷㘹㥢搰㔳散㘹敥挷愸㡥㉦㘹㝦㜷㌲㑡㕦摢ㅢ戴攰㐹㐸慢㐷摤㐱㕡㌳搲搲㔲ㅦ挲挲㍢戹晢㤱〶〶㠵搸愴㌱晡挴攸㙦搳㠰㍢㐳㜱昵㥥㐳㠳㝤㜲敦㐴㌴㠳㐳㙣昴㌲愲㜷戶搱戸㌳ㄴ㔷㝦㜶搰㌶㘹〳㤱㔳摦〹捣昶㤱挶戸㤲慤㤳㔶戵挹ㄹㄱ慦ㅤ慢ㄸ㘲攲㐷摡㕢づ㌷㘵㘷昰㥢㑥㐶改扢㝤㠳挷挳㤳㤰戶ㄷ敡づ搲ㄸ㔹㈲愴㙤㠲㠵㐷摡㘰搲挰㈸㄰㥢㠶戵搸㌳昶戶㘹〰㘹㘹昵扡㐳㠳㑤摡㌰愲搷㝢攸㜵㐴敦㙢愳㐱㕡㕡扤散愰㙤搲㐶㈰愷晥っ㘰戶㡦㌴〶㤲㙣㤱戴攳㜷攴㔲㕤搷搸㔹敥㐲ㅤ㘳㑡晣㐸㝢挱攱愶㡣戴攷㥤㡣戲ㄷ〰㌳ち㘵㙢㉦〰收搳㠱慣㑥㐶愲㜴㜲㠴愹㉤㌰昲愲㔷挱㔶㌳㜰㐴㥥㘱摦㈲て〳敡㡤昷㜵㜶㉣戳㍡愶攳戵戴㜸㑢攷扣收㔶攷㘹㌴㜸㕤㉤㥦敦敢扥ㄱ搲㤴ㄴ㡤㡤挲慣づ扣㈲戲㘷㘱㙡㈷㥥搴㥥慦㙢㥤㥤改敡戲㍡摡扥〹㍦搶㐲㉣㜵つ㍢〲㐲㙣攴㤵挰扥㑦㐶攲㈳㡦㝣㠳㌴㠴戱㠶㙥㍥摣愷㜵㔷昳㌵㥦㕦敦愷㕡挶〱攸㘲敥㐳扣昲摡㡢㙢㙢搴㙦搰挴㜶㘴昰摡慡慦愴捥㠸晦㌰挳散慣ㄱ㠸ㅥ㑤㥤慤㜲昵㠲〸㤸㔱㘸攴㔱㝥昶㜳〴㙢㉦㐴㌷㈸㍤㌸㍥慢㙡ㄲ㡦扥㜶㔵㜳扥㙢愹戱搴㙡㕥戲戴ぢ捦愴敡攵㍥㑢㡡愵搴㕣〲搳㉤㠵戶昰搴攸搹扡㈸搳搱㤱㔹㔳搷扡愸挵㙡㕢搲戵戴㙥搱㑡㐴昲攰㠵扢戸㈸搴搵搵㤹㜱搴㠷㐵昱愳慥㠰㐷㝡㌵ㄳ扡昶㕡㘸搸㕢㡤㈴戴晥ㄴ㍣攱㑢㐱ㅡ㜸㘳㌴㐴㌱〵〷㐲愳㔱愰慥㠷㙦搲攰㙥敡㈶㈴愴ㅡ㘳㠰昴㉡㜷慢慢㍤㔸搷晥〸㕡愹摣㔸㘸晤㉢昷㤰㙦攵㥡㠰㌷挶㐱ㄴ㔷㙥㍣㌴㝡攵敥㠶晦愲捡摤敢㔶㘳㈲㤰㕥攵敥㜷戵㤳㜴敤挳㑥攵㑣㌲㔷愳敥昳慤挸㔴㤶㐸㤶扡㍢挹㌴慡昸扣㐷扢㤳愸㡤愵㤵㜸摣㉤㙥〶㤰㕥㈵㥥㜲戵㌳㜵敤㜳㑥㈵㡣㔹搰晡㌳㜴愷㙦挵收〰㙦捣㠵㈸㘶㘸ㅥ㌴㝡攵㕥㈸慤摣敦摣㙡捣〷搲慢摣㙢慥㜶㠱慥摤散㔶㙥㈱戴晥㤵晢愱㙦攵づ〷摥㌸〲愲戸㜲㐷㐲愳㔷敥慤搲捡扤攳㔶攳㘸㈰扤捡扤敢㙡㡦搱戵ㅦ戹㤵㕢〴慤㝦攵慥昱慤㕣〶㜸㈳ぢ㔱㕣戹ㅣ㌴㝡攵㍥㉥慤摣㈷㙥㌵㉣㈰扤捡晤挷搵ㄶ㜴慤挲〹㉣ㅤ㝦〹戴晥㤵扢搴户㜲捤挰ㅢ挷㐲ㄴ㔷㙥ㄹ㌴㝡攵㝡挰㝦㔱挷敦〹㠵㥣㤵慤㐰㝡㤵敢攵㙡摢㜴㙤㍦愷㜲㈶㉢㔷愳捥昳慤挸㜱㉣㤱ㄵ改敥昸㥤㔴㘹ㅤ扦㝦㘹㈵㜶㜶㡢㕢〱愴㔷㠹摤㕣敤㑡㕤㍢搸慤〴晢㔶㡤晡㡥㙦㈵搶戰㐴昶愳敥㑡ㅣ㑦㤵㔶㠹扤㑢㉢戱慦㕢摣户㠱昴㉡㌱搲搵㥥愸㙢挳㑥㈵㡣㤳愰昵㙦愶戵扥ㄵ㕢〷扣㜱㌲㐴㜱㌳慤㠷㐶慦㕣戴戴㜲㐹户ㅡ愷〲改㔵敥㐰㔷㝢㥡慥㙤㜲㉢㜷㍡戴晥㤵㕢敤㕢戹㌳㠰㌷捥㠴㈸慥摣㔹搰攸㤵ㅢ㕦㕡戹挹㙥㌵扥ぢ愴㔷戹㘹慥昶ㅣ㕤㍢挷愹㥣挹㜱慢㐶㉤昷慤挸昹㉣㤱㘳㔴㜷昳㕤㐸㤵搶㝣昳㑡㉢戱搰㉤敥㝢㐰㝡㤵㌸搲搵㕥慣㘹㠳ㄹ㘸戹㕥㘴㕥〲㙤㥦ㅥ㐱摥㘵攱㔴户㑦㔰攵戰㉢戳摣愵愸ㄹ㘷戹〳愰慦挳㈳㠱㜹扢㐵㌲㤶㌸ㄹ㍢㌳愳づ昱㤳㕦㈹摥㝡㤱戳昶㜲昸慢㐷〴慣㤵挳晢㌸〶慤㘴㔰㙣㘷戵戲摣㠳㝣㌷㌲戰㝢㉡㜱㈵戰㈶扦ち㉡搶ㄶ㐷ㅡ㌰慦愲㑡㍢挸㘵昰换戳昵收戱㝦㘹㍣戱昱捣㈶㜵㥣㕢搰㌵㐰晡㌷敤㈲户戰㉡㝤摥㜲ㅤ昰挶昵㄰挵㑤晢㠳㤲〲㍢㥤〲㔹㈱㙥㙡ㄵㄴ㌲㍣摣〸愴挷敡昱慥昶㈶㕤扢捥愹㥣搳戴ぢ㝤㉢㜲ぢ㑢㉣㙥摡摢㑡㉡戱扥戴ㄲ愷扢挵㙤搰㡢㍢换搵摥愱㙢捦㜷㉡㘱摣〹慤㍦㐳戳㝣㉢㜶ㄷ昰挶摤㄰挵っ晤ㄸㅡ扤㐹㉥㉣慤摣㈵㙥㌵敥〱搲㘳攸ち㔷㝢慦慥扤搶慤摣㝤搰敡㑦㡡㉦㥥㝡㑥昶慤攰捦㘰㘳摣て㔱㕣挱〷愰搱㉢㜸㝤㘹〵㙦㜲慢昲㈰㤰㕥〵㙦㜵戵扦搰戵㕣摢㤶收㝥㐸搷㜲昹㔷扡昷挳搰㔶慥昶挱扥搵摥〸ㅢ攳ㄱ㠸攲㙡㍦ち㡤㕥敤㝢㔱㐶搱㠵改㝥户㉡㡦〳改㔵㥢换挱㔲挱㈷㜴敤㐶㔷晢愴慥攵挲愸㔴晢㔷搰晡㜷㠵戸㙦㤵㥦〶摥㜸〶愲戸捡捦㐲愳㔷昹㈹昸㉦慡㌲㤷㑦愵㜲扦〱搲慢昲ぢ慥昶㌹㕤换㘵㐶愹摣昳搰晡㔷㙥㝦摦捡扤〸扣昱㕢㠸攲捡扤〴㡤㕥戹搷㑡㉢挷挵㐸愹摣换㐰㝡㤵㝢换搵扥愲㘹㠳㕣戳㤳昱昱㔵㘸㌱㍥㜲戵捥ㄹㅦ摦挵慥っ㠳挳㔰㍢㝤㝣攴戲㥤㘴っ㜵㌲戴昱㤱㑢㜸㍣㔸㤳攳㘳戵ㅡ攲ㅥ㔸搱㜸昸〶昲㑡挶挳捤㔴㘹攳㈱㤷晥愴㡣㍤㥣㌲㘴㥤㐰㜱㌱㔰搴扢㍢敡㝥ㄸ扡〲㡡换㠳愲摥捤㔱㜳㈸挷㙢攷㕤昵慥㡥㥡ㄵつ㈸㉥㈱ち㝡愰愳ㅥ㉥敡㡦㕤昵㉥㡥㥡㑦ㅣつ㈸慥敡ㄵ㡤捣㕣㡥㤳㐳攴挸㕣愳〶〰㕤晥敤昱㕤ㅥて㐷攱敥敢摡摦愸搲づ㔱㈱㕤搴愹㙡愱㤰㜶晢〰㍢㕥扢㤹慥昶㐳㕤㕢㡦㠴㔴挲扥戸昶昵慤挴挷〰㤵㡣挰晦愴㑡慢㐴㍦愴㡢㉡戱ㄳㄴ㔲㠹㑦戰攳㔵㘲愰慢晤㔴搷敥㠵㠴昴散㝦㘳挷扦㘷ㅢ扥ㄵ晢て昰挶攷㄰挵㍤晢ぢ㘸昴捡つ㐶扡愸㜲挳愰㤰捡㝤㠵ㅤ慦㜲㈳㕣㉤㝥愱散㘹㙢挳搰㙥昳攲〲ㄷ愷扦收㠳㔳ㄴち㔵㔱ㄴ㐶ㅦ㘶戵㔶㠵晡戸愳慤㘳攷慤㑦攸㈹㤵㐶㡡㔵㌴㝢搰晥㐰㈷捦慣搱敤昹昵㤹㕥㙤晢㠳昵㤴㙡㐲㑡散㙢㘹㍦摥戵㌷㜴晢㠹扡㐵㍤扦搹㝡摥搴㔴搷扥㈷敤昹㠵㔵敡㕦愷摢捦搰㉤敡㘷敡㈹㌵挷戵㌷㘹㍦捦戵て攸昶昳㜵㡢晡〵㝡㑡ㅤ敥摡昷愲晤㤱慥㝤㙦摤㥥㕦昱扣ㅡ搷ㅦ愳愷㔴挶戵敦㐳晢㥣㙢摦㔷户户㜴㡢㝡㝥晢昲扣愹㘶搷扥㥥昶晣昲㈴挷ㅦ搴敤㕢㜵㡢晡㌶㍤愵㡥㜳敤晢搱扥搳戵摦㐱户㕦愱㕢搴慦搴㔳㙡㡤㙢摦㥦昶挷扢昶㍢敡昶晣㝡攲搵戸晥㐴㍤愵搶戹昶㍢搱㝥扤㙢㍦㐰户㍦㔵户愸攷㌷〷捦㥢㍡挳戵摦㤹昶㥣昸换昱敦愲摢㝦㔷户愸㍦㐷㑦愹昳㕤晢㠱戴扦搰戵摦㔵户晦㥥㙥㔱㝦戱㥥㔲㥣㡦换㈰晣挷㝦搹㔷㤷戱㍣㝤㜶愷㌳㑥㤷愵㙢敦挱搴㔵㡥㤹戹㈷㔲搸㤷㡦攲㉣㔷㌰㝢ㄱ挳挹慤㔴㝦㄰㔲敥戸㔰捦㠹慣㜷挰昵㥣挰㝡㈹挵挹愹搸て愶㍤攷愵㘲㍦㐴户摦愰㕢搴㜳敥搹㙤捦㌹愴搸敦㑤㝢㑥ㅤ挵㝥愸㙥㝦㡦㙥㔱捦改㘱户㍤愷㜸㘲㍦㡣昶㥣搹㠹晤㍥扡晤㠳扡㐵㍤㘷㙦㥥㝤㍤㘷㙤㕥㑡㙤㐴㑡扣敤㑢㙦㡦㍡㜹收㜰摤ㅢ㈷㔷㥥㐵㍤㈷㔵摤愹㈷昵㤴攲愴㐸扣㡤愰户㘷㥤㍣㜳㍦摤ㅢ攷㍤摤昶捦改㈹挵㜹㡢搸㡦愴晤㑢慥晤㈸摤㥥㔳㤳㙥晢㔷昴㤴攲㔴㐴扡挶ぢ㝡搷㘸愰㌳捥ㅣ挴昵〱㑣㙤㜶捣捣㄰㔲搸户扢〶㉦扤㠲〹ㄳ挳慢㉥ぢ㌲㈳㐸㜹㕤㠳㔷搸敥攲㜹㘵昵㔲敡㘳搷㍥㑡晢㝦扡昶㌱摤㥥ㄷ㐷捦愲㥥ㄷ㐵㉦愵㜸㜱㤳昲攳戴攷㌵㡤㜹㘶㐲户攷昵换戳愸攷㜵换㑢㈹戹愰搰㈲〹戵扢〵㜹㘱㤱㝢㌴㈹散㤸㘹㠸㍥㝤㤵㕣㍢捡愰扣㠶〸昴㐰㐲て戲愱㜲㤹㈰㜴っ搲敥ㄶ攴攵㐲愰〷ㄳ㍡搶㠶捡ㄵ㠱搰愲ち昰捡㈰搰㈶㐲挷搹㔰ㄹ晣换愰扣〸〸㜴〲愱ㄳ㙤愸㡣昳㠴㑥㐲摡摤㠲ㅣ敦〵㍡㤹搰㈹㌶㔴㠶㜴㐲愷敡㔰づ敤〲㍤㠴搰㘹㌶㔴㐶㙦㐲㡢づ㡢愳戸㐰㘷㄰㍡搳㠶捡㐰㕤〶攵㠰㉤搰搹㠴捥戱愱㌲㈶ㄳ㕡㔴㔷㡥捤〲㥤㐷攸愱㌶㔴㠶㕦㐲攷㈳敤㙥㐱づ挳〲㕤㐰攸㐲ㅢ㉡㈳㉤愱㠷改㔰㡥戸〲㍤㥣搰㈳㙣愸っ慡㠴ㄶ㌵〱〷㔷㠱ㅥ㐵攸搱〲慤攷㤰戹㄰搰敡搵㉡户㌸扦㜸昱愷昵㌵㠳㜶慤㌹慣戱昷㘵㥢㝥昵收〵㉦ㅥ㌵收㥤捦慦扣昲挵户㉦㜸晡昳〷戲㘳ㅥ扦敥扡㐷づ戹晡改㌷㜷㈸㕣㔳㝤捦愷搳慦㌹㈱扣散㠴攳ち昳昷㥢㝣挲攱挷捥〹捦敥㌷戲㐷㡦㥥㍤昷敤晦挴㉥挳㠳㙢㡦扢㑦㍤晣捡捥㙤㑡㐶㘱搶攵ㄸ㤴挴㡤扦㑢づ㜲㌴㤶扡㉣挲㡥戹㤸㈲㐳㤱愵挸㔱攴㈹㉣㡡〲㐴㥦㍡㈵㐳㌵㙣㡢て㡡㐳戶㌸㕡㑡㘸㌳愱㝤㤵㡣捡㘵㔰㡥捥〲㕤㐶㘸㡢つ㤵〱㤸搰愲戶攲㐰㉣搰㌶㐲摢㙤愸㡣戵㠴㉥㐷摡摤㠲晢戸搰攳〸敤戰愱㌲㤰ㄲ㕡搴〵㌹愰㡡搷㉥㐲㔷搸搰ㄱ昸㑦捥昰㤵搸㜱户㈰㐷㑢㠱慥挲㡥戹ㅡ〲㠷㈵〳㈲扤ㄶ昵㔶づ㡣〲晤ㄶ愱挷ぢ戴㥥挳摤晦㙡戳捡〸捡扡㥣㠰㤲戸攱㕢ㅢ㥥㠳㡦㠴搴攵摢搸㌱㑦愴㌸㠹㘲㉤挵㍡㡡㤳㈹搶㔳㥣〲㠱㘶㤵㘱ㄶ戶挵捤捡攱㔶ㅣ㥤㐶攸改㠴昶㔵㌲愲㤶㐱㌹戲ち昴っ㐲捦戴愱㌲㜸㤶㐱㌹㠸ち昴㙣㐲扦㉢搰愰㝢㡥㈸づ㡤㜲攱攸㜰㉥ㅣ〲㍤ㄷ㕡挵〱㔳戲㤶㍢㔹攳攰㥢㡢㝤ㅣ㈳㈵愳㕤户戹㠰㌶ㅣ㌹㈵慢戵搸㈶攸戶㥥攲愸㈹㠸ㄶ摤昸㝢㌴收㔸㉡㔹挷ㄶㅢ㉢づ㥦㤲搱慣摢㐸㠱ㅣ㔴㈵㙢㐹㠹つ挷㔱挹㈸攸㌶㔷㐰慢㌸扡㑡㔶扥搸㈶攸㥥づ㡡㈳慢㈰㜲扡昱㔵㌴收㜸㉢㔹㤹ㄲ㘳户搷㉢㡥戵㠲㔸慣ㅢ㕦㑢㘳㡥挰㤲㜵㑣戱戱攲愰㉢ㄹ㐷敢㌶㍦愰つ㠷㘲挹㍡戲挴㠶愳慦㘴ㅣ㔱㘶挳㌱㔹戲づ㉦戱攱㌰㉣ㄹ㠷改㌶㜲㘰ㅣ㥣㈵㙢㐱戱㑤㤰愳㌴㝢〵搶㝦㌹㌴ぢ㘶扥㙥㝥ㅢ戴㙡愱㥢㌵慦挴摣ㅤ戹ㄵ〷㙢㌱㥥慢ㅢ摦㐱㘳づ攱㤲㌵扢搸㔸㜱搴㤶㡣㔹扡㡤戴攲搱㙥搶㡣㘲㥢攰㌱挸㜰敡换㠱㔶捣愷敢收㍦㠱㔶㜱昸㤵慣㐳㥣㉣㝢戵㈴攳慡愷㍡㙡㝢戵㠴㐳戴愰愷㌸㙡㝢戵㠴㠳戶愸㈷㍢㙡㝢戵㈴敦慡㈷㌹敡攱愰㉦愰㌸戰ぢ㝡愲愳ㅥ㈱敡㠲慢㥥攰愸摤昳㡣愳扢攰挷㍢ㄹ㜲㙥㍥〸慤㙡㜶戳㥡㑡㙣㌸捣㡢㑤愳㙥㈳㠴㜱昰㤷慣㠳㑢㙣㌸摥㑢挶ㄸ摤收ㄱ㘸ㄵ慦〲㤲㜵㘰戱㑤㤰㤷〳㠷㘴㕥〳〴㌳㕡㌷㝦㥣收扣㌲㐸㔶慡搸㕣昱㘲㈰ㄹ㐹摤收㔷戴㔹攱㘶挵㡢㙤㠲扣㔶㌸㐵昲〲㈱收㌱摤晣ㄹ㥡昳戲㈱㔹㤱㘲㜳挵㉢㠵㘴㠴㜵㥢摦搰收㜸㌷敢㠰㘲㥢㈰挷㜹愷㐸づ敥㘲摥愰㥢扦㐰昳ㄳ摤慣㔱㑥㤶摤㤵㜸ㄱ㄰㡢㤱㡥摡敥㑡扣㉣㠸㝡㍦㐷㙤㜷㈵㕥㈸㐴㍤挲㔱摢㕤㠹㤷づ㔱て㜷搴㜶㔷攲挵㐴搴晢㍡敡ㄱ搲㤵㑥㜱搵晢㌸㙡户㉢昱㡡㈲昸㘱㑥㐶㜷㔷攲㜵㐶戲昶㉥戱攱愵㐵㌲㠶攸㌶搲㤵㜸挱㤱慣㐱㈵㌶扣挶㐸挶㕥扡㡤㡣搴扣昲㐸搶ㅥ㈵㌶扣搸㜰昲ㅦ㔰挴搹㝢扣ㅥ搸㝢㉣捦摥攳㈸㘵敦㜱㉣戵昷㌸㐲摡㝢ㅣ㠴散㍤㡥㈸昶ㅥ㑦㜴敥㤹㙦㘳㐷昱挴戱昵散摡昶ㅥ㝢愹扤挷扥㘷敦戱ㅢ搹㝢散ㅣ昶ㅥ摢搹摥ㄳ㔷㈰摢晣㈳㔴摣ㄸ㑣ㄵ㘴挲敥㈸扤晥ㅦ〵㜴挰搶</t>
  </si>
  <si>
    <t>㜸〱捤㝤〷㤸ㅣ挵昱晤昵改㙥㜴戳ち户㔸ㄲ㐹〴㐹㥣〰㈱㈱㌶〷㠱搰㈹㑢㈸㠱ㄲ㈰挲戱㘱ㄶㅤ扡㈰㉥㈸㤰㌳ㄶ㈰挰〴〳㈶㠳挹㌹㘷戰〱摢㐴㘳㌰搱㌶㈶攷㥣㌳晣摦慢〹搷扢㍢慢攰㥦晦摦攷搱㑥㘹扡敡㔵㜵捦㥢㥥㥥㔴㌷㔳愵慡慡慡㝥挱挴晦㌹搵㜰㘱戳㜹㉢㍢扢慣搶搱ㄳ摢㕢㕡慣㕣㔷㜳㝢㕢攷攸昱ㅤㅤ㤹㤵㌳㥢㍢扢㝡〱㘰㌴㌵挳摥㔹摢搴搹㝣㤰㔵搷戴捣敡攸〴愸戶慡慡慥捥慣㠶㝤ㄳ㘷づ扡〵㤳㕥㘶つ〵㔰㔵愶㐱搱㥢愲㡥挲愴〸㔰昴愱攸㑢搱㡦愲㍦㐵㍤㐵㤰㘲〳㡡㕦㔱っ愰ㄸ㐸㌱㠸㘲㐳㡡㡤㈸㌶愶㘰晤收愶ㄴ㠳㈱晡㙥〶㌱㝦攲㠴㌹搹〳戰㌶昳扡摡㍢慣㔱㐳ㄶ摡㙤ㅥㅢづ㡦づ㡦㡥愴㈳㠹搱愱㔱㐳㈶㜶户㜴㜵㜷㔸㘳摢慣敥慥㡥㑣换愸㈱扢㜶㘷㕢㥡㜳㌳慣㤵昳摢㤷㔸㙤㘳慤㙣㈸㥡捤挴㔲攱㔸㍣㕥㐸愷㔳㝤㌷㐷攴搹ㄳ㈷散摡㘱ㄵ㍡晦㕢㌱户㘰捣㌹ㄳ㈷㡣㥥㙤㜵晤户㘲㙥㠹㤸〸㌹愹扤㌵搳摣昶㕦ち㕡换㙤ㅡ㥦㘴攵㥡戹昱㉤慢愳戹㙤晦搱㘸㜶ㄱ搱㈸㈵㐷㡦敦散散㙥㕤捡㝥㌴搱㙡㘹㤹㙢ㄵ㘴愳户㑥敡散摡㌵搳搱摡搹户㤵晣㔹ㅤ㔶㕢捥敡散摦㍡㜹㐵捥㙡㜱㠰㥤㜵慤ぢ㌳ㅤ戳㌳慤㔶つㄷ敡㕢敤㙤㌸㍤㙦戵㜵㌵㜷慤散搷扡愰搳㥡㥢㘹摢摦㈲愴戶㜵㙡㜷㜳㕥搵搴攰㔷搵㙢ㅢ扦㤶挹㠶㐲㝢㕡㈷㉥捥㜴㜴㐹㠹㥢㌰散㠷搵扡㡢慣㐵㔱扢搸愵㠶㤴㜸㜱㥢捤㙢㙥㥤㘱㜵戴㔹㉤慣㠴㕢㜲㘴〹㐸〸戲户㠳挷㤴扢㍡摣㑡慡㡦戳昳㜱㕤㔸㡢㌱㠴㔱㘶户㜷戴愲㐳捥戲㌲㙤㘳㐳愳㤳昱㔱昳扡昲㤳慣㘵㔸づ㠵ㄳ㐵㔳捡ㅣち〷㜳ㄸ㕤户㠲攸摦搹摣摡摤㤲㈱晢㘳愲㠹㌱㘶〳慤挳㈱㔴捤㍦戰攳敢搵㜱攷慢㙥捡㔴㌷㘵慢㥢㜲搵㑤昹敡㈶慢扡愹㔰摤戴㝦㜵搳攲敡愶收敡愶〳慡㥢㤶〰攳㑥㜵扤㝢㔷㍢㔳㜶昲㍦㕥摣晣挹挴捣ㅢ慥㍡攰昴〹㥦㌷㡣㔴摣搷㘵愸搸〶ぢ愳㡡㥢ㅦ㕤㐳昳㤳㔱㜳㕢㜸㤸㈳㈰㡣敤㈰昴昶㈷攳㘳捣㤱戴㡥㠲㔰敡敦㘸㍦搷攱搹晤捦㘸㤸昲晤捦㡤ㄷ㕦㝢敦敡慤㈶晤晣て挵㌱㐶㉡ㅦ㡤㠵㙤昵捡㈳㈱㤷戹昰攸㈲摡ㄲ㠹愴戹〳㐳㠷㈰㡣㌰㠴㕥㜱っ挴㐵㘸㡤㐲㈸昵㠴㔳昱摣㘷戶扢㜲挴愷㜷㑤扥戱㝢昰ㅤ昷㙦戰挵㤵㡡攳㥡㔴ㅣ挷挲〸扤攲㜰挴㕢改搴攸㘸昱㤴㌶ㄳ㡣㥤㠴㌰㔲㄰㝡捤挹搰ㄸ㌳㑤敢ㄸ〸愵晥攴搴㍣昹㠷扦㌵慤㔸㜲㔸攳㠵㤳㙦敦㍤扢㝢扢㔵㡡㠳愹搴扣ㄳㄶ㌶搱㙢㡥㈵摣㔵づ㡤㡥㥢㘳ㄹ㙢㘷〸㘳ㅣ㠴㕥㔳㍡㌹挶㙣愴㜵㍣㠴㔲昷㍢㌵㑤㜸晥愱ㄳ㕦㝡晡戶㌹昷摥㝤摢㤰㉢㥥㍢㜶㑦挵㥤㔷㙡㥡㠸㠵㈲㜲㘳㙢㈲㜷ㄲ㐳㑦㠶㌰愶㐰攸ㄵ㈷搳㘳捣愹戴㑥㠳㔰敡づ愷攲攷㘶㔷㕤昴㙤㘰捦昱搷㕦搲昷攰㌷〶摥扥戹攲㔱㐲㉡摥〵ぢㅢ改慢㤸昲㉡㡥㥢㌳ㄸ㘹㈶㠴㌱ぢ㐲慦㈷ㄱㅥ㘳捥愶㜵づ㠴㔲㌷㍡昵愴ㅡ㈷㙣㌲戴㜶攵愴㕢ㅦ㕥昰搵㐹㝤㉥扦㔷昱㐰㈴昵散㠶㠵㤲㍤㉦摣挳㘵改㡥㤷㐸㤸㜳ㄹ㝤ㅥ㠴㌱ㅦ㐲慦㍢㡤捤戸㠰搶㠵㄰㑡㕤攵搴ㅤ㝡戱㙦㑤慣收搰㐹慢㥦晥昰昰㌳㍦㝣昷㌹搵〷㘶愹㝢て㉣㙣慦慦㈳㌶㕥摣敢㐲攵扢㝤㈲㙡敥挹昸㡢㈰㡣扤㈰昴摡攳搸戴㝢搳扡て㠴㔲㤷㌸戵晦搰㜲捦て㡤ㅦ㜵捣扡㘰愷戶摣愵〷摦㌴㔴昱挰㉢戵㌷㘱愱㘸搳㠶㈳敥㡡㐷㑡㝢㙦摣摣て㘸㌳〳㘱㘴㈱昴㡡挳搸㙦㜲戴收㈱㤴㍡搷愹㌸㌹晥愵捣㜷摢㌴捥戸㘶昰㥤搳㜶㕣晤攵㐹㡡〷㝢愹戸㠰㠵愲㡡㝢挶㡡㘸㜹挵晢㌳昴㘲〸愳ㄹ㐲慦㌸㠱㌵㍥㠰搶㈵㄰㑡㥤攱㔴㥣㝥㜴敥㠵〷扥㍤㝦挲戱㑦晦㜱捦挷㥦扡㍦慥㜸㠲㈱ㄵ户㘲愱㘴㕢愷摣㔵昶㘵扢㡤搱摢㈱㡣愵㄰㐵㜵㘳愵て愴戵〳㐲愹搵㑥摤扤㙥㝤昲户扦散㍡㘳昲ㄹ㜷㌵摦昸挵收㍦敤愹㜸㕥㈳㜵㜷㘱愱㜸愵㘳㙥搵㍥愳㔴㌷㐳㉦㠳㌰㤶㐳攸ㄵ愷㔱昱ち㕡㔷㐲㈸㜵㥣㔳昱攲㍤攲昷㑣㔹㜲昲慣㥢㍥晦攴挷慤㤷摣搸愰㜸㉥㈵ㄵㅦ㡣㠵㤲㔱捡摢㤳㝣攸㍥㠴戱て㠵㌰づ㠳搰㙢㡥㘳㘰㍥㥣搶㈳㈰㤴㍡摣愹昹挶戹てっ㌵摦㍥㘰挲敤㍢㕤搷ㅣ搸戸㜵慥攲〹㥣搴㝣ㄴㄶ㡡㔶戹攷㤰收㔳昱搱㐰㥢挷㐰ㄸ挷㐲攸ㄵ㐷戱㥤㡦愳昵㜸〸愵㔶㌸ㄵ㍦晣搵扣攱戳扡ち㔳㡥㍤㙤敢昳㜷晢换敤昳ㄵ㑦ㅡ愵攲㔵㔸㈸ㅡㅥ挳㜱㙦㤵挳㈱昳〴挶㍡ㄱ挲㌸〹㐲慦㈹㠶㔱㙡㌵慤㈷㐳㈸㜵愰㔳㤳晡散慢扦㝤昶挵㡢搳㑦扢㜹慢昱㘳收㙦戱㠷攲㤹愹搴㜴㉡ㄶ㡡㔶㌱攱㔵攴戳㡡扦㘱攸搳㈰㡣搳㈱昴㡡㔳攰昶っ㕡捦㠴㔰敡〰愷攲ㄷ㥥戸昱捥ㅦ挷摥㌵昵搲昴愹㌷㙥晢㔹晢攱㡡㘷挳㔲昱㔹㔸ㄸ㌹扦愳ㄹ攷㐵㌸昰㜷㡣㥡搵摣㌶㌶ㅡち㠵㐶捤㙣㕥㘲戵㌴㕢㥤㕤㘳愳㜱ㄴ㘷㘵㔶㡣㡤㘱挱㍣㥢搱捦㠱㌰㝥〷㔱㌳㝥㕡㉣㘵㥥㑢摤㜹㄰㑡攵㥣ㅡ㝦扥收昰㠱晦摡㜲慢㔹㤷㝥戱㝡㠷㘷扢づ户搴㈰㤸愵挶ぢ戰㔰㜲㡣㡦愷摤㉥散扢昷㕣挸昰ㄷ㐱ㄸㄷ㐳攸慢㥢〰捦㤷搰㝡㈹㠴㔲㝢㍢㤵ㄷ㕥扦戶敦㑤㑦扥㍦敤慥㜴摤敡慤慦戹敡ㄸ挵㔳㝥愹晣㌲㉣ㄴ㜵攲㥥㘳㝣愸昴ㄸ㡦㔱昲㜲挶扥〲挲戸ㄲ愲愸收搸ㄸ昳㉡㕡慦㠶㔰㙡㠱㔳昳愴慥㔱㘳晡㉦晢摢戴换晦昰晣捦㡦戶㝣㜵愷攲㜵㠶搴㝣㉤ㄶ㜶搰挷攸昸攴敤㐳摥ㄸ㕤扥敢搲㙡㕥挷ㅡ慥㠷㌰㙥㠰搰敢㡦攲ㄸ㜱㈳慤㌷㐱㈸㌵摢愹晦昱㍢㤷㥦搰㜴挱攸搹㌷ㅦ㜷㐲㘴㘸㘴攱慤㙡㘳㤸愵晥㕢戰㌰愲㘴㐳㈷㡢戶㜳捡搹捣㘱㙣㝥昳㔶挶扥つ挲戸ㅤ〲㥢㌹ㅡ㌳敦愰敥㑥〸愵愶㍡昵ㅤ㌱愰㘱昰愹ㅢㅤ㌱㜵搵㑢晢㕤昶搹戹㕢㉥㔶㥢挰㉣昵摤㡤㠵㤲㌱㌲戹挶慤㝣て愳摦ぢ㘱摣〷愱慦㙢㌲㌵挶扣㥦搶〷㈰㤴㙡㜴敡㝥攵晤晢慥摥散攱㝢㜶㌹攱㡤挷捦扣昹㡡愶㍥㙡㔳㤸愵敥㍦㘲愱㘸㉢愳ぢ扢㜵㠷ㄳ㈵摢㌹㘵㍥挸搸て㐱ㄸて㐳搴㙢攷挰愰㘲㡣昹㈷㥡晦っ愱㔴摡愹㝡挴愸㤹ㄷ㈴捥摢㜴捥㜹愳㥥ㅡ昸搱敡㌳慡搵㘰㤸愵敡㐷戰㔰㔴㜵㘴㡤㔵㍦捡搸㡦㐱ㄸ㡦㐳ㄴ慤㌴挶攷㈷㘸㝤ㄲ㐲愹㠸㔳昳愳㙤㘷ㅣ昳搳㕢敤攳敦扣㘳昰昲㍦ㅤ晡昹愳㝤㥦㠲㜹㌷攷㌲㘰㔲㐷㘶㌹㉥慣㝡慥搹㈲愳戱㐳慤换挵㉡慥㔵ぢ昱㐲戲㄰づ攷攳愱㑣㌴㔳㍢ㄴ㘱搷昵慡㠸㠷㠸扥㠵摤㥢摢昲敤换攵㌲㘹戳〹㤹㑥慢攷慡㘹愴㘳㥢搰摥摤㤶敦ㅣ散㙦㥣搷㤵改戲㌶㉤戵昵〴㈹㜳㥢㠷㡢㐸慢㔳敡摢愲搴㙤㘱愶愵摢ㅡ扦愲搹㌶㙦㕥㘲挶㈵㘴㝢戶戲㜵㑡㠷㜵愰㘷㉤㙢搱㜸摣攳㔸㈶戱换搶搲㌶搹敤ㅡ㌲㜱㜱㝢愷搵㈶捤ㅢ搹扡㙢㜳㙥㠹搵㌱捦攲ㅤㄲ㉢㉦慢㍡㠸㈶攷㍡㜶攴㥣㌶慣㈸慥㑣昳挳㜴㙤㘱昲㡡㉥慢㉤㙦攵搱摥愵㔶㐷搷捡昹㤹㙣㡢戵㘱ㄱ挴慥ㄳ㠶㑤㡡搴㔳摡㜳摤㥤ㄳ摢摢扡㍡摡㕢㡡㉤攳昳换㌲戸㜶捥捦㙡捦㕢戸昴慤攱㔴愵慡㝡昵㔲慡㙡㍢扦敢㑦挶敤ㅣ㉤ㅢ㐲摢挴㥢㘳㥢㙦㕣摣敤㐶捦挵摡㘱㉤㕡㉣昶挹敡㠶戵〴㤳戸っ㌳愲㌲㔰㕢㈷摥㑥㈲㝡摢捡㘸㘹愳户攵晥晦㠲慢慢〷㌸㙢㍦㜹ㄹ敥㉦㑣换戴攵㕢慣㡥㌵摥っ㔳㙣㤱昹㌷㠸摡ㅤ戰㌷㔷㘴慦〶〸戵㐲慤慣㕤摥㥣敦㕡㙣㉣戶㥡昷㕦捣戳㍥摣㌰慢慢㈳戵㘵㤳昹っ㔴收摦㈹㥥㠵〸〴慡㡣攷〸㌲〲收昳㜶戹㜶ㄸ晥㕦晦㍢ㄷ搵昰㌲攵㑥〹㙥㙢㜵搶戶㑥㘹敦攸散搵换㙦㉤愷㘵㍡ㄷ㜷戱㝢慥搹挸㜸㉦㔰扣〸㔱摢〰戱搶ㅢ㈳昵〰搵昰晥㑦扦搶㐹㔶㈱㠳扢㙥戲㜷慢㑣㙤慢㝤㈳㘷㤲搵㤹㌳㜹挷㘷㍡昶㤵ㄵ〶㤶戰昳昷㙤㘵敦户㔶㜴㑤捡㜴㘵㝡户攲摥ㄱ戶㤲〹搰㐸昱戲㤷攸搹㑦㜴慥㜷挰㈹㈱㐲㔰ㄶ戵㈸㝤㐴㘱㐷挲㡥㠳晤愵慡㤷㈳搷扣ㄲ㘸晢ㄶ㔸〹愳戴愳ㄷ摦〳挲慤愹晣㔴慢㙤晥捡愵㔶㈷攱㜵挶ㅡ愹㉣摤扤ㄸ㙣㑥㉥扢愰慢戹愵㜳㌴㕡㍡戵愳扤㝢改㝦㌳づ㘳㤹㉦㐱戸㔳敤搶攸挵敢扥㑥愰慢慡昷㌲㙥㥢愶愶慡㍡㐶愳挶昸㈷㠴㝥摣攳㙤㈷㜶㕥挴晥〵晦挹㘴扥㡣晦〲㈶愱ㄵ㙣戵挳㘱㕢㥦摢㘷戵挰昷㙤〵㘱昳㍢㉣戹㈱㔸㈷〵㤰摦慦㜵昷昶㡥㈵搹昶昶㈵散㕥晤愵搴戹搸戲扡㜸㤳慤㡦㜳㔳㔱㙥ㅥ㉡搵慢㔷搱㉤㌱敤㙥摣㤶㠸㙦扣〶搱㙦㝣㑢换㄰㌷㘲愷昱㍡㔴扤㜰扢捦㜸〳ぢ愱㠹敤慤㑢摢㍢㥢㜹扦慤㘹昲㡡㑣敢搲ㄶ㙢晢摤扡㌳㉤戸㕤戹晤㥣愵㕤㤳㍢摦戹攷攸㌷敦扡㈸㘲㜵㠶㐷慦㘸改㕣愱㌶〳㉢扣㡢㜵昳戴㍥扢摤昸攴改㡤㌷㙥晦晣愴㤱搷㉤㙥㔲㠳ㅤ㐳搹扤戵㙤㔱捦㔰捣收摢㄰㙡ㄳ挰㌸昸㘰戹㜸㌲摦㐵搹㝣㡦攲㝤〸っ㈱挲㌴㐶㤰て敤愲ㅡ㠱晦㌹㡡㤸ㅦ㔱㝣っ愱㐶㐲㜰ㅦ㌶㍦㠱㜰㈷ㄵ㐴㝣㜶つ搹扣㥦㐱慤㙦㕥摥㤵㉢摢扣㕦〰ㄴ㌰〹慤㘰㔳愳㘰攳㈶㌶㐹愹㐹ㄲ㑤ㄲ愸っ搴攳换㐷慤㘳㈸扢摤户〳摣㠴㡦ㅦ改摦ぢ㌰㝦㍥㝥㘶ㅤ攴挹㘴㍦搵昸愸戶㡢㉡〴㥢昰搱ぢち㤳捦㐲㔴〴㉡攱愳ㄶ㈵㜷㔲摦晦慣昱搱ㅢㄶ㥤て摥㉣㉣攳挳〴㈸㘰ㄲ㕡挱愶愲㠸敥挷挷愷愸换㤷㡦㑦ㅣ㐳搹㕤挸〴㈲つ挵㙣晥ち搵愹㡦〰昳攷㘳㈰㕢㌳㠸㘲㐳〸㡤㡦㡤敤愲㑡㈲㠸昰戱〹㐱㥢㐲愸㌴㔴挲挷㘰㤴摣㐹扤愹昳戱㌹㉣㍡ㅦ扣㠵㔹挶挷㤶〰〵㑣㐲㉢搸搴ㄸ㐴昷攳攳ㅦ㤵昸㜸挹㌱㤴摤ㅢㅤ㡢㐸㐳㌱㥢摢愲㍡昵㐲㐵㍥戶㘳㙢㐶㔲㡣㠲搰昸ㄸ㙤ㄷ搵捥〸㈲㝣散㐰㔰〸㐲㌵㐲㈵㝣㠴㔱㜲㈷昵㔷㥤㡦㈸㉣㍡ㅦ扣搱㕡挶㐷ㅣ愰㠰㐹㘸〵㥢ㅡ㡦攸㝥㝣㍣㕣㠹㡦㠷ㅣ㐳搹ㅤ摣㐹㠸㌴ㄴ戳戹㌳慡㔳㝦慣挸㐷㈳㕢㌳㥥㘲〲㠴挶挷㈴扢愸㈶㈳㠸昰㌱㤹愰㈹㄰㡡㌷㜲㠵㡦愹㈸戹㤳扡㔳攷㘳㍡㉣㍡ㅦ扣晦㕢挶挷っ㠰〲㈶愱ㄵ㙣㙡ㅡ愲晢昱㜱㝤㈵㍥慥㜳っ㘵㌷㤶㘷㈰搲㔰捣收㝣㔴愷慥愹挸挷㐲戶㘶㜷㡡㍤㈰㌴㍥ㄶ搹㐵㌵ㄳ㐱㠴㡦扤〸摡ㅢ㐲捤㠶㑡昸搸〷㈵㜷㔲㤷攸㝣㌴挱愲昳挱晢搴㘵㝣㘴〰ち㤸㠴㔶戰愹㌹㠸敥挷挷搹㤵昸㌸换㌱㤴摤〰㥦㡢㐸㐳㌱㥢〷愰㍡㜵㘶㐵㍥㕡搸㥡㔶㡡㌶〸㡤㡦愵㜶㔱捤㐳㄰攱攳㐰㠲㍡㈰搴〲愸㠴㡦㑥㤴摣㐹㥤愴昳搱つ㡢捥〷敦㥤㤷昱戱ㅣ愰㠰㐹㘸〵㥢㕡㠸攸㝥㝣ㅣ㔵㠹㡦㈳ㅤ㐳搹㑤昹㍤ㄱ㘹㈸㘶昳〸㔴愷づ慦挸挷㔱㙣捤搱ㄴ挷㐰㘸㝣ㅣ㘷ㄷ搵㈲〴ㄱ㍥㡥㈷攸搷㄰㙡㙦愸㠴㡦㔵㈸戹㤳㕡愶昳㜱㈲㉣㍡ㅦ扣㥢㕦挶挷㙡㠰〲㈶愱ㄵ㙣㙡ㅦ㐴昷攳愳愵ㄲㅦ㑢ㅣ㐳搹㘳㠲晤㄰㘹㈸㘶昳户愸㑥㌵㔷攴攳㙣戶收ㅣ㡡摦㐱㘸㝣㥣㘷ㄷ㔵〶㐱㠴㡦昳〹扡〰㐲攵愰ㄲ㍥㉥㐴挹㥤搴㝥㍡ㅦㄷ挳愲昳挱㠷っ㘵㝣㕣ち㔰挰㈴戴㠲㑤攵ㄱ摤㡦㡦㠵㤵昸㔸攰ㄸ捡㥥㕥昰㌱挴㔰捣收戵愸㑥捤慢挸挷昵㙣捤つㄴ㌷㐲㘸㝣摣㙣ㄷ搵㘲〴ㄱ㍥㙥㈱攸㔶〸㜵〰㔴挲挷㙤㈸戹㤳摡㐵攷攳づ㔸㜴㍥昸散愳㡣㡦扢〰ち㤸㠴㔶戰愹㈵㠸敥挷㐷㘳㈵㍥挶㌹㠶戲㠷㉡㙤㠸㌴ㄴ戳昹㈰慡㔳㘳㉢昲昱㌰㕢昳㈷㡡㍦㐳㘸㝣㍣㘲ㄷ㔵㍢㠲〸ㅦ㡦ㄲ昴ㄸ㠴㍡㄰㉡攱攳㜱㤴摣㐹挵㜴㍥㥥㠴愵㠸て扦晥昱ㄴ㐰〱㤳搰㜲㍥挴愶㍡㄰摤㡦㡦敤㉡昱㌱挲㌱㤴㍤攸改㐶愴愱㤸捤ㄷ㔱㥤摡愶㈲ㅦ晦㘰㙢晥㐹昱㉦〸㡤㡦㝦摢㐵戵っ㐱㠴㡦㔷〸㝡ㄵ㐲慤㠰㑡昸㜸つ㈵㜷㔲㕢攸㝣扣〱㡢捥〷ㅦㄳ㤵昵㡦户〰ち㤸㠴㔶戰愹㤵㠸敥挷挷挰㑡㝣っ㜰っ㘵捦㥦づ㐱愴愱㤸捤㡦㔱㥤摡愰㈲ㅦ㥦戲㌵㥦㔱㝣づ愱昱昱愵㕤㔴㠷㈲㠸昰昱ㄵ㐱㕦㐳愸挳愱ㄲ㍥扥㐱挹㥤㔴㥤捥挷㜷戰攸㝣昰攱㔵ㄹㅦ㍦〰ㄴ㌰〹慤㘰㔳㐷㈰扡ㅦㅦ㍦晦㔴攱㝣晤㈷挷㔰昶㔴散㘸㐴ㅡ㡡搹慣愹挶ㅡ晣〰㤸晦昹扡〱戳搹㥢愲づ㐲攳㈳㘰ㄷ搵㌱〸㌲㡣㠱晡㄰搴ㄷ㐲昱攱㤸昰搱て㈵㜷㔲㥦愳づ敦㝡慥ㅥㄶ㥤て㍥㔳㉢攳㘳〳㠰〲㈶愱ㄵ㙣㡡㑦攰晣昸㜸户ㄲㅦ敦㌸㠶戲㠷㜵㈷㈰㤲昰戱㈹慡㔳㙦㔵攴㘳㌳戶㘶㜳㡡㉤㈰㌴㍥㠶搸㐵㜵㈲〲つ挳㙣づ㈵㘸ㄸ㠴㕡㡤愲昰戱ㄵ㑡敥愴晥愵昳㌱ㅣㄶ㥤て㍥昹㉢攳㘳ㅢ㠰〲㈶愱ㄵ㙣敡㘴㐴昷攳攳㤹㑡㝣㍣敤ㄸ捡ㅥ㈹晥〶㤱㠴㡦㄰慡㔳㑦㔵攴㈳挲搶㐴㈹㘲㄰ㅡㅦ〹扢愸㑥㐳愰㘱㤸捤㈴㐱㈹〸㜵〶㡡挲㐷ㅡ㈵㜷㔲㝦搶昹搸ㄱㄶ㥤て㍥㤰㉣攳㘳㉣㐰〱㤳搰ち㌶㜵㈶愲晢昱㜱㙦㈵㍥敥㜱っ㘵㑦㍡捦㐶㈴攱㘳ち慡㔳㜷㔵攴㘳ㅡ㕢㌳㥤㘲ㄷ〸㡤㡦㤹㜶㔱㥤㠳㐰挳㌰㥢戳〸㥡つ愱捥㐵㔱昸㤸㠳㤲㍢愹ㅢ㜵㍥㜶㠳㠵て㐹㐳攵㙢㍡て愶㠰㐹㐰〵㥢㍡て㌱晤㔸戸扣ㄲぢ㤷㌹㠶戲愷慦ㄷ㈲㤲戰戰㌷慡㔳㤷㔶㘴㘱㕦戶愶㠹㘲㍦〸㡤㠵慣㕤㔴ㄷ㈱搰㌰捣㘶㡥愰㍣㠴扡〴㐵㘱挱㐲挹㥤搴敦㜴ㄶ昶㠷㐵敦ㄵ㝣㙥㕢搶㉢㥡〱ち㤸㠴㔶戰愹㑢ㄱ摤㡦㡦㔳㉢昱㜱㡡㘳㈸㝢㈰捣〷扢挲㐷〷慡㔳慢㉢昲搱挵搶㜴㔳㉣㠳搰昸㔸㘱ㄷㄵㅦづて挳㙣慥㈴攸㈰〸挵挷挲挲挷挱㈸戹㤳㍡㐶攷攳㔰㔸㡡昸挰搳攴㌲㍥づ〷㈸㘰ㄲ㕡挱愶慥㐶㜴㍦㍥づ慡挴挷㑡挷㔰昶㤸㥡て㥡㠵㡦㕦愳㍡戵扣㈲ㅦ㈷戰㌵㈷㔲㥣〴愱昱㜱戲㕤㔴搷㈳搰㌰捣收㈹〴㥤ち愱昸㤸㕡昸昸つ㑡敥愴摡㜴㍥㑥㠷㐵攷㠳㑦户换昸㌸ㄳ愰㠰㐹㘸〵㥢扡〹搱晤昸挸㔷攲㈳攷ㄸ捡ㅥ㥢昳昱户昰㜱〱慡㔳㤹㡡㝣㕣挴搶㕣㑣㜱〹㠴挶挷敦敤愲扡つ㠱㠶㘱㌶㉦㈳攸㜲〸挵挷攸挲挷ㄵ㈸戹㤳摡㐳攷攳㉡㔸㌰㙡㐴搲攵㙢㝡つ㑣〱㤳㠰ち㌶挵㈷昴㝥㉣捣慥挴挲㉣挷㔰昶㌰晦ㅥ㐴ㄲㄶ㙥㐵㜵㙡㐶㐵ㄶ㙥㘷㙢敥愰戸ㄳ㐲㘳攱㙥扢愸敥㐵愰㘱㤸捤㝢〸扡ㄷ㐲摤㡦愲戰㜰ㅦ㑡敥愴㈶攸㉣㍣〰㡢摥㉢㤸〷㔰搶㉢晥〸㔰挰㈴戴㠲㑤㍤㠰攸㝥㝣愴㉡昱㤱㜴っ㘵〹〶て㈲㤲昰昱ㄸ慡㔳昱㡡㝣㍣挱搶㍣㐹昱㔷〸㡤㡦扦搹㐵昵㄰〲つ挳㙣㍥㑤搰㌳㄰敡㑦㈸ちㅦ㝦㐷挹㥤搴㈸㥤㡦攷㘰㈹换㑥㈸㈳攴〵愰〲㈶戱攵㠴㠸㑤㌱㤷挱㡦㤰㘱㤵〸ㄹ敡ㄸ捡搲ㅥ㤸扥㈰㠴扣㡡敡搴㤶ㄵ〹㜹㥤慤㜹㠳攲㑤〸㡤㤰户敤愲㝡っ㠱㠶㘱㌶摦㈱攸㕤〸挵攴〷㈱攴㍤㤴摣㐹㙤愸ㄳ昲〱㉣㐵ㅤ挴敦㘲攵㈳㠰〲㈶愱攵㝣㠸㑤㌱挳挲㡦㡦扥㤵昸攸攳ㄸ㑡㤳㌱㙡昹㜰㜷㍤ㅥ愲昷〱摣㉣㉣㙣戶㤶昳愹㕦晦〲ㄲ搴㈷㜶㜷㜶戵换㈳捡㝥㠵㐹敤戳摢扢㈶㌵㜷㉥㙤挹慣ㅣ㔰㜰ㄶ㜶㕦㙣戵㈱㠱愰〳㜹〴㈵扡昶愵㑢慤扣㔹㤸搷摥摤㤱戳愶㑦晡㕦㐸㌰㤰捤㠶愷㘴㑡㔵㔵㉢㑣晦搹㌳昳㉡㜸愲搳㘰慡慡㝤〶㈱㑢ㅦ㝤㑡㥡扣㤶愶㈰㡢㐱〰敢㝢ㄸ㥤摦摣搵㘲昵㈹㐸㡡㠰㉣搷ㄵ挰㈲戲㌲昲扤ぢ昳ㄷ攳ㄹ攰愴㝥㠵愹ㅤ捤昹㤶收㌶㡢ㅢ㘳愰つ㥤㘹敤㡦っ㡣㕤㥤㘷㜴晤ち昳㍢㌲㙤㥤㑢昹㌰㌹户昲㔷㐵㈵㜹敡㕣㕢㤸搰摣搶㠹㙡㘴㉢㜲戹扥㌰㙦㜱晢㜲晣㜱㑣㜷㙢摢搴捣搲捥晦㠹慤愲㘴扢㔰挸愶㔱搵慡扡㕡搵㔵搷晤愷摢挷昸ㅡ㝢搷〰㍢戹㙤〸晡㘹㔷㐷㜳戶㥢て㌵愵㥥〸㘴つ㠵㙣挳慡㕡收㈹㤴㍥㌶搶㌶㘱㐹捥〷摢㕡昴㐷ㅦ扥改〷摥㕦ㅣ㙤づ戸昹つ㥡搳昷㕢㠸㕤愶㉥㤸摥㤳つ昵㝦晡昳㥤㕡㘶㔶慣㜳昲挹㈰㠰晢摢㕤㠸〹㈹散㔱搸㌳搱ㄳ㔸㉡敤㤶㠱㠲㘰搸㐳晢昷㉣㑥㐱晥㐲摦挲捣㑣搶㙡㐱摡㐵㙢愶慢扦㕤㘰晥ぢ晥扣愳搳戱攱ㄱ㜲㙢㠶㕤㡥㝦愴㌲㉦㤷㘹戱敡ち攳扢扢摡㤱挸㘹ㄶ㈰愴㕦㍡慡捣ち愸㌲㉢散〴㠹挲㕣愶㘳挹㌲㘳戵敦㥦改㘸敥㕡摣摡㥣慢㘳㠱㈹㔳晦ㄳ㝤ㄵ㐷㠲ㅡ㤰改㑥敥㔸㔲㥡㜱㘱攷㍤㘰㜳㡦㐶㤲ㄲ愹攳收㐷㡦慥㔶〶晥愹晦㌰㕢〷㈳㡦ㅣ㌴捣敦ㄱ慤ㄶ戳っ㐵搲㤶㑦㝦㜱昶愲㑦て挷㠲っ㑥㡡挹㌶搴㥡㍦〰捡〵捥㌵捣㜷㔹㘳㉡㐷㙦〰〲㌳摢㌳昹㈹㤹ㅣ晥攰慣户昳攷㘶㜵捣づ挰㔰搳ㄱ㘴㜲捤㐴攴㙢㈱て㙣㔹㜳摥敡愸愳㘲ㅥ晥㥣慥㠶㘹㌹㠶扤つ戹㌳㔷搵搶昶愹昳慢㙢扡ㅢ慢挱挹㔱搰晦㕣㙦㝡㔹晣て㜷㑢㡤摢㡥慤ち挸㈱敡㐷慣㡥昹ㄳ搷㠹㘹㍢㕣㥦ㄲ挰捦〴晣〲㔱晢ㄲ㡣愵摢愶㌸捦〵搹㌰㈶㐰㌵昲㠷㕡捣挰愹㐳戶㡡愴敥搴捡㡡昴搱㔲㙥っ㍢摢愶捥晤敢㉦㘳ㅥ㝡戹㤵て搸攳㉢㔳㝢㜰㘴愸慡慥慥挱愶㌶㑡搳ㄵ换慡㐵戰搶㜹㤶攴攲㈸收㥦ㄸ㑣搹摣㤰㍢ぢ攲攳捦ㄳ㡢晥昴愹昴扣㉡㄰㌰慢〱慦ち愸㤷㈱㕤づㅡ愹戱㐹〲晢戸㈹〷愱㤸㘹挱㌳〱敤戸愵㤸㕥挱㘳㔷㤵挱㍦㠵㕢搷戱㔲扤〷て㡥㤷愶挱挰敦㘳㠹挳㤰搷㉤敢愰㕤㝢户㘴〶㠷㜴㑢晥㘵愵摢㉤ㄵ搳㌸摣搵搰戶㜵〰ㄸ戳て㠱ㅦ晢〳晡ㄲ搰㡦〰㘶㝤㜰㝢ㅢ晤㔱昲攳搱㉦搹〳㍣〶〱〷㡦㕦㘸昱ㅢ愹戱㜹摣㠰昱㝦挵昸㍦㐲㔹捡㈳搳㌲㙣ㅥ〷〰戲捥㍣㌲㤱㐳㜸ㅣ挸挰㈴愱㠸挷つ愱㕤㍢㡦搵㜰ㄳㅥ㌷㤲㈰㜶㐱昵㠲捡㠷挷㡤㠱㌱㌷㈱㤰愹㈱㍥㠰㑤〹ㄸ㑣〰戳㐵㠴挷捤㔰昲攳搱㉦㐹〴㍣㙥〱㌸㜸㌴戵昸㡤搴搸㍣㙥挹昸㐳ㄸ㥦㤹ㅤ愵㍣㌲㥤㐳㜸㌴攵㑦㌳攱㔶挵㐳戴㜶㥣㔶㠳〰ㄱ捥㠶㌱〸戳㍥㡡㌸㙢㠰㜶敤㥣㌱㍢〴㍦晣ㄵ㈱㠳㘰㐱收㑤㈰㝤㈸搹ㅡㄸ㜳ㅢ〲㤹㍥攲〳搸㤶㠰ㄱ〴㌰愳㐴㌸摢づ㈵㍦捥晣ㄲ㐹挰搹㈸挰挱搹㤶㕡晣昱搴搸㥣㙤捦昸愳ㄹ㥦搹ㅦ愵㥣㌱攵挳敥㝢㍢〰戲捥㝤㙦㈴摣㠴挷㄰〳㌳㕢愴㠸挷〸戴㙢攷㤱㔹㈵昸攱㤶㉤㠳戸㍣㌲戵挴㠷愶ㄸ㌰㘶㥣㐰愶㥤昸〰ㄲ〴㈴〹㘰㈶㡡昰㤸㐲挹㡦㐷扦〴ㄴ昰㌸〶㜰昰ㄸ搷攲㌷㔲㘳昳戸㈳攳敦挴昸捣ㅡ㈹攵戱ㄱ扡戵昴扤昱㠰〸㘷㍢㌳挸〴㤴㡡㌸㙢㠴㜶敤㥣㌱昳〴㍦愴愵㌰〸ㄶ㘴㘶晡㠹て㈵ㄳ㠰㌱㈷ㄲ挸搴ㄴㅦ挰㈴〲㈶ㄳ挰㙣ㄵ攱㙣ち㑡㝥㥣昹㈵愹㠰戳㘹㠰㠳戳ㄹ㕡晣昱㍤㥣㑤㘷晣㕤ㄸ㥦㤹㈵愵㥣㌱㥤挴敥㝢㌳〰㔹攷扥户㍢摣㠴挷㤹っ捣㑣㤴㈲ㅥ㘷㐳扢㜶ㅥ㤹戱㠲ㅦ晥ㄶ㤲㐱㕣ㅥ㤹戶攲㐳搳慥挰㤸扢ㄱ挸㤴ㄶㅦ挰㕣〲收ㄱ挰㉣ㄷ攱㜱㍥㑡㝥㍣晡㈵户㠰挷㠵㠰㠳挷㡣ㄶ扦㤱ㅡ扢敦敤捥昸㝢㌰㍥㌳㔲㑡㜹㘴ㅡ㡡捤攳㥥㠰慣㌳㡦㑣㕣ㄱㅥㄷ㌱㌰㌳㔸㡡㜸摣ㅢ摡戵昳挸㑣ㄷ晣昰㤷㤵っ㠲〵㤹㤹敥攲㐳搳扥挰㤸㑤〴㌲ㄵ挶〷戰ㅦ〱ㄹ〲㤸ㅤ㈳㍣㘶㔱昲攳搱㉦㈹〶㍣收〱〷㡦换戵昸㡤搴搸㍣㕡㡣㕦㘰晣㈳〰㈸攵昱㈸攸散㝤㤸挷㘱㤹㈲㤰晡昱攳㘸㐰㠴戳挵っ挲㉣㤷㈲捥づ㠰㜶敤㥣㌱ㅢ〶㍦晣㙤㈶㠳㘰㐱㘶愶挴昸㔰搲〲㡣搹㑡㈰搳㘵㝣〰㙤〴戴ㄳ挰っㅡ攱㙣㈹㑡㝥㥣昹㈵捥㠰戳づ挰挱ㄹ㌳㘸摣昸㡤搴搸㥣㜵㌲㍥摦㝡愱㤸敤㔲捡ㄹ㔳㕣散扥搷つ挸㍡昷扤㜳攰㈶㍣㉥㘳㘰㘶挷ㄴ昱戸〲摡戵昳挸㉣ㅡ晣昰㥣㠲㐱戰㈰㌳㔳㘹摣搵搰捥〱て〲挶㍣㤸㐰愶搹昸〰づ㈱攰㔰〲㉥〴㐰㜸㍣っ㈵㍦ㅥ晤ㄲ㙥挰攳ㄱ㠰㠳挷㑢戵昸㡤搴搸㍣ㅥ挹昸㐷㌱㍥戳㘴㑡㜹㘴㙡㡣捤攳搱㠰慣㌳㡦㑣愶ㄱㅥ㡦㘱㘰㘶搵ㄴ昱㜸ㅣ戴㙢攷㤱搹㌷昸攱㙦㐸ㄹ〴ぢ㌲㌳〵挷㠷愶㕦〳㘳慥㈲㤰改㌹㍥㠰ㄳ〸㌸㤱〰㘶散〸㡦㈷愱攴挷愳㕦愲づ㜸㍣ㄹ㜰昰㜸㤷ㄶ扦㤱ㅡ㥢挷㔳ㄸ晦㔴挶㘷㜶㑤㈹㡦㑣愹戱㜹晣つ㈰敢捣㈳㤳㜰㠴挷搳ㄸ㤸搹㌸㐵㍣㥥〱敤摡㜹㘴搶づ㝥昸㐳㔵〶挱㠲捣㑣摤昱愱改户挰㤸㘷ㄱ挸戴ㅥㅦ挰搹〴㥣㐳〰㌳㝤㠴挷摦愱攴换愳捦㍤㘲昰㜸ㅥ攰攰㤱搹㍣㙥晣〹㍤㍣㥥捦昸ㄷ㌰㍥戳㜲㑡㜹㘴㉡㡥昰㘸昲扣㔰愶〸愴㍥ㄶ㌲㔱㐷㌸扢㠸㐱㤸戱㔳挴搹㈵搰慥㥤㌳㘶昶攰㠷扦㜶㘵㄰㉣挸晣ち愴摢㘴㙤ㅦ晥㍤㌰收㘵〴扥敡て戸㥣㠰㉢〸㜸つ〰攱散㑡㤴晣㌸昳㑢〲〲㘷㔷〳づ捥㤸つ攴㌶愰㤱ㅡ扢敦㕤挳昸搷㌲㍥㌳㜷㑡㌹㘳扡㡥捤㔹挵攳〷㤳㜹㠴戳敢ㄹ㠴㔹㍤㐵㥣摤〸敤摡㌹㘳昶て㝥昸㍢㔹〶挱㠲捣㑣〱㜲㥢慣㜱㜶㌳㌰收㉤〴㌲㍤挸〷㜰㉢〱户ㄱ挰㡣㈱攱散㜶㤴晣㌸昳㑢ㄴ〲㘷㜷〲づ捥㤸㌱攴挶㙦愴挶收散㉥挶扦㥢昱㙢㜰㌳愵㤴㌳愶昴搸晢敢㍤㠰慣昳晥摡ㅢ㙥挲攳扤っ捣㙣愰㈲ㅥ敦㠷㜶敤㍣㌲㙢〸㙤挶摦攰㌲〸ㄶ㘴敥〳慤扢ㅡㅡ㡦㝦〰挶晣㈳㠱㑣㉢昲〱㍣㐸挰㐳〴昴〳㐰㜸㝣ㄸ㈵㍦ㅥ晤ㄲ㡣挰攳㥦〱〷㡦ㅢ㘸昱ㅢ愹戱㜹晣ぢ攳㍦挲昸捣ち㉡攵㤱愹㐰㌶㡦㡦〲戲捥㍣㙥づ㌷攱昱㌱〶㘶ㄶ㔱ㄱ㡦㑦㐰扢㜶ㅥ㤹㙤㈴㍣㍥挹㈰㉥㡦㐳愱昵愱改慦挰㤸㑦ㄱ挸㜴㈴ㅦ挰摦〸㜸㥡〰㘶㈸〹㡦捦愰攴挷愳㕦㘲ㄲ㜸㝣ㄶ㜰昰戸㡤ㄶ㕦攳昱㌹挶㝦㥥昱㤹㑤㔴捡㈳㔳㠸散㝤戸㤶㔱㌸㐵㌰敢攳㕥ㄴ㄰攱散㐵〶㘱愶㔱ㄱ㘷晦㠰㜶敤㥣㌱㈳㐹㌸晢㈷㠳愰〶㤹㤳搰晡㔰昲㉦㘰捣㤷〹㑣昹〳晥㑤挰㉢〴㌰㡢㐹㌸㝢ㄵ㈵㍦捥晣㤲㤷挰搹敢㠰㠳戳戱㕡晣昱搴搸㝤敦つ挶㝦㤳昱㤹㜱㈴㥣攱㝥ㅤ慣㝣㝥愵㤸㘶㘴昷扤户〰搹愸攷て昲搷晡摣㐴㑤㠷慢㜰昹㌶㠳㌳㑢愹㠸换㜷愱㕤㍢㤷捣㘶ㄲ㉥摦㘳㄰㤷换㔹搰扡㕣㠶㝡㔶攵㝤㘰捣て〸㘴扡㤳て攰㐳〲㍥㈲㠰ㄹ㔰挲攵挷㈸昵㜵敦愹捡摢㈱㝣敥愴㝥ち㄰ㄸ㥣愷㐵㙤散愹昶㌳㐶晤㥣㔱㤹慤㔴摡敢㤸愲㘴㌳昸〵㈰敢扣昷㌶挱㑤搸晢㤲㠱昷㐳愹㠸扤慦愱㕤㍢㝢捣㠲ㄲ昶扥㘱㄰戴㔸㘶愶㐲戹攴㘸愳攰户挰㤸摦ㄱ㤸昷〷㝣㑦挰て〴㔸〰〸㝢㍦愲攴搷ㄳ晤ㄲ愶搰ㄳ㝦〶ㅣ㍣㌶㙢昱㌵ㅥ㝦㘱晣㉡㍣㍤㔱捣㜲㉡攵㤱愹㑤㌶㡦㝣挰戲捥㍣㌲ㄹ㑡㜸挴㑤昷㉡挵慣愸㈲ㅥ昱挷攴敢挰攳ち戸〹㡦戵っ攲昲挸ㄴ㉡ㅦㅥつ㘰捣摥〴㌲扤捡〷㔰㐷〰㕦ㄸ愸㤸㜱㈵㍣〶㔰昲攵搱㈷搱ち㍣昶〵ㅣ㍣ㅥ慥挵搷㜸散挷昸晤ㄹ㥦搹㔱愵㍣㌲㈵捡收戱ㅥ㤰㜵收昱㐴戸〹㡦㐱〶㘶㌶㔵ㄱ㡦扦㠲㜶敤晤㤱㔹㔷挲攳〰〶㜱㜹㘴敡㤵て㑤〳㠱㌱〷ㄱ挸戴㉣ㅦ挰㠶〴㙣㐴〰㌳戵㠴挷㡤㔱昲攳搱㉦㐱ぢ㍣㙥ち㌸㜸㘴愶㤶ㅢ㕦攳㜱㌰攳㙦挶昸捣慡ㄲㅥ戵㤱昱㈲攸㠴㐷㤳㈳愳㑣ㄱ㐸晤㘸㜲㌱㈰挲搹ㄶっ挲㡣慢㈲捥㠶㐰扢㜶捥㤸㤹㈵㥣つ㘵㄰搴㈰昳㘵搰扡㑤づ㐱改っ收挳㠰㌱户㈲㤰愹㕢㍥㠰〶〲㠶ㄳ挰㙣㉥攱㙣㙢㤴戴ㄱ㄰㉦㑥昱ㄹ〱户〵〸㑣㕤愳㐵㙤散愹㜶〴愳㙥挷愸捣扣㉡敤㜱㑣户戲㤹攲昵慦㑣愵㑣摤〱㠸㌰㌵㡡㐱敥㐴愹㠸愹搱搰慥㥤㈹㘶㙦〹㔳㍢㌰〸敡㤱㤹㈹㕣㉥ㄱ摡㘸ㄷ〲挶っㄳ挸昴㉥ㅦ㐰㠴㠰㈸〱捣昸ㄲ愶㘲㈸昹昵㉥扦㐴㉦昴慥〴攰攰散㡦㕡晣㐶㙡散攳㙥㤲昱㔳㡣捦散慣㔲捥㤸㤲㘵㜳㔶昱ㅡ敤㐹㐰㠴戳㌱っ挲捣慤㈲捥㜶㠲㜶敤㥣㌱挳㑢㌸ㅢ换㈰㉥㘷㑣昳昲愱㘴㘷㘰捣㜱〴㌲〵捣〷搰㐸挰㜸〲㤸ㄵ㈶㥣㑤㐰㘹㈳昷昸慡㍤戳㤴㔷搵昸㜴戴㐹挰㠳㌴㘶㝥戹ㄵ㘸愴㑤㘶〵㔳㔸挱慢〰㤴㤲挶戴㉤㥢㌴ㅥ㙡㘵㉡敤㘸㑣敡ㄲ搲愶㌱〸戳扢㡡㐸摢〵摡戵㤳挶㉣㌰㈱㙤〶㠳愰ㅥ㤹㤹ち收㌶㔹敢㘸㌳㠱㌱㘷ㄱ挸㌴㌱ㅦ挰㙣〲收㄰挰捣㌱㈱㙤㔷㤴㝣㍢㥡晦捤㠰戹㠰㠳㌳㘶㠷戹昱ㅢ愹戱㍢摡㍣挶㥦捦昸捣㌳㤱㜶㉦㘰挹㘹㜷㉤㜳〵㑡ㅦ㠱㤷愵㈷㐸つ〵㈶㉡捣敢㕡搹㠲攴㄰㉥昲㤱戸扤挴㠷晢〱搱攱㐱㝤㝢〷ㅥ㈱搶㤴扥㉦挴昳㝤ちㄵ昷ㄹ㔸昲㉥ㄶ㜱愳㠵㜹㄰戵㔷晦㔰晥扥ㄱ捦㥦つ敦㜹㌱〳㝤㌸ㄹ扢愳㠹〳㘷㌵攷㍡摡㍢摢ぢ㕤㐳收㈱昱㘹〸摦㙤㔳挰㝢ぢ挶搷㕥㠹㠸扥㜵㜲挵㙡摡昸㠶搵㘵㝣搷㐳㘰㐹㕢晢昲㌶㘹㑤㙤㈷㕦昱㈳㝣昵敥捤㙡〲慣㠷搳㔶㈰㉦挸㥣㠹㈰ち收㥥〸搱慦㍥挸愴〳晣慡㡣㐵㈸て㥦㌸㘱攲摣愶㘸㍣㤹㑢㐷㜳攱㐸㌴㥣㡣攵搳戹㙣㈲ㄳ捤㈵㐳昱㔴㈱ㄹ㑤㘵愲〹㘳㉦て㥡㠸㈵㈲搹㙣㈴㤷戲ㄲ愹㔸㌸ㅢ㑥㐵攳攱㐸㈸㥣㑦㐷㜲㜰㡤㈵㠳㑣㘷㘰㜸㜳㙦昸㤸晢㐰〴㤹挵㈰慡㝤愹㙡愲㡡㌹つ挵愸摡㙡散ち敢㥡㙡㠰㄰㔵㉡慢㜲㉡慦慣㥡摥扤搵昰㤲㤷搷㤴愵㈸㜸㙦晦㌰っ㘶㈸搴㕥〰㥡搷捤愹㜸㉢搲㤹扢慣㤹攳慡攴㈱〲挱㕥㔰㔰㘷㔸㈸㙥㌰㜱㐲㔳昱晢㜱㡤〲搴㝤愱㤶㉣っ扣㜸户搳搸ㅦ㥡晥搰㘸㈹㔹挱ㅡ㈷㡡戹ㄸ㐶㜳ㄸ敢ㄸち愱っ攸㘵摢㉥㠱㥥ぢ㌲搷㐱换晤㐱㥤㠱ㄵ㘱㉦㠴愱捡㘸〵愴㘲搷㔲愷〱挶敥㔵摣㍤㑣㐴㤲敥搱づ㘷㜴㡦〰捡摣㌲挶㔲㤴㥤敥㤱㡣㐵搲昹㘴㉣ㄴ戱㌲戱㙣㌶㥢㐹ㄵ挲㤱㔴㈸㠵づ㠳摥㤰㐹ㅢ〷㝡搰㑣㈶㤷て㘷搱㜷搰㝢㘲戱㕣㌸ㅤ㡤攱㌵捤搹㕣㍥㥥捦㐵攳改㑣戰㡦ㄳ摥散㠰㡦搹〹ㄱ散敢慡扡愸敡愶慡㥦慢昲㔰㉡㐸ㄵ㘶昵㙢慣〲㌷ㅦ㤶㜱搷㥤㉥〷㐱〴㠲ㅢ㐰㐱㥤㜱㌰㡡㍥㥢攱㄰愸㡢㌷挳愱搰㤴㙥㠶㕦㌹㔱捣挳㘰㤴ㄷ攰捡慢㜰搵㐰攸㘵㌳ㅣ〹扤户ㄹ㌶㠴㔶㌶挳㘱㘸㤰户ㄹ㡥〶愴昲㘶㌸〴搰昲捤戰ㄱ㈲挹㘶㌸ㄶ捥搸っㅢ愳㉣㥢攱㌸㤴敤捤㄰㑢攷搳昱㐸㈴ㄵ㑦攵㔲愰㌶㥣戶戰摦㘲昷换愶㌳愱㔸㉣ㄳ㌲㡥昷愰昹㜴ㄲ㙦搳㑥攴挳㠵戴ㄵ㑢愵愳愹㥣㔵〸㔹攱㉣摥㡣㠵㜷㤱㐵愲挱㑤㥣昰收慦攱㘳慥㠲〸㙥敡慡㑥愰敡㐴慡〶扢㉡〲〴慡戶愰ち戳敡搰㌷挳㈹戴㥦ちㄱ〸㙥〹㈳㝥㔵㈶昷〶㤳㝤摦㘴㜷てづ㜱昵㘷㔰ㄵ㈲㘲〷〸㌵㡣挱㔸㍡ぢ㝡㡦搸〶㘸㠵搸挵ㅡ戱㈶晢㌷㐷㐹㔵昰攵㜰㌸㥣㠴挳㜳㠱〳㠷㕢愳㉣ㅣ㥥㠷戲捤㘱㈸㥡戳㐲挹㐸戸㄰㡡㔹攸扢愱㔴㈲ㅤ捤愴昳〵昴捦㘸㍡㤶㉢ㄸ攷㝢搰㑣㉥㕣挸㠷㐳㤹㝣㈶ㄷ㠹㐵ち㤱㔴㌶㤶ち㠵㈳㈰摥㡡㈷㔳改㔴㤰〹ㄵっ㙦㕥〰ㅦ昳㐲㠸攰戶慥慡愷㉢㡦㜰㔵〴〸㔴㡤愲ち戳摡㕢攷昰㌲摡㉦㠷〸〴户㠷ㄱ㍦㍣㉢愲㡥ㅤ搷㘴㕦つ㡥㜶昵㔷㔳㤵㈴㠲慦ㄹ㔱㈱〶㘳改㍡攸㍤づ㈳搰ち㠷㜳㌵づ㡤ㅢ〰愹摣㌹㜷昵㈵㌶㡡㐸㐲散㑤㜰〶戱㌱㤴㠵搸㥢㔱戶㠹㉤㐴昰㍥昶㐲㌸㤹换挴㈲戱愴㔵㐸ㄵ攲攱〴㑡戹㑣㈴㤱っ㐵㐳挶㉤ㅥㄴ攳㐶㍥㤹㑦㐴㜰㜸挹挶慣㕣㉥㕤挰ぢ昲搲㠹㘸㍣㤱㠷㌶㥤ぢ挶㥤昰收慤昰㌱㙦㠳〸㈶㕣搵敤㔴摤㐱㔵搲㔵㜹㈸㌵㠶㉡捣㙡㡡㑥散㍤㜴戹ㄷ㈲㄰摣ㄱ㐶晣昰㉡㐴ㄴ㝤挶㠸晢愱㉥ㅥ㈳ㅥ㠰愶㜴㡣搸挹㠹㘲晥〱㐶㜹㡦戳扣搱㔹敤捣慡戹ㄹㅥ㠲摥摢っ㡤搰捡㘶搸㐹摢っ㍤㕤㜹㡣㉦攳攳攱㈴㡣晦〵愱挰昸〴㤴㠵昱㐷㔰戶ㄹ捦挶慤㔰㉥ㄴ㑦愷㘲㔶〴㥤㌹㤹づ㐷慤㜴㈲㤶换㈴搰㑦ぢ㠹㤰昱愸〷㑤㐷愲㈱っ搵改〲〶㡣㔸㍥㡦㘳㝡ちㅢ㈶㤱捦㐵㜲㔹㡣㈲㠹攰㐴㈷扣昹ㄸ㝣捣挷㈱㠲㤳㕣㔵㑦㔷㥥散慡〸㄰愸㥡㐶ㄵ㘶ㄵ搲ㄹ㝦㥡昶㘷㈰〲挱改㌰攲㔷搶㤵㜷㜱昵捦ㄳ㍢㤹㠸㐹㄰㙡㈶㠳戱昴ㄲ昴ㅥ㠷戳愱ㄵづ户搶㌸㌴晥〹㐸攵慥摣攰㑢散ㅣ㐴ㄲ㘲㕦㠶㌳㠸摤ㄵ㘵㈱昶摦㈸摢挴收㔲愹㘴㍣㠶扥㥣㐸㈶㘲㤹㘴㌶㥢〸㘵ぢ㔶㈱㡡㜷㌸收㜳昱㕣挴㜸挵㠳㐶㤳戹㐸㍡㤴戶慣㐴㉣ㄴぢ攷慤㔴㉣㥦㐹㕡㤱㐲㌸㥡挸㕡㤱㔴㌴戸㥢ㄳ摥㝣ㄵ㍥收㙢㄰挱戹慥敡㜵慡摥愰㙡㥥慢㈲㐰愰㙡㈱㔵㤸搵愶㍡戱敦搰晥㉥㐴㈰戸㍢㡣昸㤵㡤戳㝢戸晡て㠹攵换㔰攴㙤摣㙡ㄱ㠳戱昴〹昴ㅥ戱㝢㐳㉢挴〶㜵㘲㍦〳愴㌲戱晤㝤㠹㘵敥㠵㄰晢〵㥣㐱散扥㈸ぢ戱㕦愲散㡣ㄱ戱㐴㍣㥦挲攱㈷㤴㐴㝦㡤㠵㜰ㅥ㔱㐸㘴㐲㌹ㅣ愲㌲戱㐲㍥㙢㝣攵㐱愳愹㐸扥㄰㑡收㤲搹㜰㌶㤶㑣攲㠰ㄷ㉦攰捣㈳ㅥ㑦挶㌳㈹ㅣ昲㠲㑤㑥㜸昳㙢昸㤸摦㐰〴昷㜳㔵摦㔲昵ㅤ㔵ㄹ㔷攵愱㔴㥥㉡捣慡㐶㈷昶㈷扡晣っㄱ〸㕡㌰攲㔷㘵㜲㡣㌰㌹㈲㤸ㅣ〴㠲〵㔷㕦㕤ぢ搵㍣㈲收㐲愸挵っ挶㔲㉤昴ㅥ戱〷㐰㉢挴㝥晦㝤捦㤹㠱挹㌳〳㌹㠰㝤ぢ㙤昹㐹挰ㄲ㌸〹㠷晣㐰〷㌸㙣㐱㔹㌸っ愰散㜰㘸㘱㡣捤㠶昳搹㜸㈱ㄶ戳昲改㙣㍡ㄷ㠹攴㐳改㐲㍣ㄳ挷㉥ㅥ㌲晡㜸搰㔸㌴捦慥㥢〹愳㐳挶愲改㑣扡㤰〵㈸㤹㡢㐵㤲昹㐲㉥㤹て戶㍡攱捤扥昰㌱晢㐱〴摢㕣㔵捦㐹㐰扢慢㈲㐰愰慡㠳㉡捣敡㘳慣㠶㜷㉥㌶㠰昶㠱㄰㠱㘰㈷㡣昸㤵㜵捥㉥㔷扦㌱戱㝣ㄳ㡢扣㌰㕤㉤㘳㌰㤶〶㐳敦㜱戸〲㕡攱昰㑤㡤㐳㘳㜳㐰㉡㜷捥搷㝤㠹㕤㠹㐸㐲散㤶㜰〶戱〷愱㉣挴づ㐱搹㈶㌶㠱扥㤹㉦ㄴ㜲ㄸ㈸㐳戱㘴㈴㤹㐹攷㜲戸ㅣ㡡㔸戱㝣㍣㡢〱搶ㄸ敡㐱㐳搹㝣㍥㥥㈹挴㈳愹㜰㈶㤶㡣㕢㤹㑣㌲㘶挵攳改㙣㌶ㄵ捤攳〴㈳㜸戰ㄳ摥ㅣ〶ㅦ㜳㉢㠸攰㈱慥慡㠱慡攱㔴㌱捦㠳㡤㄰㠰㐰搵ㄱ㔴㘱㔶㉦敡挴㡥愰换㜶㄰㠱攰㤱㌰攲㔷㘵㡣㐴搱攷〰㌶ち敡攲〳搸昶搰㤴ㅥ挰㡥㜲愲㤸愳㘱㌴㌳㙣挳㝥㄰敡ㄸ㔶捤㔲ㄸ㝡㙦㌳ㅣ〷慤㙣㠶扦敡㥢㈱ち㐸攵捤昰㠴敦㘶㘰㙥㠷㙣㠶㌸㥣戱ㄹ㝥㡤戲㙣㠶〴捡昶㘶〸㘵㘳㠵㕣㍥㠲㌱㈲㥦㡢㘵ぢ挹㑣㈶ㄲ㐹愴㔳昱㠴㠵敥㙣㐵愲㐶搲㠳㈶㔲昹㐸㈸㡤戳戹㙣㈴ㄹ换攴搲改戴㠵㤳㡤㐲㍡㤶捡㈶慤㐴㈸ㄷ㕣攵㠴㌷㔳昰㌱搳㄰挱ㄳ㕣搵ㄸ慡㜶愴敡㐴㔷㐵㠰㐰搵挹㔴㘱㔶て敡㥢㘱ㅣ敤㡤㄰㠱攰㈹㌰攲㔷搶扦㑦㜵昵㤳㠸攵㥢㘴㑣扥㤷㐶㥤挶㘰㉣㑤㠵摥㈳昶っ㘸㠵搸㍢㜵㘲愷〳㔲㤹搸摢㝤㠹㘵戲㠷㄰㍢〳捥㈰昶户㈸ぢ戱㌳㔱戶㠹㑤㘷挲㈹っㄹ㈱扣㙢㍣ㄳ换㈵㜱㝣捡攷㘳愱㙣㍡ㄶ㡢㘴㜳㠵㐲搸㤸攵㐱㌳攱㝣㌸ㅤ挶改㔹㌴㡡㌳摦㔸ㅡ扤㍡㤲挴㌵㕦㉥㥦㑤攳〸㤸ち㥥攵㠴㌷㘷挳挷㥣〳ㄱ㍣摢㔵敤㑡搵㙥㔴㥤攳慡〸㄰愸㍡㡦㉡捣敡㕡㥤搸〵戴㉦㠴〸〴㤹㄰㠲ㅦ敥㤲愰攸搳扦昷㠰扡戸㝦敦〹㑤㘹晦扥挰㠹㘲㉥㠲㔱扥て㘰昲㑦愶搴㐵慣㥡㥢㘱ㅦ攸扤捤㜰〹戴戲ㄹ㉥搱㌶㠳挹昳㘴ㄹ慡㉦昲㘵晣㔲㌸〹攳ㄹ㠴〲攳扦㐷㔹ㄸ捦愲㙣㌳㥥㑣攵戳戱㘸㉣㕦㠸愷攳戱㔰ㅥ㔷㘸戱㜸㍡㥦挸ㄷ㌲〹㉢㡣㑥㙡攴㍣㘸愱㄰㡡攳づ㑣愴㈰㐳㐹挸㑡㐵㤲搸㐲㔹ぢㄷ搰愹㌴㉥搹㠲㤷㌹攱捤㍣㝣㑣ぢ㈲㜸戹慢敡㌹㈵㘶搶㠹㡣㈸ㅥ㑡㕤㑤ㄵ㘶昵㕢㥤昱㈵㡣搲〲ㄱ〸㕥〳㈳㝥㘵㠷扢㙢㕤晤㔲㘲昹搲ㅢ戳ㅢ㐲㕤捦㘰㉣㜵㐲敦㜱㜸㈳戴挲攱㐹㍡㠷摥攱敥〴㕦づ㙦㠲㤳㜰戸ㅣ愱挰攱捤㈸ぢ㠷㉢㔰戶㌹挴〱㍦ㅣ㑢㠷戳挹㈸晡㉥慥㘸㜱敦㈱㤱つ㈷愳㘹㥣㡣愵昲㤹㠴戱搲㠳㐶搲㤹㠲ㄵ㡡攵㈲〰挴㈲昱㐲㈶㥢つ㠵㜱㐹㘲攱㘳㔱戱㘴㈲ㅣ扣挵〹㙦ㅥ〴ㅦ昳㘰㠸攰慤慥慡攷㜰挷㉣ㄴ攱㤰〰㠱慡㍢愹挲慣㡥搰㌹㍣㤲昶愳㈰〲挱扢㘰挴慦㙣㌸戸摢搵ㅦ㐷㉣㕦㤴㘳昲戵㍢敡㕥〶㘳㘹ㄵ昴ㅥ㠷昷㐳㉢ㅣ㉥搳㌹攴敤㐲改㠷㕤扥ㅣ㍥〰㈷攱㜰㌵㐲㠱挳㍦愰㉣ㅣ㥥㡣戲捤㈱づ㔱昹㔰摣㑡㈷㌳㤱㜴㉣㠲㔷晤愶㔲〵ㅣ戹㉣ぢ㤷㘱㤶ㄵ〹ㄹ愷㜸搰㔰ㄲ㜴攵ち㐹㔰㡥昳搹㐴㍣㠵㑢㠵㘴㌲㥣㡣㐷戳搱㕣㍥㘶〵晦攸㠴㌷㑦㠵㡦昹ㅢ㠸攰㠳慥敡㌴慡㑥愷敡㈱㔷㐵㠰㐰搵㥦愹挲慣づ搰㌹㍣㡢昶戳㈱〲㐱愶㤶攰㔷挶攱㈳慥晥㍣㘲㡦㈱攲㘸〸昵ㄸ昴挲攱㠵搰㝢ㅣ㍥〱慤㜰戸㥦挶愱㜱㌱㈰㤵㠷搴㝤㝤㠹㝤ㄲ㤱㠴搸㑢攱っ㘲晦㡡戲㄰晢㝢㤴㙤㘲ㄳ戸昵ㄲち㔹㔶㉡㔹㠸愲㜳愶㔲戸㥣㡡ㄴ搲ㄹ摣敢㑡㠰挷戸㜱㤹〷㉤㈴㜳㌹㉢㤷挸㐷㠰挵㠱㉣㠳捥㠹扢㄰愱㜴㈲ㄱ挶㜹㐴㈴ㄳ㝣捡〹㙦㕥づㅦ昳ち㠸攰摦㕣搵㤵㔴㕤㐵搵搳慥捡㐳愹㘷愹挲慣收敢挴㕥㐷㤷敢㈱〲㐱收㥡攰㔷戶㠳㍦敦敡㙦㈶㤶㙦改㤱て㙦愸ㄷㄹ㡣愵摢愰昷㠸晤〷戴㐲散㉥ㅡ戱㍤㔷戱搳㝣㌹晣㈷㥣㠴挳扢㄰ちㅣ晥ぢ㘵攱昰㙥㤴㙤づぢ㤱㔰愱㠰㑢搸㔸㈲ㄱ㡤ㄵ㌲㜹ㅣ扡搳戸㌳㠰㝢〴戸㐴挰㔰㘹摣攳㐱ㄳ㜸㠳㝥㍥ㅥつ㘷㤲戸捣㑤㈵搳改㜸〸㔷㘵挹㔸㉥㤶攱㘹㙥㉣挸散ㄴ搹㜵敦㠵㡦㜹ㅦ㐴昰摦慥慡攷㉡昶ㄵ㔷攵愱搴敢㔴㘱㔶㍢敢ㅣ㍥挴㈸て㐳〴㠲㙦挰㠸㕦搹㔵散㥢慥晥ㄱ㘲㑦㈳㠲敦〹㔲㙦㌳ㄸ㑢㡦㐳敦㜱昸㉥戴挲㘱㑣攳搰㜸ㄲ㤰捡㥤㌳攲㑢散㝢㠸㈴挴㍥〵㘷㄰晢扥搳づ攳㙦㈸㍢㝢㝤㍣㘵㐵昲搹㤴ㄵ挵捤挱〲慥慥昲ㄶ晡㘵㌲㡥㍥㡡昳摣㑣摥㜸摡㠳收愳挹㑣㡣挷愴㐸㌴㡢㥢㡣挹㑣㈸㤹㡥㠶ㄲ㜹㕣晥ㄶ㈲昱㝣捣㜸挶㠳攲ㅥ㙥〲㜷ㅥ㘳搹㑣㈶ㅤ㑢㈷慤㔴㌸㥤㡤攷㤲㠵㐴㍥㤴〸㐵㔳昹攰〷㑥㑢捣扦挳挷㝣㤶攲㌹㠸攰㠷慥晥㜹慡㕥愰㜸㤱晡㡦㕣㝤㌱㕥㝤ち扤㙣㤲〶㘷㤳挸㠶㝤㤹㝥晦㠶〸〴㍦㜳ㅤ㑢敥㤱㝤敥敡㕦㈷昶ㅣ㙥〴扥慡㐸㝤〹扤㙣㤲户愰昷㌶挹搷搰捡㈶搹㔴摦㈴敦〰㔲㜹㤳㙣散扢㐹扥㐱㈴搹㈴敦挱ㄹ㥢攴㕢㤴愵慦扦㡦戲扤㐹挲㔶㌲㥣挲摤ㄷ㥥搷挶慣㜴㉡㥢挸㐵㤳戸ㅦㅢ捤㠷㜱ㄷ㍤ㄳ㌷㍥昰愰㜸〶㤳づ㈷㜰搷〶㘷〰㌱㡣捡㌸㉦㠸㕢昱っ昸戶慣㜸㌴㤵つ㝥攷㠴㌷㍦㠴㡦昹ㄱ㐴昰㝢㔷昵㌱㔵㥦㔰昵㠳慢㈲㐰愰敡㘷慡㌰慢晥づ戱㔸慥㌲扦愰晤㑢㠸㐰昰ㄷ㈸㐴㔷㜲晤㕢㠵〳㤱攸扦㈵昶㈲㝡昱敤㐷㑡昲㔵㔸晡〱㝡㡦㔸收慢〸戱㌵ㅡ戱㍤搷扦搵扥ㅣ搶挲㐹㌸晣〵愱挰愱㠱戲㜰㠸㍦㈹㜵㌸㡣㘷㌱扣㕡㔹摣㌲挰〵㜰㍡ㄷ捤挶戳搱㐸㈴㤲㑥㔹㌹っㅦ㠹ㄸ晥㉡搹㠵㠶慣㌴㑥㘰㌱㉡㠷搰㠷戳㜱㜴敢㍣㡥㝢挹㝣㈸㤷ぢ挷搱㕢㠳扤㥤昰㘶㌵㝣捣㕥㄰挱㍡㔷㔵㐳㔵㉤㔵愶慢昲㔰㡡㘹㉤挲攱户摦㘹搷扦晣愰愶ㄹ㠰〸〴晢〱㈰㕣㤵摣〴㘷戲㡢攸晢ㄳ换㜷ㅣ挹愷㜰㔴㄰㝡改㥣ㅢ㐰敦㜱昸㉢㘸㠵挳㡦㔱㡤晢㜴挱昴㑥〸㍥㠴戶晣ㅥ挲〰㌸〹㠷㠳㄰ちㅣづ㐴㔹㌸摣㄰㘵扢ㅦ愶攲昸㝣㘶㈱㠲ㄳ愸㔸㌸㘶㠵ㄲ㔹㍣㔳㐰㉦㐴愷っ攱㤶㙤㌴㘵㙣攴㐱挳搱㙣㉡㤲㉡攴搳〵㉢㡦攷㌹㌸㠷挵㔱ぢ㜷㙡㈳愹㕣っ㝤㌹ㄳㅣ攴㠴㌷㌷㠶㡦戹〹㐴㜰㐳㔷戵㉦ㄶ散挷㝤ㅢ戹㉡て愵㤸搲㈲ㅣ扥慥㜳戸㈵愳っ㠱〸〴〷〳攰挷攱㘶慥扥㠱㔸扥ㄷ㐹㍥攷愳戶㠰㕥㌸摣〶㝡㡦挳㈱搰ち㠷㉦敡ㅣ㜲捣㤵㤳慡攷㝤㌹ㅣち㈷攱㜰㈴㐲㠱㐳㘶慢戰㈹挶㈸㤴㙤づ㤳搸㈱㘳㌱摣戸挲㜵㔱㉣ㅡ㡤㘷昱㜸㈰㠷扢搸㈱摣㘶挹㘷戳〵㘳晢ㅥ愸ㄵ㑦攳昹ぢ慥㔶搳㤱㔸㥥㠸㌸捥慤挲戹㕣づ㘷慡戸愱㘸㡣昶愰攱㜴㈴㠳晤㍣㘶攱㔶〲㙥搴㈶㔲ㄱ㉢㠵昱㌶㠵慢㌰㉢ㄵ捡愵㠲㕢㌹㉤㌱㜷㠰㡦ㄹ愲〸㐳〴㤹㉥㈳㘴㤵っ慦挳㕤扤〷ㄵ㑦戵㉤昴挲晥㈳づ晢㌲扣愶ㄹ㙦っ㐴㈰㌸挲㜵㉣ㄹ㕥户㜳昵㍢ㄳ㝢ㅢ搹扦ㄵ㐲㐹㍥っ㑢攳愱昷搸㘷㍥㡣戰㝦扦捥㝥搴㘵晦㕥㕦昶㜷㠰㤳戰㍦ㄹ愱挰㝥〸㘵改挱㔳㔰戶搹㡦收昱㠹愵㌰敥挱攴挱つ慦晤㔳㔶ㄸ㡦愴㔳㌹っ㤵㤱㥣㤵㌲愶㝡㔰㥣㜴㠵昰戰㌲㤷捥㈶㜰㌵㠶㔳慥㌴ㅥ㙥㈷搱㤹㜱摦扢㄰㡥㐷㠳㘱㈷扣㌹つ㍥收㜴㠸㘰挴㔵昵摣㈵㠸扡㉡〲〴慡ㄲ㔴㠱㜴㜵戳挳愱㙣㠰㌹戴敦ちㄱ〸㈶〱㄰㕤挹㈸挰㘴ㅡ搱捦㈷㤶敦㜰㌲昹㐶㈸㈵昹㌱㉣敤づ扤挷攱㑥㐰ぢ㠷㔷敡ㅣ㝡㤷愷㤷晢㜲㌸ㄶ㑥挲攱㕥〸〵づ㜷㐶㔹㌸摣ㅢ㘵㠷挳㌴㉥愵㐲攱㔴〸㔷㥡戱㔰〱昷戸㜱捣㐹攳㔶㔷〸ㄷ㥦戸戵㘸散攳㐱ぢ㔶愲㠰㈷㠷㤹㐴㈱㠶ㅢ戵㠹㝣㍡㤵〹ㄵ戲㠹㈸敥捥㕡㌸昳㑡〶挷㌹攱捤㝤攱㘳㌶㐱〴ㅢ㕤㔵捦攵改㜸㔷㐵㠰㐰ㄵ戳㘸㠴挳昳㜴づ㉤摡ぢ㄰㠱攰㘴〰㠴慢㤲愳搱ㄴ㔷㝦〰戱て㤱戵〷挹攱㌴攸㘵ㄴ㘸㠵摥攳㜰ㄷ㘸㠵挳搳㜴づ㜹㤸㤷㔱攰㔴㕦づ㘷挰㐹㌸㍣㄰愱挰㈱ㄳ㘴㠴挳づ㤴㙤づ㜱㥦㉡㥦挶㌳昱㐸ㄲ㌷㔲戲㜸ㄶ㤰挲㉤敢㌰ㅥㄸ愶ぢ㌸㈰㈵搲㐶愷〷㑤收昲㠵㘸ㄶ户㙥挳㌸搱捡㘷戲㤹㐸㌶ㅡ㡢攲㡣㉢㥤捤挵ㄳ搱㑣㜰㤶ㄳ摥散㠲㡦搹つㄱ㘴挶つ㙢㌴㝢㡥攸㜳㕣ㄵ〱〲㔵㜳愹〲㐷敡㌸㥤挳㠳㘹㍦〴㈲㄰㥣〷㠰ㅦ㠷昳㕤晤ㄱ挴㍥挶㡡昸攲愹攰〲攸㘵挵㡦㠶扥㕦㝤㉤ㄳ㐷㜶㉣挹戰昰㝦戱捣挸搲㉦㉢㑤挶㤷㤲㤸㝥㕡搵ぢ㙦搴戰摦㐳㔱㔳㍤收㍦㡢挵ㅣづ扥㠶㠶㜳敤㈱㔸搷晦㐳ㅣ昶㡣㥥摣ㅣ㐶摣ㄲ戳㜹㉣㔶戸㜶㙦慣㙥挸慦㠹㙢晡ㄸ㌱ㅣ慢〶戵㑥敦㐴㝥〷㍥㙡㍤扦㝤扣昷㐵攴つ摣扣㡦㤱敥〷㝦㠶昷㘸挶㘷㍢昱ち愳㉥换㜵㥢搳攱昹攱〳㍡挸昳㠱㘱㈴㍦て㌴愸愷愴扤挷㘳㜰㡦㜶㝡㕢㈷㍥㘵㘵攵摤㠸㥤㐸〱慤愹敥愵㝣㕦慤攳㝣晢㤸㉦敥㘰㌴㝣捣㙡㝡㥥〴っ昶㜹㡢挹㠴收㉥㜹ぢ搰㘶戰㉢㤳㐹㐳挶昱㔸㕢㘳㙣挳挲㠶㜸愸㜶〵㌶挴㍡搷㔱㑣㍢㙢㘴扦っ㤸慢㄰㔰敤㠳搰攴㕥㤹㝢戱㤲ㄳ敤㑡㈶愳ㄲ搵㠵㑡㔸ㄱ㝢㔲挰㕣㑤㌴㑦㉥愸㘲〰搵攴ㄴ㘸慦捦愱挰㍤ㅢ㈸㝤晡㜴㥣㔳㙡戴晦慦㜳晥て㌶搶㌳㡦㐷㍣昶㔱㐳㑦ㅢ㕦晢敡攱ㄷ㝥㜶昵㡥挳捦扦攱ㄷ攷晦挳㙤㡦㜷挷つ摡㠰搳㙦挶愹挵昰ㄸづ慤昹ㅡ挵敢ㄴ㙦㐰愸㜶戴攸ㅦ昸昶㐹搹㜷㘴摡ㅣ㐳改㜷㘴㠲㑢㄰㐹㜶戶搳搱摥㝥昵慡ㅤ㘵敥㜰慡〵ㅥ散攵㘴挹㍣㤳慢摣〱戵㑤㄰㜳㜳㡣戳愰挳㔶㔸搴㄰つ愹挵〰扡㙣〴捣㜳㠸敥昴搰〷ㄲ㝤慥㡤㥥㐵㜴摥㐱摢㜴㥥㑦㌴慦㡦摤〰慡摢㈹〸㥤㉢㔱㔸㍦㍡㤹㡦戳㐶㍡ぢ㌲㍤㍦㙥㠰㑢攷㘱昰昰愳戳〹つ昵愵㜳㕦挷㔰晡ㄹ㥡攰㤱㠸㈴㜴㕥㡡戵〲㥤挷愲㉣㜴敥つて㡦捥换戸捡扦㠶挹愶昳㌸㉣ㄹ㔷搸〴㑤㙦㠸愴搵ㅥ㐵〴㕤㐵㌴㔳㘰㙣昴昱㐴㕦㘳愳昷㈰㝡扥㠳戶晢昲㜵㐴昳㝥愲㐷攷㠹㑥㐱攸㍣〵㠵昵愳㤳㜹㌵㙢愴ㄳㅤ〴㔳慣昱㥡慢㌹㝤㍦㑥㥤〱て㍦㍡攷㌸慣㤵昵捥搹㡥愱昴㉢㌶挱戳㄰㐹攸扣〵㙢〵㍡捦㐵㔹攸㥣〹て㡦捥摢戸捡ㄷ挰㘴ㄳ㜴ㅥ㤶㡣㍢㙣㠲㘶㌵㐴㘲㙡㥡㐳㤰摤摦敥㈲晡㐲て㝤㍥搱昷搸攸㐵㐴㑦㜲搰㌶㥤昷挱㔲㝦ㄹ㌰敢㐷ㅡㄳ㘹搶㑥㕡㘳㤳㐳摡㤰㐶㜵㌵㍣晣㐸ㅢ攷㜰㔳㐶摡捥㡥愱昴㔳㌷㐱㘶攱〸㘹て愱敤㈰敤㈶㤴㠵戴㥤攰攱㤱昶㈷搲㜰㉢㑣㌶㘹㌷㘳挹昸ぢ㜴扤挷㌶㡣㥦挰㙥㤵㉡攲攱㔱挲㙦昳攰户㄰晥㌸㜴ㄸ〱㜶㈳㍡收愰㙤㡥㥦㈴㥡㘷㕥㕥㈷扣挳㈹㐸㈷扣〷㠵昵攳昳㕥搷㘳捤㐳攴搴㐶改㡢㔵慦㡥㔳㝦㠰㠷ㅦ㥦㍢㌸戴㤵昱㌹摡㌱㤴㝥㉡㈷昸㄰㈲〹㥦㝦挷㕡㠱㑦收挴〸㥦愳攰攱昱昹ㅣ㔷昹㌱㤸㙣㍥ㅦ挱㤲昱㠲㑤㄰〶扤戴摡戶㠸愰㤷㠸㝥摣㐳㌳㔷挶昸愷㡤挶㠰㥡㔶つづ摡敥㠴㉦挳㔲晦㌴㌰敢㐷摡㌳慥挷㥡㐹㥢搴戳攷㍥てて㍦搲戶㜴戸㈹㈳㙤ぢ挷㔰晡㍤㥤攰㑢㠸㈴愴扤㠱戶㠳戴㤷㔱ㄶ搲㌶㠳㠷㐷摡㕢愴攱㔵㤸㙣搲晥㡤㈵攳ㅤ攸㙡挷㌶捣㙡㠸愹㡤ㅤㄶ散㑥昵ㅥ挱㑣㔱戱挱慦㄰晣㠱つ㕥〴昰㐰〷㙣㔳昶ㄱ挱㑣㜱昱㝡攰ㅢ㑥㐱㝡㈰㌳㔹搶㡦捣㜷㕤㡦㌵㤳㌹摦改㠱〳ㅢㄵ㌳㘰晣挸慣㜷㌸㉢㈳戳扦㘳㈸晤ㄸ㑦昰ㄳ㐴ㄲ㌲扦挰㕡㠱捣㉦㔰ㄶ㌲晢挲挳㈳昳㉢慥昲搷㌰搹晣㝣㠹㈵攳ㅢ攸散㍤㍡ㅣ㔲㜵㐵っ㝤㐷昸㌷ㅥ晣㉢挲㝦㠰㑥昶㘸愰㙢ㅣ戴㑤晥㑦㐴㌳戳挵攳昳㍢愷㈰㝣晥㠴挲晡昱昹戳敢㔱㠹捦摦㥤挳改慥㜱㜲㤰收㐹㑦㌵㉡昰攳昳㤷㙦㉢ㅣ愵㝦㜶っ愵ㅦ昳〹搶㈲㤲昰搹ぢ敦攸〳㥦㈶捡挲攷㡦昰昰昸慣㠵㔱昵㠵挹收㤳㐹㌰㐶㙦攸㐰搰昴㠶㔸㕣㝤ぢ㌰搹戰〹㌲㠹敥攷愱晢㄰摤挷㐶敦㐱昴㤷づ摡敥㥥晤㘰愹ㅦ〰っ㝥敢㜱愶挸昴ㄶ昱愸㐴摡㐳㕦㙤扢昷㈹て扥㌶㉥攸㥥摡㙣っ昸㜰搴㔱㝡愶昸㠹挳㑤㔹㈷晣搸㌱㤴㝥昱㈷㌸ㄸ㤱㠴戴〱㘸㍢㐸㘳㉥㡢㤰昶㈱㍣㍣搲〶㤱㠶㘱㌰搹愴つ挱㤲戱㤱㑤挳攴㠶㜰㕡扤敢搰㘰㤳戶〹搱㑣㔰戱搱㐳㠹ㅥ㙣愳ㄷㄲ晤愶㠳戶㐹摢㥣攸〶㘰扣㍥㌸摣㈹㐸ㅦㅣ㠱〲㝥敢㐱㈷㤳㕡挴愳ㄲ㥤㠸㠶㘹㕢㘷㠰慣㙥㔴愳〱ㅦづ㔵㈹㥤慦㌸慣㤵搱昹㙦挷㔰晡挱愰㘰ㄸ㤱㠴捥慤戰㔶愰㤳㌹㈹㐲攷扦攰攱搱㌹㥣慢㥣㠲挹㈶㠸㠹㉡挶㌶㌶㐱戳㐸搰㡢づ㐱㌶㥤㈳㠸㘶ㅥ㠹㡤㑥ㄲ㍤搲㐶㉦㈲晡㔹〷㙤搳戹㍤搱扣挵攴搱戹愳㔳㄰㍡㤹㙦㠲摦㝡搰搹攸㝡慣㤱捥㈳挶㍢㜴〶ㅡ搵㈴㜸っ昷愱昳㈹㠷戵㌲㍡晦敡ㄸ㑡扦㌷ㄴ㘴㘶㡢搰ㄹ挵㕡㠱捥ㄹ㈸ぢ㥤㑦挰挳愳㌳捥㔵㥥つ㤳㑤㄰搳㔳㡣愴㑤㄰攸っ愹㐷ㅣ㠲㙣㍡搳㐴㌳㝢挴㐶捦㈲㝡㐷ㅢつ㍡㐳敡㘱〷㙤搳㌹㤶㘸愶㥦㜸㜴敥收ㄴ㠴㑥㘶㤹攰户ㅥ㜴㌲㈵㐵㍣㉡搱㘹㡦㤰敦昵散散㡢〰ㅦ敥㐳攷〳づ㙢㘵㜴摥敦ㄸ㑡㍦㔷ㄴ㘴㠶㡡搰㌹ㄱ㙢〵㍡㌳㈸ぢ㥤昷挲挳愳㜳㌲㔷㌹て㤳㑤㔰ㄶ㑢挶㔴攸㥣㜳挸戸扡戳㠸愱改㠴㕢ㅥ㥣昹㈷挶っ攸散㜳挸戸扡搵㐱摢散捦㠲愵㝥〹㌰昸慤〷㙢㑣㉢ㄱ㡦㑡慣㈱ㅡ㈶户ㄳ攲㜲㠵ㄹ㈶挳愱㉡摤愷㙦㜰挸㈹㘳敤㝡挷㔰晡㔱愳㘰㈷㈲〹㙢昳搰㜶戰挶挴ㄲ㘱敤㕡㜸㜸慣㉤㈰つ〷挱㘴戳戶〲㑢挶敥㌶つ㌸慥挴搴㤵㐵㌴散㐹昴挱ㅥ㥡〹㈷挶㕥㌶ㅡ挷㤵㤸晡扤㠳戶㍢攱㍥戰搴ㅦ〹っ㝥敢㐱摡㔱慥挷㥡㐹摢户㘷捦㘵㑡挹㜰ㅦ搲㉥㜴戸㈹㈳敤〲挷㔰晡攵愳攰㉡㐴ㄲ搲㜲㘸㍢㐸㕢㡤戲㤰㜶ㅥ㍣㍣搲㉣搲挰慣て㥢戴㤳戱㘴散㙦搳㌰扤㈱ㅣ㔳㘷㍢㌴搸㝤愷㤹㘸㘶㝦搸㘸㘶㤸ㄸ㑢㙣昴ㅥ㐴㥦攱愰㙤搲㕡㠹㘶晡㠸户攷㥥敥ㄴ㘴捦㘵㤶〸㝥敢㐱攷搹慥挷ㅡ改晣挳摣ㅥ㍡㤹㕤㌲摣㠷捥㔳ㅣ搶捡攸㍣搹㌱㤴㝥㌸㈹挸㝣ㄴ愱戳ㄳ㙢〵㍡㤹㍦㈲㜴㥥〴て㡦捥㙥慥㌲戳㌸㙣㠲㝥㡦㈵㘳戹㑢㔰㌴愶㝥㕤㐴搰㑡愲㤹ㄴ㘲愳㉦㈳晡㘰ㅢ㍤扤〱攸㘳ㅣ戴㑤晥愱㐴㌳㘹挴愳昳㉡愷㈰㜴㕥㠷〲㝥敢㐱攷昵慥挷㥡改捣㌶㈲㉡愶㠶㐶挵㥣㤲攱㔸㉣摤愵て㜷㔸㉢愳昳㌰挷㔰晡摤愵㈰戳㔰㠴捥愳戱㔶愰㤳愹㈴㐲攷㈱昰昰攸㍣㤶慢捣㠴づ㥢愰扢戱㘴ㅣ㙦ㄳ㠴㑢㤳戴㕡攱㄰㘴昷户㔵㐴㌳㍦挴㐶摦㐳昴㠹㌶ㅡ㔷㍤㘹搵攵愰㙤㍡㔷挳㔲捦㘴㄰晣搶㠳戴㠷㕤㡦㌵㤲㔶㌵扢愷て㌲㠹㘴戸て㘹敤づ㌷㘵愴戵㌹㠶搲㡦㌳〵ㅦ㐷㈴㈱敤㜴戴ㅤ愴㌱㑤㐴㐸㙢㠱㠷㐷摡㤹愴攱敦㌰搹㌴㌰㜷挴㌸ぢ㍡ㅥ㍤㘶㌶挴㜰㔷搱攱〱㔷ち戸敤㝡づ攱捣攸戰攱捣ㅦ㌱捥㜵攰㌳〸捦㍢㜰㥢攴昳〹㘷敥㠷つ㘷づ㠹㜱愱〳摦㠵昰晤ㅣ戸捤昲挵㠴昳改㈵㍢㉤㉢㔴㑣ㄲ昱㝡昰㡢㑥㐱㝡㌰搳㐰㜰㌹戴敥ㅢ〳㔸㑣〳ㅢ敢㤹㍢㈲㥥㙢摣㈸㑢慦㘸ㄴ㠷㍤慥戱晦㍦攳愶㐶昵㍡㍣㠷㐳㕢摡愳昷挲㕡昸摥愲㕣攴ㄸ㑡扦ㄹㄵ㝣ぢ㤱㘴攳㕣㠱㔵挶挶㜹て㘵搹㌸㝢挰挳摢㌸㔷㤱て㈶㜷搸昴㌱㡢挴戸〶㍡ㅣ慢㜱㑦㉤愴收ㄷ戱㜷ㅤ搱ㅦ㜹攸て㠸扥挱㐶攳㥥㕡㐸敤敡愰敤㑤㜳ㄳ搱ㅦ〳攳搱换㙣ㄱㄶ㠴摥㉦㔰挰㙦摤改慤㘷收㠸㜸㔴愲昵戵㠳〶㕥㍦昵戵搷㝢捥㤴扥〵㝣戸て㥤㌳ㅣ搶捡晡晡㉥㡥愱昴㤳㔳挱ㅦ㄰㐹攸扣〳㙢〵㍡㤹㍢㈲㜴㑥㠳㠷㐷攷㕤㕣㘵㘶㜰搸㜴㜲摤㡣㝢愰挳㡤㡥㐵つ㘹㌵愹㠸㥦晢〸敥攵㠱㤹㔲㘲㍣㘰㠳㘷〱摣攸㠰敤㡥晢㐷㠲㤹㉥攲㤱㔹敢ㄴ㠴㑣ㄳ〵戴㘸㍤挸㘴ち㠹㜸㔴㈲ㄳ搱㌰挵ㅡㄷ挸昴搶㌸挵㙣㤲攱㔰㤵昶捤ㅤㅤ捥捡挸ㅣ攳ㄸ㑡扦㔷ㄵ㘴晥㠹㤰昹ㄷ慣ㄵ挸ㅣ㠴戲㤰㤹㠲㠷㐷收愳㕣㘵愶㜲搸㘴㌲戳挴㜸ㅣ㍡昴捤㠵摣戳㘳づ㐱㜶㙦㝢㤲攸㑤㍣昴㐶㐴㍦㘵愳㈷ㄳㅤ㜲搰㌶㥤㑦挳㔲捦㌴㤰昵㈳㙤㠸敢㔱㠹戴敤㈷㙥昶挱敢㠹挰戸㉤㡥扡敦扣て㔷㝥戶戳㘲晡㠸ㅦ㘹㈳ㅤ㙥捡㐸摢捥㌱㤴㝥搴㉡戸つ㈲〹㘹㉦愰敤㈰㙤㈴捡㐲摡戶昰昰㐸㝢㠹㌴㌰㙤挳㈶㡤愹㈴挶㍦愱攳㘸扢ぢ敦攰㌶ㄴ昱昰㌲攱捣摡戰攱摢ㄳ晥㡡〳㥦㐹昸㄰〷㙥て捥慦ㄱ捥㔴㄰ㅢ捥㤴ㄲ攳つ〷㍥㠳昰捤ㅣ戸扤㑤摥㠲愹㍥㑤㄰扡つ㘷㙤慡晣愰捣〶㘱ㄸ㘵㡥㠸㜸㔶㘲㕢㤰慦ㅥ摢㘸㝢慣戲晦㙦㍣愵㔱㌱㙤挴㡦昵㡤搰㍣摦㘱㜴㐳挷㔰晡ㄱ慤㈰ㄳ㑤㠴昵て戰㉥㘰㝤㌲捡挲晡㐰㜸㜸慣㝦〴愳㘲㘶㠷捤ぢ㔳㐸㡣㑦愰㤳㘱㌴ㅡ㔷㐱㠷ㄶ扢昳㝤㐶昴㜴て㍤㤵攸㉦㙣㌴敥ち挷㔵㕦〷㙤㤳昸ㄵ㉣昵捣昷㔸扦慥捡攴㄰昱愸㐴㥥晤㜸散敤㥥挱㤲㜹㈲㝥愴昵㜶戸㈹敢慡㠶㘳㈸晤搲㔶㜰㜷㐴ㄲ搲㝥㐰摢㐱摡㕥㈸ぢ㘹㌵昰昰㐸晢㠹㌴㌰㤵挳㈶㡤㌹㈳挶㉦㌶つ扢昱㜴戳捡愱挱㈶㑤搵〱捤㤴づㅢ扤て搱扤愰戳㉦㐲〱晦昱ㅢ晤攱㘴㉤㑣昵ㄶ㐰敢挷ㅡ搳㐱搶挸㥡摤攵扡㥤搳愹㔰愳㘲㘶㠸ㅦ㙢摦愰㌹扥㕤敤㙢挷㔰晡㌹慥㘰㉢㈲〹㙢㝤搰㜶戰挶㠴㄰㘱敤㑢㜸㜸慣昵㈳て㑣摥戰㜹㘰㤶㠸㔱て㥤摤搵㘲敡㔳㠷〶㥢戵つ㠸敥昶搰㥤㐴て戰搱攸㙡㌱昵愱㠳戶扢摡㈰㔸敡て〶㘶晤㐸㘳晥挷摡㐹㙢㙣敦㈱敤〸㜸昸㤱昶㡥挳㑤㔹㔷㝢摢㌱㤴㝤戳敢㘸㐴㕡摢㌷扢昸摥ㄳ慢㔳扥㉢㔵㡦敤㔷㕢攰㥢㕡晡ㄴ㙣㌵昳㍤昰慥㤶收㤶ㄶ㜹捤㐹㕦㝣㘲愷㘳㠹搵㌱ㄳ㕦㤲挲㠷㜵收㌵户㍡敦搹挰ㄷ愶昸挵ㄲ昷㈳㉥愶㤴攸㙣ㄴ收㜴攰慢㉥扤ぢ搳㍢昱〵戰㝣㕤敢慥㤹慥㉥慢愳敤㝦攱晢㍢㜸昱っ㕦㐵㡡挹晥昲㡥敦㍢㕦昸㌲ㄷ摦摣ち㘱㙣㜴てㅦ㌳昱㙤㈸㈶戱㔴昳换㍣晦搹挷挰㡣挱攸㘲敥㕢搶昲摡户愶㙡搴㥢搸挴㜶愲改ㄱ㔵扦戰挹捣㑡㌲㌷㘷㘷摤〲愲搷昸捥㔶㐹戵㠲〸㤸㕢㐲㘳㝦摢㠷㉦㑤慡慡㍤ㄶ摤愰㜴攵昸ㄶㅥ扥挴戱慡㜶㜹㜳扥㙢戱戱搸㙡摥㝦㜱ㄷ摥戶搳㠷㙢散㑥㌵慢攰扡愶㡣ㄴ敥ㅡ扤㕢㥢㌲ㅤㅤ㤹㤵㜵慤㑤㉤㔶摢晥㕤㡢敢㥡㤶㈱〱〷摦挸挲㜸㔵㔷㔷㘷づ㐵㝢㔸ㄵ㘷戵ㅡㄱㄹ搵ㅣ愶㙢㑦㠷㠶扤搵搸ち㕡㝦ち晥攵㑢挱㜰攰㡤慤㈱㡡㈹搸〶ㅡ㡤〲㜵㈶㘲㤳〶㜷㔲攷愰㈰捤ㄸ〱愴搷戸昳㕤敤㜶扡昶㔲㘸愵㜱㈳愱昵㙦摣戳扥㡤摢ㅥ㜸㘳㌴㐴㜱攳㜶㠰㐶㙦摣㘵㠸㕦搴戸慢摣㘶㠴㠱昴ㅡ㜷㥤慢㡤攸摡㕢㥣挶㤹㘴慥㐶㍤攱摢㤰㌸㙢㈴㑢㍤㥤㈴㐹ㄵ晢㠷〸㍣搷㉥㙤挴㕤㙥㜵㘹㈰扤㐶摣攷㙡挷攸摡㠷㥣㐶ㄸ㍢㐲敢捦搰挳扥つㅢぢ扣戱㌳㐴㌱㐳攳愰搱ㅢ昷愷搲挶㍤敡㌶㘳㍣㤰㕥攳㥥㜴戵ㄳ㜴敤摦㥤挶㌹っ摤敢摢㤰挹慣戱㤸愱愹㈵㡤㜸慥戴ㄱ㉦戹搵㑤搷慢㝢搹搵敥愲㙢摦㜰ㅡ㘱捣㠰搶㥦愱㕢㝤ㅢ㌶ぢ㜸㘳㌶㐴㌱㐳㜳愰搱ㄹ㝡慢戴㜱敦戹捤搸つ㐸㡦愱㡦㕣敤㕣㕤晢㠵摢戸㜹搰晡㌷敥㕡摦挶㉤〰摥㔸〸㔱摣戸摤愱搱ㅢ昷㔵㘹攳扥㜳㥢戱㈷㤰㕥攳㝥㜲戵㡢㜴㙤㉦㡣㈲摣晢㑣敥㝤㌵敡昷扥つ搹㠷㌵㜲㑦敢改攰㑤㔴㘹ㅤ扣ㄶ㜱㡡昶㌲ㄳちㄹ〲㌲㐰㝡㡤攸攷㙡戳扡㜶㠰搳〸㈳〷慤㍦㐳攷昹㌶捣〲摥㈸㐰ㄴ㌳戴㍦㌴㝡攳〶㤵㌶㙥ㄳ户ㄹ捤㐰㝡㡤摢摣搵ㅥ愰㙢户㜲ㅢ户〴㕡晦挶㥤攱摢戸㔶攰㡤㌶㠸攲挶戵㐳愳㌷㙥㜸㘹攳㐶戸捤㌸㄰㐸慦㜱摢扢摡づ㕤ㅢ㜵ㅢ搷〹慤㝦攳㑥昲㙤㕣㌷昰挶㌲㠸攲挶㉤㠷㐶㙦㕣扣戴㜱㘹户ㄹ㉢㠱昴ㅡ㌷搶搵ㅥ愴㙢㈷㍡㡤㌳㌹㙥搵愸㘳㝣ㅢ㜲㈸㙢攴ㄸ搵搳户づ愷㑡敢㕢㤳㑢ㅢ㌱摤慤敥㐸㈰扤㐶捣㜲戵㐷改摡㜹㙥㈳散づ㝥㠸㙦㈳㡥㘵㡤挵ㅤ晣昸㤲㐶㉣㈸㙤挴㥥㙥㜵慢昴敡昶㜱戵㈷攸摡㥣搳〸攳㐴㘸晤㌷㔳㤷㙦挳㔶〳㙦㥣っ㔱扣㤹㑥㠱㐶㘷挸㉡㙤㕣戳摢㡣摦〰改㌱搴敡㙡㑦搳戵㥤㙥攳㑥㠷搶扦㜱㉤扥㡤㍢ㄳ㜸攳户㄰挵㡤㍢ぢㅡ扤㜱摤愵㡤㕢改㌶攳ㅣ㈰扤挶ㅤ敡㙡㝦愷㙢㡦㜶ㅡ攷ㅣ㕥昲扥つ㌹㥦㌵ㄶㅦ㕥㉥㉣㘹挴戱愵㡤㔸攵㔶㜷戱㕥摤㙡㔷㝢㠹慥㍤摤㘹㠴㜱㈹戴晡慢户㡢㑦㈳昷昶㙤摣㘵昰㌱㉥㠷㈸㘶改ち㘸㜴㤶捥㉣㙤攰㌹㙥㔳慥〲搲㘳改㝣㔷㝢戵慥攵扤㘵ㄹ㙣慦搱戵扣晤㉡㘷㔶搷㐲敢扦㘱攷昹㌶昹㝡攰㡤ㅢ㈰㡡㥢㝣㈳㌴㝡㤳慦㐲晣愲㌱晦㍡户ㄹ㌷〳改㌵㤹㌷㘳愵㜱户攸㕡摥捣㤴挶摤ち慤㝦攳㘶昸㌶敥㜶攰㡤㍢㈰㡡ㅢ㜷㈷㌴㝡攳敥㉡㙤摣㝤㙥㌳敥〶搲㙢ㅣ㙦㙥㑡攳敥搱戵扣㌹㈸㡤扢ㄷ㕡晦挶㑤昴㙤摣晤挰ㅢて㐰ㄴ㌷敥て搰攸㡤㝢戴戴㜱㑦扡捤㜸㄰㐸慦㜱扣㔵㈸㡤㝢㐸搷昲㈶㥣ㅣ戲搹ㅢ㙢搴㡥扥つ昹㌳㙢㘴慦敢ㄹ㔶ㅦ愱㑡ㅢ㔶㕦㉡㙤挴换㙥㜵㡦〱改㌵㠲㌷摥愴ㄱ㡦敢摡户㕣敤ㄳ扡㤶㜷慡愴㘹㑢愰慤㔱ㄱ摦愶㍤〵㥢挹攳㘲㑦搳㥥愶㑡㙢摡㐷㠸㔳搴戳㜸摦㑡ㅡ昱㜷㈰扤愶㝤攵㙡㥦搵戵扣昳㈳㡤戰て㍢摢昹㌶攲〵搶㔸㝣搸㜹愹愴ㄱ㍦㤵㌶㐲〱㈰㡤昸愷㕥㕤慤慢晤㤷慥敤㠳㠲㌴㠲晢㕥㡤ㅡ收摢㠸㔷㘰㌳戹㥦昵㌰昱ㅡ㔵ㅡㄳ晤㔰㉥㘲㘲〳㈸愴ㄱ㙦㘰挱㘳㘲㤰慢㝤㔳搳搶㙥㡥挲㍡㕦㕥昳㑦ㄷ〶攰㐶㐴㡢㤵攳ㄷ㤸㈷攰㍢扥㈳㕢㜰㤹扣づ㥦㑤㝥ぢ昵愸㉤㈹㄰挳㝣㕢㙢㐲晤㔰㐷㕢挷㙢搹晡㘱㝡㐹つ㐷㠹㑤㌴摦愱㝡ㅢ挷㘶扥㡢〵㜷挵敡㐷㌸㕡摢㝦㍢扤愴戶㐷㐹晣摦愳㝡〷挷㘶扥㡦〵捦㍦散㘸㙤晦㠸㕥㔲㜱㤴挴晦〳慡㤳㡥捤晣㄰ぢ㥥㝦摡搱摡晥㘳昴㤲ㅡ㡢㤲昸㝦㐴昵㌸挷㘶㝥㡣〵捦㝦扣愳戵晤㈷攸㈵㌵ㄹ㈵昱晦㠴敡愹㡥捤晣ㄴぢ㥥晦㜴㐷㙢晢敦愲㤷搴㉣㤴挴晦㌳慡攷㌸㌶昳㜳㉣㜸晥扢㌹㕡摢㝦慥㕥㔲ぢ㔰ㄲ晦㉦愸摥摤戱㤹㕦㘲挱昳摦搳搱摡晥㡢昴㤲摡〷㈵昱晦㡡敡㈶挷㘶㝥㡤〵捦㍦攳㘸㙤晦慣㕥㔲ㄶ㑡攲晦つ搵晢㍢㌶昳㕢㉣㜸晥捤㡥搶昶㍦㐰㉦愹㔶㤴挴晦㍢慡摢ㅤ㥢昹㍤ㄶ㍣晦〳ㅤ慤敤摦愱㤷㔴㌷㑡攲晦〳搵换ㅤ㥢昹㈳ㄶ㍣晦㤵㡥搶昶㍦㐸㉦愹㐳㔱ㄲ晦㥦愸㍥摣戱㤹㍦㘳挱昳㍦搲搱摡晥㐷改㈵㜵㉣㑡攲晦ぢ搵挷㍢㌶ㄳ㥦㕥攸昱㕦愵㝢搴㥦愰㤷搴㙡㤴挴㕦挱㐳㥤攲晡㔷敢晥扦搱㍤敡㑦搳㑢敡㑣搷扦ㄷ晤捦㜲晤㙢㜴晦㜳㜴㡦晡摦改㈵㜵扥敢㕦㑢晦ぢ㕤㝦㐳昷扦㔸昷愸扦㐴㉦愹换㕣晦摥昴扦挲昵慦搳晤慦搲㍤敡慦㉥㉡㕤愳㤷ㄴ㑦㕡㠴つ㤳搱㜸慥㈲愳㔱㐰㡦㜶戳敥㔱捦昳ㄱ㘲㘴摢㈸㥥㔷㠸㝦ㅦ晡昳㜴㐲晣晢敡晥㜷敢ㅥ昵㍣㘵攸昱攷愱㕦晣晢搱㥦㐷㝣昱敦慦晢㍦愸㝢搴昳愸摥攳捦㈳戶昸搷搳㥦〷㙢昱て敡晥㡦改ㅥ昵㡦ㄷ㤵㜸㈰敥㠹昶ㄴ㑡ㄲ㙤〳㐶㝢摡戱㤹扦搲愳昱㔸敡㜹搴昳ㄸ敡㤵搴ぢ慥晦〰晡扦攴晡て搴晤㜹ㄸ昴㍣敡㜹昸昳㑡敡ㄵ搷㝦㄰晤㕦㜳晤㌷搴晤㜹〴昳㍣敡㜹攴昲㑡敡㉤搷㘳㈳㜸戸㔳㤰㠷ㄶ㜹㑥戱㌱戴收㈶㄰晤晡慢㜷㕣攸愶㍡㤴㐷ㄱ㠱づ㈶㜴㌳ㅢ晡㥥ぢ㉤㡡晡扥ぢ摤㠲搰㉤㙤愸ㅣㄳ㔰戱㔹ㄴ㤵挷〶㠹㍡㤴搰㘱㌶㔴㠶㝦㐲户㐲搹㥤㠲㍣っ〸戴㠱搰攱㌶昴ㄳ户〱㐵㔱㌹攲ぢ㜴ㅢ㐲户戵愱㥦戹搰ㄱ㈸扢㔳昰㜳ㄷ扡ㅤ愱㈳㙤愸㡣摦㠰㤸愳㜴㈸挷㜱㠹扡㍤愱愳㙤愸っ搵㠴ㄶ㌱挰㈱㕢愰㈱㐲挳㌶㔴㐶㘵㐲㈳㈸扢㔳㤰愳戳㐰愳㠴挶㙣愸っ挰㠴ㄶ㐵攵㐰㉣搰〴愱㐹ㅢ㉡㘳㉤愱㈹㤴摤㈹挸㌱㔷愰㘹㐲挷搸搰㥦愰㘴㡦㈸收㤵挳慢㐰㜷㈲㜴慣つ㤵ㄱ㤴搰愲〶㜰㈴ㄵ攸㌸㐲ㅢ㙤愸っ㤶㘵㔰づ㥡〲㥤㐰攸㐴ㅢ㉡攳㘲㔹〳㌸㍥ち㜴㌲愱㔳㙣愸っ㠱㠴ㄶ㙤㔸づ㠵〲㥤㐶攸㜴ㅢ㉡愳㕤ㄹ㤴愳㥥㐰㘷㄰㍡搳㠶捡㔰㔶搶〰づ㘹〲㥤㑤攸ㅣㅢ㉡愳ㄶ愱扢愲散㑥㐱㡥㕥〲摤㡤搰戹㌶㔴〶㈸㐲㡢挸攲㐰㈵搰昹㠴㉥戰愱㌲ㄶㄱ㕡戴㕡ㅣ㤳〴扡㍢愱㝢搸㔰ㄹ㘸捡愲㜲挰ㄱ攸㈲㐲昷戲愱㌲愶㄰㕡戴挳㜰㙣ㄱ攸㍥㠴敥㙢㐳㘵昸㈸㠳㜲ㄸㄱ攸㝥㠴㘶〴ㅡ㜴搷㐶㜱㜰㤰愷㤷ㄷ㝣㙤㍦扤ㄴ㘸づ㕡挵㈱㐳㑣攷㌹愶〹㠸㕤㠷㡦〸戸敢愷㌸㕣〸攲㕣摤戹㐰㘷づ㈲㘲㍡愷搸㔹㜱摣㄰挳搹扡㑦㌳㝤㌸㥡㠸改户㈵㍥ㅣ㐰挴㜰愶敥㈳昵㜰㔸ㄱ搳改挵㍥㐱㤷㉥挵㈱㐵㄰愷改捥敤搰㉡づ㌴㘲㍡戵搸㔹㜱㙣ㄱ挳㈹扡㡦㔴挸ㄱ㐷㑣慢㡢㝤㠲ㅣ㝡㐸㕥扦愰攲㜸㈳㤸㤳㜴昷㙥㘸ㄵ㐷㈱㌱㥤㔰攲捥攱挸㜱攷ㄸ㈴㤸㔵扡晢ち扡㜳㘴ㄲ搳昱挵敥㡡㠳㤱ㄸ㡥搳㝤㠴㔶づ㔱㘲㍡愶搸㈷攸㡥㔵㡡挳㤳㈰㡥搶㥤て㠳㔶㜱搰ㄲ搳㤱挵捥㡡攳㤴ㄸ㡥搰㝤㡥愴㑦搲㌵ㅤ㔶散ㄳ攴㌰收慣㈳挷㉥㜱㍦㔴㜷㍦㠶敥㘳㕣搳挱挵敥㡡㠳㤸昸ㅣ愴晢挸㤶攴搰㈶愶ㄵ㈵㍥ㅣ捤挴戰㕣昷ㄱ㕥㌸挶㠹愹扢挴㠷挳㥡ㄸ扡㜴㥦搵搰慡㠹慥愹愳挴㠷攳㥢昸ㅣ愸晢㥣㑡㥦㈹慥愹扤挴㠷〳㥤昸戴改㍥搲换愶扢愶㤶ㄲㅦ㡥㜸攲戳㐴昷昹㉤戴㡡攳愰㤸㥡㑢㝣㌸昴㠹㘱戱敥㜳づ㝤㌸㈰㡡愹㔰散ㄳ攴挸攸㙣㉡づ㠷㠲戱㜴昷昳攸捥㐱㔲㑣戹㘲㜷挵㜱㔱っ㔹摤㐷㠶ㄵ㡥㤶㘲摡慦挴㠷〳愴ㄸ㥡㜴ㅦ㔹㌵づ㥢㘲摡愷挴㠷㈳愵ㄸ昶搶㝤愴ㄷ㜲晣ㄴ搳愲ㄲㅦづ㤹㘲搸㔳昷㤱㙥挴㠱㔴㑣扢㤷昸㜰散ㄴ挳㐲摤㐷㈸攴㠸㉡愶昹㈵㍥㕣㕢㥥㔶〶ㄴ㌷愹扤挴㡥㘷㉦戱㍥㝢㠹攳㠲扤挴㕤摣㕥攲扥㘷㉦㜱㕤散㈵敥ㅣ昶ㄲ扢愲扤挴づ㘶㉦㤱㈷㝢㠹慤戲㤷戸㡤㘴愹捦晦〳搹㐳㔳㔴</t>
  </si>
  <si>
    <t>㜸〱敤㝤㜷㥣ㄴ㐵晡晥搶戲摢㙣て㉣㍢㠰㌹〲㠲㠲㈰㑥づ㈸戲〴ㄱ㄰〱〱戳㈷㑥攸㠱㤵つ戸扢㈰㈸㉡收㉣收㠸愲㘲㐰搴㌳㘷捦㥣㜳扥㌳㉢㝡愶昳敢改晤捣昱昷㍣㙦㔷捦昴捣昴㉣攸昷晣晣晣攳搷散扣㜴扤昵搴㕢㔵㑦㔵㔷㔵㔷扦搳㔳愵慡慡慡㝥挵挱晦㜹搴昰㘴㤳ㄹ㡢㍡㍡慤㤶攱㘳摢㥡㥢慤㑣㘷㔳㕢㙢挷昰搱敤敤愹㐵㤳㥢㍡㍡扢〱㘰捣㙡㐲㝣㐷敤慣㡥愶㠳慤扡㔹ぢ慣昶づ㠰㙡慢慡敡敡捣㙡挴㙦愸㍦㝥㈷㘰㌲㤵㔹㐳〱㔴㤵㘹㔰㜴愷愸愳㌰㈹㝣ㄴ㍤㈸㝡㔲搴㔳昴愲㘸愰昰㔳昴愶攸㐳搱㤷㘲ㅤ㡡㜵㈹搶愳㔸㥦㘲〳ち收㙦㙥㐴戱㌱㐴捦㑤㈰㘶㡥ㅤ㌳㌵㝤〰㙡㌳愳戳慤摤ㅡ搶㙦㜷扢捣㈳㠳挱攱挱攱愱㘴㈸㌶㍣㌰慣摦搸昹捤㥤昳摢慤㤱慤搶晣捥昶㔴昳戰㝥搳收愷㥢㥢㌲㍢㕢㡢㘶戶捤戵㕡㐷㕡改㐰㌸㥤㡡㈴㠲㤱㘸㌴㤷㑣㈶㝡㙥ち换㔳挶㡥㤹搶㙥攵㍡晥㕢㌶㌷愳捤愹㘳挷っ㥦㘲㜵晥户㙣㙥づ㥢㌰㌹慥慤㈵搵搴晡㕦㌲㕡换㌶㡤㡥戳㌲㑤㙣㝣换㙡㙦㙡㥤㍤ㅣ挵㉥㈲ㅡ愱昸昰搱ㅤㅤ昳㕢收戱ㅦ㡤戵㥡㥢愷㕢㌹㘹昴㤶㜱ㅤ㥤搳㔲敤㉤ㅤ㍤㕢挸㥦搵㙥戵㘶慣㡥㕥㉤㍢㉥捣㔸捤ㅡ搸㔱搷戲㝢慡㝤㑡慡挵慡攱㐹㐳㡢摤㠶ㄳ戳㔶㙢㘷㔳攷愲晡㤶摤㍡慣改愹搶搹ㄶ㈱戵㉤㍢捤㙦捡慡㥡ㅡ晣㔵㜵摢捡慢㘴搲㔰㈸㑦换搸㌹愹昶㑥〹戱〹㠳㕥㔸㔷㜷㤱㕡ㄴ㤵㡢㕤慡㕦㐹㉡戶搹㡣愶㤶㥤慤昶㔶慢㤹㤹戰㈵㠷㤶㠰㠴㈰扢ㅤ昲㑣㌹搵㘱㉢愹ㅥ晡攲㘳㕤㤸㡢搱て㘲搸㤴戶昶ㄶ㜴挸㕤慣㔴敢挸挰昰㜰㜴搸㡣捥散㌸㙢〱捥〳挱㔸搱ㄱて㥢晤㤱挲ㅣ挰戴㕢㐰昴敡㘸㙡㤹摦㥣㈲晤㈳愲挱ㄱ收㐰挶づ㠲㔰㌵慦攳捡㜷攷挷慢慦㝡㔶慡㝡㔶扡㝡㔶愶㝡㔶戶㝡㤶㔵㍤㉢㔷㍤㙢㜶昵慣㌹搵戳㥡慡㘷ㅤ㔰㍤㙢㉥㌰捥㔱搷扤㝢戵㍥㥥㥥戶敤散敦㌳敦㑣晤摢戲㐷㍡㕥晢攷㈶㥢㈸㕥散㌲㔶㙣㠵㤳㤲昲〷扢㈸㝦㉣㘶づ㐶ち㜳〸㠴戱㌵㠴扢晣挹攴〸㜳㈸㘳㠷㐱㈸昵ㄲ捡捦㍡昴㍡昷搲晢〶㕦晢敡搴㌳㑦㝤㜳挳て扦㜸㜸㤲攲㈰㈳㤹て挷挹㘰㌷㜹挱㠰㐳㕤㜰㜸ㄱ㙦戱㔸摣摣㤶愶〳㄰㐶㄰挲㥤㜱㉣㍣挲っ㌱㌶っ愱搴搳㍡攳挹敢扤㜳攸攸㘱敢㡥㍦㝡㡦〱㤷㥣昰捣〳敢㉢づ㙣㤲㜱ㄴ㈷㐳㘶戶㌷愱㜳㠲晣昶㘱扢㌴戵㡥㡣〷〲挳㈶㌷捤戵㥡㥢慣㡥捥㤱〹㠴㜶㐹㉤ㅣㄹっ〴〲㘶㡣戶攳㄰㐶〲愲㘶昴㠴㔰挴㑣㔲㌷〲㐲愹㐷㜴㝥㕦㍦戱㝣敥昶㠱㙦㈷ㅣ㜳捤ㄶ㕢㜵扢攷挵㕦ㄵ挷㔰挹㙦㝢㥣っ㈹慥㘸扥愶攱攱攱攲㈳㙡㡥愴敤ㅤ㈰㡣㔱㄰敥㥡㈶㈳㈳捣㐶挶㡥㠶㔰敡㕥㥤㜳㥦户收㜴扦敢㠹㥤ㅡ㑦晡攷㑢㜳扥晦挷㈱㐳ㄴ慦㘱挹㜹㉣㑥㝥㐳㑤挷搱昶㡥㄰挶㜸〸搴㌴ㅡ㌲㜷愲㙥〲㠴㔲户敢晣㘶慡挵㈳攳㈷扤㍥昹㙦㝤攷㙣㜲捦㈷摢捥㔷㥣㈳㈴扦㐹㌸昹つ昹敤㑣摢㤳㈱㡣㕤㈰㤰㕦㈴㘶㑥愱㙥㉡㠴㔲㌷攸晣㤶㠷㡦㡣敤㌶扦㘵昲㔱愷㉦晤昲㤶晢㔷ㅢ㡡搳㤱攴户㉢㑥㡡扡㔰㌸㑦慣㐷ㄷ㥡㑥搳㌳㈰㡣㤹㄰㙥㘲愳㠹ㄱ收㙥㡣摤ㅤ㐲愹慢㜵挶ㅤㄷ扥㝡捥愰戹昵㤳㙦㥥㕣㍦攷戵〷㉥扣扦戶〷愲挳㕥愳㐶改㠰㌴ㅥㄳ㔹㈶搵搱愹挷㑡㜶㠵晦敥㔰扡收㤱㜴㝣㝢收㡦ㅦ㐹㤱挹㝦㘵㈴㌵昷㈴晢㝢㐱ㄸ㝢㤳慢改搶㠱㥤ㅤ晤愶㕢ぢ㥡慣㠳捣㝤ㄸ户㉦㠴㔲㉢㜴换扣戸㘵㘸挰㤷㝢ㅤ㌵昶挴㜹摤晥戳㘴昳晡㝦㉢慥㑢搸㍡收㝥ㄴ戳㈰㡣晤㈱昴〸摡㙦㈶慥㙡㌳挵愸㌴㠴㔲ㄷ㘹㍢㔷昷搸㙤㜹㔵摢㤲㐹ㄷ扤昸摡挹㉢〶搵摤慥戸戴㤱慥㤵挵挹昰㤲㐱㈲㠸㔱挲㍤㑣㠴㄰戴〷㡡㔰㤸㈳㠵挵っ㜲㄰挶㙣〸昴攷㔸挰㥣㐳㕤ㄳ㠴㔲攷攸㑣昷㥢昳晣挳㥦㉦昴㡤扢敥㤰㉤づ戹㘵摢てて㔰㕣㑡㐹愶㜳㜱㔲㌴㔲㠴挲捥㤰㠸㤹愵攴〸㥡捤戴摤〲㘱戴㐲戸㍢㜴〲ㅤ扡㡤戱昳㈰㤴㕡慡㜳晥昵戳攵㐳摥搸昱戵挹㜷て攸昳㜹㝡慢摡ㅦㄴ搷㙦㤲㜳㍢㑥㝥挳㤵摢㐱摢㥤㄰挶㝣〸搴㌴ㅣ㌱ㄷ㔰㜷㄰㠴㔲挷敢晣づ㕣㝦愳搳捦扢㘹㤷㌱㌷㑥㕥㝣晢㡦攷㑤㍢㑤㜱愹㈸捤戴㠸攰㠳㈱㡣㐳㜸戶㕢㙢㔳愷摤㐸㡢ㄹ㍣ㄴ㐲愹㈳戵㤵ㅦ㝡摦㝦挸搹敢㡥㥢㜲挵㠲㍤㕡づ㌹昴慢㑤ㄵ搷㥡㔲敡挳㜱㌲搴㍤戲〶㠶〷ぢ㠴㤵㑥扦㤸扥㤶㈰㠱㜹〴㠴㜱㈴㠴㥢戱㈴㘶㤱愳ㄸ㝢㌴㠴㔲㠷攸扣㡦㍢㝢㔸戸改慢换㈶摣扣扡昶㤸㙢㤶㝦昶愴攲ㄲ㔷昲㍥ㄶ㈷扦㠱戱攳㘸晢㜸〸攳〴〸㡥慤〹昳㐴敡㑥㠲㔰慡㔳攷昷昲敥晢㔴晦㝣收㔵㔳捥扦昶搰ㅦて㕣摤㙢㌳挵搵戴攴㜷ち㑥㤲㈵ㅤ㌲ㄴ㠹㐵㕤搳㔶㈸愹扢㈳㝡㑡㘴㜸搲㜵㐴捤㔳㤹搷㔲〸攳㌴〸戶㔸捣㍣㥤扡㌳㈰㤴㙡搱昹㜷㝥昸捣㡤昳愷㙥㍦攱㡥戳捦ぢ晤攳挳挳慡ㄵㄷ昲㤲晦㔹㌸㈹㔹㉢挴ㄲ㕤㤰ㅤ㌶捦愶昹㜳㈰㡣㜳㈱ㅡ㕣㙢㥤㘰㈰㌴挲㍣㡦搱攷㐳㈸㤵搳戹㌷㝤昱挱㕦㡦㙦晢㘰搲捡㘳敡㝦晤㜰晦㑦扦㔳敢㈲㕡晡换㠵〴㉦㠳㌰㉥㠲㘸ㄸ㥤挹㔸昳㍡㔳㔸㤵摡扤收㘲㐶㉦㠷㔰㙡㝦㙤㙢捥㐵ㅦ戴㙤㌶昰㤳〹㉢收㍥昲㙤㥦㈵愷㉦㔰敢㈱㕡㙣㕤㑡昰㘵㄰挶ち慡挶戶㘵㉤㘷愸戹㥣㔱㔷㐰㈸戵户戶㌳昵㤱挹㑦扣㝥昶㘷攳捦㍥敥昱晤捣㘱㥦㌵㉡摥换㠸㥤慢〸㕥〹㘱㕣つ攱㥦搸摡㘹捤㙥㤷挵㥣㕤愸㔵㡣扦〶㐲愹㤹摡搸㥥㌷㝦晢昶戹摦㝣㌱改㡥ㅦ㔶晥扤㘹搳㌳晦慤㜸㑦㈴挶慥㈳昸慦㄰挶昵㄰昵攳慣㡥愶搹慤㑥戱㙥㘰攴㡤㄰㑡㑤搱㤶扥昹昱㤳晡㐷㙥戸㘳攲挵㜳敦扢晢㥤戳㤶㙤愷㌶㐴戴㌴搴捤㌸㈹㘹愸㐴㔷㡢扡戰㜹ぢ捤摦ち㘱摣〶攱扥㉡㘲㠱ㄱ收敤㡣扤〳㐲愹㥤㜴收㔳㜶㝡愲晥挸㐹㠷敦㝣敤挴㥥晢㡥㍤㜰捦㝤ㄴ㙦攸㈴昳扢㜰㔲摡㑢㈳㐹㑣换㠵挵㔵搴㔹㕤㘱㡤㤷㉣敡愵㐱昳㙥收㜵て㠴昱㌷〸㕥㈵ㄱ昳㕥敡敥㠳㔰慡搱挹㝦搸户愱㥢〶㕦㌱㝥改ぢつ攳㌷㜸㙣摣㉥㙡㘳㐴㑢晥て攰愴㌴晦摦㜰㤵㍣挸扣ㅥ㠲㌰ㅥ㠶㐰晥㤱㤰昹〸㜵㡦㐲㈸㤵搴昹慦㝢挲㈱㔷摣晣昲㡡㐹㉢㌶㍢攵愶㝤ㅦ敢㝦㜹捦挷ㄱ扤慢扥㍢ㄸ搷㥥㍡〸昷㕢㠵㕢戹搰㜰摣ち慣捤㍤㉣㙥㘱㜳搱㕣㍣ㄷっ㘶愳㠱㔴㌸㔵摢ㅦ㘶搷昶㘶㠹㐳㙢捦摣ㅥ㑤慤搹戶㠳攴敥㘹㤳㌱愹づ慢戰〴ㄸ慡攳挶戴捤㙦捤㜶㙣散ㅤ㌹愳㌳搵㘹㙤㔴ㅡ㔷㌰㔲㤶㙣〶敥㉤慤づ挹㙦戳搲㘴扢愷㥡攷㕢愳ㄷ㌶搹搱㥢㤶㐴攳捥戲㉤㕤㌹㜶㝣扢㜵㘰㍥戶慣㐴愳戱昵戱㐰㙣㤷搵搲㡥戲换搵㙦散㥣戶づ慢㔵㡡㌷戴㘵㕡㔳㘶慥搵㍥挳攲挶㠹㤵㤵慡慥换㈸㝤㝢㍢㜴㙡㉢㉡㡡ㅢ搶散〰户㌶户攳挲㑥慢㌵㙢㘵㔱摥㜹㔶㝢攷愲㤹愹㜴戳戵㕥ㄱ挴捥ㄳㄱㅢㄶ愹挷户㘵收㜷㡣㙤㙢敤㙣㙦㙢㉥㡥ㄹ㥤㕤挰挱㉢扢ぢ挶ㅥ摣ㄱ搷昰愸㔲㔵摤扡㈹㔵戵戵搷〲㤳㜶㍢㠶㑢㐳戸㥡㜸㔳戴昹〶挵摤㙥昸㜴搴づ戵㘸戶搸㈷慢〷慥挱㤸搸愵㤹㈱㤵㠱慥㍡㜱㤷㠹攸挱㤵搱㔲挶㝣换晤戱攰敡敡扥扡昶㍢㉥挰戶挳㠴㔴㙢戶搹㙡敦㜲㡦㑣戱㐴收ㄳ㄰戵㌱㕣捤ㄵ搹慢〱㐲㉤㔴㡢㙡て㙡捡㜶捥㌱收㔸㑤戳攷㜰挱㠳㝤戴扡㍡㔲㕢㜶㤸㑦㐱㘵㍥㑤昱っ㠴捦㔷㘵㍣㑢㤰攱㌳㥦戳挳戵〳昰晦㙦摦搰愸㐶㉡㔳㌶㔰戰摢搵㔱摢㠲㥢㡢㡥㙥摤扣㙡㌹㈱搵㌱愷㤳摤戳敢㐸摡㝢㥥攲〵㠸摡㠱㄰㙢摣㉦攱㐲戱㠶摢㐲昵㉤攳慣㕣ち㥢㜱㜲㜵慢㔴㙤㡢扤扦㠳〹㉢㘳㜲㈳㘸㈲慥㤵㠵〶捥㜰昱昷㙣㘱敦户ㄶ㜶㡥㑢㜵愶扡户㘰㑢〹慤㘴〲㌴㔴㔲搹㘷㑣㔹㉦㍡㈷戵㑦㠷㘰挱㉦愷㉥㉢㍤㐴㘱㕢挲㠵㠳敢愵慡㥢㤶㕤㔷〲㘵攷慤㡡㔱摡搱㡢户㠶戰㘳㤵摤挹㙡㥤戹㘸㥥搵㐱㜸㥤搱㈵㤵愵㤷ㄷ㡤㑤捤愴㜷敢㙣㙡敥ㄸ㡥㤲敥搴摥㌶㝦摥㝦搳づ㙤㤹㉦㐲㌸㐷敤㌶攸挵㙢㕦㈷搰㔵搵㝤〱摢㘶搶慣慡㍡㕡愳挶㜸ㄹ挲㍤敦㜳㌳㡡㥤ㄷ戶㝦挵㝦㜲㤸慦攲㍦㥦㐹㘸㠵戸摡㐱㠸晢㉤扢㙡戵挰昷㙣〱㘱㌳摢㉤搹㈷慣㤳〰挸慦㙦搹愳慤㝤㙥扡慤㙤㉥扢㔷㉦〹㜵捣戱慣㑥敥扤昵搰㝢㡤戲愷愸㔴户㙥㐵ㅢ㘵慥㑤扡捤㘱摦㜸ㅤ愲㝥㜴㜳㜳㍦挷㘲㠷昱〶㔴摤戰ぢ㘸扣㠹㤳挰搸戶㤶㜹㙤ㅤ㑤摣㠵㥢戵攳挲㔴换扣㘶㙢㥢㕤攷愷㥡戱㡢戹捤搴㜹㥤㍢㜶㝣㜴昷㔱ㅦ摣㜹㐹挸敡〸づ㕦搸摣戱㔰㙤〱㔶戸户㜵搳㠴ㅥ扢摥昰捣㤹㡤㌷㙣昳敡戸愱搷捤㤹愵〶攸㠸戲ㅤ户挱挸㠷㤳戹昹づ㠴敡〷ㄸ〷ㅦ㥣ㄷㅦ收㝢〸㥢慢㈹摥㠷挰㄰㈲㑣㘳〴昹愷ㅤ㔴㐳昰㍦㐷ㄱ昳㐳㡡㡦㈰搴㔰〸㕥挳收挷㄰捥愱搶㠷㝤㜶つ㘹摥㑦愱㜶㌷㉦昷敡捡㥡昷㌳㠰㝣㈶愱ㄵ攲搴㌰挴戱㠹㑤㔲㙡㤲㐴㤳〴慡㝡攴攳挹㐷㑦ㅤ㔱戶〹戸㉤㤲〹ㅦ㕦㌳扤て㌰㙦㍥扥㘵ㅥ摦㔱㝣て攱攲攳㐷㍢愸〲昸㕦昸昸㠹愰㥦㈱㔴〸㐲昸昸〵㈷捥愱ㄴ昲挸昳挱㑥敦收㠳㕢㠸㘵㝣㔴〳攴㌳〹慤㄰愷挲戰敥挵挷户扦㔴攰攳ㅢㅤ㔱戶㌷ㄹ㠳㈵攱愳〷戲㔳㕦〱收捤㐷㍤㑢搳㡢愲〱挲挵㐷㙦㍢愸攲㌰㈴㝣昴㈱愸㉦㠴㑡㐲㈵㝣慣㠳㤰㜳愸㝦㈱て㠷て㌳〱㜵㜹㈵㌷愰捤慥攲搴〸愴昳㈲攰扤㑡〴扣慢㈳捡㌶㑢㐷挲㔲㝦㤶愲㍦㡢晣㜶㐵〲戶㐰戴㌹㤰㘲㄰㠴㡢㠰慤散愰摡〱㐶㠴㠰挱〴つ㠱㔰㡤㔰〹〱㕢㈳攴ㅣ敡ㄵㄷ〱挶㌰挴戸㍢〴㜷㕡换㍡挴㜰㠰㝣㈶愱ㄵ攲搴㘸㔸昷攲攳愹㑡㝣㍣愹㈳捡戶㜰挷挱㔲㝦㝣捣㌸戲㔳㡦㔷攴㈳挹搲㡣愰搸づ挲挵挷㐸㍢愸㜶㠴ㄱ攱㘳〷㠲㐶㐱愸㥤愰ㄲ㍥ㅡㄱ㜲づ㜵㥦㥢㡦㌱㠸攱摤㑦愴扣愶攳㄰攵㌳〹愸㄰愷㈶挰愶ㄷぢ户㔶㘲攱ㄶㅤ㔱戶戱扣㌳㉣昵挷挷摣〵搹愹㥢㉡戲㌰㤵愵㤹㐶戱㉢㠴㡢㠵ㄹ㜶㔰㑤㠶ㄱ㘱㘱㈶㐱扢㐱愸㈹㔰〹ぢ扢㈳攴ㅣ敡㙡㌷ぢ㝢㈲㠶㍢㈵挹昲㥡敥㡤㈸㥦㐹㐰㠵㌸㌵ㄵ㌶扤㔸㔸㕥㠹㠵㡢㜵㐴搹㜶昷㜴㔸敡㡦㡦㤹㐱㜶㙡㔹㐵ㄶ㉣㤶㈶㐷㌱ㅢ挲挵㐲㤳ㅤ㔴㌳㘰㐴㔸㌸㠰愰戹㄰㙡㌷愸㠴㠵㘶㠴㥣㐳㥤改㘶愱ㄵ㌱敥㙢㠳㥢攵㘵搷挶㍣㠰㝣㈶愱ㄵ攲搴敥戰敥挵挷〹㤵昸㌸㕥㐷㤴敤挲敦〹㑢㕤摣ㄵㄷ㙤㝣慦〳㙣搱㕤㜱捦摣昸愶收㑥慢㕤㙥㝣ㅡ㜲昸捦㝥㐸㉡攱㝡摥散戵愷㌲昶攳挷㜵㜲㘳㜱扦㠷愷戲㥤㡢ち㜷挰㘵昷㥢昶敤搸晦扦慢晥搳摤㔵换㍤㜵搱㥤㜵ㄷ㜷慤攸㌴㈵昷搵㕤㠳㕤㥤㠸㌷㤴㥥㡢㕥改㔲挳㘱戹戸㤳ㄱ㕦扡㘰㤷㐷捦㜹扣扢ㄳㄲㅤ愸㝣户捤捥㕥摥㐹㤹愸攲㥤㉤㙦㕥晦晦扥㐰愹敦㡣扤㉦戰㠸〳搸挱ㄴ㠷㔰㉣愶㌸ㄴ㐲ㅤ愹㐷㕤慥㤴㙡昱㤹㡦摤挶㝤慡ㄱ㘱ㅥ㑥捣ㄲ㡡㈳㈰㕣愳敥㔱〸ㅡ㐷㐳㌴㌸㑦〳晢搹㕤捣愷搴㕥㌰㈱㈳昱㌱㑣㜸㉣㐴捦攳㈰愶㑣戰㥡戱挷昴摦昲㔷愹摤〷搹㜴㝤㔷㡣晥搳〷愰昵㕡㘶㉣㙡捤捣㘹㙦㙢㠵搷㄰㙦搶戹挱摥搱愱㔲㐶换攴戶戱昳㍢㡤㤶〹㑤昸慦㘷换㜴㙢㥥㤵敡ㅣ㡢㍤㐴散〴㑣挶ㄳ㑥戹捦㥦㤸㕤昸晦㜲ㅦ愰慡〶㔵愸㔲㈰搰搹ち㔰愵㔷慦㝤㐷慥改ㅤ㍥慥つ捥㐳㤶昸㑤㤱㜶挳挰㥥捥㥦昰㐶ㅦて㡣㔰扡攵㕦慥摡㙥搰㐵搷晦慡晦㍦ㅣ㌷㌲㜲㤸㝢愳搲攵戳敤㐹㐸攲敢㉡㑥敤㡢㜴昹㤹搸㌸㡤戴愱ㅢ搸户㜲慤㤵㘶攳ㄶㅤ㔱昶攴㜵㍦㔸攳㡣㙣㥥〵㐳收搹ㄴ攷㔰㥣㑢㜱ㅥ㠴㥡慤慦ㅤ㤶っ㤷㡣敢摡戹㠰㤸ぢ㈹㤶㐱戸慥㥤㡢愹攳戵㠳㙢㘵ㄶ㤲挸戵㜲〹㤵㤷㐲愸ㄴ㔴散摢㜸㡣㠳㘰㐵㠲昶㈷愲㙣愹㜲〵㤲昸捣㉥攲㔴ㅡ改昲〴㤹㈴挸㈶㘷㘶㈵㜲㘶攸㠸戲挷挹ㄶ㉣昵㘷㈹晥ち㈳㙡㔷㑤〴ㄴ挵㠷㜹〳昳戸㤱攲㈶〸ㄷㄱ户搸㐱挵愷捡㐲挲慤〴摤〶愱收㐰㈵㑢户摢ㄱ㜲づ㌵〱㜹㌸昷㜵挶㥤㠸攱㐳㤴㐰㌹ぢ㜷㈳捡㘷ㄲ㔰㈱㑥㌵挱㘶㠱㠵挲摤晥づ㤵㔸ㄸ愹㈳捡㥥㙦㌷挳㔲㝦㝣捣㠷㤱㥤摡慥㈲ぢ㡦戲㌴㡦㔱㍣づ攱㘲攱㐹㍢愸㕡㘰㐴㔸㜸㡡愰愷㈱㔴ㅢ㔴挲挲㌳〸㌹㠷ち戹㔹㜸づ㌱敥〵㉣ㅦ㡥㤷昵㡡ㄷ〰挲㐶㉤㘴㠵㌸㌵て搶扤昸ㄸ㕣㠹㡦慤㜴㐴搹㔳昷づ㔸敡㡦㡦昹㍡戲㔳㠳㉡昲昱㈶㑢昳ㄶ挵摢㄰㉥㍥摥戵㠳㡡ㅢ搲挲挷㝢〴慤㠶㔰ぢ愰ㄲ㍥摥㐷挸㌹搴㈶㉥㍥捣昹㔰㤷㔷昲㈳摡散㉡㑥ㅤ㠴㜴㕥〴昴愹㐴㐰㙦ㅤ㔱收〶戰〸㤶㘴捣昸㠲攵晥㤲攲㍦ㄴ晦㠷攲㉢〸搵㐳㤳㐲ち㕡㠱㉥捣户摦㄰昳㉤挵㜷㄰㉥㔲㝥愰㑥㡦ㄹ〷㈳㠹㄰昳ㄳ㤵㍦㐳愸挵㔰搹㘳挶㉦〸㔶ㅣ㌳づ〱慣㥣ㅣ㔵㑤㜲扡㠸㔳㠷㈲㕤㠱㥣挲㤸昱摤捦ㄵ昶㠲扥搵ㄱ㘵摥つ㑢㘰愹㍦㑢攱㐳愶敡㙢挰扣昷㠲㝡㈲摡慣愷攸挵搲ㄵ昶ち改摡㡢愰㍡〲㐶〶搰㔰㙦㠲晡㐰愸愳㄰㤴摥搱ㄷ㈱攷㔰㥦㈱㡦晣㤸戱㉥㘲摣㔷ぢㅤ㈳捡慥㤶昵〱昲㤹㠴㔶㠸㔳㐷挳㝡㠱㡦挲攸戱扡ㄲㅦ敦改㠸㌲㡦ぢ㝡㑥〸ㅦ晤㤰㥤㝡愷㈲ㅦ〳㔸㥡㉤㈸〶㐲戸昸搸搲づ慡攳㘱㘸〰㍥收㔶〴つ㠶㔰㈷㈲㈸㝣っ㐱挸㌹搴慢㙥㍥㠶㈲㠶㕢㈱ㅥ㥢〰摢㈰捡㘷ㄲ㔰捥㠲挴愹㤳㘰搳㡢㠵愷㉢戱昰㤴㡥㈸昳〳㌹ㄵ㤶㠴㠵ㄸ戲㔳㑦㔴㘴㈱挱搲㈴㈹㐶㐰戸㔸搸摥づ慡愵㌰㌴〰ㅦ㜳㈴㐱㍢㐰㈸晡㠱〸ぢ愳㄰㜲づ㜵扦㥢㠵搱㠸攱㔶㠸挷㑣㌲ㄶ㔱㍥㤳㠰㜲ㄶ㈴㑥㥤〱㥢㕥㉣摣㔶㠹㠵㕢㜵㐴㤹㌷捡搹戰㈴㉣㑣㐶㜶敡收㡡㉣㑣㘱㘹愶㔲㑣㠳㜰戱㌰摤づ慡㜳㘰㘸〰㍥收っ㠲㘶㐲愸昳㄰ㄴㄶ㜶㐳挸㌹搴㉡㌷ぢ㝢㈰愶捣㡦愵散攲搸ぢ㈸㥦㐹㙣㌹㈱ㄲ愷捥㠷㜹㉦㐲㉥愹㐴挸㜲ㅤ㔱收㈰㜳㈱㉣挹㐸㥡㘶㜶ㄹ㡡㉣㠵㐵㤱㠳㔰攷㙢㤲㜸㙢挳㠳㈳改敥㡣㌰攷㄰搳㐴㜱〰㠴㡢愴㘶敡昴㐸扡っ㐹〶攰㘳戶㔲搹〶愱㉥㐶㜰ㅦ㝣攰㕤㠶㘰挵㤱昴㈲㈲捡挸改㐰ㄲ㥦搹㐵㥣㕡㡥㜴〵㜲ち㈳改戱㤵挸㌹㐶㐷㤴㜹晣㕣ち㑢㐲捥㘲㤶晤㔰㡡挳㈸づ愷㔸〲愱づ搷攴㤴㑦㌳㐷ㄲ㜳ㄴ挵搱㄰㉥㜲㡥ㄵㅤ挸挴搲昴㌲㘴㌰㠰搵㍣㥥捡ㄳ㈰搴攵〸摡攴㥣㠸㘰㐵㜲㔶㌰㔵ㄹ㌹愷㈰㠹捦散㈲㑥㕤㠱㜴㕥攴㌴㔷㈲㘷慥㡥㈸㜳㘳愲昷㤲㤰㜳づ换㝥㉥挵㜹ㄴ攷㔳㕣〰愱㉣㑤㑥㉤㤰扣㘷㘰捦㘹㘱㠴戹㡣㤸㡢㈸㉥㠶㜰㤱㜳〹㜵扡攷慣㐴㤲〱昸㤸㤷㔱戹〲㐲慤㐲搰㈶攷㜲〴㉢㤲㐳㜷慡㜲㜲慥㐲ㄲ㥦搹㐵㥣扡〶改扣挸㤹㕥㠹㥣㕤㜵㐴㤹㕢ㄶ扤戱㠴㥣ㅢ㔸昶ㅢ㈹㙥愲戸㤹攲ㄶ〸戵戳㈶㠷摥㔶㈶㍥㠵〵捡㙤挴摣㑥㜱〷㠴㡢㥣扢愸搳攴晣ㄵ㐹〶㌰改㍤㔴晥つ㐲摤㠰愰㑤捥扤〸㔶㈴攷㝡愶㉡敢㌹て㈰㠹捦散㈲㑥搱㝤捣㡢㥣㐴㈵㜲攲㍡愲捣搳散ㄶ㔸㤲㐱昸㐹ㄶ㍢慡㠹㠰戲昸㌰㥦㐶戴昹っ挵戳㉣㕤㘱㠱昲扣ㅤ㔴户㈲挱〰㝣捣ㄷ〸㝡ㄱ㐲搱搹㑣〶攱㤷㄰㜲づ㌵っ㜹攴ㄷ㈸慦㈰挶扤㐰愱㡦㕡ㄹㅦ㝦〷挸㘷ㄲ㕡㈱㑥摤〱敢〵㍥摥㐰挸扥挹ㅢ㔰㠹㡦晥㍡愲捣昹敤㙥愴ㄵ㍥摥㐵㜶㙡昳㡡㝣慣㘶㘹摥愷昸〰挲挵挷㠷㜶㔰摤〳㐳〳㔸㤰㡦〸晡ㄸ㐲摤㡢愰昰昱〹㐲捥愱搶㜳昳昱㉦挴㜰㠱ㄲ㉤慦改晦㈰捡㘷ㄲ㔰㈱㑥摤〷㥢㕥㉣昴慣挴㐲て㠷㠵㔲ㄷ扣〷㘱㐹㔸昸〶搹㈹戳㈲ぢ摦戱㌴摦㔳晣〰攱㘲攱㈷㍢愸ㅥ㠲愱〱昸㤸㍦ㄳ昴ぢ㠴㝡〴㐱㘱攱㔷㠴㥣㐳㔵戹㔹㔰ㄸ㥣戸㐰昱㘰愱ㅢ愲㝣㈶〱攵㉣㐸㥣愲㜷㥦ㄷぢ摦晣㔴㘱昱晥戵㡥㈸㜵〴慣㝤〲㤶㝥㠳〳㔷て挰捤摣敥昰㜲愷挷㐹慦ㅣ扥㌳㌵㜶㝥㐷㘷㥢戸挷搴攷挶戵㑤㘹敢ㅣ搷搴㌱慦㌹戵愸㙦㑥㥦散㌱挷㙡㠵昳㕡㍢㝣搸㑡㜴㙤昳收㔹㔹㌳㌷愳㙤㝥㝢挶㥡㌸敥捦攰摣㈶㡤〵てつ愵慡慡ㄵ㡥摦攷慦㔵㠵㤴攸㉡㌸慡㙡㥦㠲挹㔲户ㅢ搷昶㜹攱㐹㡤ㅦ挰㠶〲愳㌳㥢㍡㥢慤ㅥ㌹㠹㤷昳扡ㅣ㔸㠴㐷㘰戶㝢㙥收ㅣ昸㥦㡣慢捦敤搴摥㤴㙤㙥㙡戵搸ㄸ㜸晡挳㉦愲㑤戶㘶挳晢㙦㥡昶て愹捦捤㙣㑦戵㜶捣愳㈳㔳㘶㔱㥦愲㤰散㠴搶收挶㌴戵㜶㈰ㅢ㘹㐵㥥㌷攴㘶捣㘹㍢〸摦搷㥣摦搲扡㔳㙡㕥挷㥦愲㔵戰㝣搱㠷㌴㡤慡㔶搵搵慡慥扡敥昷戶㡦搱ㄳ㔷㔷㕦摢ㄳ扦ㅦ晡㘹㘷㝢㔳㝡㍥ㅤ㙡㈴ㄷ㝡㘴搴㔰㐸ㅢ㔶搵㍥㡤戳㉥㥥㠰昰㌹㠸昶挹愴扦㈱换㕡昴攵ㄹ㑦搷户晣㤷㘰昹散挳慣㐷㜱㝡昶㠲㤸戴搳㙥ㄳぢ㥥戸晦慢㙦㤴搶搲慢慦㜴㕦戹戴攷攵ㅤㅦ搷〵戸㤷摤㠵愸㘳㡦挲㤵㠹㥥挰㔰㘹户昴攵〴挳ㅥ摡慢㜰㍡ㅥ扥㜳㍤㜳㤳㔳㘹慢ㄹ㑦㄰㕡㔲㥤扤散〰㥦〶攱ㅢ㠷ㅤ㍡づ敥㑢㉤㈹㜶㌹㜶搷ㄹ㤹㔴戳㔵㤷ㅢ㍤扦戳つ㕦㙢㌳㜳㄰搲㉦戵㉡戵㄰慡搴㐲㔱昵捣㑤愷㉢戰㥣搳㔶摢散㔴㝢㔳攷㥣㤶愶㑣ㅤ〳㜴搷晤㔳昴㔵㡣晦㌵㈰搳㌹㥣戱愴昴戹㠶扤挳㡦收ㅥ㡥愷㉣愴㡥捤㡦ㅥ㕤慤っ晣㔳扦搳㔳ㄴ㈳㡦㑣ㅡ愶ㅦ搶㙡㌹晢㜰㈸㤲攳ぢ攷㥢搹㕦昰ㄱ㤰っ㑥敡㌹〲昰㌱㝢〳捥ㄳ㝥㙡㥥㠷攸搲㡤戰㍢〰扥挹㙤愹散㜸㍣㝢㙥㙢敦慥扦〱㕤㐷捦㌴っ㌵敤㝥㍡㜶昲㝢ち昰㐱㕥搰㤴戵摡敢愸㤸㠱㘷㌵㌵㜴〹㌵散㌶挴㍥㝥户慡摡摡ㅥ㜵㕥㜹㑤㜴㙣つ搴晥㜱敥㙦㤰㑦㉣戳晦搹慥㠹㔱㕢戳㔴㍥㤹愲晡愰㍡㘶㕦搶㠹㉥愳慣㑦〹㘰ㅤ〲搶㠵愸㝤ㄱ㤱愵㙤㔳散㘳〹㑦㑣慥㤸㙢攴扢挳昴晥慣㠳愷愴戸㡤搶㑡㐵昰㡤㡣扣搳愸㘱㝢㝡搶㌹㕦㐸㌶㘶愰㤷㕢㔹㥦㍤扥昲㐹ㄵ㥢愳扡扡〶㑤㙤㤴㍡〵㤴㘵ぢ㘳㉤㌳㉣昱〳㔵㥢愱〸挶㝡㈸昱㝡扣㔸㘰ㅦ摦㤸㉦晡㌲㙥改㥡搲攷㌳㌷〰ㅣ昷㝤慦㐲㍡ㅣ㡣愶挶㈶㘹㐳㜲戰ㄱ㠴㝡〷㑡慥〴㕣昳㤶㝡て㐱捥㕤㔵挶挶㠰慣敤㔸愹㔶㈳〵挷㑢㜳ㄳㅡ㝥ㅦ㘷ㅣ㠶昲摤㜲㌳㘸搷摣㉤晦挹ㄴ昸㤸㥢搳㠸づ㈸扡㄰㍡搵㜰戵㜵㍦㘰捣晥〴㝥攴つㄸ㐰挰ㄶ〴㝣っ〰摢摢ㄸ㠸㤰ㄷ㡦㕥㡥㠶攰㜱㑢挰挱攳㘷㉥晢㉥ㅥ户愲晤挱戴晦㌵〰愵㍣搲㈵搰收㜱〸㈰㙢捤攳㜷㐸㈶㍣㙥㑤挳摦㈳㔴挴攳㌰㘸搷捣攳㡦㐸㈶㍣㙥㐳㈳㍡愰㝥挲㠹〷㡦挳㠱㌱户㈵昰㘷㙦㐰㠰㠰㈰〱扦〰㈰㍣㠶㄰昲攲搱换㐱ㄱ㍣㐶〰〷㡦搵㈸㡡㔳㠰㐶㙡散晥ㄸ愵晤ㄸ敤昷〰㐰㜸㐴扦㤱㤱ち扢挳㜴㈵戴㜹㡣〳戲㝥攱㥢㘵㙢㥣扦㔵㉦㈴ㄵ㉥ㄳ㌴㑥㑦挴㈲㉥㐷㐰扢㘶㉥㝢㈳ㄹ晥攰戸㐶㈳㌸㤱て摤ㄶ㥤慡〴ち㔵搹ㅥㄸ㜳㈴㠱㜴㘹昴〰散㐰挰㈸〲搶〱㐰戸㙣㐴愸愷㜳㙤攳㕢摢㠹戲搵㍦ㄸㅣ〳㄰ㄸ摣挰㘵㜵㜴㈱摢戱戴㍡㡥㔶晢〳㔰摡ㄳ户㠰㑥ㄸ㌴㜹㐵换ㄱ㠲㜴慤㜴搴㐰㐰㠴愹昱㌴㌲〸愱㈲愶㈶㐰扢㘶愶戶㐲㌲晣㔵㤹ㄳ㘹〴㈷昲愱㝦愳㐳㠴敢敡㥤〴㡣戹㌳㠱昴㝤昴〰㑣㈶㘰ㄷ〲攸づ㈹㑣㑤㐱挸慢搷㜹㜹㐱㠲戳㘹㠰㠳戳攱㉥晢愳愹戱㝢摤慥戴㍦㥤昶改扡㔸摡敢㤲搰搹㥣戱搷挹㔱捡搹〸㐰㠴戳㤹㌴㐲户挶㈲捥㜶㠷㜶捤㥣搱晤ㄱ㝦㔵收ㅥ㌴㠲ㄳ昹搰〷搲愱㈴〰愵㉥昲㥥挰㤸㝢ㄱ㐸晦㐸て挰摥〴散㐳㐰㈳〰挲搹扥〸戹㝡ㄷ扥㈹敦㌱㕦散〷㄰㤸ㅡ攷戲㍡愶㤰敤㉣㕡摤㥦㔶改摥㔸捡ㄴ㝤ㅡ搷挰搴㌴㐰㠴愹㌴㡤散㡡㔰ㄱ㔳㔹㘸搷捣ㄴ㕤㈴昱㠷㉤㘳ㅡ挱㠹㝣㘶㐲㝡㄰㤱〳挶㥣㑤㈰㝤㈸㍤〰㜳〸㘸㈲㠰㙥㤵挲搴〱〸戹㤸挲㜷晣㍤㤸㙡〶〸㑣敤敤戲摡㐸㡤摤愷㕡㘸戵㤵㔶改〲㔹㝡ㅤ㕡搰搹㈳㔹ㅢ㈰㙢㍤㈳搰㔳㔲搸㥢㐷挳戳ㄱ㉡㘲慦ㅤ摡㌵戳㐷搷㑡晣㔵㤹ㅤ㌴㠲ㄳ昹搰扦搲㈱挷㜵㙤昲〵㍤㈶㌷ち搵㕣㙦挰〲〲づ㈲㠰敥㤸挲摥㐲㠴扣慥㑤㉦㉦㑣㕣㥢〷〳づㅥ攷戹散㡦㉤昰㜸〸㘲捤挵㄰戵㝣ㅡ搰挵扤っ晣㐱㕣敥㜰扤㘰挱挸昱㍢摡戸捤攰㠸㍡扥愹ㄳぢ愶㥥㌹〸㥣㡡摦摡㐶㜲晢攱㑡㌴㌴扦慤戱㜹㜹㔴搱㍥挷㘶攵昱敥㡤㡦㠱ㅥ搱昶㤶㠸㙢㈷㘴㑤㈰搹ㅡ昱㈸攳㥦㘹慦㐴搹㝥㑣㔵昶㜶㠹ㅡ㔴搹敢捦挵㍢㙦㜷晦ㄷ㍢㉢㜲㉤攲戱〸扢㡤挲㍦㜴愱挳㜱捥㡤㤶㠳搷搸㐵㕣㑥㤰㍤搸挹戸搹㘲敢敡戵㤷敤挴搶づ摣慥昸㜴〸㌷愳扤昴改搴昹㥤㐵㌱愹㠵㝤㜵っ扥愹㌳戵ㄵ㕢〸㤹㔴㝢昶㑦㜲晦㠹扡搹摢㈴㜲㉢昹㍢户戰㘰㠴㠷敢慥ㄱ㥢㤲㑢㌴搷昴㌶晣㉤㍥愴つ戰㔴㑦扡昳慥愵㜵っ昱ㅤ㐴搲ち昶㉢㠸㘴㍦㜱㥡㠵捤㐰扣㤲愹搹敡㉢〹昲㐱戹搷㌲㜳愳搳ㅤ搸㥢敡攴挶㠳㍥㤳ぢ摤捣㑤户昸㘶愲〵ㄶ昶〹昴搹戴㑣㈷㍣愶昳〶昸つ摡㍦㑦ぢ㠱㤱ㅡ摤㑡㑡摡挹攸㘲㝣㉢慥〴慦愱摦搹慡㘸户㥣ㅣ㥦㡦㔲ㄷ㥣捦攳敡㔱㔵捥㠹摥戱㕣っ㔰ㄷ摢㕤ㄸ㙢摤づ扦扣㤲晡㍡㝥攸昶〸㈷㠳㔷㑦㐷挷㍤戱㝡敥㕤戶㜷攲㙢收㘳昱摡慥〶㕥㍡捤搸㌴攸㙣挲昶㑦昳愲㕥戹㠹慤㤹收昹㔹㑢昶㡥㥣㌱㕢戶㤰晥ㄴ敤㔵〳㐲昴ㄵ搵〵㉦㥡㤴㠹㜸㥤㥤昳戵攳摦扦㠱㙣ㅥ㠱㉢㑤〶㍢搸昰㤹㐷改敢㡥扥扤扦搹扢摡㠷搲昷㈹㝣㌷㐰㕥㜲㠶愱慤㑣挵㌱㡤㉥戲㘳ㅤ〷㙤戹攲㕣戰挹㙤㤳摢戸〱敤㔲㑤㘸戲㔵㝦㡡㜶㐲㍤敤㘶㌲っ散愰晤扥㉢攴㤰㙢晦晤攲㐳挷慦ㅥ昵攲扥㥢慤扦散㡢㙦㐷㌹㔷ぢ攷ㄸ捣㌲㡡㝢㘷昶㌲㤷敥慣戲㝥攲つ㐱㌵㠵㠶㉣〱㐴ㄶ㙡挷愰搵搴ㄱ〸搹ぢ㌵扢㍤捤攳愰敤㜲愱㘶ㅥ㙦户戶愲㐷㌶晥昰愴㥥㠶㜰㈲㥦㘳㈰㥤挵㥡㥤㈹㉦㐱昳㐴㘰捣㤳〸愴㝢戶〷攰㘴〲㑥㠱愸愵㤷㙥改㘰㔳搱攱ㄸ〹慡㙡㕢戸㜳㔵搷挲ㅤ㍣㕣慡〶扥㈶つ㠷㙡散〲ㅡ㍤敡㡥㠳㌱昳㔴愰㥥㜹晡改㤱㉣㡦愲摦慣㤳晦收㔰攸㐵昱㔲收㝦ㅡ㠴㍡ぢ〰㉥攸昴㘴㝥〶戳搰㤳昹㤹㌸㈷捤昴换攵㠴敥ㅣ挵搳搰㔹ㅡ㐵挷㕤㑥㐵㈴挶㘹愸㑡挳㥡愲㠳㉦㠷㌶㌸晤㈲㜹攱摡㍡㔷ㅢ愳敦㉦慦慦㔱て扣㌰收搹㕥挹挶㡥戳㘶ㅣ㤱㍡㘱㔴愳㘳搸㘹摥ぢ㠰戱㝢挰晥㔲㍡〴㑢㝢挰㠵搰㐹て㌸ㅦ戶搵㌲㠴㡡㝡挰㠵搰㜶摤〳㤶改㌲搱慦ㄸ㝦㜰㕥愰㈱㥣挸攷ㄲ㐸㠷㘰ㄶ㐱ㄳ㝣㌱㌰收㜲〲㉦昵〶㕣㐲挰愵〴搰つ㤹扤挰扣っ愱㝣挳㕤攱㑡挶敤㐶㙤㜷〵㤳㕤捥㘴昴ち㉥扤敦扢〱㍡㥢㡥㡡㜷挸㌷〲㈲㜴㕣㐹㈳昴ㄸ㉥扡㜳㔹〹㙤㤷㜴挸㠵㜷ぢ㤲攱慦捡扣㥡㐶㜰㈲ㅦ扡ㄷ㍢㔴〴ち㐵㕥〵㡣㜹つ㠱㜴㍤昶〰㕣㑢挰㜵〴搰ㅢ㔹敥㕣晥㡡㤰敢扥て敦挲昲戸敦扢〱㈰摣慦摣敤戲摡㔸挸昶㐶㕡扤㠹㔶ㅦ〶愰昴扥㡦敥挲挲㤴㜱㌳㈰㙢㝤摦昷ㄸ㤲〹㝢户搰㌰㍤㡤㡢搸扢つ摡㌵戳㐷㡦㘴晣挱搱㠳㐶㜰㈲ㅦ扡㈵㍢攴戸敥晢敥〰挶扣㤳㐰扡㉣㝢〰敥㈲攰㙥〲攸挵㉣散摤㠳㤰搷㝤㥦㤷昳㌲ㄶ敤昷〲づㅥ㕦㜰搹㙦愴挶扥㝦扥㡦昶敦愷晤搷〱㈸敤㜱㜴㝥㕡㐳㡦㝢ぢ㄰攱散㐱ㅡ愱㌷㜲ㄱ㘷て㐳扢㘶捥摥㐵㌲晣㔵㤹㡦搰〸㑥攴昳ㅥ愴㐳㐹愰㔰攴㐷㠱㌱ㅦ㈳㤰㙥捤ㅥ㠰挷〹㜸㠲〰㝡㍡ぢ㘷㑦㈲攴敡㜱ㄱ捦ㅥ昷㌴㐰㘰敡㈳㤷搵挶㐲戶捦搰敡戳戴晡〵〰慥㐱昵㜹㈶搳㠳敡ぢ㌸攷愰晡㈵㈰㤵〷搵ㄷ㌵㡡㥥捤㙢㍤愸搲〳摡ㅥ㔴㕦㐲昲挲愰晡㡡㌶昶ㄵ攲㌹愸昶戸敡攴㥤㥥慣ㅥ摥昸㔱捤㈶扦㥣扦㉡㕣㌶愸搲㑢摡㙥搳㐳㔰㙥㤶扣㙣㔰愵て戵戴改摦㘱㕢搱㤹扡㘸㔰㝤つ摡㉥摢搴㝣㕤㤷改〷㈴挵ㅦ摥〸㐰㐳㜶㘶㔵敡㈷㥣㌹捤挶ㄲ攸慥昸㈶㌰收㕢〴晥散つ㜸㥢㠰㜷〸愰㥦戶っ慡敦㈲㤴ㅦ㔴ㄵㅥ挲㌹㜶㕤㠳敡㝢㑣戶㥡挹攸㌶㕤㍡㔴搰㔷摡ㅥ㉡摥〷㘴慤㠷㡡㝡㈴ㄳ㡡㍥愰㘱扡㔹ㄷ㜵晢て愱敤㤲㈲ㄹ㘸晤㐸㐶㔶捣㡦㘸挴愱㠷㍥搹㑥㌵㕣㐳挵挷挰㤸㥦㄰㐸㝦㙤て挰愷〴晣㡢㠰扥〰㐸户晦っ㈱慦愱挲换㜳ㅢ㐳挵攷㠰攳〲㔸摦㘵㝦㜴愱㝤晥㑤晢㕦搰㍥摤慤㑢㠷㡡〱搰慤㘱愸搸〲㄰攱散㍦㌴㌲㄰愱㈲捥扥㠲㜶捤㥣㙤㠹㘴挲搹搷㌴攲㜰㐶扦㙤㠷㤲㐰愱挸摦〰㘳㝥㑢㈰㝤扡㍤〰摦ㄱ昰㍤〱㜴昳ㄶ捥㝥㐰挸㌵㔴攰㘵㝣ㅥ㤳搳㑦〰㠱愹㙤㕣㔶㕤㑣晤㑣慢扦搰㙡っ㠰㔲愶攸㠷扤〶愶㤲㠰〸㔳摣昷㔱㜴搷㉥㘲ち捦㌴搷㠲愹敤㤱㑣㤸敡㐶㈳づ㔳㈳愱昵㈰〲㉦㤹挲㕢扥〹摣挱ㅢ㘰㄰搰㥤〰扡㠲ぢ㔳㜵〸戹㤸挲㙢〳㍤㤸昲〱〴愶挶扡慣㌶㔲㘳㑦㍦㍤㘸戵㈷慤搲㙤扢昴摡愴慦戶捤搴挶攴㥢㐷〸ㅦ昷㘳ㄴ㝡㜲ぢ㔳扤㘸㘴ㅡ㐲㐵㑣昹愱㕤㜳㥦愲敢户㌰搵㥢㐶㤰㠳㝣㘶㐰敢㌰攵扡づ晢〰㘳昶㈵㤰扥攱ㅥ㠰㜵〸㔸㤷〰扡㡢ぢ㔳敢㈱戴扥昳挰挹昵㌰㔹摥㜶攸㐱摡〶挰㠳㌴扡㠴㍢ㄹ㌴㔲㘳㤳戶㈱㌳搸㠸ㄹ愴〱㜰捤㐴㥢㌰㤹㥥㠹㌶挵㌹㘷愲っ㈰㤵㘷愲捤㌴㉡ぢ搴㕡捦㐴ㄶ挰昶㑣戴㌹㤲ㄷ㘶愲晥摡㔸づ昱㥣㠹㈲〳㍢敦㥢晣㐸㙤攳㌶扦㉡摦㌹㉦昴㉤㥢㠹攸㘵㙥㌷敦㐵㈸㌷㑢㕥㌶ㄳ搱〷㕤㥡㜷ぢ搸㔶㜴㐶户㥢搷捥搵ㅣ〴㙤㤷捤㙢㙥愹换㐴挷㜵戶慡戹ㄵつ搹㤹㔵㈹㝡慥㍢〴戳〴㥡攰挱挰㤸㐳〸愴㔷扢〷㘰㙢〲㠶ㄲ㌰て〰㤹㠹㠶㈱㤴㥦㠹㍡㕣挹㕣昷㘵摢㌰搹㜰㈶㕢っ㠰慢攱〲搰㌹つㄷ挴㌹ㅢ敥㔰㐰㉡㌷㕣㐸愳づ〳㙡慤ㅢ㡥摥敤㜶挳㠵㤱扣搰㜰㔱㙤㡣㡥敦㙣戸攸晥〷㐴摥㥢搷扦昱㤸㙤㝦晤㝡昴收㕢㤷㌵摣㤱挰搹つ户㠲慣㜹㌵摣㔱㠰㐸挳挵㘱㕢ㅤ㡤㔰㔱挳㈵愱敤扡攱㐶攸㌲ㅤ㡢愴搲㜰摢搱㤰㥤㔹㤵愲㔷扤㐷扢㙣て㡣㌹㤲㐰㝡摣㝢〰㜶㈰㘰ㄴ〱昴挱㤷㠶㙢㐴㈸摦㜰愷戸㤲昵㐷㘶扡㐳㡣㘶戲㌱㑣㐶㤷㜸㔷挳㡤㠳捥㘹戸ㅤ㜱捥㠶愳挳㝣攵㠶ㅢ慦㔱昴愸㕦敢㠶愳攷扤摤㜰㍢㈱㜹愱攱㈶㙡㘳㜴捡㘷挳搹挷ㄷ扦㌶㕤摥扣捤搴㠳挶㡦敡㌱昹挰敢愶㝦㜱攵㈸㉣㝤㘴挱戱っ㌸扢攱慥ㄶ㈸㤲㜰㐰㜵㙦愹㕣〴㠸㌴摣捥戰慤㉥㐶愸愸攱㜶㠱戶敢㠶㥢愲换㐴㠷㝦ㄶ挹㥣㑡㐳㌸㤱捦㘵搰㝡戴换㌴㘰捣㕤〹㕣攱つ㤸㑥挰っ〲㉥〷㐰ㅡ㙥㈶㐲昹㠶攳㔷〰ㅣ扢慥戵摦㙥㑣戶㍢㤳摤〰㠰慢攱昶㠴捥㘹戸扤㜰捥㠶愳㌳㝦攵㠶摢㕢愳攸敤扦搶つ㜷㌳挰㜶挳敤㠳攴㠵㠶晢㡢㌶挶㉦っ戰攱㔲㐷ㅣ㌳㝦搲戱扦㡣㕡晡㍦て㝦晣㥤攱㉦扢攲昸捤〱扢攱攸挸捦㤲㤷㌵ㅣ扦㔷㈰つ㌷ぢ戶ㄵ扦㘰㔰搴㜰㈹㘸扢㙥戸戴㉥ㄳ扦㡣挰戶㌲㌳㌴㘴㘷㔶愵敥㠱搶㈱㤸㈵搰㔷㐶ㄶㄸ搳㈲昰㙦摥㠰ㅣ〱戳〹戸ㄷ〰㘹戸㌹〸攵ㅢ敥〱㔷戲㝥〵扢㑤㑣㜶〰㤳昱慢〴愵ぢ〳㝥㝦挰愶㠳捦㜵攵㈸㕤ㄸ㍣〳㠸搰搱㑣㈳晣㥡㠱㑤㠷㜶摡㙢㠵戶㑢㍡攴㝡㜹ㅥ挹㠴㡡㌶ㅡ㐱㍥昲攱㜷ㄲㅣ㉡㕣ぢ㠳㜹挰㤸〷ㄲ挸敦㉢㜸〰摡〹攸㈰攰㈵〰㘴㘱搰㠹㤰搷〲摤敢㥢ぢ㔸愰㉦〰ㅣ敢〲㝥㠵挱戱㍦㥡ㅡ㝢㕤㜰㄰敤㉦愴㝤㝥摤愰㜴搹戹ㅡ㍡㥢戳㡡扢㐷敦〳㈲㥣ㅤ㑣㈳ㅦ㈰㔴挴搹㘲㘸搷捣搹㠷㐸㈶㥣ㅤ㑡㈳づ㘷晣摥㠲㔳攴㐰愱挸㠷〱㘳ㅥ㑥㈰扦搳攰〱㔸㐲挰ㄱ〴昰㙢づ挲搹㤱〸戹㤶㥤㜸て戰挷ち敡㘸㠰挰搴晦戸慣㡥㉢㘴㝢っ㘲捤㘳㈱ㄴ扦㤲㔰捡ㄴ扦㠷戰〶愶昸㉤〵㘱敡㜸ㅡ攱搷ㄵ㡡㤸㍡ㄱ摡㌵㌳昵ㄳ㤲〹㔳㈷搱㠸挳搴捦搰㝡㄰㜱㌲㌰收㈹〴晥攲つ㌸㤵㠰愵〴昰慢㄰挲搴㘹〸戹㤸挲ㅢ㡢㍤㤸㍡〳㈰㌰搵つㄷ㤲㤳敤攸〲㔳㘷搲敡㔹戴㕡て㠰㤴昶㙣㠶㜴㘹㙢晤搰㤶晡㜴㤶昹摢㑡づ㌹㝡摥捥攸㕣搴っ㙦㘷㥥搲挷搳㍥攳㕥㌷ㅥ〴㐳〷捦搳戶㜶㍣〳慡㈹㝤㐵㑤㍥敤攳挸戸挷㍡㈵㉦戶㤵㘴㡣改㠵搲搴ㅥ昰㘳昹换㕢昳改㔹昰挲㕢㉥㤹㠶㠷㜱㉥㡡戸捥㉥㑤㤹昶戶㡥戶㕣㘷扦ㄹ昰攴敦挷ㄷ〵攳攵ち㠱搱戵㜳㘰搱㌳㑦㔶慣愶㤵扦㘲戳㠰㉦捥昴捤㙤㙤㍢愸㔵㑡㔳摢挱昷㈵ぢ㕦摤扢㌳ㅢㅦ昳攱戱〵挸昳昷㐶㐱晤〸㤸攷挳㐴㝤㠳扦て挲㘸戵㉡攳〲㠴〷㡤ㅤ㌳㜶晡㉣㉢㤷ぢ㈷攳戱㘸㌰ㄱ㑢㐴㐲搱㘸㉡ㅥ㑤㈵㤳㤹㘰捣㡡㘷㘳㤹㐰挰戸㌰て㑤〷㔲㔶㌲ㅢ捤㘴慤㐸㌴ㄲ㡡㘴㔳搱㔸搸ち〷㈳㈹扣㡦㌵ㅡ㑤㐷晣㝤戵㜹㜳ㄹ搲㤸ㄷ㐱昸搷㜱㔴ㄷ㔳戵㥣慡㜵ㅤ㔵ㅥ㔵扢〱㔴㙢敢㍢ぢㄳ戸㈳㠱ㅦ㑥㔶㔹㌵摤扢㤷㜹㈹㤴昹摣收㕦愵㙡ㄸ㥣戲㙢昷〳捤愵慥つ摥㠹㡡㕢㤱㠹㔱㑥㝣㤳㤰㔵戹ㅣ挲攷摦㄰ち敡㡣㉢㄰散㍤㜶捣慣攲摦㈰㌲慥㠴扡㈷搴昲攰㙤㍡摥愰㙣㕣〵㑤㉦㘸㕣摦㌱昰㙦愴慤㤸㉢ㄱ㘹づ㘰ㅥ晤㈱搴㈶搰㑢摢㕥〳㍤㑦攴戳ㄹ戴扣ㅥ搴㑣㔴㠴扤㄰ㄱ㔵挶㜵㠰㔴散㕡㙡㍡㘰散㕥挵摤㘳㜳㕡㐲㘲昳㝡㈴㐶昷攸㠷戰㜴㡦ㅢ㄰戶扢㐷㍡ㄵ户戲愹㔰㌸㥣づ㘷㈳㤹㘰㌶㤹㑤挴攳搱㐰㈰ㅤ捣㈴㈲㠱㐰搸戸㌱て捤㠶〲㤹㡣ㄵ㑣㈴攳㤹㐸㈴㤰捡愶〳㔶㈲㤴捣〶搲搹㑣㉡㤲戶㘲晥晥摡扣㜹ㄳ搲㤸㌷㐳昸〷㌸慡㕢愸扡㤵慡㉤ㅣ㔵ㅥ愵戶㠴㡡㕤㐴㑤㐰ㄵ搸㝣㌸挷㝥㌶㤳摣〵攱昳㙦〵〵㜵挶摤〸㝡㌴挳㍤㔰ㄷ㌷挳摦愰㈹㙤㠶挱摡㡡㜹㉦㈲攵㌷㠶攴搷㠶搴搶搰㑢㌳㍣〰㝤扥ㄹ㠶㐱㉢捤戰〳ち㤴㙦㠶㠷〰愹摣っ摢〳㕡摥っ摢搰ㄲ㙢昴〸ㄲ愳ㄹ㠶㈳㉣捤昰㈸挲㜶㌳㈴ㄳ㤹㜴㌸㘷㐵㠲愹㙣㍣㤲㐸愷㜱戱㘶〳愹㐴㈲ㄷ戲㌲㤱㜰㌶㘷㍣㤶㠷㈶㔲搱㕣㈰ㄷ㑥㘵㐲㤱㔴㈴㥡戰搲攱㜴っ㑤ㄶ㠹〶愲㐹戴㡤攵摦㔶㥢㌷ㅦ㐷ㅡ昳〹〸㝦挰㔱㍤㐹搵㔳㔴〵ㅤ㔵ㅥ愵㈲㔰㐹㌳㠴摣捤昰ㅣ㤳㍣て攱昳㐷〱挰㕦㤵昱〲㠲ㅥ捤昰㈲搴挵捤昰ㄲ㌴愵捤㄰搳㔶捣㤷ㄱ㈹扦戸㈴扦扤愴ㄲ搰㑢㌳晣ㅤ晡㝣㌳㡣㠰㔶㥡㘱戰扢ㄹ㕥〳愴㜲㌳㙣改搹っ摢搱ㄲ㥢攱つ㈴㐶㌳㙣慦换㘱扣㠹戰摤っㄹっ㡡搱㘴㉡ㅡ㑥㠵昱㑥晦㜸㈰㙤㈵㘳戹㐴㌶ㅣ〹㈴ㄳ改㑣㈲㘰扣㤵㠷收愲戱㑣㉥ㄳ㡡㈵㔲改㐸㈴ㄳ㐱㤳㘵㌳搱㔴捥捡㘵㜲改㜸㈸ㄴ㌱摥捥㐳戳昱㉣愰㤹戴ㄵち㘴㈳挹㈴扥㙥㤳戵ㄲ搹㙣㉥㤲ち㈴㈳㠹㔸挴㑦扦㘳晣㘱㔷ㅡ㘹捣㜷㈹摥㠳昰敦攰攸㔷㔳昵㍥挵〷搴㡦㜲昴㐴ㄵㄲ愹㌱搰㑢〳㙥愰ㅢ㤰扤捣晣㠴愰㑦㈱㝣晥戱㑥㐲㕥㐷㈶慦ㅡ㤳ㄷ㡡㝦㥣愳晦㥣㉡扥攲㔵㝥㤴㑡㡤㠷㕥㥡攴㑢攸昳㑤㌲〱㕡㘹㤲㕥慥㈶㌱㌹㐰㜱㥡㔳㍤㍤搹㥦挸㐴㌴晣㌵㜰㘰㝦ㄲ挲㜲ㄱ㝣㠳戰㘶㍦ㄵづ㔸㤱㕣㉣ㄷ㑢㘷㈳㔹㑣㕢昸㤵扤㑣㌲ㄹ㡥〵ㄲ挹㘴㍣ㄷ㌷扥捤㐳愳攱㕣㈴㥣㡢〷㘳㠱㘸㍣㤲㑡㠶ㄳ昸㘹㍥戴㐵㈲㥣㡤㠶搲㐸敡愷㠳戲搴晥㍢愴㌱扦㠷昰㑦㜶㔴㠵戱㘸ㄷ㐷㐵㠰㐹愸㥡〶㤵㜰㔸慤㌹㐴戸捡晣㤵昱㝣㉦㥢捦扦㉢ㄴ愲㉢攱㜰扡愳慦〱㑣㝥㕥㑢㝥㘸㑢捤㠴㕥㌸散づ㝤㥥挳摤愱ㄵづ扦晢愱㌰扡㤸散搶挲攱㌷搰㤶て㈴㝢㌰ㄱ㡢搳〳愶挰攱㥥㍡㑢愳㈷挲㌶㠷攱㔰㉡ㄴ捣㠴攲㠱㑣ㄸ摤搲ち愶戳愱㔸㈶ㅡ㠹㠷㈲㤹㘴㈶ㄶ㑣ㅢ昵㜹㘸㉣ㅥ㑡〵攳挱㘸づ慣㐵㤲搱㑣㈲㤴㐸〰㤶换㘰ち㐸挷㌱收昴捡㐳㌱㈶㈵㘲㤹㔰㉡㥢㡤㠶㈳㔶㈰㤱㐸㈵㘰㌴ㅤ〵改戸〴㠲㈱晦㕥扡㈴㘶〳搲㤸㝥㡡摥㄰晥扤ㅤ㝤㐹て摥挷搱ぢ㥥㔰㐹愴昶㠳㕥搸晦ㄸ〴㜰㈶㤰㌶摣㤰昱ㅢ㐱昸晣戳㥣㠴㈵散敦敦攸㌷㈳㜶㐷㤲㌴づ㐲愵愱ㄷ昶晢㐳㥦㘷㍦ぢ慤戰晦戶㈷晢㙦㝡戲㑦昷㘵㘱㝦㄰㑣㠱晤㥣捥搲搸ㄲ㘱摤㠳㠳挱㜰㉣ㄹ㑣㘶㔲戹㐸㈴㤶挹愶㔲挱㄰㐶昶㔸㈰㘶㠵攲愱㘸摡搸㉡て戵㠲㠱㜸搴捡㘶㐲㌹ぢ挳戸ㄵ㑣㔹㤸㠴㤳改㔴㈰㤲㡡挷㈲㔶摡ㄸ㥣㠷㘶㔳戱㙣㌰ㄸ户㌰㉤愷㈲愹㤸㤵㑥攳捡㐸㕢搱㜴㌲㤶戰㘲攱愰㝦戶㉥㠹㌹〴㘹捣慤㈹㠶㐲昸攷㌸晡ㄲ昶㥢ㅣ㍤㔱㌶㥥㈹㔵㌳昴挲晥戳㙥昶挳〴㐵㈰㝣晥ㄶ㈷㘱〹晢慤㡥㍥㐱散㘴戲扦㌳搹㥦〷扤戰扦ㅤ捤㔳挳㑦㍢戴挲晥挳㙥昶㌹戳㑡摦㝦搰㤳晤づ㈶〲挰ㅣ〵㔳㘰扦ㄳ㘱ㄹ㍦ㅡㄱ戶搹㑦㐶戳攱㑣㌶㥢つ挷愳挹㐸㌰ㄸ㑤㘵挲愰㈸ㄶ㑣㈶慤㔸摣捡攴㡣搱〵㘸㌲㤸㑥㘴㠲愱㘰㌴㤶㡢㈴㔳昱㔴㌸㠶づㅥ挵㑦㠱㘶挲ㄸ晥㤳晥昹摡扣㌹〶㘹捣戱㄰晥〵㡥㙡ㅣ㔵㍢㔲㜵㤰愳捡愳搴挱㔰〹㠷㜷㘸づㄱ挶ㄷ㉢㤸㘴ㄲ㠴捦㝦〸ㄴ愲攳㈴㙡㜲捡㌴㌹㑢晡ㄷ㍢晡㈹挴昲㑤扡收㜴㠸摡挳愰㉦㕤捥扡扥ㄴ敡昲搴攵㤷晣晣㉥昷㘹㔹ㄸ昷捥改㌷捤㑦㠵て㕦㈷㔵㝦〶捦慦ㅡ摢㤳㜲㡤昷〴㔲㠵㝤晥挲愵㜹㈹〷挵㑢㝡㕤㌷昹㐹㠵摦攷㐷收慢扤ㅥ㉤戶㜶戹戰ㅢㄷ㙥晦㥣ㅢ〷㥦㌹㥤㉤㡣㉤挰挳搱㘶搲敦㘷㐰攱ㅣ㙡㠹㤷戶昶〸㘸搷摥㐹㤱㔶晢ㄶ扥㔹挹敦搰づ㙤㠶扦收㕡㝣㘵㜹㈶捡愲㡥昲㉡㠳ㄲ扦㌷㔸㌶㜷㈷〶㈷㐰㔵愹攳㈰攵㍡扤摡㜵㥤ㅡ㝢〲㔲㜹改㜵㤵搷挵慢㡥㜷㜲摤ㅢ㠹つ搸收挷㝦〲戴扣攸捤㝤愰慤敦收㍦㤱戹攲昰搳㈹㑥㑥㑥㜶㑥㑥搱㈷つ愷攲㠴㌷㌹㌴昰㕦㍤晣昴㜶㘳㉥挶扥㈸㡤挷攲昶㉦㔰ㄷ㉦㙥昷㠳愶㜴㜱㝢㥡戶㘲捥㐲愴晣摥愰晣昲愰㍡〳㝡㕥挹㍥㜵㌱ㄸ㘲㑦㘳㕥㍥㌳〳ㄸ㝢捣㤹〸㤶昷㤸戳㍣戵㘷㐳换㕥㘳㕡㐸慣捥昵挴㥣敦㘸㘷ㄳ㠳慣㄰慥㔲ㄷ㐲㑡㡢㥥攷㙡㔱㤳㉤㉡㈳敦㌹㥥㡤户捣㌱㌵ㄷ戸㝣攳搱扦㑤ㅡ慦ㄹ㕡㌴摥挵捣〰㠷㝦戹㜳㜲㠹㜳㜲愹㍥㘹戸っ㈷㝦㑣攳慤㠰㘵收㘲戲昱㑣㌶㤵挹搶昱㕦敥攸攷㔱㌵㡢㠸晤㈰搴㤵搰ぢ摤ㅤ搰昳㐴㍥㉢愱ㄵ㝡㑥㜶搳㤳㕦㤴㥤攸㐵㡦晦㙡㈶愲攱㠳㘰ちㄳ搳㉡㥤愵戱㄰㘱㝢㘲㑡攷㌲挱㘴㍣㠰愵㝥㈸㠵㐵㔹㈲ㅤ挲㉤ㅢ㜶㘴攲攱㌰㤶㕤昱㤴戱㈸て㡤㐵戰敢㤲㡢㕢戸愱㐸㐵攲挹㐰㌲ㄶ挰扡〰换戳㈰敥戵㜳㤹戰㜱㜰〱捡㥢挳㜰〸㐷㌰ㅤ㐹㔸㤸户㌰㥤㠵戰㑥㐸㠶攲改㔰㉥敤愷㍢ㅤ晥昰慡㘱愴㌱ㄷ㔳ㅣち攱扦搶搱㤷㉣ぢ慥㜳昴〲㤵㐴挴慢ㅢ愰㤷㈹㙤㌱〸挸㉦捡㡥愱扤㘳㈱㝣晥ㅢ㥤㠴㈵换㠲㥢ㅣ晤㠹挴收㔸ㄴ㡢㕣摦〲扤戰㝦ち昴㍣㐱ㄸ㡥㝦㤰挲㝥扢㡢㝤㘳㈹㈰㤵㠷㥢㜹㥥㑤㜲㍢㉤㌱户搳㤱ㄸ㑤㜲〷挲戲㔶㌸〳㘱扢㐹㜰㡦㤰挲㍡㌷ㄱ挸挶愲㤱㜰㌲㥢ち㈴㈲挹〸戶㌸搲戱㄰㙥扣㈳挶㤹㜹㘸搰㡡攳㍥㍢ㅢ捦愵㌳〱慣ㄵ㈲改㔰㌸ㄳ㡡㘲㠹㤶㡢㘱㕤㥣ぢ晡敦搴收捤戳㤰挶㍣ㅢ挲㝦㤷愳㍡㠷慡㜳愹扡摢㔱ㄱ㈰㔰㜵㉦㔴㐲㙣㑥ㄳ㡢㌰㕥㔷换昸㘵㄰㍥晦㝤㔰㠸慥㠴搸晢ㅤ晤㈵挴戶㌰㔵㌳㈹㝣㄰㝡㈱㜶〵昴搲愵愹㝤ㄸ㕡㈱㜶㕦ㄷ戱㠵㝢㡤扤㍤㌹愴ぢ㥤㜰㜸ㄵ㑣㠱挳㐷㜵㤶挶㑡㠴㙤づ愳㜱摥㍦㈴㔳戹㔰㌶ㅤ㠹愷㉤摣㐷挴攳㠹㘸㉣㄰㠹挶搳搱㔰搲戸㍡てつ㘱㈷㌱㠲㘵㙥㌶〸㘸㈶ㄹ㑤㘲昹㡢㝢扣㑣〶㌷㄰㌱㉢ㅣ㌲㔶攵愱搱戸㘵挵㠲ㄱ㉣挸㉣散㐰攱ㄶ㈳㥥つ挴㜳〹摣捡㘰㔵ㅤつ挷晣㡦改㤲㤸搷㈰㡤㜹㉤挵㜵㄰晥挷ㅤ㝤㐹户㝥挲搱ㄷ攳搵搳搰ぢ晢㤳㌵晢㜲慦㜱㉢敤摤〶攱昳㍦攳㈴㉣㘱晦㔹㐷㝦ㄷ戱㝣㐵慡挹ㄷ慥慡攷愱户挷昸戱戰㔸ㄸ攳敦愵㌵㡣昱㉦㈰㕥㕡愷㘸㔵昰愲愷㤶捥㜹㌲挶摦㡦挴敡ㄵ㑦捣摦ㅤ敤㠳挴愰〴〸㔷愹搷㈰愵戵㐷扡㕢㍢㍦挶㙦攷搵摡敡㜵挷搴愳㌰㤵ㅦ攳摦㠰㔶挶昸挷愰挵ㄸ晦㈶㌳挰攱愷㝢㥤㥣扣敤㥣扣愳㑦ㅡ摥挵挹ㅦ㌳挶扦〷换捣愵㜴㡣㕦敤攸㥦㐲㈹攵㈷㕦㑤扥晥㔵㝤〰扤搰晤慣愶㐷㉥㠸て愱ㄵ㝡㠲㉥㝡㡣攷〱愹㍣捡㙣敢挵㤹晦㈳㕡㘲㜹㕥㈴㍢つ晥㡦ㄱ㤶㔱收㈵㠴敤㉢㈴㤲㑢㐴㐳㠹㘸㈰㡤㕦攲挳敤㜲㌸㥤挹挶挲搸㈶㑡攵㜰㐷ㄷち㐵㡤㤷昳㔰っ㈵挱㙣㈰㤱㑥㘵愲㠱㐸〲挳㜷㈰ㄹ戰〲戸㠷挹〵㜰㘳ㅥ㐹昹㍦搱收捤㔷㤰挶㝣ㄵ挲晦愹愳晡㍢㔵晦愰㡡㡥㝢搲㡦〹㄰愸晡ㅣ㉡改攷㠳㔰㡤晣敥敡㥢㡣㝦ぢ挲攷愷㐷ㅥ晥昰㤶㌴㌴戶敢㡥攴ぢ㐷晦ㅥ戱㐷㄰戱〴㐲晤〷㝡㈱昶〳攸㠵㔴㙡扦㠲㔶㠸摤搸㐵㙣㘱㤴搹搰㤳挳慦㤹㠸㠶㍦㠶㈹㜰昸㡤捥搲昸〴㘱㥢挳㘰㍡㤴挹㘰㌲㡣㠵戰㈷㤷㡥〶㌰㜸㠴攳挹㑣〰ㅢ㜵愱㐸㍣㥡㌰㍥捤㐳戱ㄵㄷ捥愵㜱搷㥤㠸㘰㐰㑡㘶㤲㘹㘰㜳㐸㥦㑤愵㌳ㄹ捣戳晦捡㐳挳搱㜴挲捡㠵㈳㘹㍣散㠸㘴㐲㤹㐴㈶㤴挵っ㥤戳搲ㄶ戶㌵慣戴晦㕢㕤ㄲ昳㌳愴㌱晦㠷攲㜳〸晦㜷㡥扥㘴㤴昹摥搱ぢ㥥㔰㐹愴㝥㠲㕥搸敦愱搹㤷搶昹㠶昱摦㐲昸晣昴昲挳ㅦ摣戳挹㝥㘱㑦敥ㄷ㐷晦㈳戱挷ㄳ㜱ㅣ㜹收ㄵ㈹散晦〲㝤㥥晤㙡㘸㠵㝤攵挹晥慦摦㝢敤㈷㜵㘳㈲ㅡ慥挶㈵て昶㙢㄰㘶㔱㡣㙥〸摢散㘳搳㈱ㄱ捡㐴戳㔶っ㑢㤷㘸ち慢ㄲ散㍤攴戰换挱摤〸㜴㔷愳㈶て㑤㐵㐲㈱㡣昲㤹㈴㜶昰㈲改㜸㉡ㄹ挸㐵㔳㠹㘰ち昷攰㈰㍦㤷㌰㙡昳㔰㈴㑣收愴挷㠷㌰ㅤ愴㌰㘹㈴㔳搸㌵挱扥㈸昶㕦㘳攱戴扦㔶㤷挴㌴㤰挶散㑥㔱〷攱㌷ㅣ㝤〹晢摤ㅤ扤攰〹㤵㐴捡〷扤戰晦㈵〸挸㉦㕤晣㡣敦つ攱昳昷㜰ㄲ㤶戰㑦㘷㐲㘹㤵㜵㠹㕤㑡㤲㑥㈵晢扤愰ㄷ昶㌷㠰㍥捦扥ㅦ㕡㘱晦㈳㘴攳㍣㉢㈸散㠸晥搳㤳晤摥㑣㐴挳㥢挰ㄴ搸敦㠳戰㡣ㅦ㥢㈲㙣戳ㅦ换㐵㐳搱㜰㈲㤰〰晦㤱㜸㈴㤲捥〵㤲㌲攳挶㈳㌹㌴㐱搸搸㉣て捤㘶攲昱㔸㌸ㅥ挱㔶㕥㌸㤲ち〷ㄳ挱㘰㈲ㄵて攴慣㜰㍣㤶挴慥㥥扦慦㌶㙦㙥㡥㌴㘶㍦〸晦㍡㡥慡戰㈳扡慥愳捡愳搴〶㔰〹㠷㙦㘸づ㠵㤷㉤㘹㘵㉢〸㍣㈴〳㐰㜴㈵ㅣ㙥攴攸㠷ㄲ换ㄷ攲捡㉦㌶慢㑤愰户攷挹ㄷ㘱戱㌰㑦㙥㑢㙢㤸㈷㌷㐵扣㜰㕣㌴㑦㙥收愹摤ㅣ㕡㤹㈷㠳㐸慣晡㝢㘲戶㜰戴㘱㘲㔰っㄶ㔶つ㠲㔶摡散㘹㜷㥢攵攷挹㈷扤摡㑣㙤改㤸㡡挳ㄴ晥攴攳摦ち㕡晣㔵㤹〹愸㌰㑦づ㘶〰㠷㝦㠸㜳戲戵㜳㌲㔴㥦㌴搰搱敦㡦㤹㈷户㠱㘵㘹㡥㝤㌹㜰ㄴ敥㠵㠶㍢晡敤㔱㑡昹愹㙢昳㐲ㄴ㔲〵愰户㥢攳㠱愲收㘸〴㡣捤ㄱ㐴㝣㜹㜳㠴㍣戵㘱㘸愵㌹挶㈰戱㡡㝡㘲攲㡥㜶ㅣ㌱㈸㠱㌴㐷ㄲ㕡㘹㡥扢㍤㥢攳㑥捦收ㄸ攱㤸㥡〰㔳昸戳㥢㘳㍢㘸昱㠷㕤㌷愸搰ㅣ摢㌳㠰挳㍦搲㌹搹挱㌹ㄹ愵㑦ㅡㅡ㜱昲挷㌴挷㘸㔸昶㙡㡥㌱㡥㝥ㄷ㤴搲扣っ攵㌳㉦㠵㔰攳愰户㥢攳㠶愲收搸ㄵ㌰㌶挷㡥㠸㉦㙦㡥昱㥥摡㥤愰㤵收㤸㠱挴㙡愲㈷㘶㘷㐷扢ㅢ㌱㈸㠱㌴挷㉥搰㑡㜳慣昲㙣㡥㤵㥥捤㌱挵㌱戵ㄷ㑣攱捦㙥㡥愹搰攲慦捡摣ㅢ㉡㌴挷㌴〶㜰昸㜷㜵㑥愶㍢㈷㌳昴㐹挳㑣㥣晣㌱捤戱ㅢ㉣㝢㌵〷扤晢㐴扦ㅦ㑡㈹㍦扡㙥㕥㠵㐲慡㍤愱户㥢㘳㜹㔱㜳愴〱㘳㜳散㠵昸昲收搸摢㔳扢て戴搲ㅣ㔹㈴㔶㝦昱挴捣㜲戴㌹㘲㔰〲㘹㡥ㄴ戴搲ㅣ攷㝢㌶挷戹㥥捤㤱㜶㑣ㅤ〰㔳昸戳㥢㈳〳㉤晥昰昳㙣㔰愱㌹戲っ攰昰㕢捥㐹捥㌹㤹慤㑦ㅡ收攰攴㡦㘹㡥㈶㔸昶㙡㡥〳ㅣ㝤ㅢ㑡㈹㍦㕢㙦㕥㠷㐲㉡㜱挳挳㠹搹づ㍤改㤱㑦㉢搰㐲捦㈹㙥㝡昲㑦ㄴ㑥昲愲挷摦挶㐴㌴戵㠰㐴㌴昸攷㈱㉣昳敦㐱〸摢昳㙦㌸㤵挳晡㌱ㄷ㡦㕢〹㍣攲㡤挷㤳戱㘰㌴づ㘷㤸㔰㍡㤱㠳㝦㐴挸㔸㤸㠷㘲㉢㈱ㄱ〹收㈲搸㉣㐸㐶㘲㈹ぢ㑢㝣㉢㤷㐸攳挱㘴㉣ㅥ㡢愷㘳晥〳戵㜹㜳ㄱ搲㤸〷㐳昸摢ㅤ㔵攱㠹㐲㠷愳㈲㐰愰㡡摥㝡㌲晦ㅥ㠱㙡攴搷敦㑢ㄸ㝦〴㠴捦㝦㄰〰挲攱ぢ㌸㜱慤摦ㄷ㍡晡㘳㠸攵扢㤰㑤扥㔹㔹ㅤっ扤㜴搹攳愱捦㜳戸ㄸ㕡攱昰㈰㌷㠷昹捤慦昹㥥ㅣㅥ捡㐴㌴㝣㌲㑣㠱挳挳㜴㤶挶㈹〸摢ㅣ㘶㘲㠱㉣㥥㠷〷〳㤹㜴㉥ㄲ挲扤㑣㌴㤷ぢ㐶〲戱㘰っ㙢㤵㘸㌰㘴㥣㥡㠷〶攲〹慣挷㌳戱㕣㌲ㄵ㡥㈴攲戱〴㌶戸攲〹㉢㤴㡥㠷慤〴ㅥ㜴ㄹ㑢昳搰㘸㉣〶〷㤴㐰㈶ㄷ捥挴㈲戱㕣ち摢㌲㜸㘴㙣挱扢㈹㤴㡡愷㤳㔹晦攱扡㈴收㘹㐸㘳㥥㑥㜱〶㠴㝦㠹愳㉦㔹㐱ㅥ攱攸昳㔰㐹愹㡥㠶㕥搸㥦慤搹㤷昵晢〵戴㜷㈱㠴捦㝦㡣㤳戰㘴昵㜳慣愳㕦㑥㉣摦扣㙣昲㍤捥敡㜸攸㠵晤换愰捦戳㝦㈲戴挲晥㕦㍣搹摦挷㤳晤㤳㤸㠸㠶慦㠴㈹戰㑦攷㍥㜶〴攳㉡㠴㙤昶ㄳ㈹㍣〱㑢愴㘲ㄹ㍥ㄳ挳㕡㍥㤹挱㐶つ㥣㜵㔲㤱ㅣㅥ㠱㈵攳挶捡㍣㌴㥡㠹愶㌳㤱㘰挸ち攷㔲㜰㜸挸㈴㜲戹㘴㈰挴敤挷㙣㌰㙡㠵戱㥤㤳㠷㈶㌲ㄹ摣㥡愶愳㠹㕣㤴扥㐰戸㙦挲㥥㑦っ摢㥡㘱㍣扣挷摥㡤晦ㄴ㕤ㄲ㜳ㄵ搲㤸搷㔰㕣ぢ攱㍦搵搱㤷戰扦搴搱ぢ㥥㔰㐹愴捥㠰㕥搸摦挵捤晥㉤㡣扦ㄵ挲攷㍦搳㐹㔸挲晥㔹㡥晥㑥㘲ㅦ㈲㐹て㐲昸捦㠶㕥㈸扢〷晡晡㠶摡昳ㄱ摥慥昲㝢㜰㕣㕥㕣㐳昱扡〸扣愸搷捡攲ㄵ㤹昸〹戵捥㐵㍢戶㜶戶㉦㘲㙦攸㠶㔷㘴摡㉦㤶慣愹ㅥ昱晢㙣昱㌹ㄷ㕦ㄲ挲㑦敤㔸搴昵㝦㘱㠷㝤慡昰㜰㡡ㄶ昹摤ㄱ昳㕥㔴戸㜶ㄹ慡敢昹㍡ち摢慦㙤〶摥つ㙡つㅦ㍢㈶㍥㝣挷㠵ㄹ慢㜹㉣㕥晤〱愷㌶㈴慣㕡户㘵㘲〷㑥昱搳㜱㌳摢㐶换ぢ㈹攸㜸搹摢昱㝢ㅢ敡晣㝡晣愰㠲挶㜹摢㡢㤳㙣㙡㝢㍥ㅤ㝥㡤ㅤ㝥㡥㠸ㄸ捡摦㥡㕦户㄰㜲扤㤸㜳攳㠲ㄶ㉦昹〱攱㔶搶戱搸㠱户っ搶㔴㜷㉢晢つ㌶㜹㉣㍡慥慤〵扦愸㌹㥣㙦攲愴戵昶戶收㠹㔹ㄲ戰戱挷㙢㐹挷㌴㜵捡㙢㝤㌷㐱扣㌲㉦〰㌹挶晤愸慤㌱㜲攰㥥〳挳搱摡㔱㘸㠸搲搷㉥㔴捣愳㤸㜶收挸㑢搱㘷㍥〸㠳敡㈲㤸㈶昷捡扣㤰㤹㍣㙣㘷㌲ㄱ㤹愸敤㤰〹㌳㘲㑦昲㤹㡦ㄲ㝤㌱㌰㔴搱㠰㕡慥〳㡣㙦㔸㠱〰㔶昵㌲㤳攳㍦攷昸㘲㤴㍥㙢戴晦慦搳晦晢ㅢㅢ㉥㜷㔲晣㐵昵㍦㘳㜴敤扢㠷㤷扥昷摦㝥㕢挲慢愳晡昶收㜱晡㈸戵ㄲ㈹〶挱㑥改㡦㜰挷㔰愲搷昱挳㜰㘵㍦㑡ㅥ搵ㄱ愵㍦㑡敥扦〶㤶攴㘲㝢ㅡ戵慡㙦㔰搷㈳捣ぢ㑥㠵㤱㠲扤㕣㍡收戳慣昲㑤㔰摢〴摤㠰㌳攳㜹攸扡㡦ㅣ㌸㝡捣挰㜰㐰㙤ぢ愴㐳㠷捦㝣㤱昰㥢昳昰ㅢ〹㝦ㄹ㍡㌴摡慥㐴て搵㘸㥢捦㔷㠹收敤慤㘳㐰摤慡〳挲攷㥤〸晣㌶㍥敦㜲㔲㔴攲㌳㉣挷㐳愳㠴㑥昲㜹㉦㔲㜸昱戹㈵ち敡挹攷㈰ㅤ㔱晡愳收晥〷㘰㐹昸㝣ㄳ戵〲㥦㡦㈰㉣㝣㙥㠱ㄴ㜹㍥摦㘶㤵ㅦ㐷㤴捤攷愳㌸㌳摥㠵慥㜶攴挰扤〷㐶搵收㥡ㅦ扢㜷慥㈶昸㠹㍣昸㌱㠲㍦戰挱扢〰扣戱〶摢㘴㝥㐸昰㤳㠰攴挹㝣㑡〷㠴捣攷㄰昸㙤㘴㍥敦愴愸㐴愶摤㥤〷㌶㕥戳㡡挷て愳搴换㐸攱㐵收㝡㥡戳戲捥戹慥㡥㈸晤㐵㜴㍦扤っ㠵捣捦㔰㉢㤰昹〶挲㐲㘶㕦愴挸㤳昹㌹慢晣づ愲㙣㌲摦挴㤹昱〵㜴散㥣㍢てっ㐵㔴㠳㘶挸愶昳㍦㠴扦㥢㠷扦㐵昸㔷ㅡ㍥㠹昰ㅥㅡ㙥ㄳ晡つ攱敦攵攱㙦ㄳ晥㥤㠶㑦㈶扣扢㠶㈳〲㠳挳て㠴㜳收㈴晦㔴愹昷㜵㐰㐶㡡て㜴㐰ㅡ攳ㄳ〴〰㕦晢㤱挲愶㝡㥤挶㠶㑦㥤㤴㕤㌶捡扢挷㌴摡㈹㑥戰晦㙦㕣摡愸㍥㐷㑡慦挶愹㐶㜱㍤㝢扡搲ㄱ愵扦搶敥晦ㄲ㤶愴㜱慡攰搴㠲挶昹ㅡ㘱㘹㥣㕦扦㜳㌵㑥㌵㈲ㄵ扤昶散挶愱㈷愱㔱〳㥤っ〵㘰敦㐷㠰㐹㤵㑤戶㐱昴昷㜹㌴㥤〹㡤㍡攸散㜱〶昰㙦㌵摣㙥㑡ㅦ愲ㅡ挸昲㙦敢搲㠴㑢㡡㉥搹慢摡㑢㜷㘹㕦愳愲扦攰㈰㜰㔹㍡摥晥〷挵昱㘴敤㑢ㅤ㔱晡㥢敥晥敥戰㈴慣昹㔱㜶戰搶〳㘱㘱敤摦㐸㤱敦搲㝤挸〳晤敥㙣搶㝡攲捣㔸㐷昳㌰㜹㘰㈴愲晥愵㜹㐰摤搱改搶㈳㥣ㅥ㝤㌶㥣晥㠳挶〶ㅡ㍥㠹昰㡦㌴摣㘶㜹㈳挲改搰㘷挳㝢ㄱ扥㠹㠶敦㑣昸晢ㅡ㙥戳扣ㄹ愲ㅡ攸摦昷晢晡㉡㥤〲㈵㘵㤷㙣㝢昵搵捤㤰㜲㤰〷敢㙦愳㜸㥥慣扦愵㈳㑡㝦㐳摥摦ㅦ㤶㠴昵㠱愸ぢ㔸愷㝢愰戰晥〶㔲攴㔹摦㤲扣搰换捥收㠵㍥㠳挶㘰捤换愴㠱攱愴晡扢收挵愶㜱㙢挲户捥挳户㈲㝣㤸㠶敦㑣昸㑢ㅡ㙥搳㌸㥣昰愱㜹㌸㝤〷㡤㠰㠶㑦㈶晣㌹つ户摢㌴㠴愸㠶㌰㐱㘰㠰ㅦ搷㔱㜹㉤㘱㠳㌰㐲搰ㄹ昰昷戱㥥㐰捡㐱戰㔳摡搷㥦㐴昱㍣㔹㝦㐲㐷㤴晥㘶扤㝦㍢㔸ㄲ搶ㄳ愸ぢ㔸愷㕢愰戰晥ㄸ㔲攴㔹ㅦ㐱㕥攸㥣㘷戳摥㠸㌳㘳㝢攸㘴㠵ㄷ㐹慡㠷㌴㉤㌶㡢㍢㄰㑤㕦㍦ㅢ㍤㥡攸㐶ㅢ㍤㜱㈰搰昷㘹戴摤㐴㘳㠸收㥤㝢㝥㌶愴㑦愰㌳摥㌴搰攵て㝦㙢㑦㙦挳㈴㈷㐵㤷㥤戹㙡㠷挲㙣㌸〵㈹〶㜹搰㜹㤷㘶慤㙣㌶扣㔳㐷㤴晥攴扤愲攷㥡摣㤵㑥㘰慤㘰㤲ㅦ扦戳〱慦挴㜷㡣ㄹ攵㌵㡣摥ㅤ㠹搸愱捣㐹㐸㠴慤㈴㝡㜷搵㌱扣㌳挲收㘴㡡㕤㈸愶㔰㑣愵㤸〶㔱㕦慤昶〱㔰ㅡ敢㝡㤴㈷摦㔸搳ㄱ愹攸㌷㌵㠸㌶㕥愷㌸つ挵戰㝦㌵㘹㔵愵㉡㕤慤㈳捡㝥㌷㤸慥㔵㔲愵㍤㘹ㄷ搶攴㈳㍥㔳㌴㕤㔴㤳搹挰㑡㑤昶㘶〱扢昹攷㈲㉣㌵搹〷㘱㜳㕦㡡扦㔰散㐷㌱㡢㘲㝦〸搴愴ㄹ㐰愹挹㜲㜷㑤搲㠸㔴㜴㌹ㅡ攴㔱㤳ぢ㉡搵攴㝣ㅤ㔱晡㈳扦晥づ㔸㤲扥㍥㠷㤹㌶㈸㝡ㅡ㐹愶攷扡㌳㍤㠰㤹ㅥ㠲㈸扢昷㉥挴㤹搱っ㥤扤㔴㠹〶搴㤹㐰㍢㝤搵㘷戶ㄲ㑥㑦ㅦㅢ㑥ㄷ㈴㘳㥥㠶㑦ㅥ〸昸㔲つ户㠷㡣㜶挲改づ㘴挳改㠶㘴昰㠵㜲戴㍥㠹昰㤳㌴摣扥㌸ㄶ㈰慡㠱㉥㐲扦㙦㠴愱㕦搱㥡㐷㤸ぢ㥥㙦〴扦昸㍡昰㑢昶晦ぢ㕥㙤㔴㈷㈲攵㈰攸㑡㐷㤸㘳㔱㍣捦ㄱ收ㄸㅤ㔱晡愳挲㝥㍡㈷〹敢㡢㔱ㄷ戰㑥㘷㈲㘱晤㈸愴挸㜷摡挳挸ぢㅤ㝦㙣㕥攸㘱㘴㉣㠱慥㤶户㈳㐹㜵㜸ㄱ㉢㐷ㄲ㑣晦ㅦㅢ㝣㈶挱㐷㐳㠷攱〸户㍡㐹㜵㠸㐶摢挳搱戱㐴㥦〳㡣搳㘸㡡㡥㐴昹〱收㐲〴昰昷ㅢ〶ㄸ㍡ㄵ㐹㡡慥〷㤸㜸攳㙥㜲扣㌲㑡㕤〲昸㈰て㌶ㄷ㘸搲捡〶㤸昹㍡愲昴㈷㠹晤昴㐸ㄲ㌶㑦㐶慤挰收㔵〸ぢ㥢ㅤ㐸㤱㘷昳㔴㔶昹ㅡ㐴搹〴搱搷挸㌸つ㍡昶㌲捣㘳ㄱ搵愶ㄹ戲㍢攵ㄹ㠴㕦㥢㠷搳摦挸㌸㑢挳㌱㑢㐶搴㕣つ户〹㍤㠷㜰晡ち搹搶㔷ㄱ㝥㥥㠶㘳づ㡥愸搹ㅡ㙥昷攱ぢ㄰搵㐰㝦愰摦搷㠷㙦㜳㔲㜶挹戶搷摡㠴㝥㐵㠳㍣㔸㑦愳㜸㥥㝤㌸愵㈳捡㝥〷㤹慥㐷㌲〶㕥挲慡挳愴㝣敥㜷戴㐵㘳㈰扤㠸㘴っ扣っ㔸㡣㠱㜴〵㤲㌱㜰〵挲收攵ㄴ㔷㔰㕣㐹㜱ㄵ挵㑡〸㡣㠱㡦〱㈸㑤戹〷㡡㤱㙦捡㔵㠸㔴㑦㈱㙡㔰扥㈶㠵搱㝣㝡愵㥡散慡㈳㑡㝦戴搸晦㉣㉣㐹晦戹㠱㤹㌶㈸㍡摤㐸愶㔳摤㤹摥挴㑣改㈰㘳户昰㑢㌸㌳㙥㠱捥扥㈳〸愸㥤〱㜶㉥㈰㥦㜹ㅢ搱慦收搱㜴挶㌱敥㠰㑥摦ㄱ〴搴㑥ㅡ㙥㜷㥦扢〸愷慢㑤晥㝡愴换㡤㘳慥㠱ㅥ㌵昸晢つ搷㈳摤㙦㈴㐵愵ㅥ㘲扦攷昷捥挲㕥挲㝢㠰て捡昳昹〶捦摥㠴㔰㘳㌴㙤㘵搷攳㘸ㅤ㔱晡愳挷㝥晡敥〸㥦昷愳㔶攰㤳づ㌸挲攷㈸愴挸㌷攲㠳慣㌲㍤㕡㙣㍥改㤵㘳㍣慣ㄹ挲扤㐲㔲㙤愷ㄹ戲慦挷㐷〹愷慦㡣つ晦㤴昰挷㌵ㅣ昷ち㐹ㄵ搷㜰晢〲㝢㤲㜰扡捡搸昰㝦ㄱ晥戴㠶攳㕥㈱愹挲ㅡ㙥昳晦㉣愲ㅡ扥㈱攸户戰っ㉣づ慣㕡改㙥戳收㌹挵敢㝡晣ㄱ㈹〷挱㐸改㥣㌲ㅣ挵昳扣ㅥ户搱ㄱ愵㍦戲散愷捦㡥戰晥㌲敡〲搶慢㔱㈰㘱㝤㈸㔲攴㔹㝦㤵扣ㄸ㠸戲㜹愱㌷㡥昱て捤ぢ㐶挱㠰摡㑡昳㘲戳晥㍡攱昴㤱戱攱㌵㠴扦愹攱ㄸ搶〲㙡ぢつ户㔹㝦㥢㜰扡挸搸㜰㝡攵ㄸ敦㙡㌸〶捤㠰摡㕣挳㙤搶㔷㈳慡㠱ㅥ㌳昸㕢晢扥㑤捥㠵昵摥㑥捡㑡㝤㕣㠰㘳㔶㌴捡晦㉢慦㙣挴づ攳慦扦搶慦㙡㔴昴扣昱㘲㝤㈳ㄴ捦㤳昵つ㜵㐴改㡦㍡晢改慢㈳慣㝦㡣扡㠰㜵㍡摣〸敢敢㈳㐵㥥昵㑦挹ぢ摤㕥㙣㕥攸㠵㘳㝣愶㜹挱㍥㘴㔴昵㉤攲攵㜳挲晢攵攱昴挴㌱扥㠰㑥㠶ㅡ愰ㅢ㌴摡㈶晤㍦㠸㘹搸ㄲㄸ㜴㠰戵㘷戱㠱づ㌶㤲愲ㄲ㝢て㝤㍤㜸摦愵て晥㜳㤴摦搹扤愵慦㡤ㄷ㙢㍥㑤㑥搹〸㘱敡㠸戲㕦㝥愶㍢㡥捣ㅤ摦戱愶㈸戶㝣㠲㡥戶㘸敥愰㘷㡤捣ㅤ㍦〰㡢戹㠳敥㌱㌲㜷晣㠸戰昹ㄳ挵捦ㄴ扦㔰晣㑡挱㘸捣ㅤ昴㤸㤱愶昸昵㕢㔷㔳㔴㈳㔲搱㑤愵㔰㤳挲摣昱〳㤰㥥敤晦扤㡥㈸晢㤹收㐶㔸㤲㥡搴搱慥㔳㤳㌱㡥戶愸㈶攳愰㤵㥡昸㔸挰㙥㝥㝡㤶攰っ摦戹㠴㌴㝢㔲搴㔳昴愲㘸愰昰㐳愰㈶㜴㌶㤱㥡晣摢㕤㤳㍥㠸㔴昴昰昰慡挹愷㤵㙡昲㠹㡥㈸晢㑤攵㕤㘱㐹㙡戲〱敤㍡㌵ㄱ敦づ㤶戱愸㈶昴攷㤰㥡㙣挴〲㜶昳搳㈹〳㘷㔵收挶㤰收㈶ㄴ㥢㔲㙣㐶戱㌹㐵㍦〸搴㘴㙦〰愵㈶敦戸㙢㌲〰㤱㡡捥ㄱ㕥㌵㜹扤㔲㑤㕥搳ㄱ㘵㍦㠰㥣㠶㈵愹挹㘰摡㜵㙡㤲㜵戴㐵㌵挹㐱㉢㌵搹㥡〵散收愷㍦〳捥昰㉤㐷㐸㜳ㄸ挵㌶ㄴ挳㈹戶愵〸㐰愰㈶㜴㜱㤰㥡㍣攷慥㐹〸㤱㡡㝥〵㕥㌵㜹戲㔲㑤㥥搰ㄱ愵扦㔶散愷㈷㠲㡣㉥〹㘶摡愰攸㑥㈰㤹㍥收捥㜴〴㌳攵愳㝦㝢㜴愱㡦㠱戱㍤㜴ㄸ㉥㈶昲昶改㈱㠰㥤愵㠴捦摣㠱㘸扡〰搸㘸扡ㄹㄸ㡤㌶㝡㑦愲敦搳㘸㝢㠸ㅥ㠳㤸㠶㈵挰搴㠲ㄴ晣攷㍥㉡㙦攷㌴搰㝢㐰㔲㔴ㅡ㕣散㐷ㄹ晦㉡っ㉥㜴㈴㈸㤰㔶㔸㝥摣愵戹㈹ㅢ㕣敥搴ㄱ愵㍦㘹散愷敢㠱㤰㌶〱㘵〷㘹㈷㈳㉣愴摤㡥ㄴ昹㈱㜹ㄲ㘹攰〳㝣㥢〶㍡ㄵㄸ㤳愱戳㙦㍡㈳㔱㜵戳收挱ㅥ㘴愷㄰捥攷昷㌶㥣㡥〵挶㌴つ挷㙡㈵慡慥搷㜰㜶㈶㝣㕢㡦㜰㍡〵搸㜰㍡ㄷㄸ㌳㌵ㅣ换㡦愸扡㐶挳㙤㤶㜷㐷㔴〳ㅦ晣攳㙦敤㔹戶摢〲换て㝡ぢ㐸捡㑡㙣ぢ㜲捣捤㡤昲晦捡摢昴㐴㜸㔷愳愲〳㠱ㄷ敢㔷愲㜸㥥〳攱ㄵ㍡㘲㑡挹㑦㈸晢㉦㠳㈵㘱㝤㕦搴〵慣㕦㠹戰戰扥〲㈹昲慣敦㐷㕥昸㈰摥收㠵捥〴挶晥㥡ㄷ㉣㍦愲㙡戹收挵愶㌱㑤㌸ㅦ昱摢㜰㍡ㄴㄸ㔹つ挷昲㈳慡㉥搴㜰扢㤱㜲㠴昳〹扦つ愷㔳㠱㌱㐷挳戱晣㠸慡㜳㌵摣㘶晤〰㐴㌵昰㠱㍦晥㝥〷敢昴ㄲ㤰㤴㕤戳扥㐲戳敥㕡㝥搰㜱挰㡢昵㌳㔰㍣㑦搶㑦搷ㄱ㘵㍦搹㑣㔷㠳㌵晤㘴㌳摦ㄲ㘴㜵挸てㅤ昱愷㔷㙡㜳㝣扣摥㈳㘷慢改ㅤ㈰㍦㜱搳㉣㉦〵敡㠹㕦㔸㙤㥦㙢戵㑦挶て〹攳㜷㔵㘷㌴戵攸户搲攰〷㠶昹摡㝦攷㌷㍣㑤〹㌱戱㤱㥢摡㡥ㅦ昵散㥥㥢搸㠱ㅦ㜱挹搶戵㑣㑢㜵㜶㕡敤慤㝦㠶慦〲挳愱扤㠶㍤〳捦换攵㐷㥣㍤摦㤰昴㌸愲㍤㥦挴ぢ㘳挳ぢ㝣㌸㍦攴㔱捤ㅦ㘶晤㝤㕦〴㌶收愱换㌹㙦㜰捥扡㝥㙡戸㐶㉤㐵ㄳ摢慦㘵㔸㔲昵慢㤴ㄹㅥ㘳㘶㍢昰㐶〷㐴户搱ㅤ㉤㌲㤷㐱昸捣㑥㘸攴㑤㔹㈲慡㙡改㠰㔱㕡㌹扥戳㙡㍣㙢㕦㝢㔰㔳戶㜳㡥㌱挷㙡㥡㍤〷摦㈸敡搱攳㜱摢扣挸㥡〷㤱戴㉢晦〵㕥㉡摤㕢㘶愵摡摢㔳㡢敡㕡㘶㌵㕢慤戳㍢攷搴捤㕡〰㜷つ晣㐴㌲㤶㕢㜵㜵㜵收〲㤴㠷㔹昱愳ㅥ㠵㐵㕡㌵て㜲㙢昹㥣㥥扤搵㔸〸慤㌷〵挷㜹㔲㜰㌰昰挶㈱㄰挵ㄴ㉣㠶挶㐵㠱攲愳㝥搲攰ㅣ㡡て昳愵ㄸ㠷〱㤹㉦ㅣㅦ摡㡢昶㜰户昶㑤㘸愵㜰㑢愰昵㉥摣攱㥥㠵㍢ㄲ㜸攳㈸㠸攲挲ㅤつ㡤扢㜰㙦挳㝥㔱攱㔶㍢挵㌸ㄶ挸㝣攱㍥㜴戴挷戹戵㝣㠸㉣㠵㍢ㅥ㕡昷㙦㕤ㄶ㜷愰㠳㍣ぢ㜸㈲搲ㄸ㈷㐱ㄴㄷ昰㘴㘸摣〵攴戳攸愲〲昲㘹戳昰㜴㉡㤰昹〲昲愱戲㘸㤷扡戵㝣㜶㉣摡搳摣摡㉡昴つㄶ摢㘴㠳搷愸㔶捦攲㥤㠹㌸㤳㡤㕢攸摢㘷㔳挵户挰㠹愸㔲搵戰㔳㔴㌴〳ち挹敥㕣㈰昳㐵昳㌹摡昳摣㕡扦㔳〸㜲㔷愳㜲㥥㠵戸㤰㌹㤲愳㐲㈱㉥愲捡㔵㠸㍥愵㠵㔸捦挹㙥㌹㤰昹㐲㙣攴㘸㉦㜱㙢㌷㜳戴㤷扡戵〳愱ㄵ㝥散愲晤挵戳㘸㤷戳ㅣ挵㐵扢㤲㉡㔷搱戶㠴㥤㈲㝥戶㜶戲㕢改捥㙥戸愳扤摡慤つ㌹摡㔵㙥㙤〲㕡改㜱搷㐰敢㝤㌹捣昴㉣敥㜵挰ㅢ㝦㠵㈸敥㙤搷㐳攳㉥昲〸搸㉦㉡昲づ㑥㌱㙥〴㌲捦收ㄸ㐷㝢㤳㑢敢㥦〰慤慣搸㙦㠶戶扥㥢㥡㠴戰ㄴ昶ㄶ㠴ㅢ攰昳㘵㘵昰扢㐵晤ㄶ搰つ慣愳㕡敤散ㄴ昴㕦愱つぢ攳敡㙤挰捡ㄳ㈰扥㤱㥦敤敥㌳敦愰捡挵㉢ㅦ㌴挹〲㘶㍣㉣㜰〱㈳㡢〶㌵搹㔱敦愸搵扤㤱摥愷昸㌰㑡搰攳戴㝡㍤㔱㑦㜱搴㘳戵㝡㝤㔱昳㠱㤵愰挷㘸昵㘰㔱㑦㜳搴愳戵㝡㠸愸愷㐳㑤扡慥ㅥ昵㐹攳㘱㡤㈷㡥昶敦〹㠵㔰㜰㍦捡っち昶㐶㔸扡ㄲ㈹愸㔶㍢㈰戵㑣㈵㐵㔵㝥㠸昵攳慤㙥愱捡㡦㔰攵慡㌲㥦㐸㐹戱㤲㍡㝦扢捡㝣㐶㈵敡㠴㔶摢㔵收㔳㉢㔱挷戵摡慥昲㝥㡥㍡愶搵㜶㤵昹㘴㑢搰㔱慤ㅥ㉣㜵摢摦㔱㐷戴摡慥㜲ㅡ㙡㜷㤵搵ㅣ㈸㕣㔷㑢〸攸昲搹昲㌹搶愷昸㙡㜹愱愴㡡〷㘸挳挸㕣づ挵㈹㑣㐶㤳㤷㠰捣㜷扤㜶㐷晢戲㕢扢挰搱扥攲搶昲ㄹ㡥㜴挰㔷愱昵扥㕡㠶㜸ㄶ昷ㅦ挰ㅢ慦㐱ㄴ㕦㉤慦㐳攳㙥㤵挳㘰扦攸㙡㌹搲㈹挶㥢㐰收㡢㝣慣愳㝤换慤攵㈳ㄱㄷ㙦晤㍤ぢ昲㉥㜳㉣收㙤㜵㐹㈱㑥㉤㉤挴ㄹ㑥㜶ㅦ戸戳㍢挷搱晥搳慤扤挰搱㝥攸搲晡㉦㠱㔶㝡昱㐷搰愲ㄷ㕦㠶戰慢ㄷ慦敦ㄴ戵愸ㄷ㝦ち㙣㐹㉦晥㡣㉡㔷㉦收㌳〵改㘹㝤㘰愱㜰攱昲㈹㠳愸㝢㙢戵摤㡢昹摣㐱搴㝥慤戶㝢昱㤵㡥扡㐱慢敤㕥捣㘷ㄳ㠲敥愵搵㠳搱㡢㝣㙡愵愳慥搷㙡扢ㄷ慦㠲扡愸ㄷ昳〱㠳㜴㤵慦㔰㘶敦慥搲〳ㄶ捡㝢昶㌷挰ㅢ摦㐲ㄴ㜷㤵敦愰㜱㔷晤㈶㥤愱敥摣㜸昱〱ㄴ搲扢㝦〰㌲摦㔵敥㜲戴㍦扡戵昷敢挲㤹昶㠴搴捤戳㈰扦㌰挷攲慥㠲つ户愲㐲㍣㔸㕡㠸㐷㥤散慡㠱捣ㄷ攲㐹㐷摢捤慤㝤搶搱搶戸戵摣搲㜶昵攲ㅦ扥昱攲愸㍢换㔱㕣㌴㤳㉡㔷搷㜸ㄵ㜶㡡㉥愵搷㥤散㝡戸戳㝢摢搱昶㜴㙢㔷㍢摡㝡户㤶晢扥㔲戴㠵㘰愶㐶㝤改㔹㌴㍦换㔱扣捣改㐳㤵慢㘸㥦挲㑥㔱搱㍥㜷戲㕢挷㥤摤㝦ㅣ敤扡㉥慤㥦摢愸㜲㈹慤〷㉤㉥愵ㅦ㄰㜶㕤㑡ㅦ㍢㠵㉡扡㤴㌶㘴〹㡡㈷㠴㡤愹㜲ㄵ㡡㕢慣搲摤摦㠷㠵挲愵挴㑤㔷㔱慦搶㙡晢㔲攲㌶慣愸摦搳㙡晢㔲晡挵㔱扦慢搵昶愵挴慤㕡㐱扦愳搵㠳攵㔲慡〲㡤愲㝥㕢慢㠷㠸扡ㅡ㙡昷愵攴慦㈳摤㠸㌲户戰慢散㐳搸㔵攵㌷㤰扡㝣づ摣戲扣捡㠳㑢慡摣挳挹晦㔵㥤扦㍤〷昶㜴搴慦㘸戵㕤㘵敥搷㑡㘹㕦搶㙡扢捡扤ㅣ昵㑢㕡㙤㔷戹挱㔱扦愸搵㠳愵㙥㝥㐷晤㠲㔶摢㔵敥〳㜵㔱㤵㌷㠰㐲慡ㅣ戰慢扣ㄱ挲慥㉡㍦㡢搴攵㔵づ㤷㔷㌹㕡㔲攵㡤㥤晣㥦搰昹摢㔵摥挴㔱㍦慥搵㜶㤵戹戱㉢㔵㝥㑣慢敤㉡㙦收愸ㅦ搵㙡扢捡摣晣ㄵ昴㈳㕡㍤㔸慡摣捦㔱㍦慣搵㜶㤵〷㐰㕤㔴攵挱㔰㐸㤵㐷摡㔵摥ㅡ㘱㔷㤵ㅦ㐰敡昲㉡㌷㤶㔷㜹㑣㐹㤵㠷㍡昹摦愳昳户慢㍣捣㔱摦慤搵㜶㤵戹〳㉣㤵戸㑢慢敤㉡て㜷搴㜷㙡戵㕤攵㙤ㅤ昵ㅤ㕡㍤㔸慡ㅣ㜰搴户㙢戵㕤攵㄰搴敥㉡慢〴ㄴ慣愲㌱〹㘵昶㥥㈳㙥㠵㠵昲㌹㘲㌲敢挸挵㜷攱㌶㘶㑡㐹戵㐷攸捣㠰㤱㐳敤〰㠵捣て搳㠰捣て捤㘳ㅣ敤慥㙥敤〴㘸㠵㝢㝢㝥戸捥戳㄰㌳㤹㘳昱㈰扣㝢㐹㈱㈶㤵ㄶ㘲㡡㤳摤㥥敥散愶㍢摡扤摣摡摤ㅤ敤摥㙥㉤昷ㅣ㕤㐵扢摣戳㘸㝦㘱㌹㡡㡢㌶㡢㉡搷㜸户ㅦ散戰㌱㥣㐳愵㥤散㔲敥散戸捦㈸慣愵摤摡〳ㅣ㙤挶愵慤㙤㠷㜶慤户㤷昸戰攲㜷扥㠲㉤㡢㑣㔵㈷㌲愳つ搳㜲ㄵ愱㘱㠱搶搶戱㤳㌷㜰㔷㠶ㄸ〹愹㠳ㄱ㘲ㄱ捤ㅣ搳㜳㔳㐵搲捦㜶愷㍦捣㥤愲㠱ㅢ㈷㠵昴㐷㈲㈴改攷㌰㍤昷㍤㈴㝤㤳㍢㍤昷㌸昲㈹ㅡ戸户㤱て愹ㄳ㥤昴〷㌰㍤户㈵㈴晤㕣㜷晡㔳摤㈹ㅡ㤶ㄶ㠵戸攵㔰戰挶敤〴㈹㑤㌳慤㜱㈷㐱慣戵戸慤㜱搷㈰㥦愲攱㍣㜷㐸㜱㈷㐰搲户㌲㍤㌷〱㈴㝤㥢㍢㍤㙦昸ぢ改㉦㈹ち昱〶㍦ㅦ愷㜸昳㉥搶收搱ㅡ敦摢挵摡㠱㙥㙢㉢摤㈹ㅡ㜸㙦㥥㑦摦戰捡ㅤ㔲扣户ㄶ㙢敤戴㜶扤㡥㌳㍢摣搶㜸晢㕣㐸㝦㤳㍢愴㜸扢㉣㠳搸挹㝡晣攱ㄷ㝢捣昹㌴㜶ㅢ愲挴昴〲㠶敥搰挹捣㠳㄰挲戹㝣搴晤㑥昲攳摤挹ㄷ㌱〱敦㉣㈵昹挱っ昱愶㔲敡㜹㠸㍢昹㜳づ㘶㌱㌱扣㉢ㄳ捣愱〸㌹挳㑥〳敦挰ち愵攷㥤㔷㈱挴㍢慥㝣㐸晤〳㈱挹昱㌰㕡㝢㕤挷㤹㠷扢慤昱收㈸㥦愲㠱㌷㐵昹㤰㝡搷㐹扦㠴改㔷㍢改㡦㜰愷攷㝤㑤㍥㐵〳敦㘷ち㈱摥挷攴㐳㡡昷㉦挲散㘱㙥㙡㡥愲改㑦ㄱ㈵〵㍤㥡㈱摥愹㌰㤹㜹っ㐲㌸户㤹攵摡㕥㌰挷ㄲ昳㥤㠳㌹づ愱㍣㌵㍦㘸慤㝤〹㜳搹㕥挸晥ㄷ㈷晤昱㑣捦搵戸攴㜱㠲㍢㍤㔷摥昹ㄴつ㕣㜱ㄷ㐲㕣㘹攷㐳㡡慢㘸㈹捤㠹㔴㜳〱㉤搶㑥挲㐹扥㌴㕣㉣攷㔳㌴㜰㤱㕣〸㜱㜱㥣て㈹㉥㝣挵摡挹㔴㜳捤㉢搶㑥挱㐹摥ㅡ搷户昹ㄴつ㕣搷收㐳㡡敢㔹愱戶摤㑤敤㔲㘲戸㝣ㄵ搳愷㌱挴㤵慢㤸㍥ㅤ㈷㈰挴愶㤶㙢㐳㐹摥敡㑥㝥㈶戱㕣ち㑡昲戳ㄸ攲㉡㔰㤲㥦㡤㤳㝣昲〰〲㤲晣〰㜷昲㜳㠹攵戲㑡㤲㥦挷㄰㔷㔴㤲晣㝣㥣攴㤳㜳捤㈲挹㜳敥攴ㄷㄲ换㈵㡡㈴㕦挶㄰㔷㈷㤲晣㈲㥣攴㤳㜳㍥ㄷ捣挵㡣收㔴㉥㤸攵㌸挹㜳㌷㑤㙢敤㝥挱改㥡ㄸ㝢㘸攷㔴㉣改㉦愱㥡戳戰愴扦ㄴ㈷昹昴㥣㜱昳㈹ㅡ㌸搳ㄶ㐲㥣㘱昳㈱挵搹㔳慣㕤㐶㌵㈷㑥戱戶〲㈷㜹㙢㥣㈴昳㈹ㅡ㌸㌹ㄶ㐲ㄹ㜷㐸挹㙣挵㉢攱㜲愸㥤挳捦㔹㑢㥥㈱㕥㠱ㄳ昳㑡㠸晡㕥㑡㈶㈶㐲慦㜲㐳㌹㐱〹㜴㈵愱㔷摢㔰㤹㠳〸㕤攵㠶㜲㉥ㄲ攸㌵㠴㕥㙢㐳㘵扡㈹戳捡㘹㐷愰㝦㈵昴㝡ㅢ摡㡣晦愴慥㐵〵攰㥣㈲搰ㅢ〹扤挹㠶捡戴㔱㘶㤵搳㠷㐰㙦㈱昴㔶ㅢ㍡て晦㤵㕢攵摣㈰搰摢〹扤挳㠶捡㠰㑦慢㜷㈲散ㅣ㝥づ晣〲扤㡢搰扢〵摡㌰ㅦ晦敤〱㐸昵㐲㤵搹㍦扢晦晥摦㌵搴昴摢愸㘶捦挶㥥攷扦晢攴敡㌳㕥摥㜷攴㐷㍦㉤㕢昶昲〷㘷㍣晤搳㍤改㤱㡦㕤㜶搹挳㤳㤶㍦扤扡㑦敥㤲敡摢扥㥢㝣挹攲攰摣挵〷收㜶摢㝡愷挵㝢ㅤ戰㙢㜰㕡敦愱摤扡㜵敦扥㔵摦挷㌷ㄸ散㕦㜲攰ㅤ敡㠱搷搶㙦㔵㌲㐳㈰〳昳ㅥ攴挴㘳㈰㍥㝥㘷愶㌰晦挶戲摣㑢㜱ㅦ挵晤ㄴて㔰㍣㐸昱㄰挵挳㄰つ㡢㈰晥搰㜲捡㔴㠴愲㤹㡦㈰㈷ㅥ〹㝣晣捥㤴㘴㍥捡㤲㍣㐶昱㌸挵ㄳㄴ㑦㔲㍣㐵昱㌴挵㌳㄰㑡㘶㉢愴㉣敥㝣㠷㈲㑡愸㝦㡥挰攷㈱搰㑦㘵㉡㈲昴〵㠴㥤挳捦㈹㐹愰㉦ㄲ晡㤲つ㕤㠲晦捡摢㥥戳㡦㐰㕦㈱昴㔵㠱㌶ㅣ㠵晦晥㔰愲㡥㐶〶㔲㤶扦攳㠴挷〸㝣晣捥〴㘵晥〳㕡昳㌵㡡搷㈹摥愰㜸㤳攲㉤㡡户㈹摥㠱㔰挷㔲㈰㘵㜱ㅦ㍤づ㕡愹搲㝢〴慥㠶〰㔱挷㍢搰愲敢改〴〷晡〱愱晦戴愱㌲〷搱㙡ㄱ昴㈴〷晡ㄱ愱ㅦ摢搰㤳昱㕦㌹愷㥣㘸愴〰㥦ㄲ晡㉦㠱㌶㜰晡昸㐳㌹㍤つㄹ㐸㔹㍥挳〹㡦〰㍥晥搳ㄱ攰攰㙥晥て㑥捣捦㈹晥㑤昱〵挵㤷ㄴ晦愱昸㍦ㄴ㕦㐱㌴㥣〹昱㠷㤶㔳愶㍥㤶攸㙢攴挴㐳摡晥㙣〴愴㥣摦攰挴晣㤶攲㍢㡡敦㈹㝥愰昸㤱攲㈷㡡㥦㈱ㅡ捥㠵昸㐳换㜹ㅥ㌲㄰㍥㝦挱〹㡦慤昱昱㥦㡦㠰㤴昳㔷㥣㤸㝣㠹㡣愹㈸慡㈹扡㔱搴㔰搴㔲ㄸ㄰つㄷ〲昷㠷㤶㜳ㄹ㌲㤰㜲㜶㐷㜶㍣㘲昸昸㉦㜲捡㔹挷㤲㤸ㄴ㜸扢て扣晥㈸㝡㔲搴㔳昴愲㘸㠰㔰ㄷ㍢㘶敥挴㠹㜳昸㤷㈳㈰㕤戹㌷㠱㝤㈰㜰㉤挹搴づ㐸昱〵㜲愹〳㕤㠷搰㜵㙤愸捣摢㘵㔰捥摦㘲㜵㝤㐲㌷㄰愸摦㤹㤴ㄵ攷㘱㔹挱㝣昴戵扤晦㈷搰㡤㠰㔲㥣㥤㈵敡㥦㍡㙡っ㙣搷攱㠷愳㥣㑢㔵慤㜴㄰ㅦ戸ㄳ㙦捡挴㥣慦㈵昱敡㤲挴慢㄰挱㍣敡晤敡ㅡ〷昳㥥㍢㜹㍦㈶扦搶㠹㝡愷㌸戹攲戴㉤㜶摦㜶愷搹㠲㘹慥㜷愲摥㉣㐹㜳愳ㄳ昱㠶㍢㡤ㄴ㤳戳扡㤸㝢慤㈴つ㈷㜲㠹昸㠷㍢㡤攴㜳慢ㄳ昵㙡㐹㥡摢㥤㠸㔷捡搲㜰㥥ㄷ㜳㉦ㄷ愷昱㍢ㅤ㐰摤攵㈰㕥㜲㈷ㅥ捥㡡摤敤㐴扤㔰㤲昸ㅥ㐴㜰敦慣扥㐶晤捤挱㍣敦㑥ㅥ㘴昲㝢㥤愸㘷㜵㤴扤ㄳ㜶㥦愳㝥㐶慢敤㥤㌰㑥攸㔲搲愷戵摡摥〹攳ㄴ㉦敡愷戴㝡㝤攴敢㔳㥣昴㐵晤愴㔶てㄶ㌵㤷〱愲㝥㐲慢㠷㠸㥡ぢ〳㔱㍦慥搵㑥㡦攲ㄴ慥㉢挲㜹㕢㌰㡦㘹㡣㜴㐸愹挸㘳㑥搴愳㍡捡慥〸攷㜷㐹昱㠸㔶摢ㄵ攱㡣㉦敡㠷戵摡慥〸搷〰愲㝥㐸慢敤㡡㜰㔵㈰敡〷戵摡慥〸搷〹愲㝥㐰慢㠷㐸㐵戸㜲㄰昵晤㕡慤㉢愲戸㕣㤰㠸晢㜴㠴㤴㕥扡つㄷㄱㄲ昵户攲㌴㝥慥㈶昴ㄵ挱㈵㠴㘰敥㜱㈷摦㤱慤挸㠵㠵㐴摤㔵㥣㕣㜱㉤㈱ㄱ㜷扡搳㐸㤶㕣㘱㐸搴敤挵㘹晣㕣〹㘸扥㌹晤ぢ收㌶㜷㜲攱晢㌵㈷敡ㄶㅤ㘵昳捤㘵㠲愴戸㔹慢㙤扥戹㜰㄰昵㑤㕡㙤昳捤愵㠴愸㙦搴㙡㥢㙦㉥㉥㐴㝤㠳㔶摢㝣㜳戹㈱敡敢戵㝡㠸昰捤〵㠸愸晦慡搵づ摦㕣㜵㐸挴㜵㍡㐲昸㥥㐹挲戸ㄶ㤱愸㙢㑡搲㜰昹㈱ㄱ慢摣㘹㠴㌰㉥㑡㈴㙡㘵㐹ㅡ慥㐳㈴攲慡戲㌴㕣㥤㐸搴㤵㈵㘹戸㈰㤱㠸㉢摣㘹㘴搸攱㌲㐵愲㔶ㄴ愷昱㜳㌹愱ㅢ㠶㙢〸挱㕣收㑥㉥つ挳㤵㠵㐴㕤愲愳散㠶攱㕡㐳搴换戵摡㙥ㄸ慥㍥㐴㝤戱㔶摢つ挳昵㠸愸㉦搲㙡扢㘱戸㐲ㄱ昵㌲慤戶ㅢ㠶㙢ㄶ㔱㕦愸搵㐳愴㘱戸㡡ㄱ昵〵㕡敤㕣搱㕣㙦攸㡡㜰㤱㈱㤸昳㌵愶㜰㐵㜳改㈱㔱攷改㈸扢㈲㕣㡣㠸晡㕣慤戶㉢昲扤愳㍥㐷慢敤㡡㜰挱㈲攸戳戵摡慥〸㤷㌰愲㍥㑢慢敤㡡㜰㔱㈳敡㌳戵㝡㠸㔴㠴换ㅣ㔱㥦愱搵㑥㐵戸㈰搱ㄵ攱㉡㐴㌰愷㙢㑣愱㈲㕣㥢㐸搴㘹㍡捡慥〸㔷㉢愲㕥慡搵㜶㐵戸㝥ㄱ昵愹㕡㙤㔷愴㥢愳㍥㐵慢敤㡡㜰㡤㈳攸㤳戵摡慥〸㔷㍤愲㍥㐹慢敤㡡㜰ㅤ㈴敡ㄳ戵摡愹〸㔷㉣扡㈲㕣愶〸收〴㡤㈹㔴㠴㡢ㄷ㠹㍡㕥㐷搹ㄵ攱㜲㐶搴挷㘹戵㕤ㄱ㉥㜰㐴㝤慣㔶摢ㄵ攱㤲㐷搴挷㘸戵㕤ㄱ㉥㠲㐴㝤戴㔶摢ㄵ攱戲㐸搴㐷㘹戵㕤ㄱ㉥㤴㐴㝤愴㔶㍢搷㝣㙦㈷攲〸ㅤ㈱愵㤷㤹㤲㙢㈶㐹㜳㜸㐹ㅡ㉥㤳㈴攲㌰㜷ㅡ戹收戹㜸㤲愸挵㈵㘹戸㕥㤲㠸㐳捡搲㜰ㄵ㈵㔱〷㤷愴攱挲㠹㝢㈸㍥挵敢摣㍥攳㠲挶㍥㘳㝥昶ㄹ㑢㙢㥦昱㠲收㤹㜹ㅣ㑥ㄴ㠷㝡㕢捦㌱捣㍥㤳〸㜴㔲昳㜸愸㜸戰ㄵ晤っ戰攲昵晥ㅥ晦ㄷ敤㌲㤴搹</t>
  </si>
  <si>
    <r>
      <t xml:space="preserve">WAR </t>
    </r>
    <r>
      <rPr>
        <b/>
        <sz val="10"/>
        <rFont val="微软雅黑"/>
        <family val="3"/>
        <charset val="134"/>
      </rPr>
      <t>审查</t>
    </r>
    <r>
      <rPr>
        <b/>
        <sz val="10"/>
        <rFont val="Arial"/>
        <family val="3"/>
      </rPr>
      <t xml:space="preserve"> Inspections</t>
    </r>
    <phoneticPr fontId="10" type="noConversion"/>
  </si>
  <si>
    <t>Walkthrough</t>
    <phoneticPr fontId="10" type="noConversion"/>
  </si>
  <si>
    <r>
      <t xml:space="preserve">WAR </t>
    </r>
    <r>
      <rPr>
        <b/>
        <sz val="10"/>
        <rFont val="微软雅黑"/>
        <family val="2"/>
        <charset val="134"/>
      </rPr>
      <t>脚本自动化测试</t>
    </r>
    <phoneticPr fontId="10" type="noConversion"/>
  </si>
  <si>
    <t>Data flow test only</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</si>
</sst>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7"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
      <b/>
      <sz val="10"/>
      <color theme="0" tint="-0.14999847407452621"/>
      <name val="Arial"/>
      <family val="2"/>
    </font>
    <font>
      <b/>
      <sz val="10"/>
      <color rgb="FFFF0000"/>
      <name val="Arial"/>
      <family val="2"/>
    </font>
    <font>
      <b/>
      <sz val="10"/>
      <name val="Arial"/>
      <family val="3"/>
    </font>
    <font>
      <b/>
      <sz val="10"/>
      <name val="微软雅黑"/>
      <family val="3"/>
      <charset val="134"/>
    </font>
    <font>
      <b/>
      <sz val="10"/>
      <name val="微软雅黑"/>
      <family val="2"/>
      <charset val="134"/>
    </font>
    <font>
      <b/>
      <sz val="10"/>
      <color theme="0" tint="-0.499984740745262"/>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indexed="11"/>
        <bgColor indexed="64"/>
      </patternFill>
    </fill>
    <fill>
      <patternFill patternType="solid">
        <fgColor rgb="FF00FFFF"/>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52">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4" borderId="5" xfId="0" applyFill="1" applyBorder="1"/>
    <xf numFmtId="0" fontId="0" fillId="0" borderId="20" xfId="0" applyBorder="1"/>
    <xf numFmtId="0" fontId="0" fillId="4" borderId="9" xfId="0" applyFill="1" applyBorder="1"/>
    <xf numFmtId="0" fontId="0" fillId="0" borderId="9"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5" borderId="0" xfId="0" applyFill="1"/>
    <xf numFmtId="0" fontId="0" fillId="4" borderId="14" xfId="0" applyFill="1" applyBorder="1"/>
    <xf numFmtId="0" fontId="0" fillId="4" borderId="16" xfId="0" applyFill="1" applyBorder="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4" borderId="0" xfId="0" applyNumberFormat="1" applyFont="1" applyFill="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2" fillId="4" borderId="5" xfId="0" applyNumberFormat="1" applyFont="1" applyFill="1" applyBorder="1" applyAlignment="1">
      <alignment horizontal="center"/>
    </xf>
    <xf numFmtId="177" fontId="2" fillId="4" borderId="9" xfId="0" applyNumberFormat="1" applyFont="1" applyFill="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 fontId="11" fillId="0" borderId="6" xfId="0" applyNumberFormat="1" applyFont="1" applyBorder="1" applyAlignment="1">
      <alignment horizontal="center"/>
    </xf>
    <xf numFmtId="1" fontId="11" fillId="0" borderId="9" xfId="0" applyNumberFormat="1" applyFont="1" applyBorder="1" applyAlignment="1">
      <alignment horizontal="center"/>
    </xf>
    <xf numFmtId="0" fontId="11" fillId="0" borderId="6" xfId="0" applyFont="1" applyBorder="1" applyAlignment="1">
      <alignment horizontal="center"/>
    </xf>
    <xf numFmtId="10" fontId="11" fillId="0" borderId="9" xfId="0" applyNumberFormat="1" applyFont="1" applyBorder="1" applyAlignment="1">
      <alignment horizontal="center"/>
    </xf>
    <xf numFmtId="0" fontId="11" fillId="0" borderId="9" xfId="0" applyFont="1" applyBorder="1" applyAlignment="1">
      <alignment horizontal="center"/>
    </xf>
    <xf numFmtId="0" fontId="11" fillId="0" borderId="15" xfId="0" applyFont="1" applyBorder="1" applyAlignment="1">
      <alignment horizontal="center"/>
    </xf>
    <xf numFmtId="10" fontId="11" fillId="0" borderId="16" xfId="0" applyNumberFormat="1" applyFont="1" applyBorder="1" applyAlignment="1">
      <alignment horizontal="center"/>
    </xf>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3" fillId="0" borderId="3" xfId="0" applyFont="1" applyBorder="1" applyAlignment="1">
      <alignment horizontal="center"/>
    </xf>
    <xf numFmtId="0" fontId="2" fillId="0" borderId="3" xfId="0" applyFont="1" applyBorder="1" applyAlignment="1">
      <alignment horizontal="center"/>
    </xf>
    <xf numFmtId="0" fontId="3" fillId="0" borderId="11" xfId="0" applyFont="1" applyBorder="1" applyAlignment="1">
      <alignment wrapText="1"/>
    </xf>
    <xf numFmtId="0" fontId="2" fillId="0" borderId="11" xfId="0" applyFont="1" applyBorder="1" applyAlignment="1">
      <alignment wrapText="1"/>
    </xf>
    <xf numFmtId="0" fontId="2" fillId="0" borderId="13" xfId="0" applyFont="1" applyBorder="1" applyAlignment="1">
      <alignment horizontal="center"/>
    </xf>
    <xf numFmtId="0" fontId="2" fillId="0" borderId="21"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xf numFmtId="0" fontId="12" fillId="0" borderId="6" xfId="0" applyFont="1" applyBorder="1" applyAlignment="1">
      <alignment horizontal="center"/>
    </xf>
    <xf numFmtId="10" fontId="12" fillId="0" borderId="9" xfId="0" applyNumberFormat="1" applyFont="1" applyBorder="1" applyAlignment="1">
      <alignment horizontal="center"/>
    </xf>
    <xf numFmtId="0" fontId="13" fillId="0" borderId="3" xfId="0" applyFont="1" applyBorder="1" applyAlignment="1">
      <alignment horizontal="center"/>
    </xf>
    <xf numFmtId="0" fontId="12" fillId="0" borderId="15" xfId="0" applyFont="1" applyBorder="1" applyAlignment="1">
      <alignment horizontal="center"/>
    </xf>
    <xf numFmtId="10" fontId="12" fillId="0" borderId="16" xfId="0" applyNumberFormat="1" applyFont="1" applyBorder="1" applyAlignment="1">
      <alignment horizontal="center"/>
    </xf>
    <xf numFmtId="0" fontId="16" fillId="0" borderId="5" xfId="0" applyFont="1" applyBorder="1" applyAlignment="1">
      <alignment horizontal="center"/>
    </xf>
    <xf numFmtId="0" fontId="16" fillId="0" borderId="14" xfId="0" applyFont="1" applyBorder="1" applyAlignment="1">
      <alignment horizontal="center"/>
    </xf>
    <xf numFmtId="0" fontId="16" fillId="0" borderId="6" xfId="0" applyFont="1" applyBorder="1" applyAlignment="1">
      <alignment horizontal="center"/>
    </xf>
    <xf numFmtId="10" fontId="16" fillId="0" borderId="9" xfId="0" applyNumberFormat="1"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4" t="s">
        <v>0</v>
      </c>
    </row>
    <row r="2" spans="1:16" x14ac:dyDescent="0.2">
      <c r="P2" t="e">
        <f ca="1">_xll.CB.RecalcCounterFN()</f>
        <v>#NAME?</v>
      </c>
    </row>
    <row r="3" spans="1:16" x14ac:dyDescent="0.2">
      <c r="A3" t="s">
        <v>1</v>
      </c>
      <c r="B3" t="s">
        <v>2</v>
      </c>
      <c r="C3">
        <v>0</v>
      </c>
    </row>
    <row r="4" spans="1:16" x14ac:dyDescent="0.2">
      <c r="A4" t="s">
        <v>3</v>
      </c>
    </row>
    <row r="5" spans="1:16" x14ac:dyDescent="0.2">
      <c r="A5" t="s">
        <v>4</v>
      </c>
    </row>
    <row r="7" spans="1:16" x14ac:dyDescent="0.2">
      <c r="A7" s="54"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4" t="s">
        <v>13</v>
      </c>
    </row>
    <row r="26" spans="1:2" x14ac:dyDescent="0.2">
      <c r="A26" s="110" t="s">
        <v>14</v>
      </c>
      <c r="B26" s="110" t="s">
        <v>14</v>
      </c>
    </row>
    <row r="27" spans="1:2" x14ac:dyDescent="0.2">
      <c r="A27" t="s">
        <v>15</v>
      </c>
      <c r="B27" t="s">
        <v>16</v>
      </c>
    </row>
    <row r="28" spans="1:2" x14ac:dyDescent="0.2">
      <c r="A28" s="110" t="s">
        <v>17</v>
      </c>
      <c r="B28" s="110" t="s">
        <v>17</v>
      </c>
    </row>
    <row r="29" spans="1:2" x14ac:dyDescent="0.2">
      <c r="A29" s="110" t="s">
        <v>18</v>
      </c>
      <c r="B29" s="110" t="s">
        <v>19</v>
      </c>
    </row>
    <row r="30" spans="1:2" x14ac:dyDescent="0.2">
      <c r="A30" t="s">
        <v>211</v>
      </c>
      <c r="B30" t="s">
        <v>214</v>
      </c>
    </row>
    <row r="31" spans="1:2" x14ac:dyDescent="0.2">
      <c r="A31" s="110" t="s">
        <v>20</v>
      </c>
      <c r="B31" s="110" t="s">
        <v>17</v>
      </c>
    </row>
    <row r="32" spans="1:2" x14ac:dyDescent="0.2">
      <c r="B32" s="110" t="s">
        <v>21</v>
      </c>
    </row>
    <row r="33" spans="2:2" x14ac:dyDescent="0.2">
      <c r="B33" t="s">
        <v>215</v>
      </c>
    </row>
    <row r="34" spans="2:2" x14ac:dyDescent="0.2">
      <c r="B34" s="110" t="s">
        <v>17</v>
      </c>
    </row>
    <row r="35" spans="2:2" x14ac:dyDescent="0.2">
      <c r="B35" s="110" t="s">
        <v>22</v>
      </c>
    </row>
    <row r="36" spans="2:2" x14ac:dyDescent="0.2">
      <c r="B36" t="s">
        <v>216</v>
      </c>
    </row>
    <row r="37" spans="2:2" x14ac:dyDescent="0.2">
      <c r="B37" s="110" t="s">
        <v>17</v>
      </c>
    </row>
    <row r="38" spans="2:2" x14ac:dyDescent="0.2">
      <c r="B38" s="110" t="s">
        <v>23</v>
      </c>
    </row>
    <row r="39" spans="2:2" x14ac:dyDescent="0.2">
      <c r="B39" t="s">
        <v>217</v>
      </c>
    </row>
    <row r="40" spans="2:2" x14ac:dyDescent="0.2">
      <c r="B40" s="110" t="s">
        <v>17</v>
      </c>
    </row>
    <row r="41" spans="2:2" x14ac:dyDescent="0.2">
      <c r="B41" s="110" t="s">
        <v>24</v>
      </c>
    </row>
    <row r="42" spans="2:2" x14ac:dyDescent="0.2">
      <c r="B42" t="s">
        <v>218</v>
      </c>
    </row>
    <row r="43" spans="2:2" x14ac:dyDescent="0.2">
      <c r="B43" s="110" t="s">
        <v>17</v>
      </c>
    </row>
    <row r="10000" spans="1:1" x14ac:dyDescent="0.2">
      <c r="A10000" t="s">
        <v>25</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4" customWidth="1"/>
  </cols>
  <sheetData>
    <row r="1" spans="2:8" ht="13.5" customHeight="1" x14ac:dyDescent="0.2">
      <c r="D1" s="54"/>
    </row>
    <row r="2" spans="2:8" ht="12.75" customHeight="1" x14ac:dyDescent="0.2">
      <c r="B2" s="120" t="s">
        <v>26</v>
      </c>
      <c r="C2" s="1"/>
      <c r="D2" s="96" t="s">
        <v>27</v>
      </c>
      <c r="F2" s="120" t="s">
        <v>26</v>
      </c>
      <c r="G2" s="1"/>
      <c r="H2" s="97" t="s">
        <v>28</v>
      </c>
    </row>
    <row r="3" spans="2:8" ht="12.75" customHeight="1" x14ac:dyDescent="0.2">
      <c r="B3" s="121"/>
      <c r="D3" s="98"/>
      <c r="F3" s="121"/>
      <c r="H3" s="99"/>
    </row>
    <row r="4" spans="2:8" ht="12.75" customHeight="1" x14ac:dyDescent="0.2">
      <c r="B4" s="121"/>
      <c r="C4" s="100" t="s">
        <v>29</v>
      </c>
      <c r="D4" s="101" t="s">
        <v>30</v>
      </c>
      <c r="F4" s="121"/>
      <c r="G4" s="102" t="s">
        <v>29</v>
      </c>
      <c r="H4" s="103" t="s">
        <v>31</v>
      </c>
    </row>
    <row r="5" spans="2:8" ht="12.75" customHeight="1" x14ac:dyDescent="0.2">
      <c r="B5" s="121"/>
      <c r="C5" s="100" t="s">
        <v>32</v>
      </c>
      <c r="D5" s="101" t="s">
        <v>33</v>
      </c>
      <c r="F5" s="121"/>
      <c r="G5" s="102" t="s">
        <v>32</v>
      </c>
      <c r="H5" s="111" t="s">
        <v>34</v>
      </c>
    </row>
    <row r="6" spans="2:8" ht="13.5" customHeight="1" x14ac:dyDescent="0.2">
      <c r="B6" s="122"/>
      <c r="C6" s="104" t="s">
        <v>35</v>
      </c>
      <c r="D6" s="105" t="s">
        <v>36</v>
      </c>
      <c r="F6" s="122"/>
      <c r="G6" s="106" t="s">
        <v>35</v>
      </c>
      <c r="H6" s="112" t="s">
        <v>34</v>
      </c>
    </row>
    <row r="7" spans="2:8" ht="15" x14ac:dyDescent="0.2">
      <c r="B7" s="9"/>
      <c r="F7" s="9"/>
      <c r="H7" s="73"/>
    </row>
    <row r="8" spans="2:8" ht="12.75" customHeight="1" x14ac:dyDescent="0.2">
      <c r="B8" s="120" t="s">
        <v>37</v>
      </c>
      <c r="C8" s="1"/>
      <c r="D8" s="96" t="s">
        <v>27</v>
      </c>
      <c r="F8" s="120" t="s">
        <v>37</v>
      </c>
      <c r="G8" s="1"/>
      <c r="H8" s="107" t="s">
        <v>28</v>
      </c>
    </row>
    <row r="9" spans="2:8" ht="12.75" customHeight="1" x14ac:dyDescent="0.2">
      <c r="B9" s="121"/>
      <c r="C9" s="4"/>
      <c r="D9" s="108"/>
      <c r="F9" s="121"/>
      <c r="G9" s="4"/>
      <c r="H9" s="99"/>
    </row>
    <row r="10" spans="2:8" ht="12.75" customHeight="1" x14ac:dyDescent="0.2">
      <c r="B10" s="121"/>
      <c r="C10" s="100" t="s">
        <v>29</v>
      </c>
      <c r="D10" s="101" t="s">
        <v>30</v>
      </c>
      <c r="F10" s="121"/>
      <c r="G10" s="102" t="s">
        <v>29</v>
      </c>
      <c r="H10" s="103" t="s">
        <v>31</v>
      </c>
    </row>
    <row r="11" spans="2:8" ht="12.75" customHeight="1" x14ac:dyDescent="0.2">
      <c r="B11" s="121"/>
      <c r="C11" s="100" t="s">
        <v>32</v>
      </c>
      <c r="D11" s="101" t="s">
        <v>33</v>
      </c>
      <c r="F11" s="121"/>
      <c r="G11" s="102" t="s">
        <v>32</v>
      </c>
      <c r="H11" s="111" t="s">
        <v>34</v>
      </c>
    </row>
    <row r="12" spans="2:8" ht="13.5" customHeight="1" x14ac:dyDescent="0.2">
      <c r="B12" s="122"/>
      <c r="C12" s="104" t="s">
        <v>35</v>
      </c>
      <c r="D12" s="105" t="s">
        <v>38</v>
      </c>
      <c r="F12" s="122"/>
      <c r="G12" s="106" t="s">
        <v>35</v>
      </c>
      <c r="H12" s="109" t="s">
        <v>39</v>
      </c>
    </row>
    <row r="13" spans="2:8" ht="15" x14ac:dyDescent="0.2">
      <c r="B13" s="9"/>
      <c r="C13" s="4"/>
      <c r="D13" s="4"/>
      <c r="F13" s="9"/>
      <c r="G13" s="4"/>
      <c r="H13" s="73"/>
    </row>
    <row r="14" spans="2:8" ht="12.75" customHeight="1" x14ac:dyDescent="0.2">
      <c r="B14" s="120" t="s">
        <v>40</v>
      </c>
      <c r="C14" s="13"/>
      <c r="D14" s="96" t="s">
        <v>27</v>
      </c>
      <c r="F14" s="120" t="s">
        <v>40</v>
      </c>
      <c r="G14" s="13"/>
      <c r="H14" s="97" t="s">
        <v>28</v>
      </c>
    </row>
    <row r="15" spans="2:8" ht="12.75" customHeight="1" x14ac:dyDescent="0.2">
      <c r="B15" s="121"/>
      <c r="C15" s="4"/>
      <c r="D15" s="108"/>
      <c r="F15" s="121"/>
      <c r="G15" s="4"/>
      <c r="H15" s="99"/>
    </row>
    <row r="16" spans="2:8" ht="12.75" customHeight="1" x14ac:dyDescent="0.2">
      <c r="B16" s="121"/>
      <c r="C16" s="100" t="s">
        <v>29</v>
      </c>
      <c r="D16" s="101" t="s">
        <v>30</v>
      </c>
      <c r="F16" s="121"/>
      <c r="G16" s="102" t="s">
        <v>29</v>
      </c>
      <c r="H16" s="103" t="s">
        <v>31</v>
      </c>
    </row>
    <row r="17" spans="2:8" ht="12.75" customHeight="1" x14ac:dyDescent="0.2">
      <c r="B17" s="121"/>
      <c r="C17" s="100" t="s">
        <v>32</v>
      </c>
      <c r="D17" s="101" t="s">
        <v>33</v>
      </c>
      <c r="F17" s="121"/>
      <c r="G17" s="102" t="s">
        <v>32</v>
      </c>
      <c r="H17" s="111" t="s">
        <v>34</v>
      </c>
    </row>
    <row r="18" spans="2:8" ht="13.5" customHeight="1" x14ac:dyDescent="0.2">
      <c r="B18" s="122"/>
      <c r="C18" s="104" t="s">
        <v>35</v>
      </c>
      <c r="D18" s="105" t="s">
        <v>36</v>
      </c>
      <c r="F18" s="122"/>
      <c r="G18" s="106" t="s">
        <v>35</v>
      </c>
      <c r="H18" s="112" t="s">
        <v>34</v>
      </c>
    </row>
    <row r="19" spans="2:8" ht="15" x14ac:dyDescent="0.2">
      <c r="B19" s="9"/>
      <c r="C19" s="4"/>
      <c r="D19" s="4"/>
      <c r="F19" s="9"/>
      <c r="G19" s="4"/>
      <c r="H19" s="73"/>
    </row>
    <row r="20" spans="2:8" ht="12.75" customHeight="1" x14ac:dyDescent="0.2">
      <c r="B20" s="120" t="s">
        <v>41</v>
      </c>
      <c r="C20" s="13"/>
      <c r="D20" s="96" t="s">
        <v>27</v>
      </c>
      <c r="F20" s="120" t="s">
        <v>41</v>
      </c>
      <c r="G20" s="13"/>
      <c r="H20" s="107" t="s">
        <v>28</v>
      </c>
    </row>
    <row r="21" spans="2:8" ht="12.75" customHeight="1" x14ac:dyDescent="0.2">
      <c r="B21" s="121"/>
      <c r="C21" s="4"/>
      <c r="D21" s="108"/>
      <c r="F21" s="121"/>
      <c r="G21" s="4"/>
      <c r="H21" s="99"/>
    </row>
    <row r="22" spans="2:8" ht="12.75" customHeight="1" x14ac:dyDescent="0.2">
      <c r="B22" s="121"/>
      <c r="C22" s="100" t="s">
        <v>29</v>
      </c>
      <c r="D22" s="101" t="s">
        <v>30</v>
      </c>
      <c r="F22" s="121"/>
      <c r="G22" s="102" t="s">
        <v>29</v>
      </c>
      <c r="H22" s="103" t="s">
        <v>31</v>
      </c>
    </row>
    <row r="23" spans="2:8" ht="12.75" customHeight="1" x14ac:dyDescent="0.2">
      <c r="B23" s="121"/>
      <c r="C23" s="100" t="s">
        <v>32</v>
      </c>
      <c r="D23" s="101" t="s">
        <v>33</v>
      </c>
      <c r="F23" s="121"/>
      <c r="G23" s="102" t="s">
        <v>32</v>
      </c>
      <c r="H23" s="111" t="s">
        <v>34</v>
      </c>
    </row>
    <row r="24" spans="2:8" ht="13.5" customHeight="1" x14ac:dyDescent="0.2">
      <c r="B24" s="122"/>
      <c r="C24" s="104" t="s">
        <v>35</v>
      </c>
      <c r="D24" s="105" t="s">
        <v>38</v>
      </c>
      <c r="F24" s="122"/>
      <c r="G24" s="106" t="s">
        <v>35</v>
      </c>
      <c r="H24" s="109" t="s">
        <v>39</v>
      </c>
    </row>
    <row r="25" spans="2:8" ht="15" x14ac:dyDescent="0.2">
      <c r="B25" s="9"/>
      <c r="C25" s="4"/>
      <c r="D25" s="4"/>
      <c r="F25" s="9"/>
      <c r="G25" s="4"/>
      <c r="H25" s="73"/>
    </row>
    <row r="26" spans="2:8" ht="12.75" customHeight="1" x14ac:dyDescent="0.2">
      <c r="B26" s="120" t="s">
        <v>42</v>
      </c>
      <c r="C26" s="13"/>
      <c r="D26" s="96" t="s">
        <v>27</v>
      </c>
      <c r="F26" s="120" t="s">
        <v>42</v>
      </c>
      <c r="G26" s="13"/>
      <c r="H26" s="97" t="s">
        <v>28</v>
      </c>
    </row>
    <row r="27" spans="2:8" ht="12.75" customHeight="1" x14ac:dyDescent="0.2">
      <c r="B27" s="121"/>
      <c r="C27" s="4"/>
      <c r="D27" s="108"/>
      <c r="F27" s="121"/>
      <c r="G27" s="4"/>
      <c r="H27" s="99"/>
    </row>
    <row r="28" spans="2:8" ht="12.75" customHeight="1" x14ac:dyDescent="0.2">
      <c r="B28" s="121"/>
      <c r="C28" s="100" t="s">
        <v>29</v>
      </c>
      <c r="D28" s="101" t="s">
        <v>30</v>
      </c>
      <c r="F28" s="121"/>
      <c r="G28" s="102" t="s">
        <v>29</v>
      </c>
      <c r="H28" s="103" t="s">
        <v>31</v>
      </c>
    </row>
    <row r="29" spans="2:8" ht="12.75" customHeight="1" x14ac:dyDescent="0.2">
      <c r="B29" s="121"/>
      <c r="C29" s="100" t="s">
        <v>32</v>
      </c>
      <c r="D29" s="101" t="s">
        <v>33</v>
      </c>
      <c r="F29" s="121"/>
      <c r="G29" s="102" t="s">
        <v>32</v>
      </c>
      <c r="H29" s="111" t="s">
        <v>34</v>
      </c>
    </row>
    <row r="30" spans="2:8" ht="13.5" customHeight="1" x14ac:dyDescent="0.2">
      <c r="B30" s="122"/>
      <c r="C30" s="104" t="s">
        <v>35</v>
      </c>
      <c r="D30" s="105" t="s">
        <v>36</v>
      </c>
      <c r="F30" s="122"/>
      <c r="G30" s="106" t="s">
        <v>35</v>
      </c>
      <c r="H30" s="112" t="s">
        <v>34</v>
      </c>
    </row>
    <row r="31" spans="2:8" ht="15" x14ac:dyDescent="0.2">
      <c r="B31" s="9"/>
      <c r="C31" s="4"/>
      <c r="D31" s="4"/>
      <c r="F31" s="9"/>
      <c r="G31" s="4"/>
      <c r="H31" s="73"/>
    </row>
    <row r="32" spans="2:8" ht="12.75" customHeight="1" x14ac:dyDescent="0.2">
      <c r="B32" s="120" t="s">
        <v>43</v>
      </c>
      <c r="C32" s="13"/>
      <c r="D32" s="96" t="s">
        <v>27</v>
      </c>
      <c r="F32" s="120" t="s">
        <v>43</v>
      </c>
      <c r="G32" s="13"/>
      <c r="H32" s="107" t="s">
        <v>28</v>
      </c>
    </row>
    <row r="33" spans="2:8" ht="12.75" customHeight="1" x14ac:dyDescent="0.2">
      <c r="B33" s="121"/>
      <c r="C33" s="4"/>
      <c r="D33" s="108"/>
      <c r="F33" s="121"/>
      <c r="G33" s="4"/>
      <c r="H33" s="99"/>
    </row>
    <row r="34" spans="2:8" ht="12.75" customHeight="1" x14ac:dyDescent="0.2">
      <c r="B34" s="121"/>
      <c r="C34" s="100" t="s">
        <v>29</v>
      </c>
      <c r="D34" s="101" t="s">
        <v>30</v>
      </c>
      <c r="F34" s="121"/>
      <c r="G34" s="102" t="s">
        <v>29</v>
      </c>
      <c r="H34" s="103" t="s">
        <v>31</v>
      </c>
    </row>
    <row r="35" spans="2:8" ht="12.75" customHeight="1" x14ac:dyDescent="0.2">
      <c r="B35" s="121"/>
      <c r="C35" s="100" t="s">
        <v>32</v>
      </c>
      <c r="D35" s="101" t="s">
        <v>33</v>
      </c>
      <c r="F35" s="121"/>
      <c r="G35" s="102" t="s">
        <v>32</v>
      </c>
      <c r="H35" s="111" t="s">
        <v>34</v>
      </c>
    </row>
    <row r="36" spans="2:8" ht="13.5" customHeight="1" x14ac:dyDescent="0.2">
      <c r="B36" s="122"/>
      <c r="C36" s="104" t="s">
        <v>35</v>
      </c>
      <c r="D36" s="105" t="s">
        <v>38</v>
      </c>
      <c r="F36" s="122"/>
      <c r="G36" s="106" t="s">
        <v>35</v>
      </c>
      <c r="H36" s="109" t="s">
        <v>39</v>
      </c>
    </row>
    <row r="37" spans="2:8" ht="15" x14ac:dyDescent="0.2">
      <c r="B37" s="9"/>
      <c r="C37" s="4"/>
      <c r="D37" s="4"/>
      <c r="F37" s="9"/>
      <c r="G37" s="4"/>
      <c r="H37" s="73"/>
    </row>
    <row r="38" spans="2:8" ht="12.75" customHeight="1" x14ac:dyDescent="0.2">
      <c r="B38" s="120" t="s">
        <v>44</v>
      </c>
      <c r="C38" s="13"/>
      <c r="D38" s="96" t="s">
        <v>27</v>
      </c>
      <c r="F38" s="120" t="s">
        <v>44</v>
      </c>
      <c r="G38" s="13"/>
      <c r="H38" s="107" t="s">
        <v>28</v>
      </c>
    </row>
    <row r="39" spans="2:8" ht="12.75" customHeight="1" x14ac:dyDescent="0.2">
      <c r="B39" s="121"/>
      <c r="C39" s="4"/>
      <c r="D39" s="108"/>
      <c r="F39" s="121"/>
      <c r="G39" s="4"/>
      <c r="H39" s="99"/>
    </row>
    <row r="40" spans="2:8" ht="12.75" customHeight="1" x14ac:dyDescent="0.2">
      <c r="B40" s="121"/>
      <c r="C40" s="100" t="s">
        <v>29</v>
      </c>
      <c r="D40" s="101" t="s">
        <v>30</v>
      </c>
      <c r="F40" s="121"/>
      <c r="G40" s="102" t="s">
        <v>29</v>
      </c>
      <c r="H40" s="103" t="s">
        <v>31</v>
      </c>
    </row>
    <row r="41" spans="2:8" ht="12.75" customHeight="1" x14ac:dyDescent="0.2">
      <c r="B41" s="121"/>
      <c r="C41" s="100" t="s">
        <v>32</v>
      </c>
      <c r="D41" s="101" t="s">
        <v>33</v>
      </c>
      <c r="F41" s="121"/>
      <c r="G41" s="102" t="s">
        <v>32</v>
      </c>
      <c r="H41" s="111" t="s">
        <v>34</v>
      </c>
    </row>
    <row r="42" spans="2:8" ht="13.5" customHeight="1" x14ac:dyDescent="0.2">
      <c r="B42" s="122"/>
      <c r="C42" s="104" t="s">
        <v>35</v>
      </c>
      <c r="D42" s="105" t="s">
        <v>38</v>
      </c>
      <c r="F42" s="122"/>
      <c r="G42" s="106" t="s">
        <v>35</v>
      </c>
      <c r="H42" s="109" t="s">
        <v>39</v>
      </c>
    </row>
    <row r="43" spans="2:8" ht="15" x14ac:dyDescent="0.2">
      <c r="B43" s="9"/>
      <c r="C43" s="4"/>
      <c r="D43" s="4"/>
      <c r="F43" s="9"/>
      <c r="G43" s="4"/>
      <c r="H43" s="73"/>
    </row>
    <row r="44" spans="2:8" ht="12.75" customHeight="1" x14ac:dyDescent="0.2">
      <c r="B44" s="120" t="s">
        <v>45</v>
      </c>
      <c r="C44" s="13"/>
      <c r="D44" s="96" t="s">
        <v>27</v>
      </c>
      <c r="F44" s="120" t="s">
        <v>45</v>
      </c>
      <c r="G44" s="13"/>
      <c r="H44" s="107" t="s">
        <v>28</v>
      </c>
    </row>
    <row r="45" spans="2:8" ht="12.75" customHeight="1" x14ac:dyDescent="0.2">
      <c r="B45" s="121"/>
      <c r="C45" s="4"/>
      <c r="D45" s="108"/>
      <c r="F45" s="121"/>
      <c r="G45" s="4"/>
      <c r="H45" s="99"/>
    </row>
    <row r="46" spans="2:8" ht="12.75" customHeight="1" x14ac:dyDescent="0.2">
      <c r="B46" s="121"/>
      <c r="C46" s="100" t="s">
        <v>29</v>
      </c>
      <c r="D46" s="101" t="s">
        <v>30</v>
      </c>
      <c r="F46" s="121"/>
      <c r="G46" s="102" t="s">
        <v>29</v>
      </c>
      <c r="H46" s="103" t="s">
        <v>31</v>
      </c>
    </row>
    <row r="47" spans="2:8" ht="12.75" customHeight="1" x14ac:dyDescent="0.2">
      <c r="B47" s="121"/>
      <c r="C47" s="100" t="s">
        <v>32</v>
      </c>
      <c r="D47" s="101" t="s">
        <v>33</v>
      </c>
      <c r="F47" s="121"/>
      <c r="G47" s="102" t="s">
        <v>32</v>
      </c>
      <c r="H47" s="111" t="s">
        <v>34</v>
      </c>
    </row>
    <row r="48" spans="2:8" ht="13.5" customHeight="1" x14ac:dyDescent="0.2">
      <c r="B48" s="122"/>
      <c r="C48" s="104" t="s">
        <v>35</v>
      </c>
      <c r="D48" s="105" t="s">
        <v>38</v>
      </c>
      <c r="F48" s="122"/>
      <c r="G48" s="106" t="s">
        <v>35</v>
      </c>
      <c r="H48" s="109" t="s">
        <v>39</v>
      </c>
    </row>
    <row r="49" spans="2:8" ht="15" x14ac:dyDescent="0.2">
      <c r="B49" s="9"/>
      <c r="C49" s="4"/>
      <c r="D49" s="4"/>
      <c r="F49" s="9"/>
      <c r="G49" s="4"/>
      <c r="H49" s="73"/>
    </row>
    <row r="50" spans="2:8" ht="12.75" customHeight="1" x14ac:dyDescent="0.2">
      <c r="B50" s="120" t="s">
        <v>46</v>
      </c>
      <c r="C50" s="13"/>
      <c r="D50" s="96" t="s">
        <v>27</v>
      </c>
      <c r="F50" s="120" t="s">
        <v>46</v>
      </c>
      <c r="G50" s="13"/>
      <c r="H50" s="107" t="s">
        <v>28</v>
      </c>
    </row>
    <row r="51" spans="2:8" ht="12.75" customHeight="1" x14ac:dyDescent="0.2">
      <c r="B51" s="121"/>
      <c r="C51" s="4"/>
      <c r="D51" s="108"/>
      <c r="F51" s="121"/>
      <c r="G51" s="4"/>
      <c r="H51" s="99"/>
    </row>
    <row r="52" spans="2:8" ht="12.75" customHeight="1" x14ac:dyDescent="0.2">
      <c r="B52" s="121"/>
      <c r="C52" s="100" t="s">
        <v>29</v>
      </c>
      <c r="D52" s="101" t="s">
        <v>30</v>
      </c>
      <c r="F52" s="121"/>
      <c r="G52" s="102" t="s">
        <v>29</v>
      </c>
      <c r="H52" s="103" t="s">
        <v>31</v>
      </c>
    </row>
    <row r="53" spans="2:8" ht="12.75" customHeight="1" x14ac:dyDescent="0.2">
      <c r="B53" s="121"/>
      <c r="C53" s="100" t="s">
        <v>32</v>
      </c>
      <c r="D53" s="101" t="s">
        <v>33</v>
      </c>
      <c r="F53" s="121"/>
      <c r="G53" s="102" t="s">
        <v>32</v>
      </c>
      <c r="H53" s="111" t="s">
        <v>34</v>
      </c>
    </row>
    <row r="54" spans="2:8" ht="13.5" customHeight="1" x14ac:dyDescent="0.2">
      <c r="B54" s="122"/>
      <c r="C54" s="104" t="s">
        <v>35</v>
      </c>
      <c r="D54" s="105" t="s">
        <v>38</v>
      </c>
      <c r="F54" s="122"/>
      <c r="G54" s="106" t="s">
        <v>35</v>
      </c>
      <c r="H54" s="109" t="s">
        <v>39</v>
      </c>
    </row>
    <row r="55" spans="2:8" ht="15" x14ac:dyDescent="0.2">
      <c r="B55" s="9"/>
      <c r="C55" s="4"/>
      <c r="D55" s="4"/>
      <c r="F55" s="9"/>
      <c r="G55" s="4"/>
      <c r="H55" s="73"/>
    </row>
    <row r="56" spans="2:8" ht="12.75" customHeight="1" x14ac:dyDescent="0.2">
      <c r="B56" s="120" t="s">
        <v>47</v>
      </c>
      <c r="C56" s="13"/>
      <c r="D56" s="96" t="s">
        <v>27</v>
      </c>
      <c r="F56" s="120" t="s">
        <v>47</v>
      </c>
      <c r="G56" s="13"/>
      <c r="H56" s="107" t="s">
        <v>28</v>
      </c>
    </row>
    <row r="57" spans="2:8" ht="12.75" customHeight="1" x14ac:dyDescent="0.2">
      <c r="B57" s="121"/>
      <c r="C57" s="4"/>
      <c r="D57" s="108"/>
      <c r="F57" s="121"/>
      <c r="G57" s="4"/>
      <c r="H57" s="99"/>
    </row>
    <row r="58" spans="2:8" ht="12.75" customHeight="1" x14ac:dyDescent="0.2">
      <c r="B58" s="121"/>
      <c r="C58" s="100" t="s">
        <v>29</v>
      </c>
      <c r="D58" s="101" t="s">
        <v>30</v>
      </c>
      <c r="F58" s="121"/>
      <c r="G58" s="102" t="s">
        <v>29</v>
      </c>
      <c r="H58" s="103" t="s">
        <v>31</v>
      </c>
    </row>
    <row r="59" spans="2:8" ht="12.75" customHeight="1" x14ac:dyDescent="0.2">
      <c r="B59" s="121"/>
      <c r="C59" s="100" t="s">
        <v>32</v>
      </c>
      <c r="D59" s="101" t="s">
        <v>33</v>
      </c>
      <c r="F59" s="121"/>
      <c r="G59" s="102" t="s">
        <v>32</v>
      </c>
      <c r="H59" s="111" t="s">
        <v>34</v>
      </c>
    </row>
    <row r="60" spans="2:8" ht="13.5" customHeight="1" x14ac:dyDescent="0.2">
      <c r="B60" s="122"/>
      <c r="C60" s="104" t="s">
        <v>35</v>
      </c>
      <c r="D60" s="105" t="s">
        <v>38</v>
      </c>
      <c r="F60" s="122"/>
      <c r="G60" s="106" t="s">
        <v>35</v>
      </c>
      <c r="H60" s="109" t="s">
        <v>39</v>
      </c>
    </row>
    <row r="61" spans="2:8" x14ac:dyDescent="0.2">
      <c r="B61" s="20"/>
      <c r="C61" s="4"/>
      <c r="D61" s="4"/>
    </row>
    <row r="62" spans="2:8" x14ac:dyDescent="0.2">
      <c r="B62" s="20"/>
      <c r="C62" s="4"/>
      <c r="D62" s="4"/>
      <c r="F62" s="61" t="s">
        <v>48</v>
      </c>
      <c r="G62" s="62" t="s">
        <v>35</v>
      </c>
      <c r="H62" s="61" t="s">
        <v>39</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81" customWidth="1"/>
    <col min="4" max="4" width="80.28515625" style="82" customWidth="1"/>
  </cols>
  <sheetData>
    <row r="2" spans="2:4" ht="22.5" customHeight="1" x14ac:dyDescent="0.2">
      <c r="B2" s="83" t="s">
        <v>49</v>
      </c>
      <c r="C2" s="84"/>
      <c r="D2" s="85" t="s">
        <v>50</v>
      </c>
    </row>
    <row r="3" spans="2:4" ht="12.75" customHeight="1" x14ac:dyDescent="0.2">
      <c r="B3" s="123" t="s">
        <v>26</v>
      </c>
      <c r="C3" s="86" t="s">
        <v>51</v>
      </c>
      <c r="D3" s="87" t="s">
        <v>52</v>
      </c>
    </row>
    <row r="4" spans="2:4" ht="12.75" customHeight="1" x14ac:dyDescent="0.2">
      <c r="B4" s="123"/>
      <c r="C4" s="88" t="s">
        <v>53</v>
      </c>
      <c r="D4" s="89" t="s">
        <v>54</v>
      </c>
    </row>
    <row r="5" spans="2:4" ht="12.75" customHeight="1" x14ac:dyDescent="0.2">
      <c r="B5" s="123"/>
      <c r="C5" s="88" t="s">
        <v>55</v>
      </c>
      <c r="D5" s="89" t="s">
        <v>56</v>
      </c>
    </row>
    <row r="6" spans="2:4" ht="27.75" customHeight="1" x14ac:dyDescent="0.2">
      <c r="B6" s="125" t="s">
        <v>37</v>
      </c>
      <c r="C6" s="86" t="s">
        <v>57</v>
      </c>
      <c r="D6" s="87" t="s">
        <v>58</v>
      </c>
    </row>
    <row r="7" spans="2:4" ht="12.75" customHeight="1" x14ac:dyDescent="0.2">
      <c r="B7" s="126"/>
      <c r="C7" s="88" t="s">
        <v>59</v>
      </c>
      <c r="D7" s="89" t="s">
        <v>60</v>
      </c>
    </row>
    <row r="8" spans="2:4" ht="12.75" customHeight="1" x14ac:dyDescent="0.2">
      <c r="B8" s="126"/>
      <c r="C8" s="88" t="s">
        <v>61</v>
      </c>
      <c r="D8" s="89" t="s">
        <v>62</v>
      </c>
    </row>
    <row r="9" spans="2:4" ht="13.5" customHeight="1" x14ac:dyDescent="0.2">
      <c r="B9" s="127"/>
      <c r="C9" s="90" t="s">
        <v>63</v>
      </c>
      <c r="D9" s="91" t="s">
        <v>64</v>
      </c>
    </row>
    <row r="10" spans="2:4" ht="12.75" customHeight="1" x14ac:dyDescent="0.2">
      <c r="B10" s="123" t="s">
        <v>40</v>
      </c>
      <c r="C10" s="86" t="s">
        <v>65</v>
      </c>
      <c r="D10" s="87" t="s">
        <v>66</v>
      </c>
    </row>
    <row r="11" spans="2:4" ht="12.75" customHeight="1" x14ac:dyDescent="0.2">
      <c r="B11" s="123"/>
      <c r="C11" s="88" t="s">
        <v>67</v>
      </c>
      <c r="D11" s="89" t="s">
        <v>68</v>
      </c>
    </row>
    <row r="12" spans="2:4" ht="25.5" customHeight="1" x14ac:dyDescent="0.2">
      <c r="B12" s="123" t="s">
        <v>41</v>
      </c>
      <c r="C12" s="88" t="s">
        <v>57</v>
      </c>
      <c r="D12" s="89" t="s">
        <v>69</v>
      </c>
    </row>
    <row r="13" spans="2:4" ht="12.75" customHeight="1" x14ac:dyDescent="0.2">
      <c r="B13" s="123"/>
      <c r="C13" s="88" t="s">
        <v>59</v>
      </c>
      <c r="D13" s="89" t="s">
        <v>70</v>
      </c>
    </row>
    <row r="14" spans="2:4" ht="12.75" customHeight="1" x14ac:dyDescent="0.2">
      <c r="B14" s="123"/>
      <c r="C14" s="88" t="s">
        <v>61</v>
      </c>
      <c r="D14" s="89" t="s">
        <v>71</v>
      </c>
    </row>
    <row r="15" spans="2:4" ht="13.5" customHeight="1" x14ac:dyDescent="0.2">
      <c r="B15" s="124"/>
      <c r="C15" s="90" t="s">
        <v>63</v>
      </c>
      <c r="D15" s="91" t="s">
        <v>72</v>
      </c>
    </row>
    <row r="16" spans="2:4" ht="12.75" customHeight="1" x14ac:dyDescent="0.2">
      <c r="B16" s="123" t="s">
        <v>42</v>
      </c>
      <c r="C16" s="86" t="s">
        <v>73</v>
      </c>
      <c r="D16" s="87" t="s">
        <v>74</v>
      </c>
    </row>
    <row r="17" spans="2:4" ht="12.75" customHeight="1" x14ac:dyDescent="0.2">
      <c r="B17" s="123"/>
      <c r="C17" s="88" t="s">
        <v>75</v>
      </c>
      <c r="D17" s="89" t="s">
        <v>76</v>
      </c>
    </row>
    <row r="18" spans="2:4" ht="12.75" customHeight="1" x14ac:dyDescent="0.2">
      <c r="B18" s="123"/>
      <c r="C18" s="88" t="s">
        <v>77</v>
      </c>
      <c r="D18" s="89" t="s">
        <v>78</v>
      </c>
    </row>
    <row r="19" spans="2:4" ht="13.5" customHeight="1" x14ac:dyDescent="0.2">
      <c r="B19" s="124"/>
      <c r="C19" s="90" t="s">
        <v>79</v>
      </c>
      <c r="D19" s="91" t="s">
        <v>80</v>
      </c>
    </row>
    <row r="20" spans="2:4" ht="17.25" customHeight="1" x14ac:dyDescent="0.2">
      <c r="B20" s="123" t="s">
        <v>43</v>
      </c>
      <c r="C20" s="86" t="s">
        <v>57</v>
      </c>
      <c r="D20" s="87" t="s">
        <v>81</v>
      </c>
    </row>
    <row r="21" spans="2:4" ht="12.75" customHeight="1" x14ac:dyDescent="0.2">
      <c r="B21" s="123"/>
      <c r="C21" s="88" t="s">
        <v>59</v>
      </c>
      <c r="D21" s="89" t="s">
        <v>82</v>
      </c>
    </row>
    <row r="22" spans="2:4" ht="12.75" customHeight="1" x14ac:dyDescent="0.2">
      <c r="B22" s="123"/>
      <c r="C22" s="88" t="s">
        <v>61</v>
      </c>
      <c r="D22" s="89" t="s">
        <v>83</v>
      </c>
    </row>
    <row r="23" spans="2:4" ht="13.5" customHeight="1" x14ac:dyDescent="0.2">
      <c r="B23" s="124"/>
      <c r="C23" s="90" t="s">
        <v>63</v>
      </c>
      <c r="D23" s="91" t="s">
        <v>84</v>
      </c>
    </row>
    <row r="24" spans="2:4" ht="12.75" customHeight="1" x14ac:dyDescent="0.2">
      <c r="B24" s="123" t="s">
        <v>44</v>
      </c>
      <c r="C24" s="86" t="s">
        <v>85</v>
      </c>
      <c r="D24" s="87" t="s">
        <v>86</v>
      </c>
    </row>
    <row r="25" spans="2:4" ht="12.75" customHeight="1" x14ac:dyDescent="0.2">
      <c r="B25" s="123"/>
      <c r="C25" s="88" t="s">
        <v>87</v>
      </c>
      <c r="D25" s="89" t="s">
        <v>88</v>
      </c>
    </row>
    <row r="26" spans="2:4" ht="12.75" customHeight="1" x14ac:dyDescent="0.2">
      <c r="B26" s="123"/>
      <c r="C26" s="88" t="s">
        <v>89</v>
      </c>
      <c r="D26" s="89" t="s">
        <v>90</v>
      </c>
    </row>
    <row r="27" spans="2:4" ht="13.5" customHeight="1" x14ac:dyDescent="0.2">
      <c r="B27" s="124"/>
      <c r="C27" s="90" t="s">
        <v>91</v>
      </c>
      <c r="D27" s="91" t="s">
        <v>92</v>
      </c>
    </row>
    <row r="28" spans="2:4" ht="12.75" customHeight="1" x14ac:dyDescent="0.2">
      <c r="B28" s="123" t="s">
        <v>45</v>
      </c>
      <c r="C28" s="86" t="s">
        <v>93</v>
      </c>
      <c r="D28" s="87" t="s">
        <v>94</v>
      </c>
    </row>
    <row r="29" spans="2:4" ht="12.75" customHeight="1" x14ac:dyDescent="0.2">
      <c r="B29" s="123"/>
      <c r="C29" s="88" t="s">
        <v>95</v>
      </c>
      <c r="D29" s="89" t="s">
        <v>96</v>
      </c>
    </row>
    <row r="30" spans="2:4" ht="12.75" customHeight="1" x14ac:dyDescent="0.2">
      <c r="B30" s="123"/>
      <c r="C30" s="92" t="s">
        <v>97</v>
      </c>
      <c r="D30" s="93" t="s">
        <v>98</v>
      </c>
    </row>
    <row r="31" spans="2:4" ht="28.5" customHeight="1" x14ac:dyDescent="0.2">
      <c r="B31" s="120" t="s">
        <v>46</v>
      </c>
      <c r="C31" s="86" t="s">
        <v>99</v>
      </c>
      <c r="D31" s="87" t="s">
        <v>100</v>
      </c>
    </row>
    <row r="32" spans="2:4" ht="27" customHeight="1" x14ac:dyDescent="0.2">
      <c r="B32" s="123"/>
      <c r="C32" s="88" t="s">
        <v>101</v>
      </c>
      <c r="D32" s="89" t="s">
        <v>102</v>
      </c>
    </row>
    <row r="33" spans="2:4" ht="12.75" customHeight="1" x14ac:dyDescent="0.2">
      <c r="B33" s="123"/>
      <c r="C33" s="90" t="s">
        <v>103</v>
      </c>
      <c r="D33" s="91" t="s">
        <v>104</v>
      </c>
    </row>
    <row r="34" spans="2:4" ht="12.75" customHeight="1" x14ac:dyDescent="0.2">
      <c r="B34" s="120" t="s">
        <v>47</v>
      </c>
      <c r="C34" s="86" t="s">
        <v>105</v>
      </c>
      <c r="D34" s="87" t="s">
        <v>106</v>
      </c>
    </row>
    <row r="35" spans="2:4" ht="12.75" customHeight="1" x14ac:dyDescent="0.2">
      <c r="B35" s="123"/>
      <c r="C35" s="88" t="s">
        <v>107</v>
      </c>
      <c r="D35" s="89" t="s">
        <v>108</v>
      </c>
    </row>
    <row r="36" spans="2:4" ht="12.75" customHeight="1" x14ac:dyDescent="0.2">
      <c r="B36" s="124"/>
      <c r="C36" s="90" t="s">
        <v>109</v>
      </c>
      <c r="D36" s="91" t="s">
        <v>110</v>
      </c>
    </row>
    <row r="37" spans="2:4" x14ac:dyDescent="0.2">
      <c r="B37" s="20"/>
      <c r="C37" s="94"/>
      <c r="D37" s="95"/>
    </row>
    <row r="38" spans="2:4" x14ac:dyDescent="0.2">
      <c r="B38" s="20"/>
      <c r="C38" s="94"/>
      <c r="D38" s="95"/>
    </row>
    <row r="39" spans="2:4" x14ac:dyDescent="0.2">
      <c r="B39" s="20"/>
      <c r="C39" s="94"/>
      <c r="D39" s="95"/>
    </row>
    <row r="40" spans="2:4" x14ac:dyDescent="0.2">
      <c r="B40" s="20"/>
      <c r="C40" s="94"/>
      <c r="D40" s="95"/>
    </row>
    <row r="41" spans="2:4" x14ac:dyDescent="0.2">
      <c r="B41" s="20"/>
      <c r="C41" s="94"/>
      <c r="D41" s="95"/>
    </row>
    <row r="42" spans="2:4" x14ac:dyDescent="0.2">
      <c r="B42" s="20"/>
      <c r="C42" s="94"/>
      <c r="D42" s="95"/>
    </row>
    <row r="43" spans="2:4" x14ac:dyDescent="0.2">
      <c r="B43" s="20"/>
      <c r="C43" s="94"/>
      <c r="D43" s="95"/>
    </row>
    <row r="44" spans="2:4" x14ac:dyDescent="0.2">
      <c r="B44" s="20"/>
      <c r="C44" s="94"/>
      <c r="D44" s="95"/>
    </row>
    <row r="45" spans="2:4" x14ac:dyDescent="0.2">
      <c r="B45" s="20"/>
      <c r="C45" s="94"/>
      <c r="D45" s="95"/>
    </row>
    <row r="46" spans="2:4" x14ac:dyDescent="0.2">
      <c r="B46" s="20"/>
      <c r="C46" s="94"/>
      <c r="D46" s="95"/>
    </row>
    <row r="47" spans="2:4" x14ac:dyDescent="0.2">
      <c r="B47" s="20"/>
      <c r="C47" s="94"/>
      <c r="D47" s="95"/>
    </row>
    <row r="48" spans="2:4" x14ac:dyDescent="0.2">
      <c r="B48" s="20"/>
      <c r="C48" s="94"/>
      <c r="D48" s="95"/>
    </row>
    <row r="49" spans="2:4" x14ac:dyDescent="0.2">
      <c r="B49" s="20"/>
      <c r="C49" s="94"/>
      <c r="D49" s="95"/>
    </row>
    <row r="50" spans="2:4" x14ac:dyDescent="0.2">
      <c r="B50" s="20"/>
      <c r="C50" s="94"/>
      <c r="D50" s="95"/>
    </row>
    <row r="51" spans="2:4" x14ac:dyDescent="0.2">
      <c r="B51" s="20"/>
      <c r="C51" s="94"/>
      <c r="D51" s="95"/>
    </row>
    <row r="52" spans="2:4" x14ac:dyDescent="0.2">
      <c r="B52" s="20"/>
      <c r="C52" s="94"/>
      <c r="D52" s="95"/>
    </row>
    <row r="53" spans="2:4" x14ac:dyDescent="0.2">
      <c r="B53" s="20"/>
      <c r="C53" s="94"/>
      <c r="D53" s="95"/>
    </row>
    <row r="54" spans="2:4" x14ac:dyDescent="0.2">
      <c r="B54" s="20"/>
      <c r="C54" s="94"/>
      <c r="D54" s="95"/>
    </row>
    <row r="55" spans="2:4" x14ac:dyDescent="0.2">
      <c r="C55" s="94"/>
      <c r="D55" s="95"/>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B26" zoomScale="115" zoomScaleNormal="115" workbookViewId="0">
      <selection activeCell="L38" sqref="L38"/>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111</v>
      </c>
      <c r="U1" s="142" t="s">
        <v>112</v>
      </c>
    </row>
    <row r="2" spans="2:38" x14ac:dyDescent="0.2">
      <c r="B2" s="120" t="s">
        <v>113</v>
      </c>
      <c r="C2" s="1"/>
      <c r="D2" s="129" t="s">
        <v>114</v>
      </c>
      <c r="E2" s="129"/>
      <c r="F2" s="129"/>
      <c r="G2" s="1"/>
      <c r="H2" s="128" t="s">
        <v>115</v>
      </c>
      <c r="I2" s="129"/>
      <c r="J2" s="129"/>
      <c r="K2" s="1"/>
      <c r="L2" s="128" t="s">
        <v>116</v>
      </c>
      <c r="M2" s="129"/>
      <c r="N2" s="132"/>
      <c r="T2" s="36">
        <v>3</v>
      </c>
      <c r="U2" s="142"/>
      <c r="V2" s="140" t="s">
        <v>117</v>
      </c>
      <c r="W2" s="141"/>
      <c r="X2" s="129" t="s">
        <v>118</v>
      </c>
      <c r="Y2" s="129"/>
      <c r="Z2" s="129" t="s">
        <v>119</v>
      </c>
      <c r="AA2" s="132"/>
      <c r="AE2" s="120" t="s">
        <v>26</v>
      </c>
      <c r="AF2" s="1"/>
      <c r="AG2" s="43" t="s">
        <v>120</v>
      </c>
      <c r="AH2" s="2" t="s">
        <v>28</v>
      </c>
      <c r="AI2" s="2"/>
      <c r="AJ2" s="2" t="s">
        <v>121</v>
      </c>
      <c r="AK2" s="2" t="s">
        <v>122</v>
      </c>
      <c r="AL2" s="26" t="s">
        <v>123</v>
      </c>
    </row>
    <row r="3" spans="2:38" x14ac:dyDescent="0.2">
      <c r="B3" s="121"/>
      <c r="D3" s="3" t="s">
        <v>124</v>
      </c>
      <c r="E3" s="3" t="s">
        <v>125</v>
      </c>
      <c r="F3" s="3" t="s">
        <v>126</v>
      </c>
      <c r="H3" s="3" t="s">
        <v>124</v>
      </c>
      <c r="I3" s="3" t="s">
        <v>125</v>
      </c>
      <c r="J3" s="3" t="s">
        <v>126</v>
      </c>
      <c r="L3" s="3" t="s">
        <v>124</v>
      </c>
      <c r="M3" s="3" t="s">
        <v>125</v>
      </c>
      <c r="N3" s="27" t="s">
        <v>126</v>
      </c>
      <c r="V3" s="37" t="s">
        <v>127</v>
      </c>
      <c r="W3" s="38" t="s">
        <v>128</v>
      </c>
      <c r="X3" s="38" t="s">
        <v>127</v>
      </c>
      <c r="Y3" s="38" t="s">
        <v>128</v>
      </c>
      <c r="Z3" s="38" t="s">
        <v>127</v>
      </c>
      <c r="AA3" s="50" t="s">
        <v>128</v>
      </c>
      <c r="AE3" s="121"/>
      <c r="AG3" s="63"/>
      <c r="AH3" s="64"/>
      <c r="AI3" s="64"/>
      <c r="AJ3" s="64"/>
      <c r="AK3" s="64"/>
      <c r="AL3" s="65"/>
    </row>
    <row r="4" spans="2:38" x14ac:dyDescent="0.2">
      <c r="B4" s="121"/>
      <c r="C4" s="4" t="s">
        <v>129</v>
      </c>
      <c r="D4" s="113">
        <v>25</v>
      </c>
      <c r="E4" s="113">
        <v>35</v>
      </c>
      <c r="F4" s="113">
        <v>45</v>
      </c>
      <c r="H4" s="113">
        <v>35</v>
      </c>
      <c r="I4" s="113">
        <v>45</v>
      </c>
      <c r="J4" s="113">
        <v>55</v>
      </c>
      <c r="L4" s="5">
        <v>65</v>
      </c>
      <c r="M4" s="5">
        <v>80</v>
      </c>
      <c r="N4" s="28">
        <v>95</v>
      </c>
      <c r="U4">
        <f>IF(T$2=1,W4,IF(T$2=2,Y4,AA4))</f>
        <v>75.323547775964002</v>
      </c>
      <c r="V4" s="37">
        <f>(F4-D4)/6</f>
        <v>3.3333333333333335</v>
      </c>
      <c r="W4" s="39">
        <v>35.8131387310261</v>
      </c>
      <c r="X4" s="38">
        <f>(J4-H4)/6</f>
        <v>3.3333333333333335</v>
      </c>
      <c r="Y4" s="39">
        <v>44.275707023036802</v>
      </c>
      <c r="Z4" s="38">
        <f>(N4-L4)/6</f>
        <v>5</v>
      </c>
      <c r="AA4" s="59">
        <v>75.323547775964002</v>
      </c>
      <c r="AE4" s="121"/>
      <c r="AF4" s="4" t="s">
        <v>29</v>
      </c>
      <c r="AG4" s="66">
        <f>AH4*U4</f>
        <v>71898.230211131275</v>
      </c>
      <c r="AH4" s="67">
        <v>954.52527574749001</v>
      </c>
      <c r="AI4" s="68"/>
      <c r="AJ4" s="68">
        <v>700</v>
      </c>
      <c r="AK4" s="68">
        <v>800</v>
      </c>
      <c r="AL4" s="69">
        <v>1000</v>
      </c>
    </row>
    <row r="5" spans="2:38" x14ac:dyDescent="0.2">
      <c r="B5" s="122"/>
      <c r="C5" s="6" t="s">
        <v>130</v>
      </c>
      <c r="D5" s="114">
        <v>35</v>
      </c>
      <c r="E5" s="114">
        <v>45</v>
      </c>
      <c r="F5" s="114">
        <v>55</v>
      </c>
      <c r="G5" s="8"/>
      <c r="H5" s="114">
        <v>27</v>
      </c>
      <c r="I5" s="114">
        <v>30</v>
      </c>
      <c r="J5" s="114">
        <v>33</v>
      </c>
      <c r="K5" s="8"/>
      <c r="L5" s="7">
        <v>8</v>
      </c>
      <c r="M5" s="7">
        <v>13</v>
      </c>
      <c r="N5" s="29">
        <v>18</v>
      </c>
      <c r="U5">
        <f>IF(T$2=1,W5,IF(T$2=2,Y5,AA5))</f>
        <v>24.6848684030154</v>
      </c>
      <c r="V5" s="40">
        <f>(F5-D5)/6</f>
        <v>3.3333333333333335</v>
      </c>
      <c r="W5" s="41">
        <v>49.488512795699798</v>
      </c>
      <c r="X5" s="42">
        <f>(J5-H5)/6</f>
        <v>1</v>
      </c>
      <c r="Y5" s="41">
        <v>29.441303665410299</v>
      </c>
      <c r="Z5" s="42">
        <f>(N5-L5)/6</f>
        <v>1.6666666666666667</v>
      </c>
      <c r="AA5" s="60">
        <v>24.6848684030154</v>
      </c>
      <c r="AE5" s="122"/>
      <c r="AF5" s="6" t="s">
        <v>35</v>
      </c>
      <c r="AG5" s="70"/>
      <c r="AH5" s="71"/>
      <c r="AI5" s="71"/>
      <c r="AJ5" s="71"/>
      <c r="AK5" s="71"/>
      <c r="AL5" s="72"/>
    </row>
    <row r="6" spans="2:38" ht="15" x14ac:dyDescent="0.2">
      <c r="B6" s="9"/>
      <c r="T6" s="14" t="s">
        <v>131</v>
      </c>
      <c r="AE6" s="9"/>
      <c r="AG6" s="73"/>
      <c r="AH6" s="73"/>
      <c r="AI6" s="73"/>
      <c r="AJ6" s="73"/>
      <c r="AK6" s="73"/>
      <c r="AL6" s="73"/>
    </row>
    <row r="7" spans="2:38" x14ac:dyDescent="0.2">
      <c r="B7" s="120" t="s">
        <v>132</v>
      </c>
      <c r="C7" s="1"/>
      <c r="D7" s="129" t="s">
        <v>133</v>
      </c>
      <c r="E7" s="129"/>
      <c r="F7" s="129"/>
      <c r="G7" s="1"/>
      <c r="H7" s="129" t="s">
        <v>134</v>
      </c>
      <c r="I7" s="129"/>
      <c r="J7" s="129"/>
      <c r="K7" s="1"/>
      <c r="L7" s="129" t="s">
        <v>212</v>
      </c>
      <c r="M7" s="129"/>
      <c r="N7" s="129"/>
      <c r="O7" s="1"/>
      <c r="P7" s="128" t="s">
        <v>135</v>
      </c>
      <c r="Q7" s="129"/>
      <c r="R7" s="132"/>
      <c r="T7" s="36">
        <v>4</v>
      </c>
      <c r="V7" s="133" t="s">
        <v>136</v>
      </c>
      <c r="W7" s="129"/>
      <c r="X7" s="129" t="s">
        <v>137</v>
      </c>
      <c r="Y7" s="129"/>
      <c r="Z7" s="129" t="s">
        <v>138</v>
      </c>
      <c r="AA7" s="129"/>
      <c r="AB7" s="134" t="s">
        <v>139</v>
      </c>
      <c r="AC7" s="135"/>
      <c r="AE7" s="120" t="s">
        <v>37</v>
      </c>
      <c r="AF7" s="1"/>
      <c r="AG7" s="74" t="s">
        <v>120</v>
      </c>
      <c r="AH7" s="75" t="s">
        <v>28</v>
      </c>
      <c r="AI7" s="75"/>
      <c r="AJ7" s="75" t="s">
        <v>121</v>
      </c>
      <c r="AK7" s="75" t="s">
        <v>122</v>
      </c>
      <c r="AL7" s="76" t="s">
        <v>123</v>
      </c>
    </row>
    <row r="8" spans="2:38" x14ac:dyDescent="0.2">
      <c r="B8" s="121"/>
      <c r="C8" s="4"/>
      <c r="D8" s="3" t="s">
        <v>124</v>
      </c>
      <c r="E8" s="3" t="s">
        <v>125</v>
      </c>
      <c r="F8" s="3" t="s">
        <v>126</v>
      </c>
      <c r="H8" s="3" t="s">
        <v>124</v>
      </c>
      <c r="I8" s="3" t="s">
        <v>125</v>
      </c>
      <c r="J8" s="3" t="s">
        <v>126</v>
      </c>
      <c r="L8" s="3" t="s">
        <v>124</v>
      </c>
      <c r="M8" s="3" t="s">
        <v>125</v>
      </c>
      <c r="N8" s="3" t="s">
        <v>126</v>
      </c>
      <c r="P8" s="3" t="s">
        <v>124</v>
      </c>
      <c r="Q8" s="3" t="s">
        <v>125</v>
      </c>
      <c r="R8" s="27" t="s">
        <v>126</v>
      </c>
      <c r="V8" s="37" t="s">
        <v>127</v>
      </c>
      <c r="W8" s="38" t="s">
        <v>128</v>
      </c>
      <c r="X8" s="38" t="s">
        <v>127</v>
      </c>
      <c r="Y8" s="38" t="s">
        <v>128</v>
      </c>
      <c r="Z8" s="38" t="s">
        <v>127</v>
      </c>
      <c r="AA8" s="38" t="s">
        <v>128</v>
      </c>
      <c r="AB8" s="38" t="s">
        <v>127</v>
      </c>
      <c r="AC8" s="50" t="s">
        <v>128</v>
      </c>
      <c r="AE8" s="121"/>
      <c r="AF8" s="4"/>
      <c r="AG8" s="66"/>
      <c r="AH8" s="68"/>
      <c r="AI8" s="68"/>
      <c r="AJ8" s="68"/>
      <c r="AK8" s="68"/>
      <c r="AL8" s="69"/>
    </row>
    <row r="9" spans="2:38" x14ac:dyDescent="0.2">
      <c r="B9" s="121"/>
      <c r="C9" s="4" t="s">
        <v>129</v>
      </c>
      <c r="D9" s="115">
        <v>1</v>
      </c>
      <c r="E9" s="115">
        <v>4</v>
      </c>
      <c r="F9" s="115">
        <v>7</v>
      </c>
      <c r="H9" s="115">
        <v>7</v>
      </c>
      <c r="I9" s="115">
        <v>10</v>
      </c>
      <c r="J9" s="115">
        <v>13</v>
      </c>
      <c r="L9" s="143">
        <v>38</v>
      </c>
      <c r="M9" s="143">
        <v>40</v>
      </c>
      <c r="N9" s="143">
        <v>42</v>
      </c>
      <c r="P9" s="10">
        <v>22</v>
      </c>
      <c r="Q9" s="10">
        <v>23</v>
      </c>
      <c r="R9" s="30">
        <v>24</v>
      </c>
      <c r="U9">
        <f>IF(T$7=1,W9,IF(T$7=2,Y9,IF(T$7=3,AA9,AC9)))</f>
        <v>10.1687597504175</v>
      </c>
      <c r="V9" s="37">
        <f>(F9-D9)/6</f>
        <v>1</v>
      </c>
      <c r="W9" s="39">
        <v>3.12414241279739</v>
      </c>
      <c r="X9" s="38">
        <f>(J9-H9)/6</f>
        <v>1</v>
      </c>
      <c r="Y9" s="39">
        <v>8.7522633634921192</v>
      </c>
      <c r="Z9" s="38">
        <f>(N9-L9)/6</f>
        <v>0.66666666666666663</v>
      </c>
      <c r="AA9" s="39">
        <v>19.8563471792786</v>
      </c>
      <c r="AB9" s="38">
        <f>(R9-P9)/6</f>
        <v>0.33333333333333331</v>
      </c>
      <c r="AC9" s="59">
        <v>10.1687597504175</v>
      </c>
      <c r="AE9" s="121"/>
      <c r="AF9" s="4" t="s">
        <v>29</v>
      </c>
      <c r="AG9" s="66">
        <f>AH9*U9</f>
        <v>8414.9352154278931</v>
      </c>
      <c r="AH9" s="77">
        <v>827.52817668668001</v>
      </c>
      <c r="AI9" s="68"/>
      <c r="AJ9" s="68">
        <v>700</v>
      </c>
      <c r="AK9" s="68">
        <v>800</v>
      </c>
      <c r="AL9" s="69">
        <v>1000</v>
      </c>
    </row>
    <row r="10" spans="2:38" x14ac:dyDescent="0.2">
      <c r="B10" s="122"/>
      <c r="C10" s="6" t="s">
        <v>130</v>
      </c>
      <c r="D10" s="116">
        <v>0.25</v>
      </c>
      <c r="E10" s="116">
        <v>0.4</v>
      </c>
      <c r="F10" s="116">
        <v>0.55000000000000004</v>
      </c>
      <c r="G10" s="12"/>
      <c r="H10" s="116">
        <v>0.5</v>
      </c>
      <c r="I10" s="116">
        <v>0.55000000000000004</v>
      </c>
      <c r="J10" s="116">
        <v>0.6</v>
      </c>
      <c r="K10" s="12"/>
      <c r="L10" s="144">
        <v>0.75</v>
      </c>
      <c r="M10" s="144">
        <v>0.8</v>
      </c>
      <c r="N10" s="144">
        <v>0.85</v>
      </c>
      <c r="O10" s="12"/>
      <c r="P10" s="11">
        <v>2.5999999999999999E-2</v>
      </c>
      <c r="Q10" s="11">
        <v>7.5999999999999998E-2</v>
      </c>
      <c r="R10" s="34">
        <v>0.126</v>
      </c>
      <c r="U10" s="44">
        <f>IF(T$7=1,W10,IF(T$7=2,Y10,IF(T$7=3,AA10,AC10)))</f>
        <v>0.71964608334873204</v>
      </c>
      <c r="V10" s="40">
        <f>(F10-D10)/6</f>
        <v>5.000000000000001E-2</v>
      </c>
      <c r="W10" s="41">
        <v>0.39970865837388098</v>
      </c>
      <c r="X10" s="42">
        <f>(J10-H10)/6</f>
        <v>1.6666666666666663E-2</v>
      </c>
      <c r="Y10" s="41">
        <v>0.584717263502888</v>
      </c>
      <c r="Z10" s="42">
        <f>(N10-L10)/6</f>
        <v>1.6666666666666663E-2</v>
      </c>
      <c r="AA10" s="41">
        <v>0.86142897262255702</v>
      </c>
      <c r="AB10" s="42">
        <f>(R10-P10)/6</f>
        <v>1.6666666666666666E-2</v>
      </c>
      <c r="AC10" s="60">
        <v>0.71964608334873204</v>
      </c>
      <c r="AE10" s="122"/>
      <c r="AF10" s="6" t="s">
        <v>35</v>
      </c>
      <c r="AG10" s="70">
        <f>U5*U10*AH10</f>
        <v>15756.068864244759</v>
      </c>
      <c r="AH10" s="78">
        <v>886.94785526490602</v>
      </c>
      <c r="AI10" s="71"/>
      <c r="AJ10" s="71">
        <f>0.85*AK10</f>
        <v>2125</v>
      </c>
      <c r="AK10" s="71">
        <v>2500</v>
      </c>
      <c r="AL10" s="72">
        <f>1.15*AK10</f>
        <v>2875</v>
      </c>
    </row>
    <row r="11" spans="2:38" ht="15" x14ac:dyDescent="0.2">
      <c r="B11" s="9"/>
      <c r="C11" s="4"/>
      <c r="T11" s="14" t="s">
        <v>140</v>
      </c>
      <c r="AE11" s="9"/>
      <c r="AF11" s="4"/>
      <c r="AG11" s="79"/>
      <c r="AH11" s="79"/>
      <c r="AI11" s="79"/>
      <c r="AJ11" s="79"/>
      <c r="AK11" s="79"/>
      <c r="AL11" s="79"/>
    </row>
    <row r="12" spans="2:38" x14ac:dyDescent="0.2">
      <c r="B12" s="120" t="s">
        <v>141</v>
      </c>
      <c r="C12" s="13"/>
      <c r="D12" s="128" t="s">
        <v>142</v>
      </c>
      <c r="E12" s="129"/>
      <c r="F12" s="129"/>
      <c r="G12" s="1"/>
      <c r="H12" s="129" t="s">
        <v>143</v>
      </c>
      <c r="I12" s="129"/>
      <c r="J12" s="132"/>
      <c r="L12" s="139"/>
      <c r="M12" s="139"/>
      <c r="N12" s="139"/>
      <c r="T12" s="36">
        <v>2</v>
      </c>
      <c r="V12" s="133" t="s">
        <v>144</v>
      </c>
      <c r="W12" s="129"/>
      <c r="X12" s="129" t="s">
        <v>145</v>
      </c>
      <c r="Y12" s="132"/>
      <c r="AE12" s="120" t="s">
        <v>40</v>
      </c>
      <c r="AF12" s="13"/>
      <c r="AG12" s="74" t="s">
        <v>120</v>
      </c>
      <c r="AH12" s="75" t="s">
        <v>28</v>
      </c>
      <c r="AI12" s="75"/>
      <c r="AJ12" s="75" t="s">
        <v>121</v>
      </c>
      <c r="AK12" s="75" t="s">
        <v>122</v>
      </c>
      <c r="AL12" s="76" t="s">
        <v>123</v>
      </c>
    </row>
    <row r="13" spans="2:38" x14ac:dyDescent="0.2">
      <c r="B13" s="121"/>
      <c r="C13" s="4"/>
      <c r="D13" s="3" t="s">
        <v>124</v>
      </c>
      <c r="E13" s="3" t="s">
        <v>125</v>
      </c>
      <c r="F13" s="3" t="s">
        <v>126</v>
      </c>
      <c r="H13" s="3" t="s">
        <v>124</v>
      </c>
      <c r="I13" s="3" t="s">
        <v>125</v>
      </c>
      <c r="J13" s="27" t="s">
        <v>126</v>
      </c>
      <c r="L13" s="14"/>
      <c r="M13" s="14"/>
      <c r="N13" s="14"/>
      <c r="V13" s="37" t="s">
        <v>127</v>
      </c>
      <c r="W13" s="38" t="s">
        <v>128</v>
      </c>
      <c r="X13" s="38" t="s">
        <v>127</v>
      </c>
      <c r="Y13" s="50" t="s">
        <v>128</v>
      </c>
      <c r="AE13" s="121"/>
      <c r="AF13" s="4"/>
      <c r="AG13" s="66"/>
      <c r="AH13" s="68"/>
      <c r="AI13" s="68"/>
      <c r="AJ13" s="68"/>
      <c r="AK13" s="68"/>
      <c r="AL13" s="69"/>
    </row>
    <row r="14" spans="2:38" x14ac:dyDescent="0.2">
      <c r="B14" s="121"/>
      <c r="C14" s="4" t="s">
        <v>129</v>
      </c>
      <c r="D14" s="115">
        <v>50</v>
      </c>
      <c r="E14" s="115">
        <v>60</v>
      </c>
      <c r="F14" s="115">
        <v>70</v>
      </c>
      <c r="G14" s="14"/>
      <c r="H14" s="10">
        <v>65</v>
      </c>
      <c r="I14" s="10">
        <v>75</v>
      </c>
      <c r="J14" s="30">
        <v>85</v>
      </c>
      <c r="L14" s="14"/>
      <c r="M14" s="14"/>
      <c r="N14" s="14"/>
      <c r="U14">
        <f>IF(T$12=1,W14,Y14)</f>
        <v>72.167572238911902</v>
      </c>
      <c r="V14" s="37">
        <f>(F14-D14)/6</f>
        <v>3.3333333333333335</v>
      </c>
      <c r="W14" s="39">
        <v>55.731568237323899</v>
      </c>
      <c r="X14" s="38">
        <f>(J14-H14)/6</f>
        <v>3.3333333333333335</v>
      </c>
      <c r="Y14" s="59">
        <v>72.167572238911902</v>
      </c>
      <c r="AE14" s="121"/>
      <c r="AF14" s="4" t="s">
        <v>29</v>
      </c>
      <c r="AG14" s="66">
        <f>AH14*U14</f>
        <v>57593.057644792163</v>
      </c>
      <c r="AH14" s="77">
        <v>798.04621186548195</v>
      </c>
      <c r="AI14" s="68"/>
      <c r="AJ14" s="68">
        <v>700</v>
      </c>
      <c r="AK14" s="68">
        <v>800</v>
      </c>
      <c r="AL14" s="69">
        <v>1000</v>
      </c>
    </row>
    <row r="15" spans="2:38" x14ac:dyDescent="0.2">
      <c r="B15" s="122"/>
      <c r="C15" s="6" t="s">
        <v>130</v>
      </c>
      <c r="D15" s="117">
        <v>25</v>
      </c>
      <c r="E15" s="117">
        <v>35</v>
      </c>
      <c r="F15" s="117">
        <v>45</v>
      </c>
      <c r="G15" s="16"/>
      <c r="H15" s="15">
        <v>11</v>
      </c>
      <c r="I15" s="15">
        <v>16</v>
      </c>
      <c r="J15" s="31">
        <v>21</v>
      </c>
      <c r="U15">
        <f>IF(T$12=1,W15,Y15)</f>
        <v>20.1977784582241</v>
      </c>
      <c r="V15" s="40">
        <f>(F15-D15)/6</f>
        <v>3.3333333333333335</v>
      </c>
      <c r="W15" s="41">
        <v>46.076732326255097</v>
      </c>
      <c r="X15" s="42">
        <f>(J15-H15)/6</f>
        <v>1.6666666666666667</v>
      </c>
      <c r="Y15" s="60">
        <v>20.1977784582241</v>
      </c>
      <c r="AE15" s="122"/>
      <c r="AF15" s="6" t="s">
        <v>35</v>
      </c>
      <c r="AG15" s="70"/>
      <c r="AH15" s="71"/>
      <c r="AI15" s="71"/>
      <c r="AJ15" s="71"/>
      <c r="AK15" s="71"/>
      <c r="AL15" s="72"/>
    </row>
    <row r="16" spans="2:38" ht="15" x14ac:dyDescent="0.2">
      <c r="B16" s="9"/>
      <c r="C16" s="4"/>
      <c r="T16" s="14" t="s">
        <v>146</v>
      </c>
      <c r="AE16" s="9"/>
      <c r="AF16" s="4"/>
      <c r="AG16" s="79"/>
      <c r="AH16" s="79"/>
      <c r="AI16" s="79"/>
      <c r="AJ16" s="79"/>
      <c r="AK16" s="79"/>
      <c r="AL16" s="79"/>
    </row>
    <row r="17" spans="1:38" x14ac:dyDescent="0.2">
      <c r="B17" s="120" t="s">
        <v>147</v>
      </c>
      <c r="C17" s="13"/>
      <c r="D17" s="129" t="s">
        <v>133</v>
      </c>
      <c r="E17" s="129"/>
      <c r="F17" s="129"/>
      <c r="G17" s="1"/>
      <c r="H17" s="129" t="s">
        <v>134</v>
      </c>
      <c r="I17" s="129"/>
      <c r="J17" s="129"/>
      <c r="K17" s="1"/>
      <c r="L17" s="129" t="s">
        <v>212</v>
      </c>
      <c r="M17" s="129"/>
      <c r="N17" s="129"/>
      <c r="O17" s="1"/>
      <c r="P17" s="128" t="s">
        <v>135</v>
      </c>
      <c r="Q17" s="129"/>
      <c r="R17" s="132"/>
      <c r="T17" s="36">
        <v>4</v>
      </c>
      <c r="V17" s="133" t="s">
        <v>136</v>
      </c>
      <c r="W17" s="129"/>
      <c r="X17" s="129" t="s">
        <v>137</v>
      </c>
      <c r="Y17" s="129"/>
      <c r="Z17" s="129" t="s">
        <v>138</v>
      </c>
      <c r="AA17" s="129"/>
      <c r="AB17" s="134" t="s">
        <v>139</v>
      </c>
      <c r="AC17" s="135"/>
      <c r="AE17" s="120" t="s">
        <v>41</v>
      </c>
      <c r="AF17" s="13"/>
      <c r="AG17" s="74" t="s">
        <v>120</v>
      </c>
      <c r="AH17" s="75" t="s">
        <v>28</v>
      </c>
      <c r="AI17" s="75"/>
      <c r="AJ17" s="75" t="s">
        <v>121</v>
      </c>
      <c r="AK17" s="75" t="s">
        <v>122</v>
      </c>
      <c r="AL17" s="76" t="s">
        <v>123</v>
      </c>
    </row>
    <row r="18" spans="1:38" x14ac:dyDescent="0.2">
      <c r="B18" s="121"/>
      <c r="C18" s="4"/>
      <c r="D18" s="3" t="s">
        <v>124</v>
      </c>
      <c r="E18" s="3" t="s">
        <v>125</v>
      </c>
      <c r="F18" s="3" t="s">
        <v>126</v>
      </c>
      <c r="H18" s="3" t="s">
        <v>124</v>
      </c>
      <c r="I18" s="3" t="s">
        <v>125</v>
      </c>
      <c r="J18" s="3" t="s">
        <v>126</v>
      </c>
      <c r="L18" s="3" t="s">
        <v>124</v>
      </c>
      <c r="M18" s="3" t="s">
        <v>125</v>
      </c>
      <c r="N18" s="3" t="s">
        <v>126</v>
      </c>
      <c r="P18" s="3" t="s">
        <v>124</v>
      </c>
      <c r="Q18" s="3" t="s">
        <v>125</v>
      </c>
      <c r="R18" s="27" t="s">
        <v>126</v>
      </c>
      <c r="V18" s="37" t="s">
        <v>127</v>
      </c>
      <c r="W18" s="38" t="s">
        <v>128</v>
      </c>
      <c r="X18" s="38" t="s">
        <v>127</v>
      </c>
      <c r="Y18" s="38" t="s">
        <v>128</v>
      </c>
      <c r="Z18" s="38" t="s">
        <v>127</v>
      </c>
      <c r="AA18" s="38" t="s">
        <v>128</v>
      </c>
      <c r="AB18" s="38" t="s">
        <v>127</v>
      </c>
      <c r="AC18" s="50" t="s">
        <v>128</v>
      </c>
      <c r="AE18" s="121"/>
      <c r="AF18" s="4"/>
      <c r="AG18" s="66"/>
      <c r="AH18" s="68"/>
      <c r="AI18" s="68"/>
      <c r="AJ18" s="68"/>
      <c r="AK18" s="68"/>
      <c r="AL18" s="69"/>
    </row>
    <row r="19" spans="1:38" x14ac:dyDescent="0.2">
      <c r="B19" s="121"/>
      <c r="C19" s="4" t="s">
        <v>129</v>
      </c>
      <c r="D19" s="115">
        <v>5</v>
      </c>
      <c r="E19" s="115">
        <v>12</v>
      </c>
      <c r="F19" s="115">
        <v>19</v>
      </c>
      <c r="G19" s="14"/>
      <c r="H19" s="115">
        <v>15</v>
      </c>
      <c r="I19" s="115">
        <v>20</v>
      </c>
      <c r="J19" s="115">
        <v>25</v>
      </c>
      <c r="K19" s="14"/>
      <c r="L19" s="143">
        <v>55</v>
      </c>
      <c r="M19" s="143">
        <v>65</v>
      </c>
      <c r="N19" s="143">
        <v>75</v>
      </c>
      <c r="O19" s="14"/>
      <c r="P19" s="10">
        <v>45</v>
      </c>
      <c r="Q19" s="10">
        <v>46</v>
      </c>
      <c r="R19" s="30">
        <v>48</v>
      </c>
      <c r="U19">
        <f>IF(T$17=1,W19,IF(T$17=2,Y19,IF(T$17=3,AA19,AC19)))</f>
        <v>7.0396389895773499</v>
      </c>
      <c r="V19" s="37">
        <f>(F19-D19)/6</f>
        <v>2.3333333333333335</v>
      </c>
      <c r="W19" s="39">
        <v>9.6240455909647196</v>
      </c>
      <c r="X19" s="38">
        <f>(J19-H19)/6</f>
        <v>1.6666666666666667</v>
      </c>
      <c r="Y19" s="39">
        <v>22.283031109223401</v>
      </c>
      <c r="Z19" s="38">
        <f>(N19-L19)/6</f>
        <v>3.3333333333333335</v>
      </c>
      <c r="AA19" s="39">
        <v>32.289564460258703</v>
      </c>
      <c r="AB19" s="38">
        <f>(R19-P19)/6</f>
        <v>0.5</v>
      </c>
      <c r="AC19" s="59">
        <v>7.0396389895773499</v>
      </c>
      <c r="AE19" s="121"/>
      <c r="AF19" s="4" t="s">
        <v>29</v>
      </c>
      <c r="AG19" s="66">
        <f>AH19*U19</f>
        <v>5309.3973318854805</v>
      </c>
      <c r="AH19" s="77">
        <v>754.21443340296196</v>
      </c>
      <c r="AI19" s="68"/>
      <c r="AJ19" s="68">
        <v>700</v>
      </c>
      <c r="AK19" s="68">
        <v>800</v>
      </c>
      <c r="AL19" s="69">
        <v>1000</v>
      </c>
    </row>
    <row r="20" spans="1:38" x14ac:dyDescent="0.2">
      <c r="B20" s="122"/>
      <c r="C20" s="6" t="s">
        <v>130</v>
      </c>
      <c r="D20" s="116">
        <v>0.25</v>
      </c>
      <c r="E20" s="116">
        <v>0.4</v>
      </c>
      <c r="F20" s="116">
        <v>0.55000000000000004</v>
      </c>
      <c r="G20" s="17"/>
      <c r="H20" s="116">
        <v>0.5</v>
      </c>
      <c r="I20" s="116">
        <v>0.55000000000000004</v>
      </c>
      <c r="J20" s="116">
        <v>0.6</v>
      </c>
      <c r="K20" s="17"/>
      <c r="L20" s="144">
        <v>0.54</v>
      </c>
      <c r="M20" s="144">
        <v>0.59</v>
      </c>
      <c r="N20" s="144">
        <v>0.64</v>
      </c>
      <c r="O20" s="17"/>
      <c r="P20" s="11">
        <v>5.7000000000000002E-2</v>
      </c>
      <c r="Q20" s="11">
        <v>0.107</v>
      </c>
      <c r="R20" s="34">
        <v>0.157</v>
      </c>
      <c r="U20" s="44">
        <f>IF(T$17=1,W20,IF(T$17=2,Y20,IF(T$17=3,AA20,AC20)))</f>
        <v>0.70204950083080697</v>
      </c>
      <c r="V20" s="40">
        <f>(F20-D20)/6</f>
        <v>5.000000000000001E-2</v>
      </c>
      <c r="W20" s="41">
        <v>0.39486266278396998</v>
      </c>
      <c r="X20" s="42">
        <f>(J20-H20)/6</f>
        <v>1.6666666666666663E-2</v>
      </c>
      <c r="Y20" s="41">
        <v>0.55844736890647695</v>
      </c>
      <c r="Z20" s="42">
        <f>(N20-L20)/6</f>
        <v>1.6666666666666663E-2</v>
      </c>
      <c r="AA20" s="41">
        <v>0.80849020454197995</v>
      </c>
      <c r="AB20" s="42">
        <f>(R20-P20)/6</f>
        <v>1.6666666666666666E-2</v>
      </c>
      <c r="AC20" s="60">
        <v>0.70204950083080697</v>
      </c>
      <c r="AE20" s="122"/>
      <c r="AF20" s="6" t="s">
        <v>35</v>
      </c>
      <c r="AG20" s="70">
        <f>(U$5*(1-U$10)+U$15)*U20*AH20</f>
        <v>27002.252498904967</v>
      </c>
      <c r="AH20" s="78">
        <v>1418.30668752479</v>
      </c>
      <c r="AI20" s="71"/>
      <c r="AJ20" s="71">
        <f>0.85*AK20</f>
        <v>2125</v>
      </c>
      <c r="AK20" s="71">
        <v>2500</v>
      </c>
      <c r="AL20" s="72">
        <f>1.15*AK20</f>
        <v>2875</v>
      </c>
    </row>
    <row r="21" spans="1:38" ht="15" x14ac:dyDescent="0.2">
      <c r="B21" s="9"/>
      <c r="C21" s="4"/>
      <c r="T21" s="14" t="s">
        <v>148</v>
      </c>
      <c r="AE21" s="9"/>
      <c r="AF21" s="4"/>
      <c r="AG21" s="79"/>
      <c r="AH21" s="79"/>
      <c r="AI21" s="79"/>
      <c r="AJ21" s="79"/>
      <c r="AK21" s="79"/>
      <c r="AL21" s="79"/>
    </row>
    <row r="22" spans="1:38" x14ac:dyDescent="0.2">
      <c r="B22" s="120" t="s">
        <v>149</v>
      </c>
      <c r="C22" s="13"/>
      <c r="D22" s="129" t="s">
        <v>150</v>
      </c>
      <c r="E22" s="129"/>
      <c r="F22" s="129"/>
      <c r="G22" s="1"/>
      <c r="H22" s="129" t="s">
        <v>151</v>
      </c>
      <c r="I22" s="129"/>
      <c r="J22" s="129"/>
      <c r="K22" s="1"/>
      <c r="L22" s="129" t="s">
        <v>77</v>
      </c>
      <c r="M22" s="129"/>
      <c r="N22" s="129"/>
      <c r="O22" s="1"/>
      <c r="P22" s="129" t="s">
        <v>152</v>
      </c>
      <c r="Q22" s="129"/>
      <c r="R22" s="132"/>
      <c r="T22" s="36">
        <v>4</v>
      </c>
      <c r="V22" s="138" t="s">
        <v>153</v>
      </c>
      <c r="W22" s="136"/>
      <c r="X22" s="136" t="s">
        <v>154</v>
      </c>
      <c r="Y22" s="136"/>
      <c r="Z22" s="136" t="s">
        <v>155</v>
      </c>
      <c r="AA22" s="136"/>
      <c r="AB22" s="136" t="s">
        <v>156</v>
      </c>
      <c r="AC22" s="137"/>
      <c r="AE22" s="120" t="s">
        <v>42</v>
      </c>
      <c r="AF22" s="13"/>
      <c r="AG22" s="74" t="s">
        <v>120</v>
      </c>
      <c r="AH22" s="75" t="s">
        <v>28</v>
      </c>
      <c r="AI22" s="75"/>
      <c r="AJ22" s="75" t="s">
        <v>121</v>
      </c>
      <c r="AK22" s="75" t="s">
        <v>122</v>
      </c>
      <c r="AL22" s="76" t="s">
        <v>123</v>
      </c>
    </row>
    <row r="23" spans="1:38" x14ac:dyDescent="0.2">
      <c r="B23" s="121"/>
      <c r="C23" s="4"/>
      <c r="D23" s="3" t="s">
        <v>124</v>
      </c>
      <c r="E23" s="3" t="s">
        <v>125</v>
      </c>
      <c r="F23" s="3" t="s">
        <v>126</v>
      </c>
      <c r="H23" s="3" t="s">
        <v>124</v>
      </c>
      <c r="I23" s="3" t="s">
        <v>125</v>
      </c>
      <c r="J23" s="3" t="s">
        <v>126</v>
      </c>
      <c r="L23" s="3" t="s">
        <v>124</v>
      </c>
      <c r="M23" s="3" t="s">
        <v>125</v>
      </c>
      <c r="N23" s="3" t="s">
        <v>126</v>
      </c>
      <c r="P23" s="3" t="s">
        <v>124</v>
      </c>
      <c r="Q23" s="3" t="s">
        <v>125</v>
      </c>
      <c r="R23" s="27" t="s">
        <v>126</v>
      </c>
      <c r="V23" s="37" t="s">
        <v>127</v>
      </c>
      <c r="W23" s="38" t="s">
        <v>128</v>
      </c>
      <c r="X23" s="38" t="s">
        <v>127</v>
      </c>
      <c r="Y23" s="38" t="s">
        <v>128</v>
      </c>
      <c r="Z23" s="38" t="s">
        <v>127</v>
      </c>
      <c r="AA23" s="38" t="s">
        <v>128</v>
      </c>
      <c r="AB23" s="38" t="s">
        <v>127</v>
      </c>
      <c r="AC23" s="50" t="s">
        <v>128</v>
      </c>
      <c r="AE23" s="121"/>
      <c r="AF23" s="4"/>
      <c r="AG23" s="66"/>
      <c r="AH23" s="68"/>
      <c r="AI23" s="68"/>
      <c r="AJ23" s="68"/>
      <c r="AK23" s="68"/>
      <c r="AL23" s="69"/>
    </row>
    <row r="24" spans="1:38" x14ac:dyDescent="0.2">
      <c r="A24">
        <v>2</v>
      </c>
      <c r="B24" s="121"/>
      <c r="C24" s="4" t="s">
        <v>129</v>
      </c>
      <c r="D24" s="115">
        <v>150</v>
      </c>
      <c r="E24" s="115">
        <v>300</v>
      </c>
      <c r="F24" s="115">
        <v>450</v>
      </c>
      <c r="G24" s="14"/>
      <c r="H24" s="115">
        <f>0.9*I24</f>
        <v>222.3</v>
      </c>
      <c r="I24" s="115">
        <f>1.3*FP</f>
        <v>247</v>
      </c>
      <c r="J24" s="115">
        <f>1.1*I24</f>
        <v>271.70000000000005</v>
      </c>
      <c r="K24" s="14"/>
      <c r="L24" s="115">
        <v>100</v>
      </c>
      <c r="M24" s="115">
        <v>125</v>
      </c>
      <c r="N24" s="115">
        <v>150</v>
      </c>
      <c r="O24" s="14"/>
      <c r="P24" s="10">
        <v>90</v>
      </c>
      <c r="Q24" s="10">
        <v>100</v>
      </c>
      <c r="R24" s="30">
        <v>110</v>
      </c>
      <c r="U24">
        <f>IF(T$22=1,W24,IF(T$22=2,Y24,IF(T$22=3,AA24,AC24)))</f>
        <v>102.20803773762201</v>
      </c>
      <c r="V24" s="37">
        <f>(F24-D24)/6</f>
        <v>50</v>
      </c>
      <c r="W24" s="39">
        <v>231.94731627798501</v>
      </c>
      <c r="X24" s="38">
        <f>(J24-H24)/6</f>
        <v>8.2333333333333396</v>
      </c>
      <c r="Y24" s="39">
        <v>239.99500478298799</v>
      </c>
      <c r="Z24" s="38">
        <f>(N24-L24)/6</f>
        <v>8.3333333333333339</v>
      </c>
      <c r="AA24" s="39">
        <v>131.60140136874401</v>
      </c>
      <c r="AB24" s="38">
        <f>(R24-P24)/6</f>
        <v>3.3333333333333335</v>
      </c>
      <c r="AC24" s="59">
        <v>102.20803773762201</v>
      </c>
      <c r="AE24" s="121"/>
      <c r="AF24" s="4" t="s">
        <v>29</v>
      </c>
      <c r="AG24" s="66">
        <f>AH24*U24</f>
        <v>86301.147220261337</v>
      </c>
      <c r="AH24" s="77">
        <v>844.36751874451204</v>
      </c>
      <c r="AI24" s="68"/>
      <c r="AJ24" s="68">
        <v>700</v>
      </c>
      <c r="AK24" s="68">
        <v>800</v>
      </c>
      <c r="AL24" s="69">
        <v>1000</v>
      </c>
    </row>
    <row r="25" spans="1:38" x14ac:dyDescent="0.2">
      <c r="B25" s="122"/>
      <c r="C25" s="6" t="s">
        <v>130</v>
      </c>
      <c r="D25" s="117">
        <v>200</v>
      </c>
      <c r="E25" s="117">
        <v>250</v>
      </c>
      <c r="F25" s="117">
        <v>300</v>
      </c>
      <c r="G25" s="16"/>
      <c r="H25" s="117">
        <f>0.9*I25</f>
        <v>171</v>
      </c>
      <c r="I25" s="117">
        <f>1*FP</f>
        <v>190</v>
      </c>
      <c r="J25" s="117">
        <f>1.1*I25</f>
        <v>209.00000000000003</v>
      </c>
      <c r="K25" s="16"/>
      <c r="L25" s="117">
        <v>90</v>
      </c>
      <c r="M25" s="117">
        <v>110</v>
      </c>
      <c r="N25" s="117">
        <v>130</v>
      </c>
      <c r="O25" s="16"/>
      <c r="P25" s="15">
        <v>20</v>
      </c>
      <c r="Q25" s="15">
        <v>25</v>
      </c>
      <c r="R25" s="31">
        <v>30</v>
      </c>
      <c r="U25">
        <f>IF(T$22=1,W25,IF(T$22=2,Y25,IF(T$22=3,AA25,AC25)))</f>
        <v>92.237119662544302</v>
      </c>
      <c r="V25" s="40">
        <f>(F25-D25)/6</f>
        <v>16.666666666666668</v>
      </c>
      <c r="W25" s="41">
        <v>235.706200372648</v>
      </c>
      <c r="X25" s="42">
        <f>(J25-H25)/6</f>
        <v>6.3333333333333384</v>
      </c>
      <c r="Y25" s="41">
        <v>190.91744331807499</v>
      </c>
      <c r="Z25" s="42">
        <f>(N25-L25)/6</f>
        <v>6.666666666666667</v>
      </c>
      <c r="AA25" s="41">
        <v>115.241710787823</v>
      </c>
      <c r="AB25" s="42">
        <f>(R25-P25)/6</f>
        <v>1.6666666666666667</v>
      </c>
      <c r="AC25" s="60">
        <v>92.237119662544302</v>
      </c>
      <c r="AE25" s="122"/>
      <c r="AF25" s="6" t="s">
        <v>35</v>
      </c>
      <c r="AG25" s="70"/>
      <c r="AH25" s="71"/>
      <c r="AI25" s="71"/>
      <c r="AJ25" s="71"/>
      <c r="AK25" s="71"/>
      <c r="AL25" s="72"/>
    </row>
    <row r="26" spans="1:38" ht="15" x14ac:dyDescent="0.2">
      <c r="B26" s="9"/>
      <c r="C26" s="4"/>
      <c r="T26" s="14" t="s">
        <v>157</v>
      </c>
      <c r="AE26" s="9"/>
      <c r="AF26" s="4"/>
      <c r="AG26" s="79"/>
      <c r="AH26" s="79"/>
      <c r="AI26" s="79"/>
      <c r="AJ26" s="79"/>
      <c r="AK26" s="79"/>
      <c r="AL26" s="79"/>
    </row>
    <row r="27" spans="1:38" ht="16.5" x14ac:dyDescent="0.35">
      <c r="B27" s="120" t="s">
        <v>158</v>
      </c>
      <c r="C27" s="13"/>
      <c r="D27" s="129" t="s">
        <v>159</v>
      </c>
      <c r="E27" s="129"/>
      <c r="F27" s="129"/>
      <c r="G27" s="1"/>
      <c r="H27" s="145" t="s">
        <v>219</v>
      </c>
      <c r="I27" s="129"/>
      <c r="J27" s="129"/>
      <c r="K27" s="1"/>
      <c r="L27" s="145" t="s">
        <v>220</v>
      </c>
      <c r="M27" s="129"/>
      <c r="N27" s="129"/>
      <c r="O27" s="1"/>
      <c r="P27" s="128" t="s">
        <v>160</v>
      </c>
      <c r="Q27" s="129"/>
      <c r="R27" s="132"/>
      <c r="T27" s="36">
        <v>1</v>
      </c>
      <c r="V27" s="133" t="s">
        <v>136</v>
      </c>
      <c r="W27" s="129"/>
      <c r="X27" s="129" t="s">
        <v>137</v>
      </c>
      <c r="Y27" s="129"/>
      <c r="Z27" s="129" t="s">
        <v>138</v>
      </c>
      <c r="AA27" s="129"/>
      <c r="AB27" s="136" t="s">
        <v>139</v>
      </c>
      <c r="AC27" s="137"/>
      <c r="AE27" s="120" t="s">
        <v>43</v>
      </c>
      <c r="AF27" s="13"/>
      <c r="AG27" s="74" t="s">
        <v>120</v>
      </c>
      <c r="AH27" s="75" t="s">
        <v>28</v>
      </c>
      <c r="AI27" s="75"/>
      <c r="AJ27" s="75" t="s">
        <v>121</v>
      </c>
      <c r="AK27" s="75" t="s">
        <v>122</v>
      </c>
      <c r="AL27" s="76" t="s">
        <v>123</v>
      </c>
    </row>
    <row r="28" spans="1:38" x14ac:dyDescent="0.2">
      <c r="B28" s="121"/>
      <c r="C28" s="4"/>
      <c r="D28" s="3" t="s">
        <v>124</v>
      </c>
      <c r="E28" s="3" t="s">
        <v>125</v>
      </c>
      <c r="F28" s="3" t="s">
        <v>126</v>
      </c>
      <c r="H28" s="3" t="s">
        <v>124</v>
      </c>
      <c r="I28" s="3" t="s">
        <v>125</v>
      </c>
      <c r="J28" s="3" t="s">
        <v>126</v>
      </c>
      <c r="L28" s="3" t="s">
        <v>124</v>
      </c>
      <c r="M28" s="3" t="s">
        <v>125</v>
      </c>
      <c r="N28" s="3" t="s">
        <v>126</v>
      </c>
      <c r="P28" s="3" t="s">
        <v>124</v>
      </c>
      <c r="Q28" s="3" t="s">
        <v>125</v>
      </c>
      <c r="R28" s="27" t="s">
        <v>126</v>
      </c>
      <c r="V28" s="37" t="s">
        <v>127</v>
      </c>
      <c r="W28" s="38" t="s">
        <v>128</v>
      </c>
      <c r="X28" s="38" t="s">
        <v>127</v>
      </c>
      <c r="Y28" s="38" t="s">
        <v>128</v>
      </c>
      <c r="Z28" s="38" t="s">
        <v>127</v>
      </c>
      <c r="AA28" s="38" t="s">
        <v>128</v>
      </c>
      <c r="AB28" s="38" t="s">
        <v>127</v>
      </c>
      <c r="AC28" s="50" t="s">
        <v>128</v>
      </c>
      <c r="AE28" s="121"/>
      <c r="AF28" s="4"/>
      <c r="AG28" s="66"/>
      <c r="AH28" s="68"/>
      <c r="AI28" s="68"/>
      <c r="AJ28" s="68"/>
      <c r="AK28" s="68"/>
      <c r="AL28" s="69"/>
    </row>
    <row r="29" spans="1:38" x14ac:dyDescent="0.2">
      <c r="B29" s="121"/>
      <c r="C29" s="4" t="s">
        <v>129</v>
      </c>
      <c r="D29" s="10">
        <v>5</v>
      </c>
      <c r="E29" s="10">
        <v>12</v>
      </c>
      <c r="F29" s="10">
        <v>19</v>
      </c>
      <c r="G29" s="14"/>
      <c r="H29" s="143">
        <v>25</v>
      </c>
      <c r="I29" s="143">
        <v>35</v>
      </c>
      <c r="J29" s="143">
        <v>45</v>
      </c>
      <c r="K29" s="14"/>
      <c r="L29" s="115">
        <v>8</v>
      </c>
      <c r="M29" s="115">
        <v>10</v>
      </c>
      <c r="N29" s="118">
        <v>12</v>
      </c>
      <c r="O29" s="14"/>
      <c r="P29" s="115">
        <v>45</v>
      </c>
      <c r="Q29" s="115">
        <v>46</v>
      </c>
      <c r="R29" s="118">
        <v>48</v>
      </c>
      <c r="U29">
        <f>IF(T$27=1,W29,IF(T$27=2,Y29,IF(T$27=3,AA29,AC29)))</f>
        <v>13.3642071429294</v>
      </c>
      <c r="V29" s="37">
        <f>(F29-D29)/6</f>
        <v>2.3333333333333335</v>
      </c>
      <c r="W29" s="39">
        <v>13.3642071429294</v>
      </c>
      <c r="X29" s="38">
        <f>(J29-H29)/6</f>
        <v>3.3333333333333335</v>
      </c>
      <c r="Y29" s="39">
        <v>18.504499288693001</v>
      </c>
      <c r="Z29" s="38">
        <f>(N29-L29)/6</f>
        <v>0.66666666666666663</v>
      </c>
      <c r="AA29" s="39">
        <v>32.028909123547898</v>
      </c>
      <c r="AB29" s="38">
        <f>(R29-P29)/6</f>
        <v>0.5</v>
      </c>
      <c r="AC29" s="59">
        <v>7.4660089317633398</v>
      </c>
      <c r="AE29" s="121"/>
      <c r="AF29" s="4" t="s">
        <v>29</v>
      </c>
      <c r="AG29" s="66">
        <f>AH29*U29</f>
        <v>11561.890558990011</v>
      </c>
      <c r="AH29" s="77">
        <v>865.13853274917699</v>
      </c>
      <c r="AI29" s="68"/>
      <c r="AJ29" s="68">
        <v>700</v>
      </c>
      <c r="AK29" s="68">
        <v>800</v>
      </c>
      <c r="AL29" s="69">
        <v>1000</v>
      </c>
    </row>
    <row r="30" spans="1:38" x14ac:dyDescent="0.2">
      <c r="B30" s="122"/>
      <c r="C30" s="6" t="s">
        <v>130</v>
      </c>
      <c r="D30" s="11">
        <v>0.17</v>
      </c>
      <c r="E30" s="11">
        <v>0.22</v>
      </c>
      <c r="F30" s="11">
        <v>0.27</v>
      </c>
      <c r="G30" s="17"/>
      <c r="H30" s="144">
        <v>0.3</v>
      </c>
      <c r="I30" s="144">
        <v>0.35</v>
      </c>
      <c r="J30" s="144">
        <v>0.4</v>
      </c>
      <c r="K30" s="17"/>
      <c r="L30" s="116">
        <v>0.1</v>
      </c>
      <c r="M30" s="116">
        <v>0.15</v>
      </c>
      <c r="N30" s="119">
        <v>0.2</v>
      </c>
      <c r="O30" s="17"/>
      <c r="P30" s="116">
        <v>0.1</v>
      </c>
      <c r="Q30" s="116">
        <v>0.15</v>
      </c>
      <c r="R30" s="119">
        <v>0.2</v>
      </c>
      <c r="U30" s="44">
        <f>IF(T$27=1,W30,IF(T$27=2,Y30,IF(T$27=3,AA30,AC30)))</f>
        <v>0.38224529231297899</v>
      </c>
      <c r="V30" s="40">
        <f>(F30-D30)/6</f>
        <v>1.6666666666666666E-2</v>
      </c>
      <c r="W30" s="41">
        <v>0.38224529231297899</v>
      </c>
      <c r="X30" s="42">
        <f>(J30-H30)/6</f>
        <v>1.6666666666666673E-2</v>
      </c>
      <c r="Y30" s="41">
        <v>0.57741598943934602</v>
      </c>
      <c r="Z30" s="42">
        <f>(N30-L30)/6</f>
        <v>1.6666666666666666E-2</v>
      </c>
      <c r="AA30" s="41">
        <v>0.85053262733479396</v>
      </c>
      <c r="AB30" s="42">
        <f>(R30-P30)/6</f>
        <v>1.6666666666666666E-2</v>
      </c>
      <c r="AC30" s="60">
        <v>0.71481012087131801</v>
      </c>
      <c r="AE30" s="122"/>
      <c r="AF30" s="6" t="s">
        <v>35</v>
      </c>
      <c r="AG30" s="70">
        <f>((U$5*(1-U$10)+U$15)*(1-U$20)+U$25)*U30*AH30</f>
        <v>71965.984809593021</v>
      </c>
      <c r="AH30" s="78">
        <v>1876.7675552721601</v>
      </c>
      <c r="AI30" s="71"/>
      <c r="AJ30" s="71">
        <f>0.85*AK30</f>
        <v>2422.5</v>
      </c>
      <c r="AK30" s="71">
        <v>2850</v>
      </c>
      <c r="AL30" s="72">
        <f>1.15*AK30</f>
        <v>3277.4999999999995</v>
      </c>
    </row>
    <row r="31" spans="1:38" ht="15" x14ac:dyDescent="0.2">
      <c r="B31" s="9"/>
      <c r="C31" s="4"/>
      <c r="T31" s="14" t="s">
        <v>161</v>
      </c>
      <c r="AE31" s="9"/>
      <c r="AF31" s="4"/>
      <c r="AG31" s="79"/>
      <c r="AH31" s="79"/>
      <c r="AI31" s="79"/>
      <c r="AJ31" s="79"/>
      <c r="AK31" s="79"/>
      <c r="AL31" s="79"/>
    </row>
    <row r="32" spans="1:38" ht="16.5" x14ac:dyDescent="0.35">
      <c r="B32" s="120" t="s">
        <v>162</v>
      </c>
      <c r="C32" s="13"/>
      <c r="D32" s="129" t="s">
        <v>163</v>
      </c>
      <c r="E32" s="129"/>
      <c r="F32" s="129"/>
      <c r="G32" s="1"/>
      <c r="H32" s="128" t="s">
        <v>164</v>
      </c>
      <c r="I32" s="129"/>
      <c r="J32" s="129"/>
      <c r="K32" s="1"/>
      <c r="L32" s="129" t="s">
        <v>221</v>
      </c>
      <c r="M32" s="129"/>
      <c r="N32" s="129"/>
      <c r="O32" s="1"/>
      <c r="P32" s="128" t="s">
        <v>222</v>
      </c>
      <c r="Q32" s="129"/>
      <c r="R32" s="129"/>
      <c r="T32" s="36">
        <v>2</v>
      </c>
      <c r="V32" s="133" t="s">
        <v>165</v>
      </c>
      <c r="W32" s="129"/>
      <c r="X32" s="129" t="s">
        <v>166</v>
      </c>
      <c r="Y32" s="129"/>
      <c r="Z32" s="136" t="s">
        <v>167</v>
      </c>
      <c r="AA32" s="136"/>
      <c r="AB32" s="136" t="s">
        <v>168</v>
      </c>
      <c r="AC32" s="137"/>
      <c r="AE32" s="120" t="s">
        <v>44</v>
      </c>
      <c r="AF32" s="13"/>
      <c r="AG32" s="74" t="s">
        <v>120</v>
      </c>
      <c r="AH32" s="75" t="s">
        <v>28</v>
      </c>
      <c r="AI32" s="75"/>
      <c r="AJ32" s="75" t="s">
        <v>121</v>
      </c>
      <c r="AK32" s="75" t="s">
        <v>122</v>
      </c>
      <c r="AL32" s="76" t="s">
        <v>123</v>
      </c>
    </row>
    <row r="33" spans="2:38" x14ac:dyDescent="0.2">
      <c r="B33" s="121"/>
      <c r="C33" s="4"/>
      <c r="D33" s="3" t="s">
        <v>124</v>
      </c>
      <c r="E33" s="3" t="s">
        <v>125</v>
      </c>
      <c r="F33" s="3" t="s">
        <v>126</v>
      </c>
      <c r="H33" s="3" t="s">
        <v>124</v>
      </c>
      <c r="I33" s="3" t="s">
        <v>125</v>
      </c>
      <c r="J33" s="3" t="s">
        <v>126</v>
      </c>
      <c r="L33" s="3" t="s">
        <v>124</v>
      </c>
      <c r="M33" s="3" t="s">
        <v>125</v>
      </c>
      <c r="N33" s="3" t="s">
        <v>126</v>
      </c>
      <c r="P33" s="148" t="s">
        <v>124</v>
      </c>
      <c r="Q33" s="148" t="s">
        <v>125</v>
      </c>
      <c r="R33" s="149" t="s">
        <v>126</v>
      </c>
      <c r="V33" s="37" t="s">
        <v>127</v>
      </c>
      <c r="W33" s="38" t="s">
        <v>128</v>
      </c>
      <c r="X33" s="38" t="s">
        <v>127</v>
      </c>
      <c r="Y33" s="38" t="s">
        <v>128</v>
      </c>
      <c r="Z33" s="38" t="s">
        <v>127</v>
      </c>
      <c r="AA33" s="38" t="s">
        <v>128</v>
      </c>
      <c r="AB33" s="38" t="s">
        <v>127</v>
      </c>
      <c r="AC33" s="50" t="s">
        <v>128</v>
      </c>
      <c r="AE33" s="121"/>
      <c r="AF33" s="4"/>
      <c r="AG33" s="66"/>
      <c r="AH33" s="68"/>
      <c r="AI33" s="68"/>
      <c r="AJ33" s="68"/>
      <c r="AK33" s="68"/>
      <c r="AL33" s="69"/>
    </row>
    <row r="34" spans="2:38" x14ac:dyDescent="0.2">
      <c r="B34" s="121"/>
      <c r="C34" s="4" t="s">
        <v>129</v>
      </c>
      <c r="D34" s="115">
        <v>90</v>
      </c>
      <c r="E34" s="115">
        <v>100</v>
      </c>
      <c r="F34" s="115">
        <v>110</v>
      </c>
      <c r="G34" s="14"/>
      <c r="H34" s="10">
        <v>120</v>
      </c>
      <c r="I34" s="10">
        <v>150</v>
      </c>
      <c r="J34" s="10">
        <v>180</v>
      </c>
      <c r="K34" s="14"/>
      <c r="L34" s="143">
        <v>300</v>
      </c>
      <c r="M34" s="143">
        <v>350</v>
      </c>
      <c r="N34" s="146">
        <v>400</v>
      </c>
      <c r="O34" s="14"/>
      <c r="P34" s="150">
        <v>100</v>
      </c>
      <c r="Q34" s="150">
        <v>120</v>
      </c>
      <c r="R34" s="150">
        <v>150</v>
      </c>
      <c r="U34">
        <f>IF(T$32=1,W34,IF(T$32=2,Y34,IF(T$32=3,AA34,AC34)))</f>
        <v>147.91611086421199</v>
      </c>
      <c r="V34" s="37">
        <f>(F34-D34)/6</f>
        <v>3.3333333333333335</v>
      </c>
      <c r="W34" s="39">
        <v>98.832863318762804</v>
      </c>
      <c r="X34" s="38">
        <f>(J34-H34)/6</f>
        <v>10</v>
      </c>
      <c r="Y34" s="39">
        <v>147.91611086421199</v>
      </c>
      <c r="Z34" s="38">
        <f>(N34-L34)/6</f>
        <v>16.666666666666668</v>
      </c>
      <c r="AA34" s="39">
        <v>233.22313215634401</v>
      </c>
      <c r="AB34" s="38">
        <f>(R34-P34)/6</f>
        <v>8.3333333333333339</v>
      </c>
      <c r="AC34" s="59">
        <v>356.69735281283198</v>
      </c>
      <c r="AE34" s="121"/>
      <c r="AF34" s="4" t="s">
        <v>29</v>
      </c>
      <c r="AG34" s="66">
        <f>AH34*U34</f>
        <v>144157.54528258814</v>
      </c>
      <c r="AH34" s="77">
        <v>974.58988368701603</v>
      </c>
      <c r="AI34" s="68"/>
      <c r="AJ34" s="68">
        <v>700</v>
      </c>
      <c r="AK34" s="68">
        <v>800</v>
      </c>
      <c r="AL34" s="69">
        <v>1000</v>
      </c>
    </row>
    <row r="35" spans="2:38" ht="13.5" thickBot="1" x14ac:dyDescent="0.25">
      <c r="B35" s="122"/>
      <c r="C35" s="6" t="s">
        <v>130</v>
      </c>
      <c r="D35" s="116">
        <v>0.4</v>
      </c>
      <c r="E35" s="116">
        <v>0.5</v>
      </c>
      <c r="F35" s="116">
        <v>0.6</v>
      </c>
      <c r="G35" s="17"/>
      <c r="H35" s="11">
        <v>0.38500000000000001</v>
      </c>
      <c r="I35" s="11">
        <v>0.435</v>
      </c>
      <c r="J35" s="11">
        <v>0.48499999999999999</v>
      </c>
      <c r="K35" s="17"/>
      <c r="L35" s="144">
        <v>0.63</v>
      </c>
      <c r="M35" s="144">
        <v>0.68</v>
      </c>
      <c r="N35" s="147">
        <v>0.73</v>
      </c>
      <c r="O35" s="17"/>
      <c r="P35" s="151">
        <v>0.35499999999999998</v>
      </c>
      <c r="Q35" s="151">
        <v>0.4</v>
      </c>
      <c r="R35" s="151">
        <v>0.42499999999999999</v>
      </c>
      <c r="U35" s="44">
        <f>IF(T$32=1,W35,IF(T$32=2,Y35,IF(T$32=3,AA35,AC35)))</f>
        <v>0.59468087581783902</v>
      </c>
      <c r="V35" s="40">
        <f>(F35-D35)/6</f>
        <v>3.3333333333333326E-2</v>
      </c>
      <c r="W35" s="41">
        <v>0.562048101461327</v>
      </c>
      <c r="X35" s="42">
        <f>(J35-H35)/6</f>
        <v>1.6666666666666663E-2</v>
      </c>
      <c r="Y35" s="41">
        <v>0.59468087581783902</v>
      </c>
      <c r="Z35" s="42">
        <f>(N35-L35)/6</f>
        <v>1.6666666666666663E-2</v>
      </c>
      <c r="AA35" s="41">
        <v>0.67798466642768296</v>
      </c>
      <c r="AB35" s="42">
        <f>(R35-P35)/6</f>
        <v>1.1666666666666667E-2</v>
      </c>
      <c r="AC35" s="60">
        <v>0.80261845298502499</v>
      </c>
      <c r="AE35" s="122"/>
      <c r="AF35" s="6" t="s">
        <v>35</v>
      </c>
      <c r="AG35" s="70">
        <f>((U$5*(1-U$10)+U$15)*(1-U$20)+U$25)*(1-U$30)*U35*AH35</f>
        <v>93914.381237560039</v>
      </c>
      <c r="AH35" s="78">
        <v>2548.34031543934</v>
      </c>
      <c r="AI35" s="71"/>
      <c r="AJ35" s="71">
        <f>0.85*AK35</f>
        <v>2422.5</v>
      </c>
      <c r="AK35" s="71">
        <v>2850</v>
      </c>
      <c r="AL35" s="72">
        <f>1.15*AK35</f>
        <v>3277.4999999999995</v>
      </c>
    </row>
    <row r="36" spans="2:38" ht="15.75" thickBot="1" x14ac:dyDescent="0.25">
      <c r="B36" s="9"/>
      <c r="C36" s="4"/>
      <c r="T36" s="14" t="s">
        <v>169</v>
      </c>
      <c r="AE36" s="9"/>
      <c r="AF36" s="4"/>
      <c r="AG36" s="79"/>
      <c r="AH36" s="79"/>
      <c r="AI36" s="79"/>
      <c r="AJ36" s="79"/>
      <c r="AK36" s="79"/>
      <c r="AL36" s="79"/>
    </row>
    <row r="37" spans="2:38" x14ac:dyDescent="0.2">
      <c r="B37" s="120" t="s">
        <v>170</v>
      </c>
      <c r="C37" s="13"/>
      <c r="D37" s="128" t="s">
        <v>171</v>
      </c>
      <c r="E37" s="129"/>
      <c r="F37" s="129"/>
      <c r="G37" s="1"/>
      <c r="H37" s="129"/>
      <c r="I37" s="129"/>
      <c r="J37" s="129"/>
      <c r="K37" s="1"/>
      <c r="L37" s="128"/>
      <c r="M37" s="129"/>
      <c r="N37" s="132"/>
      <c r="T37" s="14">
        <v>1</v>
      </c>
      <c r="V37" s="133" t="s">
        <v>172</v>
      </c>
      <c r="W37" s="129"/>
      <c r="X37" s="129" t="s">
        <v>173</v>
      </c>
      <c r="Y37" s="129"/>
      <c r="Z37" s="129" t="s">
        <v>174</v>
      </c>
      <c r="AA37" s="132"/>
      <c r="AE37" s="120" t="s">
        <v>45</v>
      </c>
      <c r="AF37" s="13"/>
      <c r="AG37" s="74" t="s">
        <v>120</v>
      </c>
      <c r="AH37" s="75" t="s">
        <v>28</v>
      </c>
      <c r="AI37" s="75"/>
      <c r="AJ37" s="75" t="s">
        <v>121</v>
      </c>
      <c r="AK37" s="75" t="s">
        <v>122</v>
      </c>
      <c r="AL37" s="76" t="s">
        <v>123</v>
      </c>
    </row>
    <row r="38" spans="2:38" x14ac:dyDescent="0.2">
      <c r="B38" s="121"/>
      <c r="C38" s="4"/>
      <c r="D38" s="3" t="s">
        <v>124</v>
      </c>
      <c r="E38" s="3" t="s">
        <v>125</v>
      </c>
      <c r="F38" s="3" t="s">
        <v>126</v>
      </c>
      <c r="H38" s="3" t="s">
        <v>124</v>
      </c>
      <c r="I38" s="3" t="s">
        <v>125</v>
      </c>
      <c r="J38" s="3" t="s">
        <v>126</v>
      </c>
      <c r="L38" s="3" t="s">
        <v>124</v>
      </c>
      <c r="M38" s="3" t="s">
        <v>125</v>
      </c>
      <c r="N38" s="27" t="s">
        <v>126</v>
      </c>
      <c r="V38" s="37" t="s">
        <v>127</v>
      </c>
      <c r="W38" s="38" t="s">
        <v>128</v>
      </c>
      <c r="X38" s="38" t="s">
        <v>127</v>
      </c>
      <c r="Y38" s="38" t="s">
        <v>128</v>
      </c>
      <c r="Z38" s="38" t="s">
        <v>127</v>
      </c>
      <c r="AA38" s="50" t="s">
        <v>128</v>
      </c>
      <c r="AE38" s="121"/>
      <c r="AF38" s="4"/>
      <c r="AG38" s="66"/>
      <c r="AH38" s="68"/>
      <c r="AI38" s="68"/>
      <c r="AJ38" s="68"/>
      <c r="AK38" s="68"/>
      <c r="AL38" s="69"/>
    </row>
    <row r="39" spans="2:38" x14ac:dyDescent="0.2">
      <c r="B39" s="121"/>
      <c r="C39" s="4" t="s">
        <v>129</v>
      </c>
      <c r="D39" s="115">
        <v>0</v>
      </c>
      <c r="E39" s="115">
        <v>5.0000000000000001E-3</v>
      </c>
      <c r="F39" s="115">
        <v>0.01</v>
      </c>
      <c r="G39" s="14"/>
      <c r="H39" s="18">
        <v>40</v>
      </c>
      <c r="I39" s="18">
        <v>50</v>
      </c>
      <c r="J39" s="18">
        <v>60</v>
      </c>
      <c r="K39" s="14"/>
      <c r="L39" s="18">
        <v>35</v>
      </c>
      <c r="M39" s="18">
        <v>40</v>
      </c>
      <c r="N39" s="32">
        <v>45</v>
      </c>
      <c r="U39">
        <f>IF(T$37=1,W39,IF(T$37=2,Y39,AA39))</f>
        <v>4.7126406652342303E-3</v>
      </c>
      <c r="V39" s="37">
        <f>(F39-D39)/6</f>
        <v>1.6666666666666668E-3</v>
      </c>
      <c r="W39" s="39">
        <v>4.7126406652342303E-3</v>
      </c>
      <c r="X39" s="38">
        <f>(J39-H39)/6</f>
        <v>3.3333333333333335</v>
      </c>
      <c r="Y39" s="39">
        <v>51.104830365428597</v>
      </c>
      <c r="Z39" s="38">
        <f>(N39-L39)/6</f>
        <v>1.6666666666666667</v>
      </c>
      <c r="AA39" s="59">
        <v>40.775055325658698</v>
      </c>
      <c r="AE39" s="121"/>
      <c r="AF39" s="4" t="s">
        <v>29</v>
      </c>
      <c r="AG39" s="66">
        <f>AH39*U39</f>
        <v>3.8883905008069104</v>
      </c>
      <c r="AH39" s="77">
        <v>825.09802402124103</v>
      </c>
      <c r="AI39" s="68"/>
      <c r="AJ39" s="68">
        <v>700</v>
      </c>
      <c r="AK39" s="68">
        <v>800</v>
      </c>
      <c r="AL39" s="69">
        <v>1000</v>
      </c>
    </row>
    <row r="40" spans="2:38" x14ac:dyDescent="0.2">
      <c r="B40" s="122"/>
      <c r="C40" s="6" t="s">
        <v>130</v>
      </c>
      <c r="D40" s="116">
        <v>0</v>
      </c>
      <c r="E40" s="116">
        <v>5.0000000000000002E-5</v>
      </c>
      <c r="F40" s="116">
        <v>1E-4</v>
      </c>
      <c r="G40" s="17"/>
      <c r="H40" s="19">
        <v>0.55000000000000004</v>
      </c>
      <c r="I40" s="19">
        <v>0.6</v>
      </c>
      <c r="J40" s="19">
        <v>0.65</v>
      </c>
      <c r="K40" s="17"/>
      <c r="L40" s="19">
        <v>0.7</v>
      </c>
      <c r="M40" s="19">
        <v>0.75</v>
      </c>
      <c r="N40" s="33">
        <v>0.8</v>
      </c>
      <c r="U40">
        <f>IF(T$37=1,W40,IF(T$37=2,Y40,AA40))</f>
        <v>2.6923398573117202E-5</v>
      </c>
      <c r="V40" s="40">
        <f>(F40-D40)/6</f>
        <v>1.6666666666666667E-5</v>
      </c>
      <c r="W40" s="41">
        <v>2.6923398573117202E-5</v>
      </c>
      <c r="X40" s="42">
        <f>(J40-H40)/6</f>
        <v>1.6666666666666663E-2</v>
      </c>
      <c r="Y40" s="41">
        <v>0.61443141501861898</v>
      </c>
      <c r="Z40" s="42">
        <f>(N40-L40)/6</f>
        <v>1.666666666666668E-2</v>
      </c>
      <c r="AA40" s="60">
        <v>0.75004418354881697</v>
      </c>
      <c r="AE40" s="122"/>
      <c r="AF40" s="6" t="s">
        <v>35</v>
      </c>
      <c r="AG40" s="70">
        <f>((U$5*(1-U$10)+U$15)*(1-U$20)+U$25)*(1-U$30)*(1-U$35)*U40*AH40</f>
        <v>2.6582109876036881</v>
      </c>
      <c r="AH40" s="78">
        <v>3930.7169234063899</v>
      </c>
      <c r="AI40" s="71"/>
      <c r="AJ40" s="71">
        <v>3000</v>
      </c>
      <c r="AK40" s="71">
        <v>3500</v>
      </c>
      <c r="AL40" s="72">
        <v>4500</v>
      </c>
    </row>
    <row r="41" spans="2:38" ht="15" x14ac:dyDescent="0.2">
      <c r="B41" s="9"/>
      <c r="C41" s="4"/>
      <c r="T41" s="14" t="s">
        <v>175</v>
      </c>
      <c r="AE41" s="9"/>
      <c r="AF41" s="4"/>
      <c r="AG41" s="79"/>
      <c r="AH41" s="79"/>
      <c r="AI41" s="79"/>
      <c r="AJ41" s="79"/>
      <c r="AK41" s="79"/>
      <c r="AL41" s="79"/>
    </row>
    <row r="42" spans="2:38" x14ac:dyDescent="0.2">
      <c r="B42" s="120" t="s">
        <v>176</v>
      </c>
      <c r="C42" s="13"/>
      <c r="D42" s="128" t="s">
        <v>177</v>
      </c>
      <c r="E42" s="129"/>
      <c r="F42" s="129"/>
      <c r="G42" s="1"/>
      <c r="H42" s="128" t="s">
        <v>213</v>
      </c>
      <c r="I42" s="129"/>
      <c r="J42" s="129"/>
      <c r="K42" s="1"/>
      <c r="L42" s="128" t="s">
        <v>179</v>
      </c>
      <c r="M42" s="129"/>
      <c r="N42" s="132"/>
      <c r="T42" s="36">
        <v>1</v>
      </c>
      <c r="V42" s="133" t="s">
        <v>180</v>
      </c>
      <c r="W42" s="129"/>
      <c r="X42" s="129" t="s">
        <v>181</v>
      </c>
      <c r="Y42" s="129"/>
      <c r="Z42" s="134" t="s">
        <v>182</v>
      </c>
      <c r="AA42" s="135"/>
      <c r="AE42" s="120" t="s">
        <v>46</v>
      </c>
      <c r="AF42" s="13"/>
      <c r="AG42" s="74" t="s">
        <v>120</v>
      </c>
      <c r="AH42" s="75" t="s">
        <v>28</v>
      </c>
      <c r="AI42" s="75"/>
      <c r="AJ42" s="75" t="s">
        <v>121</v>
      </c>
      <c r="AK42" s="75" t="s">
        <v>122</v>
      </c>
      <c r="AL42" s="76" t="s">
        <v>123</v>
      </c>
    </row>
    <row r="43" spans="2:38" x14ac:dyDescent="0.2">
      <c r="B43" s="121"/>
      <c r="C43" s="4"/>
      <c r="D43" s="3" t="s">
        <v>124</v>
      </c>
      <c r="E43" s="3" t="s">
        <v>125</v>
      </c>
      <c r="F43" s="3" t="s">
        <v>126</v>
      </c>
      <c r="H43" s="3" t="s">
        <v>124</v>
      </c>
      <c r="I43" s="3" t="s">
        <v>125</v>
      </c>
      <c r="J43" s="3" t="s">
        <v>126</v>
      </c>
      <c r="L43" s="3" t="s">
        <v>124</v>
      </c>
      <c r="M43" s="3" t="s">
        <v>125</v>
      </c>
      <c r="N43" s="27" t="s">
        <v>126</v>
      </c>
      <c r="V43" s="37" t="s">
        <v>127</v>
      </c>
      <c r="W43" s="38" t="s">
        <v>128</v>
      </c>
      <c r="X43" s="38" t="s">
        <v>127</v>
      </c>
      <c r="Y43" s="38" t="s">
        <v>128</v>
      </c>
      <c r="Z43" s="38" t="s">
        <v>127</v>
      </c>
      <c r="AA43" s="50" t="s">
        <v>128</v>
      </c>
      <c r="AE43" s="121"/>
      <c r="AF43" s="4"/>
      <c r="AG43" s="66"/>
      <c r="AH43" s="68"/>
      <c r="AI43" s="68"/>
      <c r="AJ43" s="68"/>
      <c r="AK43" s="68"/>
      <c r="AL43" s="69"/>
    </row>
    <row r="44" spans="2:38" x14ac:dyDescent="0.2">
      <c r="B44" s="121"/>
      <c r="C44" s="4" t="s">
        <v>129</v>
      </c>
      <c r="D44" s="10">
        <v>75</v>
      </c>
      <c r="E44" s="10">
        <v>80</v>
      </c>
      <c r="F44" s="10">
        <v>85</v>
      </c>
      <c r="G44" s="14"/>
      <c r="H44" s="115">
        <v>110</v>
      </c>
      <c r="I44" s="115">
        <v>120</v>
      </c>
      <c r="J44" s="115">
        <v>130</v>
      </c>
      <c r="K44" s="14"/>
      <c r="L44" s="115">
        <v>140</v>
      </c>
      <c r="M44" s="115">
        <v>150</v>
      </c>
      <c r="N44" s="118">
        <v>160</v>
      </c>
      <c r="U44">
        <f>IF(T$42=1,W44,IF(T$42=2,Y44,AA44))</f>
        <v>98.689783429840801</v>
      </c>
      <c r="V44" s="37">
        <f>(F44-D44)/6</f>
        <v>1.6666666666666667</v>
      </c>
      <c r="W44" s="39">
        <v>98.689783429840801</v>
      </c>
      <c r="X44" s="38">
        <f>(J44-H44)/6</f>
        <v>3.3333333333333335</v>
      </c>
      <c r="Y44" s="39">
        <v>81.433943226900595</v>
      </c>
      <c r="Z44" s="38">
        <f>(N44-L44)/6</f>
        <v>3.3333333333333335</v>
      </c>
      <c r="AA44" s="59">
        <v>71.671021518283496</v>
      </c>
      <c r="AE44" s="121"/>
      <c r="AF44" s="4" t="s">
        <v>29</v>
      </c>
      <c r="AG44" s="66">
        <f>AH44*U44</f>
        <v>79004.223515017613</v>
      </c>
      <c r="AH44" s="77">
        <v>800.53092396521697</v>
      </c>
      <c r="AI44" s="68"/>
      <c r="AJ44" s="68">
        <v>700</v>
      </c>
      <c r="AK44" s="68">
        <v>800</v>
      </c>
      <c r="AL44" s="69">
        <v>1000</v>
      </c>
    </row>
    <row r="45" spans="2:38" x14ac:dyDescent="0.2">
      <c r="B45" s="122"/>
      <c r="C45" s="6" t="s">
        <v>130</v>
      </c>
      <c r="D45" s="11">
        <v>0.94499999999999995</v>
      </c>
      <c r="E45" s="11">
        <v>0.995</v>
      </c>
      <c r="F45" s="11">
        <v>0.999</v>
      </c>
      <c r="G45" s="17"/>
      <c r="H45" s="116">
        <v>0.505</v>
      </c>
      <c r="I45" s="116">
        <v>0.55500000000000005</v>
      </c>
      <c r="J45" s="116">
        <v>0.60499999999999998</v>
      </c>
      <c r="K45" s="17"/>
      <c r="L45" s="116">
        <v>0.8</v>
      </c>
      <c r="M45" s="116">
        <v>0.85</v>
      </c>
      <c r="N45" s="119">
        <v>0.9</v>
      </c>
      <c r="U45">
        <f>IF(T$42=1,W45,IF(T$42=2,Y45,AA45))</f>
        <v>0.67982003828992998</v>
      </c>
      <c r="V45" s="40">
        <f>(F45-D45)/6</f>
        <v>9.000000000000008E-3</v>
      </c>
      <c r="W45" s="41">
        <v>0.67982003828992998</v>
      </c>
      <c r="X45" s="42">
        <f>(J45-H45)/6</f>
        <v>1.6666666666666663E-2</v>
      </c>
      <c r="Y45" s="41">
        <v>0.77256815725737904</v>
      </c>
      <c r="Z45" s="42">
        <f>(N45-L45)/6</f>
        <v>1.6666666666666663E-2</v>
      </c>
      <c r="AA45" s="60">
        <v>0.88185329760728504</v>
      </c>
      <c r="AE45" s="122"/>
      <c r="AF45" s="6" t="s">
        <v>35</v>
      </c>
      <c r="AG45" s="70">
        <f>((U$5*(1-U$10)+U$15)*(1-U$20)+U$25)*(1-U$30)*(1-U$35)*(1-U$40)*U45*AH45</f>
        <v>124791.50467414204</v>
      </c>
      <c r="AH45" s="78">
        <v>7308.2762092869398</v>
      </c>
      <c r="AI45" s="71"/>
      <c r="AJ45" s="71">
        <f>0.85*AK45</f>
        <v>6179.5</v>
      </c>
      <c r="AK45" s="71">
        <v>7270</v>
      </c>
      <c r="AL45" s="72">
        <f>1.15*AK45</f>
        <v>8360.5</v>
      </c>
    </row>
    <row r="46" spans="2:38" ht="15" x14ac:dyDescent="0.2">
      <c r="B46" s="9"/>
      <c r="C46" s="4"/>
      <c r="T46" s="14" t="s">
        <v>183</v>
      </c>
      <c r="AE46" s="9"/>
      <c r="AF46" s="4"/>
      <c r="AG46" s="79"/>
      <c r="AH46" s="79"/>
      <c r="AI46" s="79"/>
      <c r="AJ46" s="79"/>
      <c r="AK46" s="79"/>
      <c r="AL46" s="79"/>
    </row>
    <row r="47" spans="2:38" x14ac:dyDescent="0.2">
      <c r="B47" s="120" t="s">
        <v>184</v>
      </c>
      <c r="C47" s="13"/>
      <c r="D47" s="128" t="s">
        <v>185</v>
      </c>
      <c r="E47" s="129"/>
      <c r="F47" s="129"/>
      <c r="G47" s="1"/>
      <c r="H47" s="128" t="s">
        <v>178</v>
      </c>
      <c r="I47" s="129"/>
      <c r="J47" s="129"/>
      <c r="K47" s="1"/>
      <c r="L47" s="128" t="s">
        <v>186</v>
      </c>
      <c r="M47" s="129"/>
      <c r="N47" s="132"/>
      <c r="T47" s="36">
        <v>3</v>
      </c>
      <c r="V47" s="133" t="s">
        <v>187</v>
      </c>
      <c r="W47" s="129"/>
      <c r="X47" s="129" t="s">
        <v>188</v>
      </c>
      <c r="Y47" s="129"/>
      <c r="Z47" s="129" t="s">
        <v>189</v>
      </c>
      <c r="AA47" s="132"/>
      <c r="AE47" s="120" t="s">
        <v>47</v>
      </c>
      <c r="AF47" s="13"/>
      <c r="AG47" s="74" t="s">
        <v>120</v>
      </c>
      <c r="AH47" s="75" t="s">
        <v>28</v>
      </c>
      <c r="AI47" s="75"/>
      <c r="AJ47" s="75" t="s">
        <v>121</v>
      </c>
      <c r="AK47" s="75" t="s">
        <v>122</v>
      </c>
      <c r="AL47" s="76" t="s">
        <v>123</v>
      </c>
    </row>
    <row r="48" spans="2:38" x14ac:dyDescent="0.2">
      <c r="B48" s="121"/>
      <c r="C48" s="4"/>
      <c r="D48" s="3" t="s">
        <v>124</v>
      </c>
      <c r="E48" s="3" t="s">
        <v>125</v>
      </c>
      <c r="F48" s="3" t="s">
        <v>126</v>
      </c>
      <c r="H48" s="3" t="s">
        <v>124</v>
      </c>
      <c r="I48" s="3" t="s">
        <v>125</v>
      </c>
      <c r="J48" s="3" t="s">
        <v>126</v>
      </c>
      <c r="L48" s="3" t="s">
        <v>124</v>
      </c>
      <c r="M48" s="3" t="s">
        <v>125</v>
      </c>
      <c r="N48" s="27" t="s">
        <v>126</v>
      </c>
      <c r="V48" s="37" t="s">
        <v>127</v>
      </c>
      <c r="W48" s="38" t="s">
        <v>128</v>
      </c>
      <c r="X48" s="38" t="s">
        <v>127</v>
      </c>
      <c r="Y48" s="38" t="s">
        <v>128</v>
      </c>
      <c r="Z48" s="38" t="s">
        <v>127</v>
      </c>
      <c r="AA48" s="50" t="s">
        <v>128</v>
      </c>
      <c r="AE48" s="121"/>
      <c r="AF48" s="4"/>
      <c r="AG48" s="66"/>
      <c r="AH48" s="68"/>
      <c r="AI48" s="68"/>
      <c r="AJ48" s="68"/>
      <c r="AK48" s="68"/>
      <c r="AL48" s="69"/>
    </row>
    <row r="49" spans="1:38" x14ac:dyDescent="0.2">
      <c r="B49" s="121"/>
      <c r="C49" s="4" t="s">
        <v>129</v>
      </c>
      <c r="D49" s="115">
        <v>15</v>
      </c>
      <c r="E49" s="115">
        <v>20</v>
      </c>
      <c r="F49" s="115">
        <v>25</v>
      </c>
      <c r="G49" s="14"/>
      <c r="H49" s="115">
        <v>25</v>
      </c>
      <c r="I49" s="115">
        <v>30</v>
      </c>
      <c r="J49" s="115">
        <v>35</v>
      </c>
      <c r="K49" s="14"/>
      <c r="L49" s="10">
        <v>50</v>
      </c>
      <c r="M49" s="10">
        <v>60</v>
      </c>
      <c r="N49" s="30">
        <v>70</v>
      </c>
      <c r="U49">
        <f>IF(T$47=1,W49,IF(T$47=2,Y49,AA49))</f>
        <v>63.2907011272031</v>
      </c>
      <c r="V49" s="37">
        <f>(F49-D49)/6</f>
        <v>1.6666666666666667</v>
      </c>
      <c r="W49" s="39">
        <v>20.808495191395298</v>
      </c>
      <c r="X49" s="38">
        <f>(J49-H49)/6</f>
        <v>1.6666666666666667</v>
      </c>
      <c r="Y49" s="39">
        <v>29.479617493949</v>
      </c>
      <c r="Z49" s="38">
        <f>(N49-L49)/6</f>
        <v>3.3333333333333335</v>
      </c>
      <c r="AA49" s="59">
        <v>63.2907011272031</v>
      </c>
      <c r="AE49" s="121"/>
      <c r="AF49" s="4" t="s">
        <v>29</v>
      </c>
      <c r="AG49" s="66">
        <f>AH49*U49</f>
        <v>52795.295248911949</v>
      </c>
      <c r="AH49" s="77">
        <v>834.17143922616299</v>
      </c>
      <c r="AI49" s="68"/>
      <c r="AJ49" s="68">
        <v>700</v>
      </c>
      <c r="AK49" s="68">
        <v>800</v>
      </c>
      <c r="AL49" s="69">
        <v>1000</v>
      </c>
    </row>
    <row r="50" spans="1:38" x14ac:dyDescent="0.2">
      <c r="B50" s="122"/>
      <c r="C50" s="6" t="s">
        <v>130</v>
      </c>
      <c r="D50" s="116">
        <v>0.7</v>
      </c>
      <c r="E50" s="116">
        <v>0.75</v>
      </c>
      <c r="F50" s="116">
        <v>0.8</v>
      </c>
      <c r="G50" s="17"/>
      <c r="H50" s="116">
        <v>0.8</v>
      </c>
      <c r="I50" s="116">
        <v>0.85</v>
      </c>
      <c r="J50" s="116">
        <v>0.9</v>
      </c>
      <c r="K50" s="17"/>
      <c r="L50" s="11">
        <v>0.997</v>
      </c>
      <c r="M50" s="11">
        <v>0.998</v>
      </c>
      <c r="N50" s="34">
        <v>0.999</v>
      </c>
      <c r="U50">
        <f>IF(T$47=1,W50,IF(T$47=2,Y50,AA50))</f>
        <v>0.93178558953738899</v>
      </c>
      <c r="V50" s="40">
        <f>(F50-D50)/6</f>
        <v>1.666666666666668E-2</v>
      </c>
      <c r="W50" s="41">
        <v>0.75010013840215595</v>
      </c>
      <c r="X50" s="42">
        <f>(J50-H50)/6</f>
        <v>1.6666666666666663E-2</v>
      </c>
      <c r="Y50" s="41">
        <v>0.82163204352409702</v>
      </c>
      <c r="Z50" s="42">
        <f>(N50-L50)/6</f>
        <v>3.3333333333333365E-4</v>
      </c>
      <c r="AA50" s="60">
        <v>0.93178558953738899</v>
      </c>
      <c r="AE50" s="122"/>
      <c r="AF50" s="6" t="s">
        <v>35</v>
      </c>
      <c r="AG50" s="70">
        <f>((U$5*(1-U$10)+U$15)*(1-U$20)+U$25)*(1-U$30)*(1-U$35)*(1-U$40)*(1-U$45)*U50*AH50</f>
        <v>131896.57017758995</v>
      </c>
      <c r="AH50" s="78">
        <v>17601.4018206529</v>
      </c>
      <c r="AI50" s="71"/>
      <c r="AJ50" s="71">
        <f>0.85*AK50</f>
        <v>17000</v>
      </c>
      <c r="AK50" s="71">
        <v>20000</v>
      </c>
      <c r="AL50" s="72">
        <f>1.15*AK50</f>
        <v>23000</v>
      </c>
    </row>
    <row r="51" spans="1:38" x14ac:dyDescent="0.2">
      <c r="B51" s="20"/>
      <c r="C51" s="4"/>
    </row>
    <row r="52" spans="1:38" x14ac:dyDescent="0.2">
      <c r="B52" s="20"/>
      <c r="C52" s="4"/>
      <c r="AE52" s="61" t="s">
        <v>48</v>
      </c>
      <c r="AF52" s="62" t="s">
        <v>35</v>
      </c>
      <c r="AG52" s="80">
        <f>((U$5*(1-U$10)+U$15)*(1-U$20)+U$25)*(1-U$30)*(1-U$35)*(1-U$40)*(1-U$45)*(1-U50)*AH52</f>
        <v>13714.702585888635</v>
      </c>
      <c r="AH52" s="61">
        <v>25000</v>
      </c>
    </row>
    <row r="53" spans="1:38" x14ac:dyDescent="0.2">
      <c r="B53" s="20"/>
      <c r="C53" s="4"/>
      <c r="P53" s="35"/>
      <c r="S53" s="45"/>
      <c r="T53" s="46" t="s">
        <v>190</v>
      </c>
      <c r="U53" s="47">
        <f>AG4+AG9+AG14+AG19+AG24+AG29+AG34+AG39+AG44+AG49</f>
        <v>517039.61061950662</v>
      </c>
    </row>
    <row r="54" spans="1:38" x14ac:dyDescent="0.2">
      <c r="C54" s="4"/>
      <c r="S54" s="48"/>
      <c r="T54" s="49" t="s">
        <v>191</v>
      </c>
      <c r="U54" s="50"/>
    </row>
    <row r="55" spans="1:38" ht="15.75" x14ac:dyDescent="0.25">
      <c r="B55" s="21" t="s">
        <v>192</v>
      </c>
      <c r="C55" s="4"/>
      <c r="P55" s="35" t="s">
        <v>193</v>
      </c>
      <c r="Q55" t="s">
        <v>194</v>
      </c>
      <c r="R55">
        <v>190</v>
      </c>
      <c r="S55" s="51"/>
      <c r="T55" s="52" t="s">
        <v>195</v>
      </c>
      <c r="U55" s="53">
        <f>AG10+AG20+AG30+AG35+AG40+AG45+AG50+AG52</f>
        <v>479044.12305891101</v>
      </c>
    </row>
    <row r="56" spans="1:38" ht="28.5" customHeight="1" x14ac:dyDescent="0.2">
      <c r="A56" s="22" t="s">
        <v>196</v>
      </c>
      <c r="B56" s="130" t="s">
        <v>197</v>
      </c>
      <c r="C56" s="131"/>
      <c r="D56" s="23">
        <f>IF(AND(Design_Decision&gt;1,DR_Decision&lt;3),1,0)</f>
        <v>0</v>
      </c>
      <c r="T56" s="54"/>
    </row>
    <row r="57" spans="1:38" x14ac:dyDescent="0.2">
      <c r="A57" s="24"/>
      <c r="B57" s="25"/>
      <c r="C57" s="4"/>
      <c r="S57" s="55"/>
      <c r="T57" s="56" t="s">
        <v>198</v>
      </c>
      <c r="U57" s="57">
        <f>U53+U55</f>
        <v>996083.73367841763</v>
      </c>
    </row>
    <row r="58" spans="1:38" ht="25.5" customHeight="1" x14ac:dyDescent="0.2">
      <c r="A58" s="22" t="s">
        <v>199</v>
      </c>
      <c r="B58" s="130" t="s">
        <v>200</v>
      </c>
      <c r="C58" s="131"/>
      <c r="D58" s="23">
        <f>IF(AND(Code_Decision&lt;3,CR_Decision&lt;3),1,0)</f>
        <v>0</v>
      </c>
    </row>
    <row r="59" spans="1:38" x14ac:dyDescent="0.2">
      <c r="A59" s="24"/>
      <c r="B59" s="25"/>
      <c r="C59" s="4"/>
    </row>
    <row r="60" spans="1:38" ht="24.75" customHeight="1" x14ac:dyDescent="0.2">
      <c r="A60" s="22" t="s">
        <v>201</v>
      </c>
      <c r="B60" s="130" t="s">
        <v>202</v>
      </c>
      <c r="C60" s="131"/>
      <c r="D60" s="23">
        <f>IF(AND(CR_Decision&lt;3,UT_Decision=1),1,0)</f>
        <v>0</v>
      </c>
      <c r="T60" t="s">
        <v>203</v>
      </c>
      <c r="U60" s="58">
        <f>((U$5*(1-U$10)+U$15)*(1-U$20)+U$25)*(1-U$30)*(1-U$35)*(1-U$40)*(1-U$45)*(1-U50)</f>
        <v>0.54858810343554543</v>
      </c>
    </row>
    <row r="61" spans="1:38" x14ac:dyDescent="0.2">
      <c r="B61" s="20"/>
      <c r="C61" s="4"/>
    </row>
    <row r="62" spans="1:38" x14ac:dyDescent="0.2">
      <c r="B62" s="20"/>
      <c r="C62" s="4"/>
      <c r="T62" t="s">
        <v>204</v>
      </c>
      <c r="U62" s="58">
        <f>U5*U10</f>
        <v>17.764368864208901</v>
      </c>
    </row>
    <row r="63" spans="1:38" x14ac:dyDescent="0.2">
      <c r="B63" s="20"/>
      <c r="C63" s="4"/>
    </row>
    <row r="64" spans="1:38" x14ac:dyDescent="0.2">
      <c r="B64" s="20"/>
      <c r="C64" s="4"/>
      <c r="T64" t="s">
        <v>205</v>
      </c>
      <c r="U64" s="58">
        <f>(U$5*(1-U$10)+U$15)*U20</f>
        <v>19.038373531206386</v>
      </c>
    </row>
    <row r="65" spans="2:21" x14ac:dyDescent="0.2">
      <c r="B65" s="20"/>
      <c r="C65" s="4"/>
    </row>
    <row r="66" spans="2:21" x14ac:dyDescent="0.2">
      <c r="B66" s="20"/>
      <c r="C66" s="4"/>
      <c r="T66" t="s">
        <v>206</v>
      </c>
      <c r="U66" s="58">
        <f>((U$5*(1-U$10)+U$15)*(1-U$20)+U$25)*U30</f>
        <v>38.345710211916391</v>
      </c>
    </row>
    <row r="67" spans="2:21" x14ac:dyDescent="0.2">
      <c r="B67" s="20"/>
      <c r="C67" s="4"/>
    </row>
    <row r="68" spans="2:21" x14ac:dyDescent="0.2">
      <c r="B68" s="20"/>
      <c r="C68" s="4"/>
      <c r="T68" t="s">
        <v>207</v>
      </c>
      <c r="U68" s="58">
        <f>((U$5*(1-U$10)+U$15)*(1-U$20)+U$25)*(1-U$30)*U35</f>
        <v>36.853155235417987</v>
      </c>
    </row>
    <row r="69" spans="2:21" x14ac:dyDescent="0.2">
      <c r="B69" s="20"/>
      <c r="C69" s="4"/>
    </row>
    <row r="70" spans="2:21" x14ac:dyDescent="0.2">
      <c r="C70" s="4"/>
      <c r="T70" t="s">
        <v>208</v>
      </c>
      <c r="U70" s="58">
        <f>((U$5*(1-U$10)+U$15)*(1-U$20)+U$25)*(1-U$30)*(1-U$35)*U40</f>
        <v>6.7626619759228598E-4</v>
      </c>
    </row>
    <row r="72" spans="2:21" x14ac:dyDescent="0.2">
      <c r="T72" t="s">
        <v>209</v>
      </c>
      <c r="U72" s="58">
        <f>((U$5*(1-U$10)+U$15)*(1-U$20)+U$25)*(1-U$30)*(1-U$35)*(1-U$40)*U45</f>
        <v>17.075367857000824</v>
      </c>
    </row>
    <row r="74" spans="2:21" x14ac:dyDescent="0.2">
      <c r="T74" t="s">
        <v>210</v>
      </c>
      <c r="U74" s="58">
        <f>((U$5*(1-U$10)+U$15)*(1-U$20)+U$25)*(1-U$30)*(1-U$35)*(1-U$40)*(1-U$45)*U50</f>
        <v>7.4935264544001772</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U1:U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Z42:AA42"/>
    <mergeCell ref="Z47:AA47"/>
    <mergeCell ref="D42:F42"/>
    <mergeCell ref="H42:J42"/>
    <mergeCell ref="L42:N42"/>
    <mergeCell ref="V42:W42"/>
    <mergeCell ref="X42:Y42"/>
    <mergeCell ref="B56:C56"/>
    <mergeCell ref="B58:C58"/>
    <mergeCell ref="B60:C60"/>
    <mergeCell ref="B2:B5"/>
    <mergeCell ref="B7:B10"/>
    <mergeCell ref="B12:B15"/>
    <mergeCell ref="B17:B20"/>
    <mergeCell ref="B22:B25"/>
    <mergeCell ref="B27:B30"/>
    <mergeCell ref="B32:B35"/>
    <mergeCell ref="B37:B40"/>
    <mergeCell ref="B42:B45"/>
    <mergeCell ref="B47:B50"/>
    <mergeCell ref="D47:F47"/>
    <mergeCell ref="AE2:AE5"/>
    <mergeCell ref="AE7:AE10"/>
    <mergeCell ref="AE12:AE15"/>
    <mergeCell ref="AE17:AE20"/>
    <mergeCell ref="AE22:AE25"/>
    <mergeCell ref="AE27:AE30"/>
    <mergeCell ref="AE32:AE35"/>
    <mergeCell ref="AE37:AE40"/>
    <mergeCell ref="AE42:AE45"/>
    <mergeCell ref="AE47:AE50"/>
    <mergeCell ref="H47:J47"/>
    <mergeCell ref="L47:N47"/>
    <mergeCell ref="V47:W47"/>
    <mergeCell ref="X47:Y47"/>
    <mergeCell ref="Z37:AA37"/>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Ed Sung</cp:lastModifiedBy>
  <cp:lastPrinted>2007-09-18T20:30:00Z</cp:lastPrinted>
  <dcterms:created xsi:type="dcterms:W3CDTF">2007-03-01T18:20:00Z</dcterms:created>
  <dcterms:modified xsi:type="dcterms:W3CDTF">2025-04-15T12:23:50Z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