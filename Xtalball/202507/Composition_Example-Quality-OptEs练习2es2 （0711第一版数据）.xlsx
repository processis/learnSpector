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8_{93694B9D-35C8-4929-9A1C-456AC9AA4E52}"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"'638878237680955471"</definedName>
    <definedName name="CB_Block_00000000000000000000000000000001" localSheetId="3" hidden="1">"'638878237681539402"</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0" i="1" l="1"/>
  <c r="AL20" i="1"/>
  <c r="AJ20" i="1"/>
  <c r="AJ10" i="1"/>
  <c r="AL50" i="1"/>
  <c r="AJ50" i="1"/>
  <c r="AL30" i="1"/>
  <c r="AJ30" i="1"/>
  <c r="AL35" i="1"/>
  <c r="AJ35" i="1"/>
  <c r="D60" i="1"/>
  <c r="D58" i="1"/>
  <c r="D56" i="1"/>
  <c r="Z50" i="1"/>
  <c r="X50" i="1"/>
  <c r="V50" i="1"/>
  <c r="Z49" i="1"/>
  <c r="X49" i="1"/>
  <c r="V49" i="1"/>
  <c r="AL45" i="1"/>
  <c r="AJ45" i="1"/>
  <c r="Z45" i="1"/>
  <c r="X45" i="1"/>
  <c r="V45" i="1"/>
  <c r="Z44" i="1"/>
  <c r="X44" i="1"/>
  <c r="V44" i="1"/>
  <c r="Z40" i="1"/>
  <c r="X40" i="1"/>
  <c r="V40" i="1"/>
  <c r="Z39" i="1"/>
  <c r="X39" i="1"/>
  <c r="V39" i="1"/>
  <c r="AB35" i="1"/>
  <c r="Z35" i="1"/>
  <c r="X35" i="1"/>
  <c r="V35" i="1"/>
  <c r="AB34" i="1"/>
  <c r="Z34" i="1"/>
  <c r="X34" i="1"/>
  <c r="V34" i="1"/>
  <c r="AB30" i="1"/>
  <c r="Z30" i="1"/>
  <c r="X30" i="1"/>
  <c r="V30" i="1"/>
  <c r="AB29" i="1"/>
  <c r="Z29" i="1"/>
  <c r="X29" i="1"/>
  <c r="V29" i="1"/>
  <c r="AB25" i="1"/>
  <c r="Z25" i="1"/>
  <c r="V25" i="1"/>
  <c r="I25" i="1"/>
  <c r="J25" i="1" s="1"/>
  <c r="AB24" i="1"/>
  <c r="Z24" i="1"/>
  <c r="V24" i="1"/>
  <c r="I24" i="1"/>
  <c r="J24" i="1" s="1"/>
  <c r="AB20" i="1"/>
  <c r="Z20" i="1"/>
  <c r="X20" i="1"/>
  <c r="V20" i="1"/>
  <c r="AB19" i="1"/>
  <c r="Z19" i="1"/>
  <c r="X19" i="1"/>
  <c r="V19" i="1"/>
  <c r="X15" i="1"/>
  <c r="V15" i="1"/>
  <c r="X14" i="1"/>
  <c r="V14" i="1"/>
  <c r="AB10" i="1"/>
  <c r="Z10" i="1"/>
  <c r="X10" i="1"/>
  <c r="V10" i="1"/>
  <c r="AB9" i="1"/>
  <c r="Z9" i="1"/>
  <c r="X9" i="1"/>
  <c r="V9" i="1"/>
  <c r="Z5" i="1"/>
  <c r="X5" i="1"/>
  <c r="V5" i="1"/>
  <c r="Z4" i="1"/>
  <c r="X4" i="1"/>
  <c r="V4" i="1"/>
  <c r="A10006" i="4"/>
  <c r="A10005" i="4"/>
  <c r="A10002" i="4"/>
  <c r="B11" i="4"/>
  <c r="A11" i="4"/>
  <c r="P2" i="4"/>
  <c r="H25" i="1" l="1"/>
  <c r="X25" i="1" s="1"/>
  <c r="U25" i="1"/>
  <c r="U24" i="1"/>
  <c r="U30" i="1"/>
  <c r="U45" i="1"/>
  <c r="U5" i="1"/>
  <c r="U9" i="1"/>
  <c r="U20" i="1"/>
  <c r="U29" i="1"/>
  <c r="U34" i="1"/>
  <c r="U4" i="1"/>
  <c r="U10" i="1"/>
  <c r="U15" i="1"/>
  <c r="U19" i="1"/>
  <c r="U40" i="1"/>
  <c r="U50" i="1"/>
  <c r="U14" i="1"/>
  <c r="U39" i="1"/>
  <c r="U44" i="1"/>
  <c r="U49" i="1"/>
  <c r="U35" i="1"/>
  <c r="H24" i="1"/>
  <c r="X24" i="1" s="1"/>
  <c r="AG10" i="1" l="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<sst xmlns="http://schemas.openxmlformats.org/spreadsheetml/2006/main" count="662" uniqueCount="220">
  <si>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</si>
  <si>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</si>
  <si>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</si>
  <si>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</si>
  <si>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</si>
  <si>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</si>
  <si>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</si>
  <si>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</si>
  <si>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</si>
  <si>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</si>
  <si>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</si>
  <si>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</si>
  <si>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</si>
  <si>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</si>
  <si>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</si>
  <si>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</si>
  <si>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</si>
  <si>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</si>
  <si>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</si>
  <si>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</si>
  <si>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</si>
  <si>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</si>
  <si>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</si>
  <si>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</si>
  <si>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</si>
  <si>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</si>
  <si>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</si>
  <si>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</si>
  <si>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</si>
  <si>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</si>
  <si>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</si>
  <si>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</si>
  <si>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</si>
  <si>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</si>
  <si>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</si>
  <si>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</si>
  <si>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</si>
  <si>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</si>
  <si>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</si>
  <si>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</si>
  <si>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</si>
  <si>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</si>
  <si>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</si>
  <si>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</si>
  <si>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</si>
  <si>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</si>
  <si>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</si>
  <si>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</si>
  <si>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</si>
  <si>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</si>
  <si>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</si>
  <si>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</si>
  <si>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</si>
  <si>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</si>
  <si>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</si>
  <si>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</si>
  <si>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</si>
  <si>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</si>
  <si>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</si>
  <si>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</si>
  <si>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</si>
  <si>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</si>
  <si>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</si>
  <si>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</si>
  <si>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</si>
  <si>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</si>
  <si>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</si>
  <si>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</si>
  <si>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</si>
  <si>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</si>
  <si>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</si>
  <si>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</si>
  <si>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</si>
  <si>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</si>
  <si>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</si>
  <si>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</si>
  <si>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</si>
  <si>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</si>
  <si>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</si>
  <si>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</si>
  <si>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</si>
  <si>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</si>
  <si>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</si>
  <si>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</si>
  <si>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</si>
  <si>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</si>
  <si>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</si>
  <si>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</si>
  <si>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</si>
  <si>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</si>
  <si>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</si>
  <si>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</si>
  <si>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</si>
  <si>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</si>
  <si>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</si>
  <si>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</si>
  <si>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</si>
  <si>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</si>
  <si>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</si>
  <si>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</si>
  <si>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</si>
  <si>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</si>
  <si>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</si>
  <si>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</si>
  <si>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</si>
  <si>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r>
      <rPr>
        <b/>
        <sz val="10"/>
        <rFont val="宋体"/>
        <family val="3"/>
        <charset val="134"/>
      </rPr>
      <t>访谈</t>
    </r>
    <r>
      <rPr>
        <b/>
        <sz val="10"/>
        <rFont val="Arial"/>
        <family val="2"/>
      </rPr>
      <t>+</t>
    </r>
    <r>
      <rPr>
        <b/>
        <sz val="10"/>
        <rFont val="宋体"/>
        <family val="3"/>
        <charset val="134"/>
      </rPr>
      <t>问卷</t>
    </r>
  </si>
  <si>
    <t>展示现有相关产品</t>
  </si>
  <si>
    <t>Infosys  高保真原型</t>
  </si>
  <si>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</si>
  <si>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</si>
  <si>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</si>
  <si>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</si>
  <si>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</si>
  <si>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</si>
  <si>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</si>
  <si>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</si>
  <si>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</si>
  <si>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</si>
  <si>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</si>
  <si>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</si>
  <si>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</si>
  <si>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</si>
  <si>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</si>
  <si>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</si>
  <si>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r>
      <rPr>
        <b/>
        <sz val="10"/>
        <rFont val="宋体"/>
        <family val="3"/>
        <charset val="134"/>
      </rPr>
      <t>邮件评审</t>
    </r>
    <r>
      <rPr>
        <b/>
        <sz val="10"/>
        <rFont val="Arial"/>
        <family val="2"/>
      </rPr>
      <t xml:space="preserve"> Email Routing</t>
    </r>
  </si>
  <si>
    <r>
      <rPr>
        <b/>
        <sz val="10"/>
        <rFont val="宋体"/>
        <family val="3"/>
        <charset val="134"/>
      </rPr>
      <t>走查</t>
    </r>
    <r>
      <rPr>
        <b/>
        <sz val="10"/>
        <rFont val="Arial"/>
        <family val="2"/>
      </rPr>
      <t xml:space="preserve"> Walkthrough</t>
    </r>
  </si>
  <si>
    <r>
      <rPr>
        <b/>
        <sz val="10"/>
        <rFont val="宋体"/>
        <family val="3"/>
        <charset val="134"/>
      </rPr>
      <t>Infosys 会议审查</t>
    </r>
    <r>
      <rPr>
        <b/>
        <sz val="10"/>
        <rFont val="Arial"/>
        <family val="2"/>
      </rPr>
      <t xml:space="preserve"> Sampling Inspections</t>
    </r>
  </si>
  <si>
    <t>1 Email Routing</t>
  </si>
  <si>
    <t>2 Walkthrough</t>
  </si>
  <si>
    <t>3 Inspections</t>
  </si>
  <si>
    <t>4 Sampling Inspections</t>
  </si>
  <si>
    <t>Design Decision</t>
  </si>
  <si>
    <r>
      <rPr>
        <b/>
        <sz val="12"/>
        <rFont val="宋体"/>
        <family val="3"/>
        <charset val="134"/>
      </rPr>
      <t>设计</t>
    </r>
    <r>
      <rPr>
        <b/>
        <sz val="12"/>
        <rFont val="Arial"/>
        <family val="2"/>
      </rPr>
      <t>Design</t>
    </r>
  </si>
  <si>
    <t>合并概要与详细设计</t>
  </si>
  <si>
    <r>
      <rPr>
        <b/>
        <sz val="10"/>
        <rFont val="Arial"/>
        <family val="2"/>
      </rPr>
      <t xml:space="preserve">Infosys </t>
    </r>
    <r>
      <rPr>
        <b/>
        <sz val="10"/>
        <rFont val="宋体"/>
        <family val="3"/>
        <charset val="134"/>
      </rPr>
      <t>概要</t>
    </r>
    <r>
      <rPr>
        <b/>
        <sz val="10"/>
        <rFont val="Arial"/>
        <family val="2"/>
      </rPr>
      <t>+</t>
    </r>
    <r>
      <rPr>
        <b/>
        <sz val="10"/>
        <rFont val="宋体"/>
        <family val="3"/>
        <charset val="134"/>
      </rPr>
      <t>详细设计</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</si>
  <si>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</si>
  <si>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</si>
  <si>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</si>
  <si>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</si>
  <si>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</si>
  <si>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</si>
  <si>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r>
      <rPr>
        <b/>
        <sz val="10"/>
        <rFont val="宋体"/>
        <family val="3"/>
        <charset val="134"/>
      </rPr>
      <t>少量代码复用</t>
    </r>
    <r>
      <rPr>
        <b/>
        <sz val="10"/>
        <rFont val="Arial"/>
        <family val="2"/>
      </rPr>
      <t xml:space="preserve"> Manual w/No Reuse</t>
    </r>
  </si>
  <si>
    <r>
      <rPr>
        <b/>
        <sz val="10"/>
        <rFont val="宋体"/>
        <family val="3"/>
        <charset val="134"/>
      </rPr>
      <t>基于现有产品</t>
    </r>
    <r>
      <rPr>
        <b/>
        <sz val="10"/>
        <rFont val="Arial"/>
        <family val="2"/>
      </rPr>
      <t>/</t>
    </r>
    <r>
      <rPr>
        <b/>
        <sz val="10"/>
        <rFont val="宋体"/>
        <family val="3"/>
        <charset val="134"/>
      </rPr>
      <t>平台大量复用</t>
    </r>
    <r>
      <rPr>
        <b/>
        <sz val="10"/>
        <rFont val="Arial"/>
        <family val="2"/>
      </rPr>
      <t xml:space="preserve"> Manual w/Reuse</t>
    </r>
  </si>
  <si>
    <t>Infosys Code Generation w/Reuse</t>
  </si>
  <si>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</si>
  <si>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</si>
  <si>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</si>
  <si>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</si>
  <si>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</si>
  <si>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</si>
  <si>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r>
      <rPr>
        <b/>
        <sz val="10"/>
        <rFont val="Arial"/>
        <family val="2"/>
      </rPr>
      <t xml:space="preserve">Infosys </t>
    </r>
    <r>
      <rPr>
        <b/>
        <sz val="10"/>
        <rFont val="宋体"/>
        <family val="3"/>
        <charset val="134"/>
      </rPr>
      <t>邮件评审</t>
    </r>
    <r>
      <rPr>
        <b/>
        <sz val="10"/>
        <rFont val="Arial"/>
        <family val="2"/>
      </rPr>
      <t xml:space="preserve"> Email Routing</t>
    </r>
  </si>
  <si>
    <r>
      <rPr>
        <b/>
        <sz val="10"/>
        <rFont val="宋体"/>
        <family val="3"/>
        <charset val="134"/>
      </rPr>
      <t>会议审查</t>
    </r>
    <r>
      <rPr>
        <b/>
        <sz val="10"/>
        <rFont val="Arial"/>
        <family val="2"/>
      </rPr>
      <t xml:space="preserve"> Sampling Inspections</t>
    </r>
  </si>
  <si>
    <t>UT Decision</t>
  </si>
  <si>
    <r>
      <rPr>
        <b/>
        <sz val="12"/>
        <rFont val="宋体"/>
        <family val="3"/>
        <charset val="134"/>
      </rPr>
      <t>单元测试</t>
    </r>
    <r>
      <rPr>
        <b/>
        <sz val="12"/>
        <rFont val="Arial"/>
        <family val="2"/>
      </rPr>
      <t>Unit Test</t>
    </r>
  </si>
  <si>
    <r>
      <rPr>
        <b/>
        <sz val="10"/>
        <rFont val="宋体"/>
        <family val="3"/>
        <charset val="134"/>
      </rPr>
      <t>临时</t>
    </r>
    <r>
      <rPr>
        <b/>
        <sz val="10"/>
        <rFont val="Arial"/>
        <family val="2"/>
      </rPr>
      <t>/</t>
    </r>
    <r>
      <rPr>
        <b/>
        <sz val="10"/>
        <rFont val="宋体"/>
        <family val="3"/>
        <charset val="134"/>
      </rPr>
      <t>手工</t>
    </r>
    <r>
      <rPr>
        <b/>
        <sz val="10"/>
        <rFont val="Arial"/>
        <family val="2"/>
      </rPr>
      <t xml:space="preserve"> Ad Hoc</t>
    </r>
  </si>
  <si>
    <t xml:space="preserve">Infosys UT </t>
  </si>
  <si>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</si>
  <si>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</si>
  <si>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</si>
  <si>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</si>
  <si>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</si>
  <si>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</si>
  <si>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没做集成测试只有系统测试</t>
  </si>
  <si>
    <t>1 Bottom-Up</t>
  </si>
  <si>
    <t>2 Top-Down</t>
  </si>
  <si>
    <t>3 Hybrid</t>
  </si>
  <si>
    <t>ST Decision</t>
  </si>
  <si>
    <r>
      <rPr>
        <b/>
        <sz val="12"/>
        <rFont val="宋体"/>
        <family val="3"/>
        <charset val="134"/>
      </rPr>
      <t>系统测试</t>
    </r>
    <r>
      <rPr>
        <b/>
        <sz val="12"/>
        <rFont val="Arial"/>
        <family val="2"/>
      </rPr>
      <t>System Test</t>
    </r>
  </si>
  <si>
    <t>Infosys 两轮</t>
  </si>
  <si>
    <t>三轮</t>
  </si>
  <si>
    <t>四轮</t>
  </si>
  <si>
    <t>1 On Breadboard</t>
  </si>
  <si>
    <t>2 On Brassboard</t>
  </si>
  <si>
    <t>3 Production Hardware</t>
  </si>
  <si>
    <t>AT Decision</t>
  </si>
  <si>
    <r>
      <rPr>
        <b/>
        <sz val="12"/>
        <rFont val="宋体"/>
        <family val="3"/>
        <charset val="134"/>
      </rPr>
      <t>验收测试</t>
    </r>
    <r>
      <rPr>
        <b/>
        <sz val="12"/>
        <rFont val="Arial"/>
        <family val="2"/>
      </rPr>
      <t>Acceptance Test</t>
    </r>
  </si>
  <si>
    <t>两轮</t>
  </si>
  <si>
    <t>Infosys 四轮</t>
  </si>
  <si>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</si>
  <si>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</si>
  <si>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</si>
  <si>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</si>
  <si>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</si>
  <si>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</si>
  <si>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</si>
  <si>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</si>
  <si>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</si>
  <si>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</si>
  <si>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</si>
  <si>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</si>
  <si>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</si>
  <si>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</si>
  <si>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</si>
  <si>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</si>
  <si>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</si>
  <si>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</si>
  <si>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</si>
  <si>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</si>
  <si>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</si>
  <si>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</si>
  <si>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</si>
  <si>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</si>
  <si>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</si>
  <si>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WAR 脚本自动化测试</t>
  </si>
  <si>
    <t>WAR 三轮</t>
  </si>
  <si>
    <t>CB_Block_0</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</si>
  <si>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</si>
  <si>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</si>
  <si>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</si>
  <si>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㔷ㄵ昶昸㌱昶㜵㕥摥挲昲㔰ㄱ㘴改慥搴㤲慣㙢㈷㜶㥣㠴つ㕤挷挹㙥搲摤挴搹㈴扢㕤攰挷散㡣㝤㥤㌸㤹昱愴㌳攳㤰㤴㉣㕤㔸搴㠷㠴㔴愱㉤㝤㈰昱㘷㡢搸ㄶ㠹慡慡㉡㐱㠵㉡㐰㐲㉢㐰㐲挰ㅦ〴晦ㄱ愸㔲晢愳慡㤰昸㐵㌹摦㥤ㄹ挷㜱ㅣ㙦㕢㐵愰㡡㤱㝣㝣敦戹㘷捥㌹㜳敥㌹摦㝤〴愴㐰㈰昰ㅥ㍤昸挷ㄳ㐶攳㌳㑢摢戶挳㡤㘴挱搴㜵㕥㜲慡㘶捤㑥收㉤㑢摤㍥㕦戵㥤㄰〹挸㑡㤵挶敤㠸㘲㔷ㅦ攱㌱㘵㤳㕢㌶〹㐵〲㠱㔸㡣〵㘹ㅣ㌲昸㈵晣づ㐳㡦㠵㐱㐸㉡搰㉤ㄳ㔹㉥㑣ㄶ戵㌵搲扦攴㤸ㄶㅦ散扦攴㙡㤹㐸愷㤳改攴搰昰㔸㍡㤹ㅡ散㉦搴㜵愷㙥昱㠹ㅡ慦㍢㤶慡て昶㉦搴㌵扤㕡㍡挷户㤷捤㜵㕥㥢攰㕡㙡㔸㔳㌳愳改㑣㌶㕢ㄹㅢㅢ敤㡥㤲收昹㘲㘱㌲㌹捦㥤㐳搲ㄹ㠱昳改㈹㕥慡攲㉢㌹户慡戵㤵㈴㔹搸攳㝦戲戸攱㈴㡢㑢㡢晣攱㝡搵攲〶慦㌹昰愴㕢㔹戰㜸㠵㕢扣㔶攲㜶慦㌲扤㔵攲㝡㠱敢晡㈲慦搸㕤捡㔹换慣㙦捣搶捡㝣㉢慣㕣㔲慤㤸㜲戶㕥㉤捦愹ㅢ㍤挶㐵㥢㉦慡戵ㄵ㍥慦ㅡ㍣㘲㠰ㅤっ〷挲愱㐰攸㡥㙥ㄴ㈶㜳挹㍤㘶㄰敡㔸㝦㡢昷〸㄰㌹㝣㡥㕢㌵慥㈷挹㘹㌸摢㙥摡㘷㔴㝢搵㔱㌵㥤㑢㕤㕥㔲挰ㄹ攸㡣戳ㄸ㔱㍣㡣㠱挴㠹㐸攱㝦㔲㉥㌵㑢㜶ㄱ㌷愸愸㐱㐵ぢ㉡愵愰㔲づ㉡㍣愸㔴㠲捡㑡㔰㔹つ㉡搵愰戲ㄶ㔴搶㐹挶㝦㘲搱㘸搰㝢㝥㤵㜹昴㍢晤㙦摥㍥昷搲㡢扦戹㍥昹摡慤㐱〹改㠳愹㠸戳㙥㑦㥣昵㔰㠳昵ㄲ㤱愴㜷挸㌲慣慦昵摤晥戹㜲搷㕦ㅦ扣晥攴愷慦晦㜴晢收ㅢㄱ㈴摣晤㉤摦㝦挰散戹昹㔸摤攴ㅦ㥤戹㈳㤷㍦捣摣㈵晣〸ㅥ㐱〴敦ㄲㄱ㝣摢㡢㘰㘵昲搸户㐷㝥昶晤㤹㘷㉦晦晢昱㜷摦㝣㐹㡤㘰愲㍦㜸攲愱昶㤹挸㕤慡㔶㍢㘲㥣㌱㉤㍢ㄴ敡㤸㘴ㅤ〷㤱㜴散攳㈰㐷㠹㐴㤰㜴㜷㑣敢㑦㤰㤰愴㑡㕡搴愰㙣㥦㕢戱㈲㠶㕢㔱㔳摣㉥㌱㠳㙡㑥㔴㥦㑣㉤扤捥扢㡤㠲㔹㜳昸㤶㌳愵㍡㙡搴㔸㔰愹㙣㥤㕥㝡㤱攴〶㍣〵摤㝥ㄷ㝡ㅡㅤ愸㑢昸㈳扥搶㥥㕤〶㈹晦㤸摦㙢戲搱搰敤㥡㘲挲づㄴ扢㉤㘸敤ㄱ㍣㕦㘵摣敢㤱扥㠴㘸㌶㈹敢ㄲっ㔷ㄳ㜰㥣㠰㍣ㄴ昶晥摣㡥㉣摦搳㔲〶㝢㘱㠰㍣愴㄰㈱㥢㘲㜲挷㤹㌸摥㑥㑤㐹扢攸㔴㜵㍢㐹㙥〸㕣㠳㥥晦戶扤挳昲ㅢ扥扢捦扦摥昳晦攳㌲㤲㈹戱〷攲挷㌳攳昲㈷㈱㐰㤵攳〹㔲㝡㝥㡡ㄸ昱㌸㠳㌸挳攸晥挱㑥㘳㘱〰㘹挷昰挳扢昸㜹㔳㉤㥦㔱㑢戴㜴㐶扤㠵㌳㔶㌰㡤つ捡㔹㉢〱搰㉥㤸㘵扥㘰㤹㥢搵㌲户㘲㘰㉣搱㔲ㅤ㐶㈵捡㈲搹㙤㑡㡦㔰㈰ㄲ改㡡戵戳㌵敢敢㍡摥㘶㉢㌰扢㑦晦㕢ㄷ㐶ㅦ攸㠳㔷㜱攰㍤晢ㅣ㐸㍦ㄱ〹㐰つ昴㘰挷㐰㍥て㤶㠰㙣㙡戸㑦㜳㝣敦㈱㔶㑢㝣㠷挶昷㐷昰〴㠹㔱㜸㈱㝤挰㘰愷㌱〹慢〵㐲っ㥦攱㡢攷昳㈰搴㥤㈴㈲〱ㅡ㠵捦㐹戰敥㈷ㄲ〱㐸㜶挶ㅡ㠲攱晦㔳慣〹晢㈰戳〷㙢敥㙢〷ㄱ㡤つ㐷㘳㥤㍤㔳慦㈱㥢〷摥㥦昴昲昶〶户晦ㄷ戸昲㔱挶戱㜸攴㡦〴㐰ㅦ㈴挲㌸〲㐴㌷戱㈲㉡㑡㈰㠶㜸㘳㈹㡦换㘹愲扤挵愵挶攴㡤户慢捥㘱㠸挶ㄹ㘴昷㔷愷ㄸ散㌴㈶㘱㈷攲㔷㘷ㄳ愲㡣㐳摤ㄷ㠹㐸搸〰昸〲㜰搴㉢摦㔳㄰㤸㠰〰㌶〷㙤〴扥〴㠱〷㈰㈰攰㤹ㅡ〰㠰㘵〸扢愰㜵㥡㥡㉣㑦㈴〱昸㠲敡ㄸ㔰㈰㤰攸㈷㠲㉥㥢㐴攳ㄸ㤱㌶敡ぢ㄰㤸㠲〰㐰慥㡤挰㌴〴捥㐰㐰攰ㄷ㌵㘰晦㉣㠴㕤晢㘸戲ㄹ㈲〹㐰㔱㤳㝤〱㑡ㄸ㥣〵ㅦ愰搴㐶晤㠳㄰㌸〷〱〰㔶ㅢ㠱昳㄰㤸㠳㠰㤸〴㙡挰晥ㄵ晡昷散捦㔳㤳ㄵ㠹㈴㄰散㈶晢㈲散ㄸ㕣挰㈰〲㡤㐱昹〲㤱ㄳ㠵挹挲愲㤲愹㡣㘹攵ㅣ慦っ㔵戲戹㑣㘶㈸㍢㥡㐹愵戳㤵㔱㜵㐴㑢愷搳㈹㜵㌸㈱收㠵挴搹㈲㤱〴㘶〲ㅡ搸ㄲ㝡㘲㑡搰ㄳ㘳愷愹㠵晤扡㝣㤱㐸㔴㤹㝥㤸㤶戰つ昹ㄲ㜵㡥ㄴ㈶ㄵ㌷昳㘶换戴㉤慢㍡摢昲㐳挴敥〵㝢挳㔹愲㘳ㄷ捥㔸昲㘵攲昵戸扣㝣㜹㜳挹㔱ㅤ昹换扢㉣㍡ㄸ改昵㌲㑦攴㠹㈵捣㝣㠵ㅡ㡢愹㔳ㄳ㕦摦㔹㌴㑤㘷㠷戶愸扣愴摡㡥扤㠳昵捦戴慢㌸晢昶㑦㙦愹挶㠶捥㑦㕥愸慢㍡搹㍤㐹昶晥昶㡢㤷晦晥昴敢戹攴㤶㙥㙦敤捣搱㔲慢敦㑣攴戳㈳挹戹晣攵慢愷㈶㔲散慢愴搷㑤ㅦ㔱〴㌱㈹㄰㐵昶㠸敦㐶㌱㠵㥡捦㐸搲ぢ㔴愰㌸扡㤸㈳㠳扦㍢扡晤㡦昹ㄷ晦昲挶摡ㅦ摥昹挲㤶㜴搳ㅢ㜸㜵愶敢挲㉢扦扦㜱晡㤵㤳㝦㥥ㅡ昸挹慡㤲㐰扡㠹㔹㔰愸攱捥㠲㥡攳㤹㜴㑥㑢攵㜲改㙣㈶㥤㑤㙢愳㝣㘴㜸㈸㌷㍡捣搳㥡㔶搶㜲〹㤱㥤㈴捥慥㄰㐹㈰ㅦ挵㉣愸攸㠹挴愴㠶㍢㠶㔴㐴㜸ㄸ㘶㠱㈱晡っ戱㘶〸㉥㐳㌸ㄳ挸㔳ㄱ挰㔵㙡ㅣ㕡〰㐷㔲㡤〰㔶㐹㙦㡣挲㐶〶戱㠵㐲〰㤱晥〷〴昰㝢㕥㥣摥扥㤶扣晤搴捡ぢ挵攷摦扤㤵㍡㌲昲搹㌱改改㠳〲㠸㝡ㄱ〱㌴愸攱〵㌰㌵㔴㐹愵㠶㈹㡡㍣㤳ㄹ愶㌴㔶㔵慥㤵挷㔲㍣㔳搱戲愳戹㑡㐲㤴ㄷ㠹戳ㅡ㤱〴ち㑡昸㘷愲㈷㉡慢㌱㠶㕡敡ㅣ㐰ㄴ㥡〸攰㈶㌵搴㐳㐸扦㈲㕤挲愸扡摥㝦搶㔴昵攴挲昴㘲㘱㝡㝥㜹昶晣昴扤愹攴㔸昶扥慢散㙢㘴愶㈵㈱㔱捥〷挴昳㜱㉦㙣敢㝦㝡扤攷㐴㜵㘶晥搶捤ㅦ晦戲㙦晣㐷㌵改戱〳攲ㄹ㐱昵愶㕡㔶昱㝤㠷散搶扢〹㥣攸㡥ㅡ戳㌶摤㠶搰摤捦戲㤹㙦摣㜹ㅣㄱ㝢㔴攲て昸〷挸ㄳ扢㥣扣㘶㥢㝡摤攱晥㙢㐵慢昱ㅥㅤ㤷㘸搹ㄲ敦㔱㉤ㅦ摤敤㌵ㅤ㤴敥摥攵捥搶㙣㙥㌹扣散㙢戴改ㅥ㈱ㅣっ㐹搹㍢㝤〹㐱〰㕤昶㄰挵愱换扦搰挱攷摣摤㘶扦㍣㔹㜵挴敤ㄹ挶㈵〶摣㤴㜷㠸戰㠹攳昹攳改㔴㉡㌵ㄲ戹㑥㘱晤㜰㌶㤱㠱扢㙢㌵㉣攰㠹戳㙦㄰㤵〰戰㔰つ㔶昷愳㐴攸扣㌷㘵ㅡ㙡戵㜶㔸㌷㘳挰戹搶慤㠵㤸㜶搷㑣攳㡡捣挷㙣愴㝣户㔱㉣㘹换ㄶㄷ㤷㕢㌱搱愱㝤㕤㡦昱㤰㘹慤㙢愶戹㡥〳㜰慦攸搹慢㥣㍢戸㙦敡㌲㕣攸㐷㕢㤲愴搰ㅥ昸㙣㠶㔲㝣愴㝣㡤㐸㑦㥥㙡挱搷㘸换摦㈴㔶㠸慥戹攴㙦㔱㘳攰㝤㠱㝢㔶㠰扢㜴搵换㜸攳挶㌳扦㍤昵敢㐷㡡㑦㕣㜹㙢晢〷㍦㉣㤴愵ㅤ㙦㘰摦㌵搵ㄵ㌲㠱㜲㤰ㄸ挰㔹㝥㡣㐸㘳慡㠷愴㙤㝡捤㥦㤳㌸㝢〲㜲㉡ㄱ㥦㈵〱昸㄰㔵㜶つ〴㝥㌳昸㉣㌹〷昹㘱㝢〳慤昷㕥ㄲ㔰捡昵〳ㄸ㈷㍦〵㔵㝥捡㘵愵㡤㍤㝥㝣ㄷ㈶〰㘴つ㍦〰ㄸつ㍦攴ㅢ搴ぢ搱ㅣ戸扥慣ㅦ攴换㥡㌷搰㝡㠳ㄴ㐶㍡㜶㉡㡤㄰㡤㐷つ㐵挵㈵㜳捣㔰㜴㕥㕢㜱㔶ㅢㄷ换戴〵㡤搱捤昲戳㈴㠴挵ㄳ㡦㠴挸㐱㉢㝢㡥㐸㠳㡢敦㄰摣攷㥢戸㝤㜸ㄱ㠵ㄲ愳㕦愰て㉦散昶㈰搸攸㜵晤〷㐸扡㙣挶</t>
  </si>
  <si>
    <t>CB_Block_7.0.0.0:5</t>
    <phoneticPr fontId="10" type="noConversion"/>
  </si>
  <si>
    <t>㜸〱敤㕣〹㜰㕣挵㤹㥥ㅥ㘹㥥愶㐷搷昳挹つ㌲挸搸㔸㐶㘸㜴换攰㔸㤷て㠱昱㈵摢㠴㠰㔷㜹㌳昳㥥㌵㜸づ㌱㌳戲慤㠴ちづ㔴㈰㥢㈵㔹㤶ㄴ〱〳〹㕥ㄲ挰㠶㈴㤰㠴㕣ㄵ搸㐰㉡搹㕣㈶ㄵ〸㥢慤㔴㙤愵㠰攲㐸㌶挷㥡ㅣ㠴㤰㠳晤扥㝥敦捤扣㌹㈴换挶搹昲㔶攵搹晡搵晤昷摦晤扡晦晥晢敦晦晦扢㥦㝣挲攷昳扤㠵㠷扦昹㔴㌳㜱收攸㔴㌶㘷㈶㕢㠷搲㠹㠴ㄹ捤挵搳愹㙣敢㐰㈶㘳㑣慤㡦㘷㜳㔵㈰搰挶攲㈸捦〶挶戲昱昷㤸挱戱摤㘶㈶ぢ愲㠰捦ㄷっ㑡㍦捡㠳捥㡦敥㘶㈴㙢挹㙡〲㔰昹愴㐶㔰㐳㐰㔲㈹〹㐲〰㜵戵〰㕢㠷〶㌷㐶慥挱㡢㐷㜳改㡣戹扣㘹扢摤晣捡㜰戸㌵摣摡摥搱ㄷ㙥㙤㕢摥㌴㌴㤹挸㑤㘶捣㤵㈹㜳㌲㤷㌱ㄲ换㥢㌶㑤㐶ㄲ昱攸㘵收搴搶昴㉥㌳戵搲㡣戴㜵㐴㡣捥摥㜰㘷㔷㤷搵搷搷㕢㔷㠷㤶㌷っつ㙥捡㤸㔶昶㐴戵㔹捦㌶㌷づつ戶㙥㌰㜳㈷慡捤〶戴㠹㈶㠷搳㐹㈳㥥㍡㐱㡤〶挸晥慥㘱㌳ㅡ攷㍣㤹㘶㈶㥥摡搹㡡㙥ㄷ㌱ㅡ戹㥥搶㠱㙣㜶㌲㌹挱㈹ㅦ㌲ㄳ㠹㉤愶愵收㈷㌹㥣捤㙤㌲㌲挹㙣㕤㤲晣㌳㌳㘶㉡㙡㘶ㅢ㤲慢昷㐶捤㠴㐳㤸つ㈶户ㅢ㤹つ㐶搲慣㘶愲㌱㘹捦攱㐸捣㑣攵攲戹愹晡攴戶慣戹挵㐸敤㌴㐹ㄲ㐸慥㥤㡣挷㐴㜵㌵晥晢慡㤶㔴敡㤹㥡㈸昴㈷㌹㌴㙥㘴㜲㉡挷㈹っ㔷愲昵㠸㡢ㅡ㐵㔱扦㈸㔲㑤㈵戵㌸㘷愳昱攴㘵㘶㈶㘵㈶昸ㄲ捥㘴㑢〹㤱㘲㤰㍤て㜹㑥戹挳攱㉣㠹㕡㘷㥤㜰㉣㝣㡢搶〸戰㜰㐳㍡㤳㠴㐰㕥㙥ㅡ愹㤵㥤换㐷㜳戱㘱㜳昷捡戰搴㔱㈶攷㤰㙡㉥㐰㐳㌶㥥㥣㑣ㄸ㘴昴㡡㜰摢ち㌹㡦愵昳〱㐴昵㉦戰ㅣ㑢㕢昶㡦ㄹ晥戱㠸㝦㉣敡ㅦ㡢昹挷㑣晦㤸攵ㅦ摢改ㅦㅢ昷㡦挵晤㘳搷昸挷㜶愱愶晢〴㙢㙡晣捥㜳㠵昹愵㔳㝣扤挹搵㜷扥敦攲扥㥢晦㜱昱愳〱慥挰㔹㜱㄰慣挰㈴㝡㘴愰㠱昳㌷㌴㤹捤愵㤳㥣挰ㄳ㉢〸㍥㐷㄰挴攲㑡㔳㘰㑢㠲摤愳户㈹〷攷㤵戴㑦㌹搸㌸㤱㜳攴挰㝥挵〹ㄱ〵㈱ㄷ㠲搵昲ㄴ〰敤㔴㠰晡愱㜴捣ㅣ㜳摦㉥㑦㘳攱改〰㐲扣㡣改收㤴㝦攵愲㕢㉥㝡攲㍤愷慣㝤愴敥ㅢ㡦㝣敢敥愹㡦〸㉡㑡愵㙣捦㐴㘲㘹㤱㔴㜵戹㘲搵搱摡㔱晣㜴挹戳搸昴搹〰摡㌹〰昵ㅥ㌹敢㔸㈱㥢㔸戸〸㐰㠸㥦㍡敦㥤㍦昵挹㔳㥦㝣昸㡥㡤㥦昸捡㌳㌷㌷昷摤㄰㄰搴捤敡扤攷㈱戱捣晢摥戶搶扣㍣户戵戶㜵戵ㄵ㍤㘱搹捣挶ㄷ〳㘸攷〳ㄴ㐹㜸晢ち戹㠴愵㑢〱㠴昸㑦攷搵晢戶㍣㘱敥搶㕦㕤㜷愰㈹摢㜵㘷㘸搱扦ぢ敥〸ㄴ㔱㈱㤷㤱扡〵㐰㕢づ㔰㍢戰戵挰扢ぢ㔹搴ち㈰挴㌳㑥㐳晡㍢㍦㜵昶扦㥤昱㤹㤱㕢㙦敥㌸昰攴㈵㉦散て㔰㙢㜵戸摣㥥㐹摦慤挱づㄳ㌵戲㌹㐷搲搹㠱ㄳ㉢摡㐷㔷㜱㙢㌲搱扦扤㡡挳㑢㑥㠸㕣换㌶㜲㍦っ愰戵㤳㔷ㅢ戱昷ㅢ㠹㐴搳摡戴㤱㤰ㅤ㉣敢〴㄰攲晢捥捣散㝡收慢昵㡢攳敢㌶㍣㜸摦㐳㑦㌶慥㜸㈰㈵戸搵摢㔳摣㑤敡ㅥ〰慤ㄷ愰㜶换㜰㘱㡡晢㔸戴〲㐰㠸㙦㌹つ扤昰㜰攳攱攷㈶敥㔸㝢昰㥢㘷晤㘱搷㝢㤷晤㐸搰㕣戰ㅢ扡㠴搴㉢〱戴㜷〰搴㡥㝡㘴㘵ㄵ㡢晡〱㠴昸扡搳搰挷摦㌸晣散敢扦㝡㜵捤㘷㈳㑦㝤㘷摦换㑦扦㔵㌷㠸攲捤㡥㈶ㅦ捥ㄸ㝢戰㌷ㄶ戶摤昶㔶㐸晡㙣散つ㤸ㅢ㔶㤷搵㘳㠵挳戱慥㌶愳挳〸㔰摦捦㜶㘳㈳㙤㥤㜵㐵㍣ㄵ㑢敦㔱ㅡ敥捣㐱〳摡㌶扦昱戵㌸㘵㠳改挹㔴㉣㝢㐶攵挲搱㥣㤱㌳㑦㉦㉤㉢㌴㔲㔶㙤ㄴ㜶㠰㤹㔵敦㍢扢戴摡㜶㈳㌱㘹づ散㡤摢挵㘷㤵ㄴ挳ち㐸㐷愶㉦㕤㤳㌱慦捤㤷㤶昵㘸〰ㄶ攵㙥搵㜶搹㈸敤㈲扢㕦㑤㐳攳改慣㤹㔲摤㙢㐹㙥㡡㐷㜷㤹㤹㔱㤳昶愸ㄹ㔳㐳㕤挰㈲挷ㄴ㘹搹㤸挲㐰㘱㕣挴捥昵㘲慤搵㝢㜳㘶㉡㘶挶搰摦〹㌳㤳㥢摡㙡㐴ㄲ收挲㈲ㄲ晢㥤㈸㌸慤〸扤㈶ㅤ㥤捣づ愵㔳戹㑣㍡㔱㕣㌲㄰摢㙤挰晣㠹㕤づ㡤づ敢愵㥡㡦㑦昸慡慡㠴昰㉤慢愴㜳搸㙥戶㔵㑤㠴㘷㡡㘹捣㥣㕡㉣㜶慤㕢㌰㍡㡣㈲㘱㔲㈶晤捤㐷㘹㑣戵换㘶㉥㤸㥥搰㌳㈶ㅡ敦愴㕥㍡㍤戵敡㘳㝥收晥戶挴㝥晦㍣㘷昴慢㜷挳㐴㕣㘷愴㘲〹㌳㌳愳敢㈱搸㈳㌹〴㄰㜸ㅣ慢㜹㕡敥㈹戵戰㔷㑣〵昶挴㘳戹㜱㙤摣㡣敦ㅣ捦愱ㄶ摣㤳㘰㤰慣㉤㝢攴㙡愰攴ㅡ㠲戵〰愱㤰㑦㕢㐷㈲㉤㈴㐷散㝣㠰愶摢慣㑣愷㈲攳㤳づ㤰㔴挶㉥㍣㤳㙣㈰㠹晤㈶㕢㔵㔵㘹㤴敢㡣散㜸㡥攲㌹㘳㈱捤㑣㜹㈹挱㘵〰〱㥡㡤㐷戵㙤㘹㤵㔶搳㠴慦㑦づ㥢㤶〱挷㐹慤㙥㘱〴㤴㈹ㄷ〰㌶ㅢ㤵㌴摡㐷戰㔶昶㙡㐸㘱昱搷㈵㈹晤收摥摣戰㤱㌳㙡㤲㌰晦㌱㑢ㄲ㐴㉤慡㤶㥤㘲捤㝡㠵㜳㙢㠷㥣ㅣ㕡搰㔵搲搳㑡慤㐲搸㉤㘱攱㘰扤昸慡ㅣ㌸昳㈰搸㜷っ㐲㉢ㄵ昴㘲㌳ㅥ摥㐵㙣慤㤹摡㍡㌵㘱㘶㐹ㅥ搴㘶㘴㘵改昲㔲戶㘰㌴戲㉤ㄷ㑦㘴㕢搱搳戵㤹昴攴挴㠹㙣㠷㙤挹昵〰敥ㄳ昸〲愴㜸昶㘳愲㙢㕥戳㥢㜳㌳㌶收ぢ戲㌵㘲戴つ〰㐵挶ㄶ摣〹ち㉦摡㝥ぢ扦搴㈳㌷攱㔷㐸㤲㜴㥡戲〰㥤㡦㘳昱㠰㘸㥥搶㈵㌷㐶㈳㕢㌳愶昲改㠲㉡〳收搷㈷慦㐸㘷㜶㐵搲改㕤昴ㄴㅡ㔴㉥㍢㙥㥡㌹攵㈷㌹㝥愱昲晦㠴愸慡㉡㜲㜵㍣づㄵ㍤㉣㙤㉢㐰晤〰散ぢ户挵慣戶つ愸㉡㜸㙣摡㜶㈴㔶っ愵㤳ㄳ改㙣㥣㝥搴搸敡扤㐶㜲㈲㘱㕥戸㜹搲㐸挰攳扣㄰㠶晤敡散慢㕦扢昱愵慦ㅥ㘸㌷戳敤㑤㉦㝦攴摥㔷㙥㝦昴㤵て㝦戶㜵㙦㈲扢㔷ㅣ〲㝦㘸㜸㝦㝥㕤敤收㐷㥦晥㘸晦愳ㄷ晥㜸戸攵㌳攳㘳攲愰㔳㔰收㍤搱愴㥦㥤㠷㐲ㅢ晡晦挵〶㘶㙦㕢挷愹㡡㙢㐲㜸㝣㠲㑥づ戵愳扣㤲攰㕤〰〱晡㌷戳昱戵㐸㈷っㄱㄱ㔱ㄱㄳ㘶㑤ㄲ㔳㜶昹捥捣戱敢愵〶㔴㔴捡挵㙥愰捥捤㉡㔷搵捤㔰㔹改㙥〶搴㑡摢搵ㄷ㄰㔸㔸昳摣㥣㐷㙢攵摢㍥搱㉡㄰㘳㠷㘲戶戵㘰㤱㌲搴昸捣捣㍥昴ㄳ㡣㍡㤱摡改晦晡㝤㈷㑡㍢㤳〷昶㜳㠴搶㍥㥥㌷ㅣ戵愷昷慢慣捦挵〷晢㐳摡㔵㐰㤵昸攲㙡愳户㈹ㄵ㤴㍢昰㉢ㄴ㤲㈴㔵捡搲㔳收戳ぢ㘷㉡ㄳ㜴敢愹㑣㈵㤵㤷㘶ㄲ挰攲㠲扣㐹㙡㉣戱㝦㍡戵㜳愷㔳㔰ㄶ〸愰㐷㑦て㐱挶㔹晦㘳㈰愳昵㠳㜴昱㈳㜷㈱㉦ㄳ〴㐹〰慣㑣搵㝢㤸㌰㘹㍢㉢ㄸㄵ㔰ぢ㜵㠲㐴搷〲㠸㈶〰ㄵ㝢捡㈰攱㍥攲挳㘸㥦㝢㤳摡㕦㜲㐰㤷㠴ㄱ捡戶㤷摤愰〹㐹㔲㤶㙦㉦慡㑣㉣㐲㔹㥥㉢㤲㑡摣㘶挷㡤㜸㑤㐵㉤㝣㠳㔳㔰ㄶ㥦㘸㐶㕤挵㡥敢㤱㄰晢㐰㔶㤹ㅤ敦攷㍢㙥㈰戸ㄱ挰挳㡥て搸㔹戱ㄸ扦ㄵ㍢㙥㈲搱捤〰㘲〹㠰㘲挷〷㤱㜰ㅦ戱〷敦挸戳攳㐳㐰ㄷ㙤户㠸㙤㤴昱攳ㄶ㄰㠵㈴㐹愷㈹ㄳ㑢㔱㔶㠹ㅦ挹改昸㤱㜰ち捡㠲㈶换搰ㄲ㜷㈶捤搶挶㉤㐸慡㔱摤㡥㠴晣ㄸ㠰戸㄰㠰㥡搶㝥ち换挱捥〷晢㡢昱㍥㉣㤳㍢㠰㉡ち扡㜰㠴摥㐷敥㐷づ㡢㠴㠴㙡㠸攵㠵㌳㤵〹挶㙦ち挳攷㈲戱挵㘱挷㜴挳扦摡㈹㈸ぢ昵戴愱敥っ㝥㜶㔱㜴㠵㙦㉣昲戳敢慣㌵昱㐴捥捣㈸㔷慡搱挲㉦㍢㐴慥昲昵㜴ㅦ㌳㐶搴づ㍥捦户㠶攰㐱㈲㈶㥦㥢㉡昸搴㘵ㅥ慣敤攰晤摤㑦㍦改晣㜴攵愵ㄷ昹敡㌳昸挱㄰㥡ㄲ㑦㝤㘶㘲㡦㄰搱㐵慤㘸㐶㉢㤱㙡㐵换挵㐲㐶晡㔲ㄷ㐰ㅤ㍣攴改扤㐲㐸敡戶改晤㜷ち㝢戹㤰戲搲戴扥昲摦㈳つ㤵づ㌹敤㐸挳晤㘰㥣㝣㠰攰㐱㠲㠳〴㠷〰挴㜶㈸㈳㙥㍡っ㌴㌴攱攷㉥挴换て挱搵ㄷ昲㘱攴攴愷〹㍥〳攰搹㜴ㅥ㐱㔶㝢ㄴ愰搱つ㌹㌷搹㈲ㄶㄲ㈲っ戴㔲搹㥦㐳㐲㝥ㅥ愰敥ぢ〰ㅢ搶㤹〹㐴慤㑥搴㘹㘵愰〳㙤捥散㘷㐳㝥收㠲㘸㘱㜲㜴㉡ㄵㅤ捦愴㔳㌸摥愵晢㍦㄰挵㜱㕦㔶ㄸ㕡㜲㝤㝡㘸㌲愷㈵搷挵昱慢㉥戹挵㥣㌰㡤摣㄰愲㤲㠸㉤慣㐷ㄸ㕤㐵づ㐶㘲㝢㡦摤㠲㍦㜱㤱〵ㄵㄵ㐶挰户㄰㕣㄰愵慢搷昶昱ㅤ昶戶づ愷㜱㜴㙣慡〳㙥戲㕤搳㄰㈵㍡〹㐳〷㍥昹ㄸ㝡㜷敦㙢て㕤扣昸攳㡦扣攵晣扥ㅥ㔲愸ㅥ敤㡢㈸㉣づ挷㤷㔹㈵㕦〶㐹㐸㤲戰摣㉡㔱㘵愲ㄳ㘵昹㙤㔹㝢ㅣ戹㉡挸㠴扤㌵て攲㍤ㄵ㉤戵〱愷愰㉣搶摦㡤晡ㅥ换愴〷㔹㈵收㑦㈲㈱㥦〲㄰㝤〰戳户㑣㥥晦㝡㐸昲慣愰扣昷摦〴ㄶ搶挸っ㠵㌳㤵〹ㅥ㌵攴㠷㉤ぢ搶㐸晢㜴㐳づ㍢〵㘵愷ㄲ㍣㡢昰っ㤹愷ㄲ㙡挸㍦㐴㐲㍥〳㈰攸愴㤴て戹搴㈸㜳昳㌴挶㥥㐵㡤愲㔳㡤㌲㘳散㌹㔰㘰昸㈴㉣㌷挶㔴攱㑣㘵愲ㅦ昵㉡つ晦摣改㠶扦挸㈹㈸㍤㑢〹㌰㌶㝢っ㌱昰㕡㜶搸摡ㅥ㌷昷㌰㘸搷㘰ㄵㅤ㌱搷㕢挳改つ改摣㜰㍣㍢㤱㌰愶收㔹㑥攲㡡㜱㌳㠵昸㝦〶挷〰㈵戸昴挴㠴ㄹ㤳搶㘸㝡㌲ㄳ㌵㐷㠶㑦㠶昳〱㡣て㔳慥㡥〶晣〲捦昱㠵扣愱捣〴收㤷挱㤶挰㙡㌴㔸ㅡ戹昴搸ぢ〵搳㤴㉥㔲㘳㠱愳㕢攳戹㠴㔹㙢愹㜲㤵づ㕡攰㈲づ㔵㘲㌵搶搶㜱㠴昰㠶敢慤戵㤹㜸㉣ㄱ㑦㤹㥣っ㤸扢㍣㝥㕡㙦敥挴〱捡㈶㈷挴㔶㙦㙤捤ㄸ愹散〴㘳挱搱愹戹㐵㌹愵晡〳搶㘰㍣㤵挵㙢搴㐵〱愶ㅢ慤搱昱昴ㅥ摣㈴㥡㑣愶搶ㅡㄳ搹㤳㘲㔶戰㌷㌸㡦㥡ㅡ攱ㄷ㝥扦〸晡㠳挷㍢㍦摡昳㘸㙥㥥㝤㔴摥〴㌹捤㘵攲㤱㐹挶㈴搵㕢摡〱慢〹搴ㅣ晡〲㍣㘶㤸挱攴愳攱攷ㅣ㙢昱挸㠶㝤㉤㍡㤲慥㜸㝡㤰扦㥥㐵㘳㑦扥挰㍡㉦〲㕣扡㜶摢㐸攱㌰昳㙤㕤愰ち昰㘰愴㜴㈳㉤㤵扣晣搹搱〲㄰㌷搸㈲㐴ㅣ㈵ち㉢ㄳ㤲挰㕣愹㔸㠶㉣㐵㐳〹㙤㈸㈴搷攰昸愱捥㕡㙦㐴捣〴㑣愶愴㤱㙢戰㌳㌴㝦㜱挱㈶敢㤴㈱〲㥣㌴㈸㜲ㄴ搷搱愸㤱㌰㠳搶挰㘴㉥㝤㜹㍣㈵㉤〰㈵㤷づ捡搸ぢ㤴戱㔷愱敡慣㉤㍣㑤㔵㘹戶㤵摥㘹㘴攲戹昱㘴㍣ㅡ㘴㠶㈷㥥㈷㠵慣㐲㝦搰捣㜴ㅦ㔷㤷㤴ㅡ㜲戶㐹㠳改㙥㠵㔹㐹搶㜱晡㈱搱㝥愱攱㥦㌸捥〸㉦㌴㡦摡㔰攴㑢㘸㉤〰ぢ㔷愹㈲搵㤷㈳敥㥤挱㈳搷㐳㐴敤搸〳捦捡㈸慦昲㘵㈷挱㑣昵愵〰㌳㥥挴搴㠰㈰戴㍥㙤挴搶挰搹㑥㘷㙡㥣ぢ㝦㐱〶昷愱㙡㌲㍡捦挶㜸㠱〶挷戸扢攳㌱㌳ㄳ㈴㘲ㄴ挶㘹㌵㑦搵㌴㝢づ㘱慢㔴昹〲㠱摡㘰愵㜷㡤戸㙤㌵㍢㐷っ摥扢㡤㈳㘵敤晦㜲㜳敦㉡挶㔵㐲㈱戵㐵扤㠲愴㝣ㄵ㐰㕣〶挰昱㤴㄰晣㡣〴㍦〷〸慣〷㈸㥤㥢攲㘳㉡ㅣ㘶㐹㄰㔵㌳㌶㕤捤㤸㜴搰㡤㐵〷搴㐰㙡㍤戱㘷捤㡥㌹〷摤晢㜷摡㈸愴摣㡣㠵㙣晤㑡搳㥣㜶慥摦㕦㡤愹搶㑡愳㈰㘵慦㐵㘳挹㔱㔳ㅤ愵〹㠶㑤戵晦〶㔸挸挵㠲昶㜱㤷戳攸㐶㕡愹昵〸晢攲㤷㈰昷㠵挴㈶㐰㤷〷㠳挴搸㑣晡ㄵ㤲昲搷〰攲㑡て〱㤲㉥挱晦㈰㈹㡦〰〸㥥ㄱ戸㉤㈰改ㄲ扣㠶愴晣つ㠰㘰〸搶㈵愰㥣㠵㐲愷戰散户〴扦㈳㐱ㅣ㠰挶㠶㘷㙢ㄴ扢㤰攵昶攸搳㝥て㌰㕢㜵㉣ㄲ㈰愶㑡㤶慦〳㠸㈴〰㌵㕤㕥昲摦㐰晡攸㤲捦㄰慢㤲晣㍦㍡〹㘶挴〴㠰㍢㡣㘵㐸㍢㥣㝡ㄳ㐹昹㈷ㄲ㕣㕢㤹攰捦㈴昸ぢ〹㌲〰ㄴ㈹敤慦〰ぢ㉡㑣ㄵ㉥㜵㔵㤸㈹搵㤷㤰搸㡤㑡敥晢㍤㌳㐵㤹㤱㝥〰挱㄰㙡㈹ㅢ摦て㥣捤挶㉡㤰捣㥡㡤㌷愰㥡㘲㈳慦㄰㡢ㅢ㤱㉢㘲愳〶散搱搹昸〱㔴〳㈱敥〶戳ㄱ㈷㈳㙥㐲挲ㅤ㠶㠷㡤㐱㄰㐸㐹挲㥢㉢ㄳ㠴㐸㔰㑢㠲て㠲㐰戱戱づ戹㡡ㄲ㕦㈱㡡ぢ㠹㙦〰㌹㈴晥ㄶ㑦晢ㅥ㍥㌶戲㝤㥤敤摦敥㈱㐰搲㥤攸㌹㈴㤸㑢㠲㡦㔵㈶㤸㐷㠲昹㈴搸敦㈱㜸ㅦ㄰㡥挴㉦㈰挱㐲㠰挰晤㈰㤸㘱晢㠵㥢收〹㔹愹挳㔳㙢㕢㉡㥥挳捥㐸愹㔹ㄳ捦㘱㡤搷㔹〰㐸慡搸搲改㙡挷昴㔴㙡挹㕢攲攷㤴ㄷㄵ㤹收㘷㤷㤷㝢㙤昵收ち挵戶ㄵ敦㌱摥㡦㐶愴慣昹ち㝤㍣㤹捣㝢㘱挷ㅡㅣぢ㝦挶摢慢〵扥搷㘱㈲摦㠶㌳㘰㍢㜸昲㔴挸〴㔶〸晤〲㜹㥡㤲ㄷ㕦攰㠱愳㡡㠸㈷㔰挹㡤㉤㐴晦挰挶搵㍢㤱昰㤱㔴ㄶ㍢㙣挸挹挱㝥㙡㜰㤲ㅢ㈷㜳㐵㈵挶摥㜹㑥〹捥攷㌷愶㘰昵㐶㡤㑣散㈴㌱㤹㌰㌶摢戲㔷搶捦㜱㝡㕤㘸㠴㡦挷搰〱戳改㠳㍤〸散戱挴㜸ㅢ㐱㕦㑦㔶攷㐳扦㐱收㜸㐳㕣捤㠰㝤㐷㕣戹扦㥢㑣昸慥戸㌰㥦㌰攷愹ち昹慣㌲つ愴㌵㄰挹挲㤵捡搱㑥㜶㔲㙡㤱㑢㙢㡢挹摢攴扢㑤㤸戵㑥㙡㔳㌴㠷ㄳ㡤㝣〳扣㌳㜷昲捣づ㌸㔲敤捣㤰㔰㜳愴捤愰摢㡡〷挱昵㜳㥣㌳㡡㜵㘲愹攷搷慢挴㕤晢昹ㅣ㕡攵㜳ㄳ㥣㕢㑣敥㐱㌴㍦㠳㜷〶㍤敢つ挸㜳ㄵ捤㜳捦㠹㙣敤愶ㄴ㔷㥤㡢愳ぢ㔷㑦㔷㍢㤳挳挵㔲㕥㌳㙥攴戲㐹挰挶捤挵攱慤㈴愶ㅡ慣㤱㔴㌴㌱ㄹ㌳㤵慢攳敡㙢攵昱㥣ㄴ昳愵㍥〹戲攷㙡〶扥㌸㑣ㄹ挱㜷㐱敥㐵挳攳㡦㜷挸搳㌱㔳㑡搱愱㡤㤰㍣搳搱㙦㠷挰散㘳㍥晤〸愱搲摣挲搹㥤晡〴〵㙡慤っ㐵㝤挶㄰㜶晥〰㐵慤㌸て搹晡昴晡㌴攳㈵ㅥ搴扡戸㡤㍡㈹收〹攳戴㤵ㅥ㉥㡦ㅣ㙦愴改愶ㄷ㥥晤挵㤵昷㌷て㥣慢㍦戶愲晤攱㤶㠱晣㙡戱㌵㥦㜸ㄸ敦㔰戶愱㡡㈲㜳〳昲㌱戰攱㉦㐴㌷挴愷㤱㔷㜶攰搹㈸ㄴ㍣〵戱敤㐰㝢㍥㘵ㄳ戰㌳摡㠱㜲㤱㍤摢㠲㈷㈶㐸晡攴戹慣㠲〴㝦挴攷〰㕣㕢㄰㐹昴㡢㑢㔰㥥〷ㅡ搹っ㈰㍥㕦㤹㘰㌱〹捥㘷㑢㡦㠱愰㔴搹㑣㝢㈰㔰〵㘲㕣㤰㠴愳ㄵ㑣搲攱挴㔲搵㜰㌱ㄲ〷ㅥ㌵㌰捡㙢㠳㍣㌰㤰㑢搰散搳㠷て㌳搸敢ㄳっ愴扢ㅤ昴搸㡡㑢昹晥ぢ〰挴㤳ㅥ〲㈴摤ㄱ㉣㈳㐱ぢ〹㥥慡㑣戰㥣〴ㄷ㤲㠰搱㙥昷ㄵ㙤㠵ㄶ㕡㐹㜰ㄱ〹㝥攸㈱㐰搲㝤㐵ㅢ〹挲㈴㘰㈴摡㙤挱㐳搰㑥㠲づㄲ㌰㘸散ㄲ㍣ぢ㠴㘳㡥㜶㤲愰㡢〴㉦㠰〰扦㝤戲㥢㌹㈷ㄳ㘰㤸愰搴晢㉤㡢㑣㌰㥣〱〳〳㌱㡡搱摣㔴〲㜱㈱㈶改つ摢㈹戲搹㉥㠶㡦㥥捥㐰晤㔴㤷㥥㕥收敢㤲挱戵昳㑢㙥㔱慢㙡㉣㜹ㄱ㍦㠱敦晥戵晣愶㜰扥㍥㍢㕥戸㔲挹㍡㝣戴㕥攰攷㕦ㅥ㡦㘶搲搹戴㤵㙢ㅡ㐵捣戳㠹户搲㉤攸㥦㠱挰户搱㘲挵㜷㜲㘰搵㈹っ㈴戰㥢户㌴㐳扢㔲改㍤㈹搵㥢㐰㤶㤷昳昹㌶㔹㔳挳搷㠴昰愳㥥昳挰㍣晤㘵㈴㜵晣挸ㄵ㈰愹㙦搴㕦㐱摡㡦ㅦ敤㘲攴ㄷてつづ㙤ㄹ㡢㜴戴昷㜵㜵攳㈳㠳摥ㅥ戳戳㉦摡摥搷搷㘱㜶昵ㅡ㐶㕦愴扢慦慦换っ㙢㤷攴㐹挳㤱㠸搹搶ㄹづ㜷㜶昷㜵㜴㜶户㜵昷昶昵㜶挷㍡㍢㘲㘶愷ㄹ敤敤㘸㌷昴㔷㥤收攵㑡搴㤱敦〰搰㝦收愲㔶ㄱ搵㑦ㄴ挳ㄹ散㐴㠱㉡昰㑢㘴㘷ㅢ㘵㈰㌳摣㡢㝤搵㌵㌵㘵挶㜱㔹㜴㈲㝦㙦㔷搳ㄸ㥣〸㍣〱㌶㤷摥戶慣㕣〹扤昵捣㈲㉢㜳搹捡㘱づ㘵㌵㐰㐸晦㤵㠳搳搶㈰㍢㘷㘸㜰慣昸攳㐴㙤㉤搰㜵㐰㉢㥤扦〵搷昵戵㜵挰㌴〰攳㠹挶敡っ㙥愸㤶㐷㔰愸扥攵㔳㕦昵改っ㙣昰搱㡦搸扦㝤㍡㈳ㄹ㝣昴摦搸扦㝤㍡㐳ㄷ㔰ㄹ㍥㙤㍤敡敡㘸戸挸愱搲㉥〷戶㝥捣づ敢愸㑥㘴戵つ攵㍤搰㌶㤲㑣昵㌳㌳㄰㡢㘵㜰㈸慢㙤〲慡挲㠸㌶〳㕤㍣愲㉤挰搴昲ㅢㅢ㠴㥢挸㙢㥤㠱ㄴ㜶㈹挸㍤㔶ㅤ㕡㙤〵㐹攷㤲慢ㄸ㉢㜳㈲晥㑤ㄵ㉦搵昶慡ㅢ戴㍢昸〵㐴㘲挹愲慤敤敤㜲ㅢ㙡慡慦摤㠲昴捡㝤㐲挵㔲㤰㤰㔷㈰慢㌰挴㌲㤶㐲ㄵ㈱づ㘲㙥戹㌰㤱昶㐹慥㌶㉥㉣昱〰㌰㕣㕣挵㡢㠳ㄱㄵ戵㌸慥〲ㅤㄶ〷愳㈷㙡㜱㕣㡤扣扤㌸摡㍢摢㍡扡扢挳ㅤㅤ㔶愴慦戳扢㌷ㅡ戱捣㡥㐸㤷ㄹ㡢㠴挳㤶搹摢搶慤敤挸㤳㜶㜷㜵㔸敤㘶愷搵摤㘶㐵㍡晢扡㝢㡤㥥㈸㤶㔵㙦戸㍢搲搹ㅥ㡤戶昷攸㡣换㈸戱晦〷搴㤱㘳〰㍡挳㌱ち㔵㔸ㅣっ捥ㄴ㔳搱ㄷ昳㜱㠱㠸㝢㌰〴ち慦ㄲㄵ㉥㝡㘹〱㠴㜴㠶㕤ㄴ㡥㐲㈸㈹㜲㤲㔲愶㌳ㄲ愳昰搷㄰挵㑢㝡敡㈳㍥㐱挳ぢ晦㜱㥤捦㐹㌰〳㘳搹攱攱㙤㜸㠵换㐳㉤つ散戴ㅡ㑢摣ち搲㜲挶搶愰㡥㘲散戵㐸㠰戱㥣㌹挵搸っㄲ㌶㘳愳㍤㙤㔱㉢搶搱搷搱搶搷搳搹摥㘳昶㐵㝡晡愲摤㍤㙤摤㠶ㄵぢㅢ㤶愱㘵昳愴㕤㔱戳愷㈳搲摥搶搱ㅢ挶ㅣ㐰㌱㐵㡤㙥戳搳㌰扡晢捣㐸戴户慤㐷㘷愴㐶戱㡣㐷ㅡ㜲ㄲ㐰㘷㠰㐶愱㜶ㄳ戵㠷㈸㠶㙢㡡愹〴㠳㌰㡡戱㌷㜹ㄹ晢㕥㔶戹づ㈰愴㌳づ㔳㠹戱っ捤㈸晣㍥搲㉥㈶㉢㥢〱㜴㠶㘵昸攸㜳摤〴攳㌰ち挳㔸㡣㑡㌰昰挲挵㈱戹㕥㈵㤷愷攴㠲㤴㕣㠱㤲㙢㑥㜲㠵㐹㉥㉡㥤昱㤹晣㐲㕡㠶㑡摡㍦〱㜳ㅣぢ愹戳㐷摥挲㔶㕢搰㠶扤㤰〲昴昳㑢戵愰攷搴挵ㄳ捦㘱て㜴㑦戰㐷改搳㌹㤶㜳ㅢ㝥㈳扣㡥ㅣ㔱㈷㠳慤㕡㙤晢㝥㐷摤㑡搴㄰慥摡㐱㡤㕥捡㠳攲㥤挰ㄹ㥢晡散攳昸㝣挳㔰㈰〳改㥡摤㕢㌰㈵ㄵ昶㥢㤰晣㘷ㄴ挰㠵ㄴ㡣挷㤰㐶摥㑡攸㍣〱晡㌴戳㜷愰㔸㜳㕥攱㤰㠲挷㔱㉤〹昸㤲戳㌸晤晢ㄷ搴ㄵ昴㤹搸㠶扣つ㤰ぢ㡡㍦㐲搹攴挴㝥搴㈹收昲㄰㑤挸㈸戵㥣昰慡㤴摢㠱㥤㕥愵㕣㔳㐹愵〸摡敥昸敦㤳㜷〰㙡㐸昰㐷愷〱慦ㄴ捤㥤㐸挸晤〴㜷ㄱ摣㑤㜰て㐰㝤慤㑥〳㥥㡦㑥㈳㕥㈵㘸戱慢挴昹㑥愲㜱〹ㄲ摣ㅢ搸攸〹㝤昴愵㘸戹㤲〶愱挱慥昰〷㤰㔰㥦扤慡て㘰㜵ㅡ敢㝣㜴ㅡ散㉡㐱敢㕣㈵㘸愱慢〴捤㜱挵㠲㑦㈲㔱扥攳㝦ち搸㤲ㅤ晦㝥愰㉡㙣攵て〰㕤扣㤵㍦〸㑣㠹㜱愲ㅤ〴慥㘸㝢扦〸〸扥㕦㙤敦㠷㤰㔱ㅦ摢捡㙥愲愸敡㝤㝡ㅢ㈱ㄳ㘱㌷搱敥㈶攸〴愸㈲㕡晣戳搵㠳㕤づ慤㝡㈳㙦挲㘸㡦〱㜳㍣㝡戰㕤㝥ㄱ㌵搵㐷扤㑥㕦改㘶㈸ㄹ晡㌲ㄲ昵㡤〱㕡捡ㄷ㑦㝦ㄳ搲㘳戶戵㈰㌴㔱昴ㄱ攸㙡㝣搴㌹挵攵㔰㠵搳㐳晢捣慤摡扦攲昸摡愲㠶慡㐳㔳晣〹慣挳㥡㜸ㅢ敤㘰㐴ㅥ戵挲ㄶ捦挱㡦晣㉡昰〱㕡敡ㄵ㐳ㅦ㌳晤改ぢ捥晥㠲攴㐸ㄶ〶㉤慥ㄱ㙥㑤て攴晦晥挶ㅣ搷搰㙤㜱扦㑤㕣㕣挰戸㤱㐵户摡挶㑣扥ㅥ扥昵㠳㘳㠳㠲ㄶ㝥挹戸愰㤰昳㥣㔹㥥㔱挰㈲㤸㡣㌰㤷ㄹ㜳㕢捣攲㔴慤摡㕦㔵㜶ㅦ㑦㙤㘸捥㕦摡攰㈱㈵㕢挳㜷户㈳㌱㥥㘳㥣㔱攱挴㜶㌰㥥㔳㌷ㅥ攸晢ぢ㐹㉦㐹晢㥡㘲㔳昳昶收扥挰㌰收愱搴挳㥦昶ㄵ愸收攱㍡㕦挸〵ㅦ㤲㑦愰㐰搰㌷㈲敢㠵扣〴㔰晢㍡㐰㘰㘵昳敡收㍥搱㡦㜷昰㍤㤴愳㤰㝣㡡㌴戴づ㠹㔲㍡戵摦挹戰扣㤱㥥〸愳ㄷ㈵㡡慢㜰挹ぢ㘵㜸㠲晤敡㤷㑦敦㙦愴摢愲㙡散㄰㡢㙥ㅢ〸㍣㝦㝤改扤㍦㤷搲晥㝤㘴㤵愰㑦㌲ㅦ㌹昵搹㠹攷〳㡢㡢搱愳㡡搷昶㔶㌸〵愵㥦戹㠹㙤㐵㉤㤹㙣㜳㍢㠰攸㥥慥愵㉥愷愰昴换ㄵ㥤挶扦㕡戴㠷㤱愸㙦ㄴ㔷攱ㄷㄷ慥攸㐰つ慥ㄶ㈵攰㍦㈰㠶搶戶捤改慢㤱搲㝥〸〰㑥㙦㙦敥ㄲㄷ㠱捥㘵㉢敥戸㤱㤸㔶戹㑤扣㠳挴捦搹挴慢㐱摣攲㄰摢搳昲㘳ㄴ㌴搲〲㍦㌶收㕢㙥㡤ㄹ㤹扦㙦㑤晦挳て昱〹昵ぢ㕡敥㤵㤸㝦㍥扡㔳㤱昹㡢㥤㠲搲慦㕢㜴摡晡㡡㘵晦㠵〴㔸㜶㉤㝥㈹㤶㥤㠷ㅡ㜹㤶晤ㄴ㔸㤱〳戰戹㤰㐱㑡㝢㥥㠰㉣ぢ户㠹㜳ㅣ㌶搸愲晣㈲愹㈷昳搴戴搹戵㤷㙣敡搵愴㍥挳愱戶㤹昶ち愹㘹㤰扢㑣ㄷ㌴捣㕤㔹㙦㝣㉦㌲挷挶捥敢摣ㅡ搳戱搳㡥挰晦㘴搵摤㑥㐸㕥散㐳㡤㑡散㕣攸㜰慤散㤳捤〵㑥㐱搹挷㌱㌴愷ぢ㉤ㄵ㘴㜹捥㜴㉤改㑥㐱改㜷㈶㠲挶ㅤ晥晢攴㙢㑥㠲ㄹ摤戵昰㠴㌲扡㔸晣ㅢ攲昱愸攲摢〰搵㙣晥ㄶ〹昹㍢㠰晡〶㥤戶㤷㐲晥㥥昹㐶㥤戶㤲捡扦㡥㠴晣〳挱ㅢ〴㝦㈴㜸㤳攰㑦〰昵㈱㐱昳㐹挹㐲㌵㍡㐹㔹愰慦㠸捤㔶搰愴㔲〵㔵㑥〱搵㔸搰搱㌶㙦扣㈵敥㜲换晤㑥㌹㑦愴㍣攵㜷扢攵挲㈹㍦愳戸晣ㅥ户摣攷㤴慢㜵㉢㈰㉦攲〰㡡ちっ㝥ㅣ昵㙣㘵昱愷扦㑣㈳昹㙦㍡〵㘵户㠵㘹愲ㄴ㕡㉡㑣搵敢搳戵昴㝢愷愰散ㄲ㉥㙤㠷㑡㉤扤㌶㕤㑢㐷㥣㠲戲晢慣㕦㐶㑢㐷扢捦敡昹㌳ㅡ㘴㙢挰㘲㈸戳搶戲搱戴て搴㘱㙡㐲挵〱敢㜰晤㉣㠳㍦㘴戱ㅥ户㉣㜱改っ㝦㠲捡〹㐴攱昶㈵㠳捣敥〵㈷愹㜲慣慣㔹ㅢ㌳戸昱㔴㘳㡤㘴ㄱ㌱㡡〵昱㈱㝥づㅦ㉣愵㑥〶㌷づ㤱搹㙡敡っ㙣㤹晣攳ㄷ晥㡡㐱搱㐱ㄴ㔷摣㡣搵㈵㠴搶〲㍦摣㘳㈳㍦㙦慤ㅤ㥦ㄳ愷捤㐱㜷摣ㅢ㉢㌱捦㍤捣㙡昱㙢㑣戱ㅤ〲搹攷㔳㘱㈷㝡㐴㜲ㅥ攸戵昹〰㔵昸愲㕣㉤㔹㠰㤰㕣〰㡣㝤敦㡤㜷㙢㝣〱㥡㘰愵㠳㘳㤸㝡つ攸㝣㈵㝦㘵愲戶㜶㤰㜵㥣愷晡〹㔴㥤挹㠲愱㠶慥㐹㡥ㄹ晣昳㝡挱攴㔸挲㑣敤捣㡤攷晦愴ㅥ㉣㙦㝣㡣㈰㑦挱㝢昸㉡晥〸摡ㅡ㙣㔵㥥敡挵㜲㠷愵戴㙡愷〱㕢㤹〵慦㔴㘴挱ㄹ愰搷捥〴㈸㘶挱㔹挰㜸㔸㈰戸㐹㤳つ敥㈳戸ㄱ慢㙥㥣〳㑡晣户㍢挷ㅤ㔷㘱㥢扣㔸敥㘵慡㜳㡢㠰慤摣戹㥦㔶散摣㜹愰搷㥡〱㡡㍢户ㄸㄸ㙦攷戸ㅤㄶ㜵㡥㍢㥥敡挶ㄲ㔰攲扦摤㌹敥㙣ち扢搴㠳搵愹捦ㄹ慣㤶ㄷ〰㕢㕦愵㔳㠱㔳ㅤ搷敢㠲㕡㕢改搵ㅦ愳㜷㔴戸㡣㤲挲㜷ㄲ搴攴慡攰㍦㥣〲㕥㑦ぢ〶㜱㉤晥㉤㐱慤慥〶扢ㅣ敤ㄵ扥昶搹㑤换㌹敢ㄷ㍦㜲〷晡㡢昶搳ち㠲搸ち㕡敤㈲〰㝥㙦㐱挵捡つ㈴㈴摢㤰昲づ㤴㍢㠴㝡敦て㥣昷慡つ㕥晣挱㐵㍦敤愰攷愰㝥㐸㜰ㄷ㔱搴㠷ㅤ㌴扢ㅦㄲ㝦㜴搱摦㜷搰散㝣㐸扣改愲扦攷愰㤷㉡㌴昷ㅥ搵挸㜷ㅤ昴〵ち捤㍥㤲攵㠷㔶晤扣晦㝤晤ㅦㅡ〸㜰㈹捤㝡㥤愳攲昱㐶㌷㝡昱ㅥ挱〵捡㌶㘴ㅦㄲ昸慦㝥ㅡ戹㑣㠸つ㤲㉢㡤㕣ㅥ昹㥣愰㤸戳㡢㜲〵搱㤴㙥㔵晦㘲㈴昰摦慥㑦㐹捥搷㘸㙣昲收〴㈵㔱搵扦㠴㘸ち愰慡扦ㄲ〹晣户敢㔳搸ち昵㈹㘴昹㥣愰㜰㈹㌶㝥挳㘱攳㉡搴㤲慢㐸挳戹㔷㑤昷㌳挷㈹㔷㑤て㈰ㄱ〴ㄱ㝦㠴ㅡ㌵㙢っ〲敢㍥㍡㐷慦㉣㠷㈱㈴攴㌰㐰㝤㠳㔰〳㈴改㙡㉦㈹〷慡㐸愹戳攴㕡㥢㔴㡤㠵愴敢扣愴ㅣ㤳㈲ㅤ㈱改愵㡡戴㤱㍤扤〲愴晥扤㈲晡敥搸扢摦晤㐶㘳㜵搳改搵敦散慦摢晦晣昷㕥扣敤戹慢㔷扥晡攷㝢敥㜹敥愵摢づ晦昹昱挸捡㙦摦㜷摦㌷㉦扤昷昰㡢㜳慤〳晥㉦扤戱晥挰㜵攱㕤搷㕤㙢㙤㕢戶昶扡㉢慦搹ㅣ摥㌴愷愵慡慡愶㘶挹扣敦㥣扡㔴摦㜷敤㔷挴㔳㍦㌹㈵㈵搴攰搹㤷换昰㈶㍥昴㌹㜴㌲㐱昵㘵㍤ㄲ昲㜲㠲つ〴ㅢ〹㌶ㄱ㙣㈶搸㐲㌰ち㔰ㅦ搴挹㈱㔶挱晡㈵㕢ㄴ搳㍦敤㌰㕤㌵戵つ㔸㐱㘶愹愲㠷㥣愲㐱㔴挱搲搶挹㌵愷㍡㔹愵㘸づ㤵㔵㈷〳㔵搱挱㤲敡攴愴㔳㥤散㔳㌴て㝡慢扦ぢ㔸㐱愶慡愲晢㑢慡㜳昰㑥㜵㡥㔸搱㝣捡㕢㝤〷慢㤳て慡攸㍥愷挸㔶〳攴㡣㐲晦慢㠳戶搵〰㜹愵搰〷ㅣ戴慤〶挸㍤㠵扥搷㐱摢㙡㠰晣㔴攸㑦㌸㘸㕢つ㤰挳ち晤㜱〷㙤慢〱昲㕣愱敦㜱搰㠳㌶ㅢ〵㤹㑣愱づ〹づ搸㑥戱敦㑣㐹ㄳ㐰㈸〰㙡㘹㈱攷㍥㍡㌳㌶〳㙡晦ㄷ扦攳挲㔸</t>
    <phoneticPr fontId="10" type="noConversion"/>
  </si>
  <si>
    <t>CB_Block_7.0.0.0:4</t>
    <phoneticPr fontId="10" type="noConversion"/>
  </si>
  <si>
    <t>㜸〱敤㝤〷㝣ㅣ挵昹戶㐶㤶搶㥡㜳戹愳搸㌴〳戶戱㘳㠳㐱㕣㤳敥㘴㌰戶攵づ〶ㅢ摢㤸㡥戹戲㘷ぢ慢ㄸ㐹㌶㌶愱㤷搰㝢㘸〹扤昷㤲㤰搰㍢㠱㐰㠰㈴㠴㄰㈰㠵㤲㔰㐳㈷㈱㜴扥攷㜹㜷㜶㙦敦㙥㑦戶昹㤳敦攳晢晤晥㙢改昵捥㍢捦扣㌳晢捣散扢戳㍢慦㜶㙢㔴㑤㑤捤㌷搸昸㍦户㍡敥っ㥢扦慡愷搷敥㘸㥣搲搵摥㙥攷㝡摢扡㍡㝢ㅡ㈷㜷㜷㘷㔶捤㙥敢改敤〷㠰戵愸つ昹㍤昵㡢㝡摡づ戶ㅢㄶ慤戰扢㝢〰慡慦愹㘹㘸搰戵挸摦挸晣㐶摣㠴㘶㈹㕤㐷〱㔴㡤戶㈸晡㔳㌴㔰㘸㡡㄰挵〰㡡㠱ㄴ㠳㈸〶㔳㠴㈹㈲ㄴ敢㔰慣㑢戱ㅥ挵晡ㄴ㐳㈸㠶㔲㙣㐰戱㈱〵敢搷ㅢ㔳㙣〲㌱㜰ㄸ挴㠲㈹慤㜳戲〷攰㘸收昷㜶㜵摢㕢て㕦攸戴㜹㐲㉣搶ㄸ㙢㡣㈷㕡㘲㡤搱慤㠷㑦㔹摥摥扢扣摢㥥搰㘹㉦敦敤捥戴㙦㍤㝣敥昲㙣㝢㕢㙥㈷㝢搵㠲慥愵㜶攷〴㍢ㅢ㑤㘴㌳挹㜴㉣搹搴㔴㘸㘹㐹て摣ㄴ㤶㜷㤹搲㍡户摢㉥昴㝣㔷㌶㌷愳捤㌹㔳㕡ㅢ㜷戱㝢扦㉢㥢㥢挳㈶㑣㑥敤敡挸戴㜵㝥㐷㐶敢搹愷㑤㔳敤㕣ㅢ㍢摦戶扢摢㍡ㄷ㌷愲搹㈵㐴㈳㤵㙡㥣摣搳戳扣㘳ㄹ挷搱ㄴ扢扤㝤㥥㕤㤰㑥敦㤸摡搳㍢㌷搳摤搱㌳戰㠳晣搹摤㜶㘷捥敥ㄹ摣㌱㙤㘵捥㙥㌷挰㥥㠶㡥㠵㤹敥㕤㌲ㅤ㜶ㅤ㜷挲ㅤ㑥ㅦ捥捡摢㥤扤㙤扤慢〶㜵散搶㘳捦换㜴㉥戶〹愹敦㤸戱扣㉤慦敡敡昰㔳搳㙦㑣㔰换愴愳搰㥥㡥㈹㑢㌲摤扤㤲㘲ㄷ挶㠲戰扥攱㈲㐷㔱搲㉥づ愹攱㘵愵搸㘷昳摢㍡㜶戲扢㍢敤㜶㔶挲㥥ㅣ㔷〶ㄲ㠲㥣㝥昰㤸㜲て㠷扤愴〶㤸㤳㡦挷挲㕡慣攱㄰㘳㜷改敡敥挰㠰摣搹捥㜴㑥㠸㐷户㥥摦㥢㥦㙡慦㤸㄰㙢㙣㉥摤㔲㝡〴搰㝡㈴换㙤〱㌱戸愷慤㘳㜹㝢㠶搴㡦㑦㐶挷敢㔱捣ㅤつ愱敡㕥挴㔹敦慦㡢㘷㕥敤愲㑣敤愲㙣敤愲㕣敤愲㝣敤㈲扢㜶㔱愱㜶搱攲摡㐵㑢㙡ㄷ戵搵㉥㍡愰㜶搱㔲㘰摣慤愱㝦晦㕡戳敤昰挳晥㈳㝥戶敢攱搳敦㜸攷戴㌷摥昹㔳昳搳昵㍣搱ㄳ㐱〷㕥捥改㜴㥣㡢戹㑣㑦慦改㙥㝡㠴敦㜶㌴慣㝥㌰㑣敦捥晤昷〷〳㉡昹㑥〶㠳ㅥ〳㠶昴㔸〸㙢㑢㠸㐱搳摢散昶㍣挶㘱〱㡥慤㐷㙦挵捣㜱㄰㑡㍤㡢摥㘵て㍦㤰㝦㘶搹晥㔳摥㥦㝥敥捦㡥摦㙣扤散愷㍦㔱㜴扦攲挲户挱捥㤶ぢ扡摢㜰昶㘰㠴㜴㙦扤㜳㕢攷㠴㔴㌴扡昵散戶愵㜶㝢㥢摤搳㍢㈱㡤搴捥㤹㤵ㄳ㘲搱㘸㔴㌷搲昶戶㄰㔶㤴ㄶ㈶捦㑣敡ㄸ㔵㜱〸愵㥥㌲搵晤㘱昳㤳㙡㜶慤㔷慤搷扣昶攰捤挳㝥㜷搷扤㡡㡥㕥摣㝥㤲攰㈶〸慢㤹慡〹㤳㥢㥡㜵㡡扡㌴㠴㔲㡦ㄹ〳㕤捤㕢㍦㌱㘴搵ㅢ扢㕣昳晣扤〷晣昶挳慤㔶㉡づ〹㘹敦㜸散慣㐵㝢户愳敤敤㈱慣〹㄰㜵㤳㘷挶㥡昵づ搴㑤㠴㔰敡〱㔳摦昸㠲ㄵ摢攲㡡搶改挷挴挶散扥敡搷㐷㉢㐵搷㈴昵㑤挶捥搶晥搳㉥摡搸搴攴㥥㜸搱挶㘸慣昴捣㙢㑥攸㔶㥡㥦〲㘱㑤㠵㈸㌹昵攲攳昵㌴收㑥㠷㔰敡㑥㔳昹昱㡢ㅦ扤晤挱捦㉥摤昱晣戱摢㕤㌲攴㤱㌷㝦愰㜸ㅤ㤴捡㘷㘲㘷㕣㘹攵愹㍥㉡㑦敢㔹戴扥㈳㠴戵ㄳ㠴扦敥㜴㙣扣㥥捤摣㥤㈱㤴晡㤹愹晢㠲昷㜷㍤㙡㥢户扥搸昱昲㑤〷ㅣ晣捥㘶㡦扦㔵捦换敦ㅡ昹㐱㥣搷㜰挵㍥㑦㍥㤸㕥㜸捡昲㥥摥慥づ扡攱敦昶〴慥㌱㘷戰ㅡㅤ攴㑦ㅣ㝦敥戴攸㝦攸捤户㈸戳㑦㙦㍥㘷㔹慦昱收㑥ㄵ摦挹㌹慣昴ㅣ㜶挷㕣〸㙢㔷㠸〱扢㉤㔸攴搶慤攷㌱㙢㍥㠴㔲㌷㤸㥥㝡慢㝢攵㈳敦㥥扢搱㤴ㅢ㍦晡㘲㘲㘲搶戳㉤㡡㥥㕡㐶挹㙥搸搹搲㍦㑡㜰愶扡㈳㌴搱㤸㈸摤㥡昴㐲摡摥ㅤ挲摡〳挲㍦㐶攲㑤攳昵㥥捣摤ぢ㐲愹㉢㑤捤㝢㉣㥤㝢挸戰搰㡡㤹扦ㄸ晥攲㐵扢ㅦ㝤攰〹㡡ㄳ㌳愹㜹ㅦ散㤴㕣㤳㤲摥攸っ愸㜸㕦㥡摥て挲㕡〴㌱挸㝦㑤ㅡ慦昷㘷㘶〶㐲愹㡢㑣扤㠷㙤㜲晥挷晦㍡晦捣㘹攷㍥㍣㌲㌴敡昸㉢㙦㔴㥣ぢ㑡扤㌹散㤴搴㥢攸慢摥㍣㑤摢㄰㔶〱㈲㔴慣㔷㉦㘶捥ㄲ〸愵捥㌵㤵づ敥㑡㑤㍥㝥㐴㘲㤷㕢㕦扦攴挲㡤摥㝦昵慦㡡㜳㑦愹昴〰散慣㜹愵扣㐶敡㜶〸慢〳挲捦㜲っ㉣㜷㌲户ぢ㐲愹搳㑤挵ㅦ敦㜲㐱㜷昳愷㑦捣㍥㜵晡㤱㤳ㅡて㝤攸ㄹ挵昹慥㔴㝣㈰㜶捡㕣㔰昱㜸㉢㕤㔰㉡愱扢㘹扥〷挲敡㠵昰㔷㥥㑣㡦搷换㤹扢〲㐲愹ㄳ㑣攵㐷㝣昸昹昰摣敤ㄷ㑣戹㘱捣㤱㘷㍦扣攱ぢ搳ㄵ攷搹㔲昹㑡散㡣㉢扢㍥㈴㤲㈵ㄷ〸愴㥣㉢㐴戲ㄹ㔷㠸㔵戴㝥㌰㠴昵㐳〸㜸摣㜸㔲ㅦ㐲摤愱㄰㑡ㅤ㘵㙡㥣晣戵㥥搷昵攵挴㤹㐷㑥㍢㙡攸㥢㐳扦搸㑥㜱㔲㉦㤷㠸挳〹㍥〲挲㍡㤲慡〹㤳㥢愳晡㈸敡㡥㠶㔰敡㄰㘳攰摤㈳ㅡㅦ㍤㙤昱攵㜳捥晦昸敡攸㍡捤㥢戵㈸摥㄰搰㝢㈹㝤㉣搱㍦㠲戰㡥㠳〸㑦戵㝢摡ㄶ㜷ㄶ㑦慥攳㤹㝤〲㠴㔲㉢㡣戱㥢㜷晤㝡搸㘷㝦晥愴昵扣攱ㄷつ㥢戹搱㕤㡦㈸摥㔸㌸挶㑥㈲晡㘴〸敢ㄴ㠸〱昳收ㄵつ㥤捡慣搳㈰㤴㕡㘶っ㥤晣摣㠰慢㔴昴挳㌹ㄷ㕦扤攵攸ㅤ㝥㌴昸㑢挵㥢ㄳ㈱昲っ散㤴昹昲㜴摡㍤㑤㉢㝢㌱慤捦愴昵戳㈰慣ㅦ㐳昸㍢㌱㤱ㄸ慦捦㘶敥㌹㄰㑡戵㤹扡攷づ扣㍣晡㜸扦昵㜶㍣㘶㡢挵㠵㥢扦㌹敥㕣㌵〴搹㔲昷㜹搸搹愰搴㐳戸㌵挷昴昹戴昴ㄳ〸敢愷㄰晥搳㌲㌵㕥㕦挰捣ぢ㈱㤴捡㥡㙡慥㍡㙦攴㤶㔷摥㜱摦慣㤳摥晤晣昵〳㥥㍡收㝥㌵ㄴ搹㔲捤挵搸㔹慢戱㜲〹ち攸㑢㈱慣换㈰㜸㜵㡥敡换愹扢〲㐲愹扤㑤㡤愷㕣昷摢〳晥㤲愸㥤昵攳敢摦昸慡㝥搱㤸ㅦ㈸摥攲㌹扤㜳ㄵ搱㔷㐳㔸搷㐰っ㤸敡敢㥤㙢㤹㜵ㅤ㠴㔲扢ㄹ㐳㡦晤戲晤㐷ㅢ㌶摦㌶晤敥换敥昸昴㍦攷㡤㍤㕦㙤㠸㙣㘹晡つ搸㈹昱愱昱㈶捦㠷挶㥡换收搷㘹㝤㈳㙤摦〴㘱摤っ攱敦㥢㌸慥戳户㌰昷㔶〸愵㜶㌱㌵㙦㌲昴㠰慤㍦ㅢ㍡㝢昲昹户㙦㜴挸㉢㠷㍤㝤㡦攲扤愹搴晣㜳散㙣攴敦㥢㐴搱㝢㌷㐵昵㙤戴昵ぢ〸敢㤷㄰晥㥡㘲㉤攳昵敤捣扤〳㐲愹ㄹ愶愶扢㉦㌸㝦晢ㄵ搹㉢㘶㕥戲挵㡣㥡戳捦㍤㘰戴摡ㄸ搹㜲㘲摤㐵昰摤㄰搶㍤㔴㘱敥㤵搶昷㔲㜷ㅦ㠴㔲㤳㡤㠱つ㥢ㅥ㡣摦扢㜸攰散㥢㕦㙣㝤敦摡㑢昵㉡戵〹戲ㅤ戶ㅦ㈰晡㐱〸敢㈱㠸〱㔳㝣㙣㍦捣慣㐷㈰㤴摡捥ㄸ晡昵捥㜷摤㤶扥散㥢㌹㜷㙣搳戲㘵摤ㅦ捥㌹㙢攰愳挸摥搵摣搷㑣敤捥ㅣ㠴㍢挵攲㑤㘸扣ㄱ㈷挱㥡摣㝤攳收扢搰㔴㐸ㄵ㘲戱㝣㔳㌴㤳挸搴㡦㠰搹㌵扤捤愳㕦ㅢ㔸搸扤慤㌳摦㜵㤰捣ㄴ㠶戵㘶㌰㙢昱㙥〳挷㤹扣搶慥攵㥤昹㥥㑤㠲㌳攷昷㘶㝡敤㡤换昳㡡㐶㉡㡡捤挷㕤戱摤㈳昵㙤㔶㕥㙣㘱愶㝤戹㍤㜹㘵㥢㤳扤㘹㔹㌶敥㠹扢戲搵㜳愷㜷摢〷㝡戹ㄵ㉤㥡㡣㠷㌶㉢挴㜶挵㔱㍡㔹㑥扢㠶㑦㔹搲搵㘳㜷㑡昳挶㜵捣㙤换㉤戵扢攷摢㝣攴㘳攷攵㔰㠷㌰换摣㤸㡦㥢搳㠹〳挵慤㜶㝥愴㕦㕢㤸戶戲搷敥捣摢㜹戴㜷㤹摤摤扢㙡㐱㈶摢㙥て㉤㠱㌸㜵㈲㘳愳ㄲ昵昴慥摣昲㥥㈹㕤㥤扤摤㕤敤愵㌹㤳昳㉢㌲㜸ㄸ㤰摦戹㉢㙦攳㕥扥㡥㕢㡤慡改搷㑦愹㥡慤摣戹㤲晦㠹〳敤昶㌴㑡㐷昸扡㜸㔳昴昹㠶愵挳慥㜱ㅥ㡥づ㐷搱㙥㜳㑣搶㡥㕡㡤㌱戱㑢㌳㕢㔶〷晡㡥㠹捦挷㠸ㅥ㕢ㅤ㉤㙤昴㝡敥扦ぢ慥慤㕤捦ㅣ晤戴ㄵ㜸㘰㌲㌳搳㤹㙦户扢晢㝣扡愷搸㈲晤ㄸ㐴㝤ㅡ㘷㜳㔵昶攸㔷搴㑡戵慡晥愰戶㝣敦ㄲ㙢㠹摤戶㜸〹愷ㅣ㜸〲搸搰㐰㙡㉢㌶晤㌸㔴晡〹㡡摦㐰㠴㐲㌵搶㤳〴㔹㈱晤㤴㤳慥ㅦ㠹晦搷攸ㄶ愴攴㔱㑣㉤㑡㘹㜹昴㠳攷㜴㍤昵ㅤ㜸愶搰搳慦㕦搰㔱捥捣昴㉣改攵昰散㍢㤳昶㥥愶昸㉤㐴晤㈸㠸搵㍥改攱㤴慤㡥て戴〶㜵攰㘶㍣㠳挷㠸㜲㜶慢㑣扤摣ㄲ搵㐳摢㤳搳㝣㠴㌵ぢ攷捡㑡ぢ㝢㌸昹〷㜶㜰昴摢㉢㝢愷㘶㝡㌳晤㍢昰㌰っ扤愴〱ㅡ㈷愵㥣㍤㤶ㅣ㈴㍡户㜴挸愴㘰㈱㈲扢㍥㉢〳㐴攱㔸挲㠹㠳昳愵愶㥦㤱㝤ㅦ〴摡捥扢ㅢ慢㝣愰㤷㍥搴挲戳戶晣っ扢㜳挱慡㘵㜶て攱つ㔶㥦㔴㤶㥦㕥㜲㑦㤵换敥搶摢搶摥搳㠸㤶捥攸敥㕡扥散扢戴㐳㕢晡㜷㄰敥㔶扦㉤㐶昱㥡ㅦㄳ攸慡改扦㠲㝤戳㘸㔱㑤〳慤㔱㘳㍤〳攱扦〲昳㔱ㅡ〷㉦㙣㝦㠳晦㘴搳捦攲扦㤰㈶戴㑡㕥晤㘸攴慤捤昳挰㝡攰〷㜶捣挹㘵ㄷ㜴摢昲㠴戳㐱ㄲ㈰㝦㔰挷敥㕤摤㑢戳㕤㕤㑢㜹挷㍤㔸㔲㍤㑢㙣扢㤷㑦つ〷㤸愷愴昲㌴㔴愹㝥晤㑡ㅥ昳昹ㅥ㉦㙥づ晢搶昳㄰㠳㈶户户て㜷㉤昶㔸㉦㐰搵て捦㉦慤ㄷ戱㌳㝥㑡㔷挷戲慥㥥㌶㍥㐳㕣㌴㙤㘵愶㘳㔹扢扤捤慥换㌳敤㜸晥扡つ㙥㤰愷昵扣㜱昷搱晦戸昳㤲戸摤ㄳㅦ晥摡愹ㄷ扦㝥昶㉤慦㥦㜲㔳攳捡昶㥥㤵㙡㌴昸攱㔳愸㥦捤ㅣ戰敢㉤㑦㥤㌵改㤶㙤㥥㥢㍡敥挶㈵㡢搴㈸㤳㔱昱攴㜰っ㙡散攳㤲㕥昲戰㙥㝤㘰㑢㉥改〳ぢ搳摢摡㝢敤㙥昱摡攱〲晥㜳㥥㑤㑢㝡㄰慦㔴摤㤹㥣昳搴㜷晤挲ㄴ㕣慣昰㌰扣㜷㔵昱昲㕤㜱戱㜴慥㈵晦㍢㈵昸摥㑤〹㘴㐲㔰㌲㉤攸攳㤲㡢㐱㔳㌶㈹攸ㅢ散ㅢ㐴扣ㅡ〶㥥戱㌲愴ㅡ㘱戹㜴㤰ㄱ㕦敥㙤攴㠹扦㠷昷て㐲愲愳搵愷ちㅣ散㤵㠳㤴㠵慡㕥㤶晦㜷㔲ㄳ戴㘴改㑣㙡晥ち攲昴摦㈸㕥愲㜸㤹攲ㄵ〸戵ㄹ㥣ㄱ㈷㍢㜴户晢攲㜷㌹㙥捦摡㌱慢㔰晡敦挴晣㠳攲㌵〸㑣㔹挴戳㘳挶昲〶㤲搶㥢㄰㘱㜷〵㘳戸㌳挴㐲㑡㡤㠵㥡㌳ㄹ晤ㄶ挵摢㄰〳晦〹戱换㑣扢ㅤㄳ攴敦㙡㤹戰㝥㉢搸散晢㤲㡥昱挳㐷㈳㐳㍢收慦敡捣㉤改敥敡挴㘲㉤㘷ㅡ㤳㜳㔸㘷敢㔱ㄹ慢㘳㜶搷㤴攵扤㔶挷捣㌶晣㌷戰㘳㥥扤捣捥昴㑥挱つ㄰愶㌱戳戱㉡㈳㤳㤴㔹昹㤵晦㉦㈷㌱㜲〷㡢㝢换攲㍣㐶㤵㥦扤捥㜴挲搰摢㌸戵ぢ㙢戶戶㉣㔷㤳㜶换挲㠴昴㝢㌸㑢愹搱敦愰㜵ㄷ㝦㜸摤㜶愳㉦扣昹ㅢ昳晦攱ㄸ㠵戲改㉤㤱㔹㌹㡤㜸ㅦ摡㔰㕦㜹㙡ㅣ㄰㥣㘶㘸㕥搶慤㝦㐱昴挳㌰搰扣㤰慢㄰㑣〷㕥㡤戵挹愸㔸㉣㙡㐴戱ㄱ昸搵㥦戲㝣㝦挰㜸㥥㘰扦㜴搳㥦㈳慤扦愰昸ㄲ挲㜷㥥㝣敤㈴搵戶昸㕦捥〹ㄶ搶㥣㔴愹ㄸ昶㌸户搶散㕢㜷㔳㕦㝦晤捤㌷㥣戲㔱㘷昵㠳㤴㤵愶㡡戹㔶㍤㜲㐲㥡昹㤵㈴㐹㥥㡡挳㠰㐷㠴收㡣挶㈱攱㕦愸㈰㤰㠴㡦㑤㐶挵ㄲ㔶ㄲ㘵㌹㉤搱㠳㔹㕤㤸㈲㐲戱づ挵扡㄰敡㕤ㄴつ㈶㘶㝤㘲㠶㔰っ㠵昰ㄱ戳㈱㤲搶㐶㄰〱づ愴〹㤵〹㔹ㅢ戳攰㈶㄰㡡㉢㘵㍣攱㙢昴㌰㈴慢㡥㥡㘶㈲㉡挸摡ㅣ㐵㐲扡㡦㍣㤵㐶戹㈲㔹ㅣ㌵づ㔹㉦㔶㈳敢〵㤳㔱戱㕣户ㅤ捡㡥㘰昹戱㙣昶㥦慡ㄲ戳ㄵ戲昵㌸㡡慤㈱㝣挴㌴㍡㐹戵㍤㡣〸〹摢ㄲㄴ㠵㔰㍢㐰㈵㈳㈶㠶㤴扢愹愷㔱㠷㌷㘲ㄲ挸攱搳挴㘴㈵ぢ㑤挸ち㘹〲慡攴愹㠹戰㔹㘴愱㌸㘴ㅥ愹挶挲挳㈶愳㘲ㄱ戱ㄵ㤶㐶攰㔷敦㠰敡搴㠳㔵㔹㤸挴搶㑣愶㘸㠵昰戱㌰搵㐹慡㈹㌰㈲㉣㑣㈳㘸㍡㠴㥡〶㤵戰㌰〳㈹㜷㔳㜷昸㔹㤸㠵㥣㤲摢ㄵ㉣㍦㔶㡣㡡㥤〰ち㘹㐲慢攴愹改戰ㅥ挴挷㑤搵昸戸搱㘴㔴慣㙢捥㠲愵ㄱ昸搵ぢ㔰㥤扡扥㉡ㅦぢ搹㥡摤㈹昶㠰昰昱戱㤷㤳㔴㍢挲㠸昰戱㌷㐱晢㐰愸搹㔰〹ㅦ晢㈲攵㙥敡㌲㍦ㅦ㡢㤰攳攷㠳㑢愲ㄵ㝣㘴〰ち㘹㐲慢攴愹㥤㘱㍤㠸㡦昳慡昱㜱慥挹愸㔸㙢㥤㐳㑢搵㈷㝥挸挱捤戱㑣ㄹ㉤㈰晦扦㜸㑣攷㍣㥣晢㤶て㥣慣㄰戶ㅡ㌵ㄷ〷㉢扤㝢〰㝢㘱㈹㐴晤㍣愸搶㘴㘵㤶㑦搵㔵㐶㘵㔵㑥攵㤵摤扦〳㌷愶㍢㉦敥㕥晢㠹换㘰ㄴ㤴㐷㈸㡥㠱㠱㙥㔲ㄶ戶摤〴ㅦ挹㐴摣〴搰昲㑣㘷㔰㔱㠱挷〷敢戹㈹摦戳ㄹ捦昶㜷晤愰〷挷づ户愷挰㔷㍦慣㤶换㝦㡥戴戸昵㑤ㅦ摡〹愲昸愴攳扢㥡㈵晤摦慥敦扢㙡㌷㌹㜰戶て㜸㈵攰㌶㐹㘴㑤㠳昹摦搵扦㝣㝦㐸敦㡡慣㑡㐷搱〹昲㐳㝤㘶昶㔵㔰捤㠷㔱捦挳㔸㉢㘰捣㜲㝣㠱㜳㌹㍥扥㥡愳㌹捥㘴㔴㠴ち㉣㠴挱ㄱ㙣改挱戰愵㡥〵㉣㜸㥥㜲〸戲昵愱ㄴ㠷㐱昸ㅣ敦ㄱ㑥㔲㌱㙣㐰㑥捤㈳〹㍡ち㐲敤〹㤵㌸摥愳㤱㜲㌷㜵〸敡昰㉥挷挷㈲挷敦㜸ㄹ㘷㔰攱㜸㡦〳㈸愴〹慤㤲愷昶㠲㜵㡦ㄶ摦㕣慥扢ㅡㅦ〷㥡㡣㡡〰〶摥摥㡤挰慦㍥ㅤ搵愹慥慡㝣㥣挹搶㥣㐵昱㘳〸ㅦㅦ攷㌸㐹戵ㅦ㡣〸ㅦ攷ㄲ㜴ㅥ㠴摡ㅦ㉡攱攳㝣愴摣㑤ㄵ晣㝣晣ㄴ㌹晥㜵搶㘴〰ㅤㄷ〲ㄳ搲㐴㔶搲㈱㜹㉡〳攳㐱㜴散㔳㡤㡥扤㑤㐶㐵㕣㐵ㅥ㤶㐶攰㔷㕦㠵敡搴㥥㔵改戸㠶慤戹㤶攲㍡〸ㅦㅤ㌷㌸㐹㘵挳㠸搰㜱㈳㐱㌷㐱愸挵㔰〹ㅤ㌷㈳攵㙥㙡慥㥦㡥㕢㔹摡ㄷ㤵㔱㌱㌴㝥㑥㠰㈶慣㤲ぢ挹㔳㑢㘰㌹㠸㡢改搵戸㤸㘶㌲㉡挲㍤㤶挲搲〸晣敡㝢㔰㥤㥡㔲㤵㡢晢搸㥡晢㈹ㅥ㠰昰㜱昱㤰㤳㔴敤㌰㈲㕣㍣㑣搰㈳㄰慡ㄳ㉡攱攲㔷㐸戹㥢ㅡ敦攷攲㌱攴昸㑦ㄵ〶㡢㔴昰昱㌸㐰㈱㑤㘸㤵㍣搵〵敢㐱㝣㐴慢昱戱慤挹愸㠸㐲改㠶愵ㄱ昸搵捦愰㍡戵㑤㔵㍥㥥㘵㙢晥㐸昱ㅣ㠴㡦㡦攷㥤愴敡㠱ㄱ攱攳〵㠲㕥㠴㔰换愱ㄲ㍥晥㡣㤴扢愹㔱㝥㍥晥㡡ㅣ㍦ㅦ㡣㕦愹攰攳㈵㠰㐲㥡搰㉡㜹㙡〵慣〷昱戱㜱㌵㍥㌶㌲ㄹㄵ㠱㌱慢㘰㘹〴㝥昵㥢愸㑥㙤㔰㤵㡦户搹㥡㝦㔲扣〳攱攳攳㍤㈷愹づ㠶ㄱ攱攳㝤㠲㍥㠰㔰㠷㐰㈵㝣㝣㠸㤴扢愹挱㝥㍥㍥㐶づ㘳㙡愲㤵㐷晡㙦㘴㠵㌴〱㔵昲搴愱戰ㄹ挴㐲㕤㌵ㄶ晡㤹㡣㡡㘰㥤挳㘱㐹㙥㠶扦㘶㜵摦㔰搴搴㐲㈸㡡㕡〸昵搵㔷搵㉥㌲㜵挴搴㔳㔸㄰㍥㘶ㅡ㤰戴昸㠷〳〱㌷挳㐷愰挲㤱昸搵㈱攴敢〱㄰敡㈸㈴㥤㥢攱㠱㐸㔶扤ㄹ㍥㤲愵㉡㠶㑣ㄸ㐵㐲扡㡦㍣㜵㌴捡ㄵ挹㉡摥っ扦㡤〳ぢ㝣㜲昰㤶挹愸〸㑣㍡ㄶ㤶㌸搵敦敦㑣㙦㝦㠴摤㤱昸搵ㅢ愲つ㝡㈳〸㜵㍣㤲㥣攲㍡㥢㍢扦昸㤴㑦㐹戸㑤ㄲ㔹攳敡㌹敦㌸づ慡捡愳ㅡ〶㘳㤸㜷昴㤱搹㔷㥥㍡〱㐶㡢㠷捣㜹㠷戹晦慦㜶挸㉦㤸㡣㡡昰愹㤳㘰㠹㠷㙣㘶昴㈷㘳㜷㈴㝥昵㔸㌴㔰㙦〹愱㑥㐵戲晡㈱㤷㑦戵ㅡ㈶㠵慣慤㔰慣㈴晣㡡㥤敡摦昴搶㐰攰昰〹ㄴ㙥㉡㌳晢捡㔳愷〱ㅦ㜴昸㑦㔴㍢晣挷㑤㐶㐵搰搷㤹戰㌴〲扦㍡捤㐳㝤っ戰攰昹搶㜸戶㜴㍢㡡敤㈱㝣愷挲づ㑥㔲㌱晣㙢㈴つ㑤㈴㘸ㄲ㠴㍡ㅢ㐹㜱ㄲ㤳㤱㜲㌷㜵ㅦ敡昰收㕢㔳㤰攳㜷㥡㡣ㄷ慢㌸〳愶〱ㄴ搲㠴㔶挹㔳攷挰㝡㤱㡦攲㠳㤰摢慡昱昱㜳㤳㔱ㄱ㠸㜶㍥㉣〹ㅦ扢愰㍡㜵㙢㔵㍥收戲㌵扢㔲捣㠳昰昱戱挰㐹慡㥦挰搰㐸晣敡摤〸㕡〸愱㉥㐰㔲昸搸ㅤ㈹㜷㔳搷昸昹搸ㄳ㌹晥昹ㄶ攲摡㉡攸搸ㅢ㤸㤰㈶戲㑡㥥扡㄰挶㠳攸戸愸ㅡㅤㄷ㥡㡣㡡㠰戹㑢㘰㐹攸挸愳㍡昵搳慡㜴ㄴ搸㥡挵ㄴ㑢㈰㝣㜴ㅣ攰㈴搵愵㌰㌴ㄲ扦㝡㈹㐱戲㔸㜱㌹㤲㐲㐷〷㔴敥愶捥昴搱愱㉦㠳扡昲㈰て〴㍥搴㔷㥥扡〲攵㠲〸㌸扥ㅡ〱挷㤹㡣㡡昸扤慢㘰挹攷ㅥ慥㐶㜲㈴ㅢ㜵㌰摡愰㝦〸愱慥㐵㜲敤摣挳㈱㈸㔶ㄲ晦㔷攱ㅥづ〳〲敥㠱㐰㌹㝣㔴攱㙤㕡㌲晢捡㔳搷〱㕣㍣晣愲㜷㕣㔹敤昰て㌲ㄹㄵ㔱㠷㡣ㅥ㤴晥㍦㤱㠷扡ㅣ戰㘰昷㜰㌲㕢㝡ち挵愹㄰扥晥㍦摤㐹慡㥢㘰㘸㈴㝥昵ㄹ〴㥤〹愱ㄸ㝢㈸晤㝦ㄶ㔲敥愶摡㔱㠷攷ㅥ捥㐶㡥摦㍤㌰㘴戱攲㝣㌸ㄷ愰㤰㈶戴㑡㥥㘲㠰㘳㤱㡦愲㝢挸㔶攳㈳㘳㌲㉡㘲㈱㙦㠳㈵攱攳ㄲ㔴愷ㄶ㔵攵攳㌲戶收㜲㡡㉢㈰㝣㝣㕣攵㈴ㄵ攳㈴㐷攲㔷㕦㑤搰㌵㄰㡡ㄱ㤲挲挷戵㐸戹㥢㕡攸攷攳㝡攴昸昹㘰㘰㘵〵ㅦ㌷〲ㄴ搲㠴㔶挹㔳㜷挰㝡㄰ㅦ戳慢昱戱㤳挹愸㠸搸扣ぢ㤶㘴㜶昵㑢㔶㜷㍢挵ㅤㄴ㜷㔲摣〵愱愶㔵攵攸ㅥ㘲敥愵戸て挲挷搱〳搴㜱愹〱㙢㤳っ〲ㅤ㠹㕦晤㄰㤵て㐳愸㝢㤱㜴㘶㔳㡦㈰㔹㜵㌶㜵て㑢㔵㤰昳ㄸ㡡㠴㜴ㅦ㜹敡㍥㤴㉢㤲㔳㥣㑤挵慢㤱ㄳ㌳ㄹㄵ搱愸て挰㤲捦㜷㍣㠸攴㐸晣敡摦愱つ晡昷㄰敡㘱㈴㉢㝤㠷㍢㝢ち㥡㕡㍣㠳㘲㈵搱慣ㄵ扥攳㔹㈰攰㍢〸㤴挳㐷ㄵ摥愶㈵戳慦㍣昵〸挰挵挳㉦晡㡥㤱搵づ㝦㠴挹㈸㡦愱慤㝦っ㤶搶㈲昶㜱〰攰扡戰戰捤㍥㠸挱㕡㠳ぢ㈵㝦愲㌳愸㌰戵㙢㤷慥摥愹㙤㍤换摡㌳慢搶㉢㤸㥤摤㤷搸㥤㠸晢散㐶昸㘷㤹慥㙢搹㌲㍢慦ぢ昳扢㤶㜷攷散㔹㔳扦て㜱愱搲ぢ〸㙥㔲慡愶㔶㘱晢㜶愱㡥㌵㈸㠹晥攵攳攷晡挷㘱戲㍣㘲捤ㄷ扣㔱㡣ㄳ㘲㉣㜱戸挸攸㠲戶摥㜶㝢㐰㐱昲㘵扦愱〰ㄶㄱ㑣㥢敦㕦㔸戰〴愱㕢㔳〷ㄵ㘶㜴户攵摢摢㍡㙤㜶〶㘲㡦ㄸ㜶㍣摢㕥㡣挰搹戹㈶戴㙡㔰㘱㐱㜷愶戳㘷ㄹ㘳〰㜳慢搶㉤㐹挹㍡㝣㝤愱戵慤戳〷搵挸ㅦ㕡㜱㍦㕣㤸扦愴敢㈰晣㤱昶昲㡥捥ㄹ㤹㘵㍤摦㡢㕥㠱㥦㌱㥢㜴㡤慡㔵戵戵慡愱戶攱摢昶㡦昵㌲捥扣昵㥣㌰昹攱ㄸ愷扤摤㙤搹攵㡣㐵㤳㕡攲㤰㜵ㄴ搲㠷㌵昵㑦㘰慦㡦昸ㅢ㉥愹㤸㜰㘶㠶敡戲慤㈵㝦慤ㄶㄸ㌵敡晤攵晢愶㠰敢㔷搰㥣㠱慦㐲散㌸㘳户㔹挵㈰昶晦搱㥦㤱搷晦〶㤶换愳ㅡ捡㐷㥥ㄷ㌳㍣〴攰挱捥㄰愲㡥㈳ち㘷㈶㐶〲㔳攵挳㌲㔴㄰っ㐷攸攰攲敥㜴㠴㥤づ㉣捣捥㘴敤㜶挴慦㜴㘴㝡〷㍢〹㉥㐹攱捦㡣㝢㑣ㅥ㈲晦㍡㌲ㅣ㜲ㅣ慥昳㜳㤹㜶扢愱㌰㜹㜹㙦ㄷ晥㔴㔴ㄷ㈰㘴㕣ㅡ㔵㘶㈵㔴㤹㤵愲ㅡ㔸㤸挷㈸㝡搹愷慤慥挵㤹敥戶摥㈵ㅤ㙤戹〶㈶ㄸ改晥扤ㄸ慢戸㘴搴㠱㑣㜷㜳㝤㐹㜹㔴㡤ㄳ㕦㠲敥㙥㐴㡣て愹㘳昷㘳㐴搷㉡ぢ晦搴户㕣昳㠲攷㤱ぢ㡡晥〷慣昱愹㠸戸㈲㘹换〷㝣慥挲敤㠳挳戱攳㍣㍣㘰㡣㌴戵晡㌵㐰戹挳摦扡愷㈱晡㡣挰敤て㐰㘸㜶㔷㈶㍦ㅤ㤱㡦㕤摤晤捤㙢てㅡㄸ搴〹㔷搳ㅤ㘱㑣昴ㄴ㠴搹㈳㝣㝦㐵㕢摥敥㙥愰㘲㍥㈲㠵敡ㄸ㑤㙤㌹㝤㠸㠵愵㝥㌵昵昵〳ㅡ㠲敡㥡攵摡ㅡ㘵㐲㑢晤慦㡤㤸㔵㘱晦㥤㕤搳ㄳ㌹摦〸㠵攴ㄲ昵㍡づ㐷扦挱㘳晡㉤㤴㍣㥥㌲挰㥢〴扣〵㔱捦戸摥昲扥㈹つ㑦㐶㄰戳〶愸㡥慢㜵㜵㕣愵㙢㜰㔷攷敡攵㐰〶昸㔶攳㉣㘷ㄵ慥挱㝤ぢ㠱㌵ㅦ愳摣捥㠷ㅣ晦捡㌸㈹㕣ㄹ㙡㙡㙢敢搰搵㔶㜹㐸㙡㐵戵㌰搶㌱摦㤶㄰㙡挵㠵㈴敢㙤戴㜸㈸㑦ㄶ搸挷㙢㌲㑡晥ち扦㝣ㅡ㠵昹挵㍢㠰㘳㠲昶㉣愴换㐱㉢㌵づ㐹敦㈲㔷扦〷㔱晦㔷㈸晢昰ㄴ㠸昵昱㠵㍡づ〶搸㉡散搶搹搶㡢㤳㤸㙤㤹摥搶㡢收っ㉣㐰㘰㔷ㄶ㤸㌷㤶㤳摢㔷㘸㥣㌷㘹搸扣㌲慢㘴ㄶ戱㔹㘵扥㝦㕡㌱㉡㈰摢㤹㜰昸收ㄹ慢〳挹挴㈳愰㡤摦愷㤹㠸㜲㘲搴㙡㥣挹㐸㥦㝦愸㕣攴㥤ㄷ㤳晦挱扣挵㤹㡢敡て㌸㙣ㄴ晥㘱〸㝤㠸㝤㑥㘳晥戶摡㈱攲ぢ㜰攵㌹ㄸ攲㔴挶搱つ㌲ㄱ搴戳㍡㝢攰っ㐲㈶〵㔷㍦搸散捥㔹摥㕢㤲㤳㔹戹㥥挹㐱〸昹㥣㑥㕣愰㜳㤹敥晣昷挴扢攳搸㥣㐹㠸㌸敡㙦㌹㐱㠴ㄱ㙥㍥㥦㡣㍢㥥㡦っ搷㉦㈱㘷㙤攲㠳挳挰て㈲摤㌸昷㥣搸昴〶愶昸㕡て改〵攷扤ㅥ㌲㕢㥦㙢㘳慡㡤户㥣戴摢敢㐹〱㉦㈹㥥㑣ㄷ㈶㘷㝢㌰昳敢攵㘵摤散挹㠹慥ぢ昳㙣扥昰㘳㠵㡤慢戰搹㥢㥢敢㐵㌴扣㘷㠰㝦摡昵晤改㈱㌰㔲㘷㝡㐹㐹㍦㔹㝤昸户搲㠳攰㌹昴㉤㝢ㄵ慥扤㈰摢㝢ㄳ搵㑦捥攷㜶敤挴ㅡ㜷挷摣て扣っ昳㝤㑣㈶攱㙢晤挱摣㍣㤳搶㜳晦挶挰昱㜰攲扣〶扡㍡捥㌸〷昱捥愰扢ㄷ㝦晦挸昷㈷㠴㜹敡戴攳㤲摣摢㠶挹㔵晢慡挱㠵㔹㥤戹昶攵㜹㕢㘶㘶慥捦㤶〹摡昷愲扦敡㌸攷㜰晡慡て㕥っ㈹戳昰㠶㈸昷敦攱扥晤敤㤹晥ㄸ㘷㥡㌸㍢搸〸改㝦㥢昳敥ㄵ㌴㘴慤㈳攷㐳㈸戴㙥昱敦㍥攴扤㐱㜰㙤ㄵ㉡晡㌴㠶㍦㝢挱昷㜲挶昹㘰戳扢㘶㜷昱昶捥愷㥡搹收愸扥ㄷ晤㠴攳㜴扡〹搱㍦摦昶挶昸㤸挷扦摡㙣挳㤵攷㑥晣搷挲扡晦ㅣ昸挲つㄳ摤戳㠵搷ㄸ㕣㘵搴摦㔱〷㙦㤸戱慡㐳挹改㈸敦挳㙡㡢㌷㘳敡ㅦ㐸昳㠶㑣晦〷扤愶㕥挳ㅥ敦㜳㠰㜴收扤㥦㐱摢攷扣㔷㝦敥昴戶㝡㐳㑡挱搰ㄷ㌴㘴ㄲ敡㉤散戸㜳㈵散扡㜳愵㉦㠱搱㕦ㄱ昸㜶㌰攰㙢〲扥㠱愸㝦〷㠰㜲㘷㔳㌵㤸扣ㅦ挰昸㍢㍥捣ぢㅢ㍡㌸㍦挶愹㙡攱敦昷㄰㉣㡦㌹戶㌵愰攱㥦挸搷晣换敥愷㥥㝣㜲〲昶㙢搴晢㄰㙥〳㠷㘳摦㑣收ㄴ㌰扡ㄶ㐲㌱慡㥡㡦㜵戰敢㍥㠴㔰㥦㈳㈵扣㕡㤸㜲搷㙣㔰㝣〱挳㙡㙦㝥ㄵ〳戰㠵敦㍡ㅡ晦ㄲ㈹㠷㙦㜳㥦㘱㐱摢㈷摦搲慦㕦戳㌵昸搵晤㘹挴㈴ㄴㄷ㈴摤㐳攱㐳㔵㜳㈸つ挰㘸扥摢㡤㔳㤰㈰㐰㠸㠰〱〴㜰㌲捤〹扣㌵㄰愹〱敥挴㤸慦ㄱち㤸つて〶〶戳攱㝡㥦搱搶㘲慤㘱ㅡ㡤搰攸㘰〰㌸㈳㌶戳愱㜵㔹㡣㌵㌹づ㕣㌱㔶㥢戳㈱㜷㉢戹㠶换搱㌲㤰㥢搷㜰㌶摦ㅤ攱搵慥〷㙡ㅤ㠰㕥㈶㔸慦挷ㄶ戰摤攲㤴㠶㈰挵㔳㠲戱攰慦㌰㕦戶て捣㈲敥〷㠷㥢昴㐴愲㠸㕢ㅦ㌸愷㡢㠷愲㘴㝦昳户㜴搲㠶昲㔳㠸愱攳搲愵ㅢ〰愹㠶㈲㔵㜲ち㙤〴㙤㥦㕤慡㌷㌶㙤㘳扣㌹㝥㄰㑥づ〵㙦㝡昹慢ㄸ㘰敥㜶敢扡㔰㤸㙥ㅤ〶㡣摥ㄴ㐲㙤ㄲっ搸㡣㠰捤〹㘰㌸㍡㑦㈳㍤ㅣ㈹㙦攴㙦敥㉢收敢戸ㄱ㉣㌶㤲挵ㄸㅤ㕥㍥昲ㄹㄲ敥搰戲〵㈰㙢㌵昲ㄹ㐸㉥㌴㡤愲㜱㐶㤴㤷㡣晣ㅦ㐰摢㈷㑤搲㉤㡤㈸㠶㥦ㅡ㍤㠶㐶㐸て㝦ㄹ㝥敥㔲ㄴ㠵挲㔰㌴ㄶㄸ扤㈵㠱っ㑤て〰㙣㐵挰㌸〲㘲〰挸挸摦ㅡ愹㠱挵㤱㡦ㄷ㔲〵っ晤㐶㠰㌰昴ㄹ慤敥㕡昵㌱戸㉤慤㐶㘹㤵㤱攵挲愰㙦扣㑦㠲捥㘱㌰〶挸㥡㍥㌴㔳㤳㔱㑣搸㡢搳㌰㈳搱㑢搸㑢㐲扢㝡昶ㄸ戱㡥ㅦ扣攳㡢㐶挸ㅣ㝦愷㐱扡㠷戱ㄵて捣戹㥦㙤〶㐶愷〸㘴㐸㝢〰㈰㑤㐰ぢ〱㌳〰㄰昶挶㈳ㄵ㜸㐳ㅤ㄰摣㡥扢愱敤〱〷㡦㡣㜲㜷敤晢㜸㥣㐰晢㍢搰晥〲〰捡㜹㕣〸㥤挳攳㐴㐰搶㤸㐷〶慥ぢ㡦㤳㘸㤸ㄱ散㈵㍣戶㐲扢㝡ㅥㄹ改㡥ㅦ扣㐸㡣㐶挸㈱㝦昷㠶㜴て挳挷攳㔴㘰昴㌴〲ㄹちㅦ〰㤸㑥挰っ〲昶〵㐰㜸㥣㠹㔴㄰㡦㐱㐱昱攰㜱㐷挰挱㘳挶㘷摦挷攳㑥戴㍦㥢昶ㄹ戲敤㌶〰㈵摣㥥摥㤹㠰㕤〸㘰㌸㜷〰㘰づ〱㜳〹攸昴〱搸敢愱搰〶戰愳㜷㈵㘰ㅥ〱㡣㘱㉤敦㉡〶慥㍡㕤㌵ㅦ㤰㌵敥慡㐳㔱㑣扡㙡〱つ㌳收戵愴慢ㄶ㐲扢晡慥㍡〲挵昰㠳扦㔸愰ㄱ散挸敦㤱㤰敥㜱晡扡㙡て㘰昴㥥〴㌲㜸㌶〰戰ㄷ〱㝢ㄳ挰㜸㕡改慡㝤㤰ち敡慡愰㌰㕡㜴搵㝥㠰愳慢㡥昳搹昷㜵搵㈲摡摦㥦昶ㄹ晢㕡捥㈳〳㕥ㅤㅥ㌳㠰慣㌱㡦㘷愱㤸昰㤸愵攱ㅦ㈳㔵挲㘳ㅥ摡搵昳㜸づ㡡攱〷慦敡愲ㄱ㤷㐷〶搶〶搰㔴〰㐶㉦㈶㤰㐱户〱㠰㈵〴戴ㄱ挰㌸㕣攱昱〰愴㠶戸㡥搷晦㉣慥㜲戹ㄷ㌴戶〳つㅡ㉦昴㤹昷搱搸㐱昳㥤㌴捦㤸搹㜲ㅡㄹ㈸敢搰搸〵挸ㅡ搳挸搰㕡愱㜱ㄹつ㌳挶戶㠴挶㙥㘸㔷㑦㈳㘳㜱昱㠳昷㝦搱㠸㑢㈳〳㜲〳㔸攲㙢㝣㌵晦搰㔵摤ㄴっ㔸㐱挰㐱〴㌰㝥㔷㘸㕣㠹搴扡㤵㌴〶㕤挵づ〶ㄴㅣ㌲㐶搷慤摣挷攱て㘹晢㄰摡㘶慣㙤㌹㠷っ戰㜵㌸㍣ㄴ㤰㌵收昰㝥ㄴㄳづて愳攱〷㤰㉡攱昰〸㘸㔷捦㈱㘳㜸昱㔳愳㡦愴ㄱ㤷㐳〶昲扡㠷攱㍢愵㡦〲㐶ㅦ㑤㈰㠳㝣〳〰挷㄰㜰㉣〱㡣晢ㄵづ㝦㠴㔴搰㈹ㅤㄴ敥㡢戱㜸㍣攰攰㤱㜱扦慥㝤ㅦ㡦㈷搰晥㠹戴捦ㄸ摤㜲ㅥ㥦㠵㑥㜸搴㥣つ挸挶改愵㙦戹㑣㌱㙣㔷㌸㍢㤹㐶㥥㐳慡㠴戳㔳愱㕤㍤㘷㡣昳挵て㕥㠸㐶㈳搸㤱㕦〶晢扡㑤昶㜱㜶㍡㌰晡っ〲ㄹ〸ㅣ〰㌸㤳㠰戳〸㘰㙣戰㜰昶㘳愴㠲㌸ぢち〹〶㘷攷〰づ捥㕥昲搹昷㜱㜶㉥敤㥦㐷晢㡣攳ㄵ捥㝣㜷㕦っ摥㜵挶摥昹㠰慣搵ㅣ㤴㈱扦挲攵㑦㘸㥣戱扦㈵㕣㕥〰敤敡戹㝣て挵昰㠳㌷慦搱㠸换㈵〳㠵㕤慡愲㍣㌸㘷ㄶ㜵ㄱ㌰晡㘲〲ㄹ㐴ㅣ〰戸㠴㠰㑢〹㘰㕣戱㜰㜹ㄹ㔲扥㌹㈸㕥搱ㄷ㌰〷扤〲㈰㌰挸戸㘲搷慡㡦挱㉢㘹昵㉡㕡㘵っ戰敦昶敢ㅡㄶ昳㑤㐷扦㐱㜶摦户㕦㌵戵㙢㜱晢愵〰㝥ㄹ㌵攰㉦ㄱ搸〲敦昶敢㝡愴㜸㕢㔵㡢晣㔷㤸㉦㕢昵摢慦㍡攰㥣㍥扥〱㈵晢扣晤㘲㠷㐹㥦摥〸愴㘲搴戲搳愷收〹挶捤搰昶搹愷晡ㄶ搳戶〶ㄴ〵ㅢ㜸㌹ㅣㄴ摥敤㔷〸㕡㤷㘰摦敤搷捦㠰搱㍦㠷㔰っ㜷づ〰摣㐶挰㉦〸ㄸ〸㠰摣㝥晤ㄲ㈹敦昶㡢㌱捥㙥戱㔶搴㙡挶换敤㉣㜶〷㡢㌱〰搹〵㤰㉤〳戸㤳㠰扢〸搸㈸ㄸ㜰㌷〱昷㄰㌰捣〷㔸㡣㈳㌳㤳戵㝢〹戸㡦㠰戱㍥㠰慦㡡晢〹㜸㠰〰〶〳〷戴攱㐱〲ㅥ㈲㘰㙢ㅦ㐰㘳摦㔴昱㌰〱㡦㄰挰ㄸ摢㜲愷挷挰㕡挷改㜱㍥㈸㕢戹搳㘳搸慤㜴敡愳㌴戲㍤㔲㈵㈷敡慦愱敤戳㔳攵㘶㜱〷ㄴ㤳づ㝤㥣㐶㔰㡦晣㌲㔸搷㍤㈶㥦搳㝢〲ㄸ晤ㅢ〲㈷〵〳㥥㈴攰㈹〲㈶〳㈰㈷敡搳㐸〵㌹扤愰㤰㕥㌸扤摦〱㡥㔳㜶㥡捦㝥㉢㌵㡥愷昸㍤敤㍦㐳晢㡣挳㉤攷㡣挱户捥〹昱〷㐰搶昸㠲扢㉢㡡〹㡦捦搲昰㍣愴㑡㜸㝣づ摡搵昳挸昸㕥攱昱㑦㌴攲昲挸㈰摦〰ㅥ㥦〷㐶扦㐰㈰〳㠰〳〰㉦ㄲ昰㘷〲ㄸㄳ㉣㍣晥〵愹愰戹㕦㐰㈸㌰㘸晣ㅢ搰愰㤱㌱挱慥昹搶㈲㡤㉦搱晣换㌴㥦〷愰晣摡挱愰㕤㠷挶㔷〰㔹慢㙢〷㐳㝤㠵捡㔷㘹㝣〹㔲㈵㔴晥〳摡搵㔳挹搸㘰愱昲㌵ㅡ㜱愹㘴㠰戰㝢㈸扥㙢挷敢挰攸㌷〸㙣て〶扣㐹挰㕢〴㌰㥥㔸愸㝣ㅢ㈹摦戵㈳ㄶて扡㜶扣〳㄰ㄸ㍣搰㘷戵戵挸攰扢戴晡ㅥ慤㌲攲搷㙤ㄷ昲摤㤱晡㍥〱ㅦ㄰挰㘸攰〰挰㠷〴㝣㐴〰〳㜷㕤挰㐷㌸㕥攳ㅦ㍥㈶攰㕦〴㌰挸戶㝣慣㥦っ摤㙡晣〳攳㙥愵㌳㍥愱ㄱ〶攰㤶㜴挶愷搰慥扥㌳ㄸ愸㉢㥤昱ㄹ㡤攰昸攴昷っ㘸摤㈶晢晣挳攷挰攸㉦〸㍣㌳ㄸ昰㈵〱㕦ㄱ挰攰㕥改㡣慦㤱ち昲て㐱㌱扤ㄸ搸㜲搱〹㈹〶昷扡つ㘸㉤戲捥㌰ㄸ㡤㐸㠷ㅡ㜵〹〰攵㥣㕤〶摤㙡㌸㘳㙣慥㜰㠶昷㌴搶愸㉢㤰㉡攱捣㠲㜶昵㥣㌱㤸㔷㌸敢㑦㈳㉥㘷㡣攸㜵㥢散攳慣〱ㄸ捤㉦㡡愸㙢㠲〱㈱〲〶㄰挰〰㘰攱㙣㈰㔲㐱㥣〵挵晤㠲戳挱㠰㘳㈸㌳〰搸㙤㐰㙢㤱戳㌰敤㐷㘸㥦挱扡扥㘹搰扡㉣收㥢〶㌱㡣户敦㘹㄰㘳㝣搷昸㈹㌴㘳㠱㕦㐶つ㜸ち捤ㄶ㜸搳愰㈱㐸㜱ㅡ挴㌰攱㔷㤸㉦㕢昵㘹㄰攳㠵㥤㕥ㅤ㡡愱㠴ㄶ㔷㉥攰㌰㥡㔸㝡㜵〳ㅥ㈶挳㡡㥤㕥㌵搳㥦㡤㔰慥捦㕥搵ㅢ㥢㌶㍤㠰愲搲戳㥢㐰㠱ㅦ昹㔵て㐱敢ㄲ敢㥢晥っ〳㐰㙦ち愱ㄸ㥦ㅣ〰搸㡣㠰捤〹㜸〴〰㤹晥っ㐷捡㥢晥㌰㈸搹㉤搶㡡捡捣㐵㜰〴㡢㡤㘴㌱㐶っ扢〰ㅥ扡〱㙣㐱挰㈸〲㝥ㅦっㄸ㑤挰て〸㘰攰慦㙢㠱ㄴㄸ摦㌳㠶㠰戱〴㌰㑣㔰㡥㜸㑢愶㔰〷㝦敢晦〱㙤㜹〴㔳㐵㜴ㄹち㈰㈴㠳㜱㘶昳㝢㔷戵㈳戶㡦扢㡣㘸㜲昶戸昶攴㘴㈳捥慡慢ㅢ㙢戲㜵攵慦〳昳捡㍥ち㔳〳搶㉦㝢〳慡ㄴ㘳づ挳搸敡㥦晢愲昲㉤㥦㕥㜹㌶扡昸㍡㐴㤶攱㘶㡤㐳ㄳ搷摦戹㉤搷摤搵搳㔵攸ㅤ㍥ㅦ㜱慢挳昹㐶搹〲ㄶ㘵㈷搷㍦ぢ㡢㠱㜵昲挰敡㍡㜱㈰昵㉢昸㠶挵搰搲捥慥㠳㍡愵㌵昵㍤㝣戱慥昰搵扦㍦慢〹戱ㅥ㙥㕢㠰戸挸㙢㘸㘸〴〹扤つ㑣っち㐷ㄸ㌳㠶㥦ㅡ慢ㄱ改搱㔳㕡昱㍡攲㙣扣㄰㑤㘶㔳愹㑣㈶㤱㑡摡昱㙣摡捥攴昰愱㥥㐲戲㤰捣愶㘳昹㥣戵慤〷㑤愴戲愹㍣㕥ㅦ摣㥣㙡㡡㈷㘳㉤捤改收㝣㌶㤶㠸ㄷ搲搱㕣搶㉥㘴搳ㄱ㐶愳搱扣㡥愲㡣㡥㐱㐴摥㜴㔵㜱慡ㄲ㔴㌱㈴慤ㄴ㔵晦づ搲㙢ㅡ㈹〶ㄳ㌵敥敢㉡敡晡昷慦㠸ㅡ慡㠸㌰昳摥戹㘹㔹㥢愱㙣晤ㄳ愰戹晣ㅤ㈲挱㠵㑡㝢㤱㠵㜹挲敢ㄴて㈵つㄱ㡡㌰扥㡣㍡慢〵挹㜵愶戴㉥㉡晤捣㡥㌵ㅥ敡㠱㔰换㐲昸㍣扣㙡搷摡づ㥡挱搰昸㈲㙡㈳っ㔰ㄳ换摢㈳㔳㡦㘴ㅤ㈳㈰敡ㄹ愴㔴摥㔲㕦㜴慢㉦ㄸ慤㍦攰ㄱ㕦愴㥡ㅣ昳㍡〵戳㐲㌶〷攱ㄲ扤㔴㝤ㅦㄶ搹敢㥣愰㤵搵㜶户ㅣ挲摥晢㤲昵㜲づ㑡㝢换ㅣ㥢扣㔶昵摢〵戵㠴敡ㅦ㕣敤㤸㜰㙢〹ㅥㄳ㈱㍤〹㕤挷慢挸㠷攸㌳㌹ㅦ㈷㐳攱㙥㡡㘱㑦ㄵ摡㝡㠶㘸慣㜹㍣〸换慦㔷っㄱ㘵㌰昰戸㜶㠴挶慣㐱散㜵㉢摡愲ㄸ〲㔲搱〶㈵㈱〶戰慣愷ㄲ㠳ㅤづ㐴挵㄰〳晡㕣㜵㌷㠸愱愷㠳戲挶㥡づ㐸㔵昷愵敥〴㡣㉥慣挴〵㈹㠶㈲㐸慤㌳㔱搸愲ㄵ晣㐶ㄸ㡦㠰㜴㡤㥥〵㌹愸㕦㠴戱〷摣㈲㡣㍦㤰ㅤ〶ㅢ挸づ〳づ戸㠵搹㌲摡愶㠱敦㜴㡢㈸㔸收㘱㕢㍢愲㌵〱㘷昱㑥㔰㤷㥥挵戳愱㈹㍦㡢㙢㡤ㄵ扤㌳㌲攵㔳㐳昲搱㈱㔵〷扤㌰㌰ㄷ㝡㡦㘱ぢ㕡㘱昸㘶㍦挳昳〰愹捥昰㡤㐱っ㐷晡挳㤲㌸昹〵㈸っ㈷摦㘰摡㘱敤㠶戴攳攴ぢ昱㔴慡㄰㑦㈴昲㜶㑢㈶㤹㠳扦㑦收㥢昲㑤戹㑣㉥㤹㐸愷ㄳ戱愴戵搰㠳愶㕢ち㑤㜱㜸昹㉣㉥ち挹㜴㍣㥤戱攳挹㤶㘴㔳扡㈵㥦㠹ㄷ㥡㔳㌱㙢㜷て㥡㐸㈴㘳搹㝣㉥㤵㑤摡搱㘴㈲㕦㘸挹㘵愳挹㔸㌴㤵㡢挵㜱ㄱ挹攵㈳摡戴㐴敦㠱㌲㝡㑦㡡扤㈰㈲㈱㔷扦㌷㔵晢㔰散㑢晤〰㔷㉦㔰㈹㐴扣ㅡっ㍤㉦ㄱ敡㘲㄰㐰昷捤㈱愱戳㉣㤷㠳〸㐵挲㙥㐱扡㘱㑤愷慢改㘷㈳ㄱ㔷扦㤸慡㙤㔹慡ㄱ㐲慤ぢ㍤㥤㙢㐸㥤〳㙢㍣昹愱㐰㜴攲㔲挰㜸ㄲ慦㠷愴挴㑦戵㐳愱ㄸ愶㈰ㅤ搸㠱ㄴ慢收慦摡挰搵㜶ㄲ〳つ㑤㈸㑥敤愴㕢捦㠰㔱敦挴㔹〶㐸昵㙥㍤つ搰捡ㄳ㘷㘳搷㝥㌷ち㝢㈷捥㈶搰㑡㘷昷㐰慢㝢㈹㤶㔳慣㠰ㄸ㌴㌰㌲捣ㄴ戲づ㐲摡改晢㈸㍡扥㤰㐸㌵挵ㄲ㠹㜸㌲ㅥ换㘴㤳搱㜸㉡搳ㄲ㑦㈶㔳㑤戹㘸㜳㔳㘴㔳户愲㤵㈸ㄳ搹捣㑤慤㘲㙡㜳㌷挵扣昰㜰愴晥㍢㘷攰〸㔸挶て㤶慥㔱㡦慦〳㐷扡晡挳愸㙦㈲㈲㐹㥡㐷㐱㉦㕤㜲㈴昴摣㤱摦ㅦ㐰㉢攴ㅦ收㈷晦㘸㐰慡㤳㝦㐸㄰昹㤱㌱戰㈴㌴ㅦ㡢挲㌸愷挶㥡㜶㔸㍦㐲摡攱㌵㡦㌹㔳㍡㤹㙥㘹捡愷ㄳ挹收㔸㈲㙢愷㜱㑡攵搲㜶㍣ㄶ〳戹㉤搶㜱ㅥ㌴㥤㑡攷㔳搹㝣㔳㌲㥤㙤㑥愶ㄳ捤改㐴㌴㥤㐹攵㜲搱㜸㈱㘶摢㠹愸㜵扣〷㙤㑡挶散㐴㔳㉥㤶㙡㙥捡㈵愳㠹㜸㑢㉡ㄱ㉤ㄴ㘲戹㑣㜳㜳㉥搱㥣㐹㐴戶㌴㉤搱㈷愰㡣㍥㤱攲㈴㠸挸㔶慥晥㘴慡㑥愱㌸㤵晡㜱慥㥥㈸〷捦㤲慡ㄱ㝡㌹愷㍡㐱㠰㜷㑥㥤㐵搰㡦㈱㐲㤱㙤㑤㐱敢㙣㈴〳㥣攲㌹㔰㤷㍡挵㜳愱㈹㜷㡡㔱户晡昳㤰㈹㥦ㄵ搳㝣搳愱㡡㐳㉦ㅤ昸㔳攸扤づ㑣㐲㉢ㅤ㤸昷㜷攰㠵㠰㔴敦挰㙣㘰〷㌲㤸㐲㍡昰㘲ㄴ㐶〷㌶㈳捤搳搶扡〴㘹愷〳㔳戹㙣㜳ㅥ㈷㐰㈶㤹㐰㜷挱挳ㄵ㕡ち昹愶收㘴挱㑥㐷㌳㉤㜶挲扡搴㠳㘶敤愸㥤㈹搸㠹㐲㌲㤱㐹愶ㄲ㌱㜴㘳捡捥挴昳搹愸ㅤ戳㌳㠹㜸㈴㘵捣敢换㔰㐶㕦づㄱ㐹扢慡㉢愸扡㤲慡ㄶ㔷㐵㠰㐰搵昶㔰㐹㌷散㘱扡〱㘹㍣愷㘷晥㜵㄰愱挸〴㈸愸戳慥㐷㌲愰ㅢ㙥㠰扡戴ㅢ㙥㠴愶扣ㅢ㜶㌰㔶昴㑤挸搴㔳㔸㐷㉢㠴㥡〴扤㜴挳慤搰㝢摤搰ち慤㜴挳㉥晥㙥昸㌹㈰搵扢㘱㜶㘰㌷㌰ㄶ㐳扡攱ㄷ㈸㡣㙥㤸㡡戴㜴挳㉦㤱㌶晥㈹ㅢ㡢攷㥢戲戱㑣ぢ㉥㈴㑤攸㠷㜸㔳ち㜷ㅦ昱㤶㙣㔳〲㥦㌸捣㔸户㝢㔰㌸慣㕣㍥㙦挷ち挹㕣㉣㤹捤攴㕢愲㉤㌸㤳昲㠹㍣㑥㡦㝣㉣ㄷ㡤㑣㌳收昵ㅤ㈸愳敦㠴㠸㑣㜷㔵㜷㔱㜵㌷㔵㌳㕣ㄵ〱〲㔵㍢㐲㈵摤搰敡敦㠶晢㤹晦〰㐴㈸戲ㄳ〰昸愹戱ㅥ㐴㌲愰ㅢㅥ㠲扡戴ㅢㅥ㠶愶扣ㅢ㘶ㅢ㉢晡ㄱ㘴捡㔷攷攴晢㜳㤱㥤㘹ㅡ㕢㘴ㄷ㜷㘷㡥扢㌳搷摤搹ㄵ㍢㥣收㕢㡦愱㙣〴㜷㄰㈵㝦㔲㘲晤ㅡ摡㐱㡢㥣扦挱㤱扢㡤ㅥ敢昱捡ㄶ㔸㑦㄰㈶㌷㈴摤㤳昳昹㙥扣捥搸晡つ㔴〱㐷昴㈴搴愵㐷昴ㄴ㌴〳昸㉤㈷晣㙤㄰㘷攷㤱㜹愶㐹つ㡣㌰㥥挳戶晤ㄶ㤰攴㤸扤㝤㙦扥ㅦㅥ昸收晢戴扣收㝥㕦㝥愶愴㝤捣㠸〵㠹戸晥ㅤ㑡捡愷摤ㅡㅡ㘴ㅣ㉥㠰㙤ㄹ㤹捦㈰挳ㅢ㤹ぢ愱㤵㤱戹㡤㙦㘴敡㜱㠰昰づ㕡㡤ぢㅣ㠴扢愳㤰っ挲攷㠰挳㈰摣〳㘹ㄹ㠴㝦㐲摡昸㠲㝣㈱ㅦ㙤㑡㌵攷㜲㌹㝣慡ぢ攷㜴戶㈵ㄷ㙦捡ㄵ㕡昲㐹捥㤲攲搶昳ㅥㄴㄳㅤ㕣㌷搳愹愶㐲ㄶ㜷挱愹收っ㙥㠴㤳㑤昱㑣㉡㘶挷愳捤昹㜴㘴㑦㘳㕥扦㠰㌲晡㐵㠸挸㕥慥敡捦㔴晤㠵慡扤㕤ㄵ〱〲㔵晢㐱㈵㠳㜰㠴㝦㄰扥捣晣㔷㈰㐲㤱㐵〰攰愷攲㉡戹扦慢㝦㡤㔸扥㜱㑥㍥㔹愷戲搰ぢ㠷㙦㐲敦㜱㤸㠷㔶㌸摣挰挷愱昵㌶㈰搵捦敥㈱㠱挴摡戰㈴挴扥㠳挲㈰戶㠰戴㄰晢㉥搲づ戱挹㙣ぢ慥㜱改㝣㑢㍡㘵㘳摦㙥㘹㘹㡡ㄵ㔲捤㠵〲㉥㠸㐹㝣愸挶㝡慦〸㑤攵攳昹㜸㉡摡ㄲ㑢㘱㤲ㅡ戳㕢㔲㜶㍡㤶㙢捥挴搳昰挷〵㌸搹挵挶扣㝥ㅦ㘵昴〷㄰㤱㈵慥敡㐳慡㍥愲慡捤㔵㜹㈸搵づ㤵㄰㍢挰㑦散㈷㉣昲ㅦ㠸㔰愴〳〰晣㔴㄰摢改敡扦㈰㜶㍦㈲昶㠵㔰换愰ㄷ㘲扦㠶摥㈳戶ㅢ㕡㈱㔶昹㠹慤愹敦㡢搸㙦㍥て㤸晢㐵㝡㘰㐹㠸慤㐵㘱㄰摢㡢戴㄰摢て㘹㜷挴挲㑢㘲㘸愶㥡㥡攱ぢ㔳昱㑣㈲摤ㄲ㑢ㄷち戹㙣〱㜳扤㘴摥慡昳愰戹收㤶㐲㉥㤷㡤攳愳㜳㜰慣㤸搳㘷㜳昹愶㑣愶㌹㕥㐸㈵戲搹㑣㍣挲㜰ㄶ㥡搷昵㈸愳㉤㠸挸ち㔷搵㥦慡〶慡づ㜲㔵ㅥ㑡ㅤっ㤵㄰晢㙦ㅣ〶㈷ㄱ㐸攳㉢搴㉣㌲〸㈲ㄴ昹㈱ㄴ搴㔹㠳㤱っ㜰㌲㘱愸㑢㥤㑣〴㥡㜲户㜹㠸戱愲搷㐱愶㝣㤷㔰攷搹つ㠷㐱㉦摤戰㍥昴㕥㌷ㅣ〱慤㜴挳㍦搱㈸㙦ち㍥ㄴ㤰敡攳晢慤挰㙥㌸ㄲ㤶愴ㅢ㌶㐴㘱㜴挳㔱㐸㑢㌷㙣㠴戴搳つ捤㔱㍢摤㘲愷㥢㕢㜲戹收㘴㌲つ扦㤱㈸攴敤㘸㈱㠷扥㐸㈴㕡㔲搶挶ㅥㄴ户㔱㜱㍢㥥㙢挹攳慡㤵㡣愶戲㤹㔸ぢ收㜹㠵㘸㜳㉥㠶㔳愲㄰㡤㌰㈲㐶扡㘱ㄳ㤴搱挳㈰㈲挷戸慡㑤愹摡㡣慡㘳㕤ㄵ〱㥡㔰㜵㍣㔴搲つ㉦昹扢㘱㈴昳户㠰〸㐵㑥〰〰㍦㌵㥡㤳〸捤㈹㠳收㉣㈱㜲愲慢ㅦ㐳㙣㍢ㄱ㑢㐹散挹搰ぢ戱㕢搱㍣㌵晣㍤ㄵ㕡㈱昶㡦㍥㘲㌵㘷㘷攲㝣晦㄰挸攱㘹㈸㈴ㅣ㌶挲ㄴ㌸㍣ㅤ㘹攱㜰㕢愴ㅤづㄳ挹㍣扥㑢㤶捡ㄶ搲改㘴㌲㥢捤愶戳昱㜴搴㑥㈵昰㜴㌱㤹㐰㠶ㄵ昵愰昹㘴扣㤰㘹挲搴㍢㙦愷㤳㠵㡣㥤挹㌷挵愳挹ㅣㅣ㐹㍣㕢挰愷挵㈳㘷ㄸ昳㍡㠶㌲㍡づㄱ㌹搳㔵ㄵ㈷㘲㘷戹㉡〲〴慡捥㠱㑡㌸㝣摣捦㘱㥡昹㉤㄰愱挸戹〰攰愷㠲挳昳㕣晤〴㘲昹捥㍥昹㤸愴晡〹昴挲攱㈴攸㍤づ㉦㠰㔶㌸扣摦挷愱搵ち㐸昵挱㜹㙦㈰戱ㄷ挲㤲㄰㍢ㄵ㠵㐱散㐵愶ㅤ搶㌴愴ㅤ㘲攳戱收㌸收㔶戱㘶㑣愵㜰㠹挲㙤㝦㈱㥤攳搳摢㔸ㅡ㘳㌱ㅦ户愶㝢搰㐲㌲㤶换㘶昳戹㍣㥥〶㈷㘳〵㕣搴㕡㌲㉤㤸摤ㄶㄲ戹㜴づ㤷㐳㙢㠶〷戵昱慣㌷摡ㄲ㑦㘴ㄳ㜶㜳㌲ㅢ捦㘵戲昹㔴㔳㔳戶挹㑥攷ㄲ搹㘸扣㈹㜲戱㘹㠹㥥㠹㌲㝡ㄶ挵㡥㄰㤱㑢㕣晤㑥㔴捤愶搸㤹晡㑢㕤扤攰〹㤵㐲敡ち攸愵㑢㙥㌶㕤㈲㈷挷㍣收捦㠷〸㐵慥㜴ぢ㤶摤㌵㕥攵敡㜷㈷㤶慦つ㤴㙦㙣慡㙢愰㜷㙥晢慦㠲挵攲㙤晦摥戴㠶摢晥㙢㤱㉦户晤晢㐰愱慥㐷㑡㍡㜰㕦愴㔸㌵㝦搵㡤慥㜶㍦㘲愰㐱ㅡ愱㝥㤰搲慤㤷晡扢㜵㝦㐰慡㜷敢挵㐱摤慡㙥㜱敤㘷㔱搸扢敤扦ㄵ㕡改散ㅣ戴㍡㑦㘱㔳ㄴ㈰㜰摢晦㌳㔳挸㕡㡣戴搳昷搱㥣ㅤ㑢攵㥢㜰戶㐴㜹ㄶ㘵戳捤戸㡢㡣挷戲愹㜴戶㤰㘸挲搵昴攷㙥㐵㑢㔰㈶㜲㥢㥢㙡㘳㑡㐲㘴㜰㕣㥡㜹攱㕦㈲敦扦㜳摢㝦㍢㉣攳愷攲㥣扡挳搵㜷愲㝥㝤〴ㄱ晣㘳㤰挸㥤〴㜳攷㉥㜷攷㙥㜷攷ㅥ㜷攷㕥散㜰㥥慣㌹㑦搶㥣ㄶ㙢㑥㠴㌵㘷扥㥡㜳㕤捤㤹慤收㘴㌶㜲㥦挱捡〴昶㔸ㄴ戲㔶愱挲㙦㌱㠱挵㤲晥挱㙣敡㡦㘰挳㤹挰㐶敥㜷ㅢ昴㠰扢昳愰扢昳㤰扢挳㤰ㅣ㤹搳ㅦ㠲挲㤵㜳晡㐳愱㉤㥢搳ㅦ〶㔵搹攵搱㍡㥣戰搲㌹晤ㄱ㔰〵㕣㙥㡦㠴扡昴㜲㝢ㄴ㌴㈵㜳晡㐷㑣㤳㠴㤲㤳㐸挹㌱㠰㈴搶㝥㑥㥦搲挷愲愰㝣〷搶㑣改ㅦ㠵㘹㌹愱㡥㐳㠶攷ㄱ㝦つ慤㥣㍡㉢㝤愷㑥㜱㑡扦㈲攸㉣㠹㍣㡥㐲㜲㍥㥣〴㔳㜰㝥㑦㈰㉤㔷㤵㤳㤱㜶㑥〰㍥㡦㡣㌵㘷㜰㥤㑤挵㤲㍣〳㤲㜶㍥㡦㈷㤹㉤㜸〸ㄳ㙦捥㌷㔹愷㜸搰㘴㌶挷㠵㉦㥣㈱㉤挹㘴㔳捣㠶ㄷ戳㤳㉤戸晥愴㘳昱㤶㜴㌴ㄵ昹㡤㌱慦㑦㐵ㄹ㝤ㅡ㐴攴㐹㔷㔵㥣搲㍦攵慡〸㄰愸晡ㅤ㔴攲挲摡㜱ㄸ摥〴改㙣收㥦〳ㄱ㡡晣ㅥ〰晣㔴捣㍣㥦㜱昵㍦㈱㤶㉦㌵㤴慦摢慡㘷愱ㄷづ㉦㠴摥攳昰㌹㘸㠵挳慣㥦㐳㑥㜹攴捡扣㝦㈰㠷㝦㐲㈱攱昰㔲攰挰攱昳㐸ぢ㠷㤷㈱㙤慥捣捤昹㘴挲捥㘷㕡戲㘰㉥㥦挹㘷㜳戹㐲㍥摤㠴搵㍥㍣㐱㑣攷愲搶攵ㅥㄴぢ㠸㠵愶㘴㌳愶敡戹㘴㌲ㅦ㑢㘱㈷㙥挷愲㜸㈶㥣挴愵愱㌹ㅥ㜹挱㤸搷㔷愰㡣扥ㄲ㈲昲愲慢扡㡡慡慢愹晡戳慢昲㔰敡㙦㔰〹㠷ぢ晤ㅣ㕥捦㈲㌷㐰㠴㈲㉦〱㠰㥦ち㉦昲戲慢扦㠵㔸扥〸㔱扥摣慢㕥㠵㕥㌸晣㌹昴ㅥ㠷晦㠰㔶㌸㥣敤攷㤰㔷㘶攱㜰挷㐰づ㕦㐳㈱攱昰㜶攰挰攱敢愶㑡敢づ愴ㅤづ㙤㍣㌵㙦挲㙤㘴ㅣ㡦晢㤲愹㙣っ〳㉡㤷㐹搹㜶ㄴ㍢㔸㙡㑤㔸㜷㝡㔰っ㌸㝣㐴㌷㤶㐸ㄶ㥡昱愸戶㈹㐵㐶戳㜸〴㠲㔹㝥㉣㤷㘸㐹㕢㜷㜹搰〴挷㘶㉣摥ㅣ㙢㘹戲㤳㔱㕣搷㥢愳愸㈷搷搴搴㤲㐸搹㜸㙡ㅦ㜹挳戴㐴摦㡤㌲晡ㅥ㡡㝢㈱㈲㙦扡晡戲㡢昰㕢慥㥥愸㘲㈱昵づ昴挲晥昶㠶㝤づㄱ晤㉢㠲ㅥ㠵挰ㄲ愸㕢戰散㈲晣㥥慢㝦㠲搸㑢㔹敡ㄲ㠸挸晢搰㜳㡢㝣攰敥㝣攸敥㝣攴敥㝣㡣ㅤ昱攱昴㡢㥡㙥㔰搳昱㘹㝡㍡㑤摦愶改挹㌴㥤㔷攴㕦〶㉢づ敢㉡ㄸ戶晥〸昵户昱攱㈹晤ㅣ慤㕥つㅢ挶㘳㝤〲摢㌲㔲㥥㐷㠶㌷㔲㍥㠵㔶㐶捡ㄸ晦㐸昱ㅥ㐲㡣づㅣ㈹㥦愱㤰㡣㤴扦挰ㄴ㐶捡攷㐸换搹昶㔷愴㥤㤱㠲扢戱㔸㜳㈲㤶户敤收㕣戲㔰㐸㘷㔳捤㜸扡㤵㙥挱摢㠶愲昱㜴慡挵晡㥢〷㡤愶昲㤸㈲㘷搳ㄸ㉦改㘴戶㄰换㐶㌱㔷捥㌷㘷ち昹㘴㈶搵㤴戴㈳㕦ㄸ昳晡㈵㤴搱㉦㐳㐴扥㜴㔵㐵㡦昵㤵慢昲㔰昲㑡づ改敦㑤㑣㝦〳㔲愳㕦愷㤵㌷㈰㐲ㄱ㠵ぢ愷攸捡晡扢搶搵晦㤳搸㥢㔸㡡㙦㙤㔴㜵搰ぢ㠷敦㐱敦㜱挸挰㈶攱㜰㥤㐰づ挳㠱ㅣ昶㐷㈱攱昰㈳㤸〲㠷つ㐸ぢ㠷ㅦ㈳敤㜰搸㘲摢㐹㍣㤶㉤挰攵攳㔱㝡㥥敢㔰㈹摣晤收戳㜶扣㌹㥥㑢攴慤㝦㜹搰㔸挱㡥㈵㥢㔳㤹㌸敦挷ㄲ㠵收㑣㌶摤㕣挸㈵昰搰㈷㤷㉥攰㠴㡢㘸㘳㕥晦ㅢ㘵昴㈷㄰㤱㤰慢㉡㜲㌸挰㔵ㄱ㈰㔰㌵ㄸ㉡攱戰摥捦攱㤷捣晦ち〲敢㔵〰〴㜱ㄸ㜱昵ち㌳㍦昹㠶戵㝣捤㕡慤ぢ扤㌳㜱晤昲㌳晦挴戵ㅥ㌰㔹慦㐲扥㑣㕣㉤㈸搴㄰愴㠴昱晥㐸㤱ㅦ晥慡つ㕣㙤〳㌱搰戰〱㙡㘳㔷慢愱挵㡦晣㐶㌶㠱㔶㠸づ㐱愵〷㔰っ愴ㄸ〴挱㔵㈶㔳挸ㅡ㡣戴挳㝢㈱ㄷ戵昱㜸挱㙥㑡㐶㜱㙢㔱㐸攳愹㑤愶㈹〳挲㌳戹㙣㑢㈶摡ㅣ㤱戸㈴搸搷㘱㤴㠹㌰ㄲ㐹㥡ㄸ㘱㑡㐲㤲摣扣昰㜰攴晤㜷愶㥢㈳㘰㌹㠸昶㤱慥㝥〸㕡㈳摦晢搶㝣愱㘴㘴ぢ攸戹㐵㐶戹㍢っ㘴ㄲつ㠳㤹㘴㘷っ㜶搶搴㔵㡤㌵㔸㜱㔵て愰戸㌵ㅣㄵ㝥ぢ㔷ㄵ㑦改ㄱ㙣敡㠳戰㘱愶㥢㕢挲戶㜴搹ㄶ挸ㄸㄴ慥摦〶改敤昸㕡戲ㅥ扣昲慤昲㡢捦扥昰㤳㜱㜸敦㐴挹㠷愸愷攱挳搲慢㌸㘶晡攱㑤㔶捥晢㥦敡㙡挷㝦㍢㕢㝣㑥扣㈹㑣昱户晥㉦ㄸ扣晦〳㍢ㅣ㌰挵愰㉡㕡摣ㅣ扦㝡㌴づ戸㍥㡡挳つ㝣慦㠵ㄳ㤰㌳ㅦ慦昰戲ㅢ愷戴愶ㅡ晤㕦㐰㐶挱㥡㈱ㅤ戳㝡㄰㤸㠳敦ぢ㉥攸㥡㉣㙦戶㘰挴搸㍡㙥挰捥㌸昷晢挸愳㡢ㅡ昷戵㌱㙥戱㌹摤㕥㌹㝣㙦ㄸ〱㕡挸ㄸ挷慦㈹て㈹愶㝣敦捦摡愴愸挵摢㠲昰づㄳ㍢敦㕡散㐱昸㘳㕤㙤扦㡡て昵㐹搰捦搴慥づ㝣㜶戵㤱㉦捣愲㌵㝣晢㝢㔶㥥〴㙣ㄲ昰昶戰搶戶㕥㜹晢摥㌰攴㉢摤〸㜲慣㌱㌸㕡㙢挲愸㍤㐶挵㕡敡㥦㐷㐷㤴扦扦愱㙡ㅤ愵戴戳㐶㥥㐳昸㥡ㅥっ㉡〶㜹㤱㝢愵户㘵㈵攳㥣㑡㘶愱ㄲ昵㉣㉡㘱㐵ㅣ㐹㈱扤つ搱㜱㘰愸ㄲ搷挳㘰㌰㌷㍦㥣㐲〲慥㔱摣て晥㜳㌷昷ㄵ愴㌵㤳ㅣ㑤㠳昹㍦㌲㈹㥣㜶㑢散慢㐶㥣㌹戹晥攵挳换摦挰敡㤴㐸㑥扡晥㍡㙥㥦㑦㔴㡣慥ㅡつ慤㝣攲捦昷㌵㤴摦愲㐵㉦攲搳㜹ㄵㅦ摢㝤摡㘴㤴㝦㙣㔷㑤㠲㈵㜱㕦〹ㅥㄵ㑣昲㌷㌲ㄹ㕡㙥慡搵捤昶㌴搰㐶愶㐲㑢㠴㙥㐲㈱挴扣捣㐴愲㠱改㘶愴㜵㡡㈲㑤搱㐲㌱㥥㘲㍢㠸㐱戵㙡ㄶ㠰㍣㥤搵㈳㘸て捦㈱ㄹ昶ㄳ㤰愹㜶㠶扡㜸㐸挵㤷挴摥㕦敤㤰敥㌳ㄹ攵㕦㉣㡣捣㠵㈵昱ㅦ㔳㔸㘹㔸㌱㤸㐴㉡扤挷㕦改㌴㔶扡〷戲㥣㍥摦つ㝢搶っ攸㌰戰㈶敦㌴㉡愹敥〰搸敤㘰㝣㈳㡤攸㍤㍤昴㐲愲㜷㌲攸搹㐰摦㘶搰搰㘳㠴散㑣昴㕥ㅥ㝡㜷愲攷ㄸ昴㡥㐰摦㘲搰捥㜸摡㤵攸扤㠱㘱㜵㌴愰ㄸ㐷攲搶慤ㄸ㑦挲〴挱攱㉣ㄲ㠰慦昹攰〲ㄶ摢晡㤳挲㌹户㘴㥦㠳散攵㘳㈷㐹㠱㥡ㄳ㥣晦㈷㥤㌶㐹㉤㐶挹㘲捦ㄴ摦昵㝣㍤ㅡㄵ㌸搸慥㌳ㄹㄵ㥦㔱㕣ち㑢㌲搸㜶攷㈱愳㈲昹㙤㜷戵㝢昰挸㡣㌶搲〱慤昴攲㥥搰敡扤㈰〶つ㡥㜴扡捡扤㤹づ㐷扡摤昴㍥〴敤㑢戱ㅦ挵㈲㡡晤㈹㌲㄰㠳㐲㡡㌱㈶㌲〶㉥㐲摢㌸昰ㄸ㡣㠷㡢㤷㘲摣㠹㘴㕣㘸㌲〶㌳〳㠵戸㝤晡㡤㕡敥收㕦㘰昲昹晡㉥㕦晥ち㌷晦愷㈶㝦㤳搲晣㤵挸㜷㐶搸㐱搸戳ㄶ挳㌲㐷搸愸愶收晡昳㔰㈲昰㙤扥挶㍤攲攵㔲慥㝦㥤搶戹扣㠳㕣ㄵ慦ㄹ㍣㜱戸㠵㜴ㅢ㑣慡㔵㌰㑥㝢㔴㈹㐶㤸ㄴ㍢慣㜸㉡㥤〵㐰㘰㠷㥤㘹㌲捡㍦攵ㄸ㌹ㄲ㤶愴ㄳ扡㐸㘳㔸㌱㠶㐴搸㍡ㅤ㈵扣昳昷㐰戶攰〴㘴㌹〷捡挰ㄲ慢〷扡晥㌸搰ㅤ㐷挵㤲敡㘴愰摤㈱ㅣ搲换〹㍦搱㠳ㅦ㐷昸㐱〶扥ㄳ攱挷ㅢ戸攳㥣㔷ㄱ㝥㤲〷㍦㥥昰ㅦㅡ昸㙣挲㡦㌱㜰㘴㠰㡥㐳〹㍦ㄹ晢慣㤰㉡㜵㡡㐹㠸慢㍥搵㈴攴㙣㘲㡣〸攰摦攲㙣㘲㘰㠹㤴㕣敢戳改㍣㤴㉣㜶㑥昱㙣㍡ㅣ捤つ散㥣挳㑣㐶昹ㄷ㈶㈳㍦㠵㈵改㥣愳搱ㄲ㜴捥挵㐸㑢攷ㅣ㠲ㄲ㕥攷ㅣ㑢㍥㉥㐳㤶搳㌹㤷㘰捦㍡づ㍡㡣挲㔹愳攲㔱戵ㄲ攰㘲摦㥣㐰㌴㘳㍡ㅣ昴愵㐴㥦攴愰昷㈰扡搷愰㥤慥㌹㠵㘸慥㐵搰㠰搰换攰㄰搷㕡昸㕡㈴敡搷㠶摥昰㜵㙥㠹㙡戴㍡慦㘷㝢㘵㘲㘴ㅤ㙥㘷㑣㔴㌷愱㐴㄰㥤㕤㘸㔱㈰㥤㥤㈶愳晣〳㤵ㄱ挶㡤〸㥤㘷攱愸㐰㈷攳㍣㠴捥㜶㤴昰攸㍣㥢㠷㝣〷戲ㅣ㠲㝥㠹㍤敢㕣㠷愰㥤㐷㈵愳㙡〹挰㉥〱㈱㝤㍥搱㜷㝡攸摢㠹晥愹㠳摥㡢攸扣㐱㍢㜴㕥㐸昴㕤挰㜸㜴摥㙤ㄲ㌲㕡敦㐷㘲敤攸㝣挰㉤㔱㡤㑥㜴づ戶㌷㈷づ㜱改㝣〴㈵㠲攸㕣㘴㔸慢㤸㔸散㘷㌲捡扦㙦愹㝥㔷㘲㘹〵扣㤷昳㍤㤹扤慡㔹摡搳㘴㤴㝦挰㉥昲っ㉣㐹挷㕣〳㝥搰㌱捦㈱㉤ㅤ戳㍢㑡㜸ㅤ㜳ㅤ挹㝢〱㔹㑥挷晣〹㝢搶つづ搵搳㐶㈵㤲㙡㍥挰挵㡥戹㠹㘸挶㉢㌸攸攷㠹扥挵㐱㉦㈴㝡㡥㐱㍢ㅤ昳㌳愲晦っ㡣搷㌱っ㝣㜰慤㠵㕦㐶㘲敤㍡收ㄵ户㐴摦ㅤ戳愷㤹昱㠵㈶㈹挶㐳〴㜵捣㡥㠶戵㡡㡥㤹㘵㌲捡扦㝦ㄷ㜹ㄳ㤶㠴捥㍢㜰㔴愰昳ㅤ愴㠵捥ㄹ㈸攱搱㜹ㄷて㤹㜱〷づ㐱敦㘲捦扡〷扡㝡捥扢㤳㙡㑡〹㍦昷ㄱ晣㠱〷㝥㡦攰〷ㅣ昰㉣㠰㈷ㅡ戰㌳摤㜹㠸㘰〶㌹㜸㘴㝥㘴ㄲ㌲捡㍦㐱㘲敤挸晣㡦㕢愲㑦㌲㡦㤸㕥㈴昳ぢ㤴〸㈲㜳扣攱慣㠲捣ㄶ㤳㔱晥昵扣〸愳㈶㠴捣㕦攳愸㐰㘶㉤㥡㉥㘴愶㔰挲㈳昳〹ㅥ㜲㍤戲ㅣ㌲ㄹ晡㘰㍤改昰戳㄰晣㈴っ㍦捥㘰㝢㥡㘰换〳搷ㄱ晣㍢〷㍣つ攰㙤つ搸㈱昳ㄹ㠲晢〳攲㤱搹㘰ㄲ㐲㈶攳ㄷ昰戳收ㄷ戸㌰㠳ㅤ愴㐴摦㘴㑥㉥㤲挹㐸㠶搱愸愳晣㕥㘴㉢挳㔹〵㤹㕢㥡㡣昲捦敦㐵ㄸ晢㈰㘴㍥㡦愳〲㤹㡣㔵㄰㌲挷愰㠴㐷收㡢㍣㘴〶ぢ㌸㘴㌲㠰挱晡ぢ㜴戸愰㑤ㅢㄵ㙢㔲㕢㤴㄰昴㌷愲㠷㜹㘸挶㌰㔸㉦㍢攸㠵㐴㙦㙥搰づ昷慦ㄲ扤㈹㌰ㅥ㥤㥢㤹㠴搰㌹ㄲ〹晣慣〵㥤っ㕡㤰ㄲ㙢㑣攷ㄸ挰㐷〷搰戹戱㘱慤㠲捥㡤㑣㐶昹搷晢㈲㡣㜸㄰㍡摦挴㔱㠱㑥㠶㉤〸㥤ㅢ愰㠴㐷攷摢㍣㘴㠶ㄸ㌸㜴㌲㤶挱㝡挷㈱㘸搶愸㐴㔴慤㘷〸㜲挶摢㝢㐴㌳搴挰㐱㌳㥣挱晡挰㐱敦㐱㜴搸愰ㅤ㍡㍦㐲㑥㤸㠱〷昸㔹ぢ搲ㄸ愵㈰㈵慡㤱收扣愶敦戹㠹敢戹㤷慤〹㠰㡦づ㈰㉤㘴戸愹㈰㑤㥢㡣昲㑦晣㐵㈶挱㤲㤰昶㈹摡づ搲愶㈲㉤愴昵㐷〹㡦戴捦㐹〳搷昸ㅤㅡ愶㘱捦晡ㄲ㍡捥㜸㘷㜳㥥搴捦昰〰昷㠰㌹改搷㠴㌳㝡挰㠱㑦㈷㥣㡦摡㥣〹㌲攰摦㝣敡扦㌸搵㈲㑢㌱㜸挰㠱捦㈰扣捥挰㜷愲昵㉦っ摣㘱搹㈲㥣㙢㈰ㅣ戴慣㔰㌱㈰挱ㅢ挱っ㑣㘰㐲㐶㌰㐳づ搰㤸㌵敦っ㘰戱攱晥㤱㜱ち㔲戲㕡愷〸昰昴敢㈶挹晦㤳㙥㜶晥晦昴搶㐹㡡愱ぢ愳愱㉤㜷㄰㥦攰㈸〲愷㘸晦㌶ㄹㄵ㕦ㅥ㘴㜴〳㙦㠳昴㐰ㅥ㌲㜶攴㜷ㅦ㔷㍢〸㕡㙥搴㐶昶㠵㔶㍡㜲㌰戴㍡っ㠱晢挷晤㕣㘵㠴改㜰㈴敢愶搷㈱㘸㕤㡡昵㈸搶愷ㄸ㐲㌱ㄴ〲昷㡦っ㔶㤰㘱昰ㄶ摡挶㘱攰摥㍦收摤㡣㌷㑤㐶搹晤愳敤收扦㘱昲换敥ㅦぢ㙥晥敢㈶扦散晥㤱㘱ぢ捥㌰㔸㡣㍤㙢ㄸ㥡㈳昷㡦捤㔱昵㜷㤴㌸て㑤攱㈱㠷昴㘶挸㔱っ㜹㜰㔵㡡ㄱ〷愳㤱攷昰㕥扣つ晣ㅢ捡〵昲晥㔷㤳㔱昱ㄱ㐳〶〴ㄴ㉤ㄵ攷㜲㉦㔴戳昴扣挹愸昸㌶攰戱㔵㉣㍤㕢捤搲ㅦ㑣㐶昹㘷昶㈲挷挱㤲昴㙦㈳㝢㈸慣㑥㐲㕡㝡攸昷㈸攱㥤愸㔱戲挲愵㙥㠷㐳慥愹㕢㜱㠷㐳㕣㑣㥢搴㔳〰扢㈷㐷㐸㈷㠹收㤲户㠳收戲扡搵散愰㜱㥤㙥㔲㡦ㅢ戴㜳摥愵㤱ㄳ收〲㌸㝥搶晣㠴ち㥦攳㤶愸㜶㈲㙤戹捦㘹て晤㝢散㍢挵㐹㌹ㄷ捥㐷㝢ㅤ㔹扣㘵㝣挴㜰㔳攱摤ㅥ㌶ㄹ攵摦攲㡢㕣〸㑢㐲摡づ㘸㍢㐸扢ㄴ㘹㈱敤㐱㤴昰㐸㥢㐴ㅡ戸㙡敤搰㜰ㄹ昶慣㔶攸㘴敥搷愲敥㉤㘱㘱㉡挱㔷㝡㘰㉥愳㕢搳ㅤ昰慣㔱㉤敡㑥〳㜶㉥ㅦ㌳〹扥ち㄰㜲㑥ㄶ搵搵㈶㈱摥改㝡㈴昰戳ㄶ㘴㜲搹㕣㑡㔴㈳ㄳ搶戰㡤㥡㈴晦攱㉢㥡㡡㉢攸愳㤱㉡昷㐶户ㄹ捥㉡挸晣戹挹㈸晦㤲㕦㠴㙢敥㐲收㉥㌸㉡㤰挹㠵㜳㈱昳㔶㤴昰挸㥣换㐳收捡戵㐳㈶㔷搳慤㜹搰搱昷攳㘹㐷㔴摤㘸ㄸ㜲〶搵〲挲敦昱攰㕣㔱户ㄶㅡ㌸㥥愵㐴搵戵〶敥㄰扡〷攱昷㝡㜰慥慡㕢㝢ㄹ㌸ㅥ㡥㐴搵㤵〶敥㕣㠸昶㐱㔶昸㔷〴㠱〱晥晡戶敡て愸ㅤ㄰慥〱㡦扡㈵晢㘴㍢攸ㅡ挰㤵昳搱戰㔳捥晡㈵㘸㕥愰㉦扡搸㘴㔴㝣㍥㤰ぢ摢㐵㑢㐵㕦昴搳㙡㤶㝥㘲㌲捡扦挴ㄷ攱㑡戸昴摦㘲戰㠲晥晢ぢ搲搲㝦攷愱㠴搷㝦㙤㘴㤸㡢捡㑥晦晤ㄵ㝢搶㔲攸攰㠵ㄷ㡥㡡㌷愹ㅦ〳散㡥收㤰敥㈰晡㘵て捤㘵㙥慢换㐱㑦㈳晡㜴㠳㜶㝡敦㐰攴㠴㕦〷〶㍦㙢摥ㅤ攱㌷摣ㄲ㝤㜶挳愴㉥㌳㐷㡦㑥㔲㕣挸ㅥㅤ㐰晦㐹㠶㥢㡡㐱㝦愲挹㈸晦㕣㕦㠴㑢摦㐲摡㐱㘸㍢㐸攳晡戵㤰㜶㍣㑡㜸愴慤㈲つ㕣㙢㜶㐸攳愲戶昵㐳㡦〶㍣戲㉢愱攱㔰愲戹收散愰戹慥㙤ㅤ敥愰㐱㜱㔲ㅤ㘱搰捥ㄹ㜲㈴㜲挲㕦〲㠳㥦戵㈰敤㉢户㐴㥦愴㍤搰㍤〹㔶戱捤㥡㠴㉦ㄱ〴㤳昶㐳挳㑤〵㘹〷㥢㡣㡡㙦晡㜱㜱㕢收㉤挷昱㐸㘱㕤㝥㘵㠵ㅢ〹㝤㍣戴摣㘴摥搲ㅦ㔸㈱昸〴㘸昵㠹㄰㤸户昰㠱戳㈸㑦㘲㍡ㅣ搱㙥晡㘴㠲㑥愱㌸㤵攲㌴㡡搳㈹捥㠰挰扣㠵慢摥搲㍤㥤㘸ㅢ扢挷㥤户㜰㈵㕣㌲㍡㑣㐶搹扣㠵㡢攴㤲摦㙥昲换收㉤㕣㍦㤷晣愵㈶扦㙣摥挲戵㜱愷㍢戹戲㙥㥤㡢收挸扣愵㈹慤㤶愰㠴㍢㐹挱㈳㌲攴㈸慥㥤扢㉡挵愵敢搱愰愳㝣摥㤲㐳戹㐰㕦㤱㌵ㄹㅢ㌶㍤ㄸ扦㜷昱挰搹㌷扦搸晡摥戵㤷敡㔵㡡㉢换㐵㑢㐵㕦戱㕦㌵㑢晢㥡㡣㡡㉦敦㜱㈹㍡昰㔹扤㝣㐰愷㔱㍥㜳挳搷㕦搸㍤愲㈰㔹昵〵㉥扦づ㈸㌸㙡慥ㅥ换户㔴摡攵㙤ㄷ〳昱愱慣敥愵㜶昷㙣㝣てづ㥦挷㥡摦搶㘱㕥户㠰敦挴昱晤昲敥愷㤸戴愴㔸搸㉡捣改挶户㤹晡ㄷ㘶昵攰捦愵昲つㅤ㜳㌳扤扤㜶㜷攷昷攱㐵〸〸戵愹愳㐷挳㝡慡㝣㡢㉦昰搵ㅦ㡦㈲㍢㜰愵搶愱戰挸㠷晢挵㠸㕡㝥㕦敢摢扤〶挱扡〲愳捡㝤㡢㔹摥昷挵戸㍡戵㌷扡搸昹ㄳ攵㈳㙡㘴敡捣愰ㄲ㝤ㄵ挷攷搵㄰晤㈶昷㜴挸㠹〸ㄱ搲搷㐰㈳慦搷ㄱ㔱㔳捦〵晡昲㠳攳换㔸愶昳攸敢て㙡换昷㉥戱㤶搸㙤㡢㤷昴㈲ㄶ㜵〰㡦搸摤敡戶㐴搱扥搶户改摣晡㜷㉣捡㜴㜷㘷㔶㌵㜴㉣㙡户㍢ㄷ昷㉥㘹㔸戴〲换昹〸㝢㐰㍢ㅡㅡㅡ昴㜵昸㥦㔵昱㔷㙤〳㡢戴慡慦昷㘹㈳㕣挷攵挵㕥摦〰敤愰㝥㡡㑢戴ㅣ扤搶㡤㐸ㄷ㍦慥扥㠲慢晢㍤戵㙡㥥㑢挷㍦攳ㅢㄵ改戸ㄹ㔸敢ㄶ㠸㝥㔸㠴攲㑢ㄷ改㥣㐲晡㔶㘸㝣㜴㈸㉥昷㡡ㄳ搸ㄹ㔶攸㕤挴㐳㉢㉥〰㡢㝡戶㔱慦㠳昲㈱㤵㜶搵㍢ㄹ昵㔰㔱㜳㤱㔸搰㍢ㅡ㌵㕦昹ㅣ㔲攳㕤昵㉣愳ㅥ㉢㙡㉥㈴ぢ㝡愶㔱㙦㈹㙡㉥㈱戳㜳慥㥤昸搶愴挳㈶㥤㌸㔹㜱敤㔷づ晢㑥戴搹晦㈲戶搲搱㌰ㅤ㔶㉡㐷挳摤㍣晣㝢㜸昸㈵愳攱摥戲挳㥦㘶㉡㐵ぢ㘴㔳戳愰㤰ㅥ戹ㅦ㐸慦㥦㜶㜶戵て昸戵㕣昵ㄵ散㠳㍥㙤㠴ぢ愳搲㝢て㐱㡢㤵昵㍤㤰愶攳ㅦㄴ㔱㕣〷㤵㈳㥦㘰㡥㥣昴攱㉦っ搵㕥㙥挶昶㈶㠳〴㌶㌴㈰っ攰ㅢ挵㜵㔲愱攱㔷戰㔷搹晢攳摤挳㉦改晤挷㠰戵㝥つ㔱散㝤摥㘱㍥づ㡤扦昷戹收㉡つ㙡㌲昵㍡扤捦㔵㔸㔱㈷㡤摡改㝤慥换㡡㍡㘱搴㑥敦㜳愵㔶搴㜱愳㜶㝡㝦㝦㔷ㅤ㌳㙡愷昷戹㥡㉢攸愸㔱㍢扤摦〶戵㜰昹㝢㌴搱攳㥤㙢㤶㜲散捦㐰㕢㝤〸㙣〳㔳㤵㐳攰㔹㤴戱晥〸㔱㍡〴㥥㠳挶捦〱㤷㍥㌹敥摣㑤㜱㜱㔳㥡昲㍣㤰㕥㔳戸㠶㈹摡ㄷ晣㕡㉥㔵㡡昶㐵扦昶㘸㘸愵搹㝦㠶㌶搸㠷㡤ち㙣昲㕦㠱户晥〶㔱摡攴㤷愰昱㌷昹㔸搸㉦㘹昲〹㙥㌳㕥〱搲㙢昲㈹慥昶㔵扦㤶㙢㘳搲戸扦㐳ㅢ摣戸㘱㠱㡤㝢つ㜸敢㜵㠸搲挶扤〱㡤扦㜱㕣㕥㉢㘹ㅣ㔷搰㠴愳户㠰昴ㅡ挷㤵㌲搱扥敤搷㜲㝤㐸ㅡ昷㑦㘸㠳ㅢ户㝥㘰攳摥〵摥㝡て愲戴㜱敦㐳攳㙦ㅣ㤷㤸㑡ㅡ挷㔵㈴㘹挶㠷㐰㝡㡤攳㙡㤱㘸㍦昲㙢敦㜰ㅢ昷㌱戴挱㡤ㅢㄸ搸戸㝦〳㙦㝤〲㔱摡戸晦㐰攳㙦摣㕤攵㡤攳愲㡣㌴攳㌳㈰扤挶㜱昵㐵戴㥦晢戵㕣扤㄰收扥㠰㌶戸㜱㜵㠱㡤晢ち㜸敢㙢㠸搲挶㝤〳㡤扦㜱㕣〰㈹㘱㡥㡢ㅣ搲っ㠵戸㈱慦㜱㕣捤㄰㙤慤㕦晢扣摢戸㝥搰〶㌷敥换晦〴㥤挳昵挰㕢ㄶ㐴㘹攳晡㐳攳㙦摣㡢攵㡤攳㥡㠱㌴㐳〳改㌵㡥㙢〳愲つ昹戵㝣戶㑥收㌴捦搶㍡昵慦挰㠶っ㘲㡤㍣㌳㡢㌳㡢㜰㔹㈳昸ㄸ扥㠴㈱㍥㘹㤷敡搶昱㔷挷㈷敡愲㕤搷慦晤ㄴ㕡改扥昵愰慤敥改摥〹㙣摣㄰㤴戱㠶㐲㤴戲戴〱㌴㝥㤶㍥㉦㙦㈰ㅦ㙡㑢㔳㌶〲搲㘳㠹捦慥㐵扢戱㕦换㐷搴愲摤挴愷㡤昰㈹慥㕣散㠶㐱㡢㡢摤㈰愴捤挵㙥㌰㜶挵搱晦ㅤ㙤收捣挲扤搸㠵摤㡣㔷㑤㠶敦㘲ㄷ㐱㥥搰戰㌹散㔵㕥散㕥㜶て扦攴㘲㌷〲㔸㙢㈴㐴改挵㙥ぢ㘸晣㠷扦㡥㕢敦㥦㑤扤捥挵㙥㕤㔷晤愲㔱㍢ㄷ㍢㍥㐴㤶收扦㘰搴捥挵㡥㡦㤵㐵晤扣㔱㍢ㄷ㍢㍥㘸ㄶ昵㥦㡣㝡㉣㐶㑡㐸つ㜵搵捦ㄹ戵㜳戱摢っ㙡攱㜲ㅣ㥡攸昱摥〸慤㡣㐳晡扥㍡昵〷ㄴ愹扣愸㌵昲愰攸攷㡡攳㌰㕡㜶㥣㔱攴㤶㡣㐳㍥ㄳ㤵敡攲晥敡昸散㔳戴〹扦㜶〷㘸愵〳㤲搰〶㥦愹扦〹㙣㔸㌳昰㔶ち愲㜴っ愶愱昱㜷〲ㅦ㑣㤶㌴㡥てㅦ愵ㄹ攳㠱昴戸攰㔳㐶搱㙥攷搷敥攲㌶㙥㝢㘸慢㥦㈴て〷㌶㜰〷㤴戱㈶㐲㤴㌶㜰ㄲ㌴晥〶捥㉤㙦㈰ㅦ攷㐹㔳㕡㠱昴ㅡ挸愷㜶愲㥤攲搷昲攱㥣㘸愷晡戵㡢愱昵㜵散㕤㠱捤㥢挱㜶㤴㜶散㉣慡昸㘶㔰ㄱ㔸ㅡ㠰㥤ㄲ敥㍡摣敡㜶昲㔷㜷愰慢㥤敤搷昲㘱㡦慦ㄱ㍦ぢ㙣挴㥣捡㐶散㕡搶㠸㔵攵㡤攰愳ㅦ㌹收昹晥敡昸㠸㐷戴ぢ㝣摡挸㜱搰㡡扢搸つ㕡戸ぢ㍥㌶㌱敥㠲捦㑡攴っ扡づ㉤昳扢ぢ㍥㍦㤱㡣㙢㑤㠶捦㕤昰㔹㡡ㅣㄴ攷挶戵敡㙡昷愰㑡摣挳㕥愸换摡ㅢ愲搴㍤散〳㡤㥦㕤㍥㠷㤱㝡㉥㌳昵㌸敥攱ㄴ㔷㝤愹㔱㍢敥攱㔴㔷㝤㠹㔱㍢敥㠱㑦㙦挴挸挵㐶敤戸㠷搳㕤昵㐵㐶㍤㔶摣挳ㄹ慥晡㐲愳㜶摣挳昹㔰ぢ㜷㜹㌴搱ㅤ㜱昵扣扦㕤攳㥢㙦㍥㠷晡㤶慦攷戳㔱愹攲㕤㌳㙤攸㠲慦〹㘱摥扢㔲摢㐰㙡挲扣㘷昵㔲㡡昷慡㜲攴攷㥢㘳㤹挸攲㑢㘸㡣户愲㙣扤㙥㘳敡㔶㔳㑣ㅦ㠰ㄴ㝥攴㔷昱㝥㑤㌰㑢㠹攱㙤㥡㔴摦捥ㄴ㌰晣つ昳㤶捣慢㌰捣㕢戱㘲㡡户㘰㕥㑡昱搶㑢ㅡ㜳㤶扦㌱㥤㌴挶㍢㈳愹愸㡢㈹摥㄰戱㤸㕥㠶㤴㑢㜵昸昷㈵挶㜸ㅦ㈱㈵づ㘴〹摥㍥㐸㠹㙥㝦〹摥㉡㜸搵㠷㜹㡢㔰㑣昱搶挰㑢㈹㑥昱挵㕡て慤㜱㘶㉦搶㝡晤搶㌸㡢昷㑡㠴㌹㝢昷㔲㡡戳㜰㈹扦㥣攵㌹昹㤶昲㉢晣攵㌹搱昶㑡㠴㌹挱昶㔲㡡ㄳ㘵㈹㝦㄰换㜳㝥㉣攵㔷晡换㝦攸㉦ㄱ收ㅣ戸㔸㥥㜳㔹㈹扦㡡攵㌹㠵㤵昲〷晢换㜳扡敡㤵〸㜳㥡敡愵ㄴ愷㥢㔲晥㠷㉣捦㔹愶㤴㍦挴㕦㥥㌳㑡慦㐴㤸㌳㐹㉦愵㌸㈳㤴昲㠷㔲捤㠹愰㤴㍦っ㍢㕥晦㜱搲攷㤵〸㜳戲攷愵ㄴ㈷㜲㔲晥㜰慡㌹㠷㤳昲㐷㘰挷㉢捦昹㥡㔷㈲捣㜹㥡㤷㔲㥣㙢㐹昹㈳愹收ㄴ㑢捡ㅦ㠵ㅤ慦㍣愷㔳㕥㠹㌰愷㔱挵ㄴ愷㑦㕥㑡㜱摡㈴〳昵㔰晦㐰㍤㠶ㄸ捥㙡愴愲㘳㤹攲㘴㐶㉡晡ㄱ㜶扣㡡㌸㝦㈸ㅡ攳摣㐰㑡ㅣ㐷㌵愷〵㔲攲㜸散㜸㈵㌸〵昰㑡㠴㜹改昷㔲㡡㤷㜰㈹㝦〲搵扣㜲㑢昹ㄳ戱攳㤵攷㔵摡㉢ㄱ收搵搹㑢㈹㕥㘱愵晣㐹㔴昳挲㉡攵㑦挶㡥㔷㥥ㄷ㔱慦㐴㤸ㄷ捦㘲㡡ㄷ㑤㉦愵㜸㐱ㄴ㙢愷㔰捤㙢愱㔸㍢ㄵ㍢㥥㌵㕥昷扣ㄲ㘱㕥敦扣㤴攲戵㑣捡㥦㐶㌵㉦㘳㔲晥㜴散㜸攵㜹挹昲㑡㠴㜹愹昲㔲㡡㤷㈸改㥡㉥㝦搷㥣㐹っ慦㈸㘲晡㉣愶㜸㈱ㄱ搳㍦挶㡥㘷㥡扥扢㘸㑣㥣㉡晤捣搹㔰扢㕢㠴捥㔵搶〴捥挱㡥㍥ㄷ㘲搰攰㌰㕤收敥㠰搴慥㔴戹晤昳晢敦晦㘹戸㙥昸挶㜵㝢㑣ㅡ㜸晥换㑦扣㝡收戳晢㑣㜸攳换ぢ㉥㜸昶ㅦ㘷㍥昹攵㍤搹〹㡦㕤㜶搹㈳㍢㕥晣攴慢敢ㄶ㉥愹晤攵愷戳㉦㌹㈴戶昴㤰〳ぢ扢㙤㌵攳㤰㍤て搸㌵㌶㜷㥤㜱晤晡昵敦㍦㘶扤㕦㙦㌸㌶㜲挴㠱㜷愸〷㕦搸愰㔳㠹ㄷ㐶〵晡㍣搴挴㉤㡡摦㠸敢㡤昵昹㙣换㑦㈸㝥㑡㜱〱挵㠵ㄴㄷ㔱㕣㑣㜱〹㠴ㄲ㐷㡤㤲晡㔲愴摣㉤㐲㠷㉤㔷昸换戰㌳愸㕦㤸㍥昷扦㝡㌴攲挶搹㡣换㑤㌳㔸㝢㠴敥㕣㥡㜱〵㜶昴㤵㄰昸搳ㄵ昱摦㠴㕥㘵愰㙣㜵㠴㝥㕣㍡攱㙡㐲慦㈱㜴戰ㄲ攷㑣攸戵㝥㈸㥤戴㐰慦㈳昴㝡〷㉡㝥㤸搰ㅢ晣㔰晡㘳㠱摥㐸攸㑤づ㔴㕣㉥愱㈵愳㠰慥㔷愰户㄰㝡慢〳ㄵ敦㑡攸捦㤰㜶户挸挱㉥昴攷㠴摥收㐰挵㤱ㄲ晡ぢ㍦㤴づ㔵慣晥㤲搰摢ㅤ愸昸㑣㐲㑢づ㡢扥㔳愰㜷ㄲ㝡㤷〳ㄵ昷㔸〱愵㥢ㄴ攸㍤㠴摥敢㐰挵ㄳㄲ㕡㜲㔸昴㠸〲扤㥦搰〷〴ㅡ愶㘷晢慦づ〷㜱㤶㙣换㠳愸㠹㥢っ〷㍡㑤ㄹづて㘱㐷㍦っ㠱攱㈰㕥ㄲ㠸搲㘶搳㕢㑡戳㝦㐵攸愳㠴づ㔶㈷攰㍦㌹挵ㅦ挳㡥扢㐵攸ㄸ〵晡㙢散攸挷㈱〰ㄵ摦㐷慢㑦昸愱昴㠱〲晤つ愱㑦㍡㔰㜱㙣㠴㤶昰㐶〷㈷搰愷〹晤慤〳ㄵㅦ㔶〱愵㉦ㄳ攸敦〹㝤㐶愰㘱㝡愸晦㉡挵攲昴搸㤶㍦愰㈶㙥㐲㌱㥤㥦㔰晣㉣㜶昴ㅦ㈱〶搵㐶摣〳㔳㜴㜰攲㑣户㌲捥㔴㥡晤㈷㘸ㄵ摤㥥㘴㡤㌵㔹慤㌰㠹㠷攲ㄱ扡㈷㕡ㅣ㔴愷攸㤳〴㌳挶㕦晣㐵ㄶ愷愷㤲慣搱㈶换㤹戶搳㜷㠹㝡㤴㔱㍢搳㜶㝡㌳㔱㙦㘱搴捥戴㥤晥㑤搴㈳㡤㝡〳搴ㅢ㔲昴㜸愲ㅥ㘱搴㘳㐵㑤ㅦ㈸敡攱㐶敤㑣摢改ㄵ㐵扤戹㔱扢〷㐲〷挹攳挵ち〰扤愲㘰㌶㉢挳搰㝢㤹㠳愵换ㄲ捣愶愵ㄸ㐵㌷㈶ㄹ挳㑣㠶㤰昸ㅡ戴ㄱ搷愳㈹㍡㌱挱㙣散挷扣〱慤愲㙢㤳慣つ㑢敤㐶㕣㘷愰攸搶〴戱㠱扦昰摢㉣㑣㘷㈷㔹㐳捡ち扢㕥㑦搱搱〹㘲㝤㝦攱㜷㔹㤸敥㑦戲搶㉤㉤慣攸昱㈴㘳ㅤ㝦㤹て㔸㠶㝥㔰戲挲愵㘵㈲㜴㠸㠶㑤㝡㐱挱っ昶ㄷ晦㤸挵改ㅢ㈵㙢㘰㔹昱㕦㈰㠳㥢愲㕦ㄴ挴〰㝦攱㑦㔸㤸摥㔲戲㜴㘹㘱㐵〷㈹ㄹつ晥㌲㥦戱っ摤愶㘴㔹㘵㘵攸㈹㈵愳摥㕦㐶㐸愵晦㤴慣㝥㘵㘵攸㌲㈵愳搶㕦收ㅢ㘸ㄵㅤ愹㘴搵㤴㤶㠹搰攱㤹ㄱ㐴㉦㈷㤸㙦㍥㜱敥愵捤㐸㔴昴㝣㤲昱戵挹㤰ㄱ搴㑦挳㉥摤㥤㘴㝤改捦㤲慥愰ㄳ㤴慣捦㑢捤㐵攸つ㑤㔷搰〵ち收㌳㝦昱〶㕡愶㘳㤴慣晦㤴ㄵ愷㠷㌴挵改ㄶ〵昳㠹扦戸ㅣ㌰㥤愵㘴晤慢戴戸愲㝦㤴㡣㡦晤㘵愴挵昴㥡㤲昵㘱㔹ㄹ㍡㑡挹昸愰愲っ摤愷㘴扤㕦㕡㈶㐲㌷㘷㠸愵㙦ㄳ捣㝢愵ㄸ㐵㝦㈷ㄹ敦晡敤慥捦挳愷㤳攳㘴㌱愴攸慦㘴摡㌸㠴㝡㥥户㤲ㅡ捡ㄴ捦㔰〷挵㤱攱散昱摣㜱昶㜸㔰捥ㅥ〷户戳挷㤱敡散㜱晣㌹㝢㈴捣搹㘳㥦㜲㑦㙦㐰敢散〷㐷捦㈶㠹㝥㐳敡愵㈱㌸ㄹ昴㐶㐸㜱攳㜱㉡㘹㄰㜶昴挶㐶换ㅣ㈵㠶㉡戴㘲愶㕣ㅢ愱㌹愷㘷㈳慥㡤〱晦〷ㄱつ㌰㄰</t>
    <phoneticPr fontId="10" type="noConversion"/>
  </si>
  <si>
    <t>CB_Block_7.0.0.0:3</t>
    <phoneticPr fontId="10" type="noConversion"/>
  </si>
  <si>
    <t>㜸〱敤㝤㜷㥣ㅣ挵搵敤搶㙡户戵㍤ち㍢㐲㘴ㄱ㈴㈱㠱㠴〲㤳㠳㘰㤱㜶㤵㠵㔰〶〴㐲㉣ㄳ㝡愴㐵ㅢ挴敥㑡㐸㐴㈱㤲挱㠰㐹㈶㤸㡣〱㤳㑣㤲㡤挱㘴㥢㥣㤳〳改㈱㌰搱㘰ㄳ㙣っ挶㠴㜷捥敤戰㌵㌳㍤ち㝣晥㝥㡦㍦㕥㙢收慡敢搶戹户慡㑦㔵㔷㔷㔷摦敤愹㔲㔵㔵㔵摦㘱攳晦摣㙡戸戳挳晣搵㕤摤㔶摢搸㠹ㅤ慤慤㔶慥扢愵愳扤㙢㙣㘳㘷㘷㘶昵捣㤶慥敥㕥〰ㄸ捤㉤挸敦慡㙤敥㙡㌹搲慡㙢㕥㘹㜵㜶〱㔴㕢㔵㔵㔷㘷㔶㈳㝦㍢攷ㅢ㜴ㄳ㈶慤捣ㅡち愰慡㑣㠳愲㌷㐵ㅤ㠵㐹ㄱ愰攸㐳搱㤷愲ㅦ㐵㝦㡡㝡㡡㈰挵〰㡡㉤㈸〶㔲㙣㐹戱ㄵ挵搶ㄴ摢㔰㙣㑢挱昲捤敤㈹〶㐱昴摤〱㘲挱挴愶搹搹挳㜰㌴昳扢㍢㍡慤搱㠳昷户敢摣㄰づ㡦つ㡦㡤㐴搳攱戱愱搱㠳㈷慥㘸敤㕥搱㘹㌵戴㕢㉢扡㍢㌳慤愳〷捦㔹㤱㙤㙤挹敤㘳慤㕥搰戱捣㙡㙦戰戲愱㘸㌶ㄳ㑢㠵㘳昱㜸㈱㥤㑥昵摤ㄱ㥥㘷㑤㙣㥡搳㘹ㄵ扡晥㕢㍥㜷愲捦搹ㄳ㥢挶捥戲扡晦㕢㍥㜷㠶㑦戸㥣搴搱㤶㘹㘹晦㉦㌹慤㘵㥢挶㈷㔹戹ㄶ㌶扥㘵㜵戶戴㉦ㄹ㡢㙡ㄷㄱ㡤㔴㜲㙣㘳㔷搷㡡戶攵散㐷ㄳ慤搶搶㜹㔶㐱ㅡ扤㙤㔲㔷昷㥣㑣㘷㕢㔷摦㌶昲㘷㜵㕡敤㌹慢慢㝦摢攴㔵㌹慢搵〱㜶搵戵敤㥦改㥣㤵㘹戳㙡戸㔳摦㘶户攱昴扣搵摥摤搲扤扡㕦摢㝥㕤搶扣㑣晢ㄲ㡢㤰摡戶愹㉢㕡昲慡愶〶㥦慡㕥扢昹搵㑣ㅡち昵㘹㥢戸㌴搳搹㉤㈹㌶㘱搸て慢㜵ㄷ㌹㡡愲㝡戱㑢つ㉥戱㘲㥢捤㙦㘹摢挷敡㙣户㕡㔹〸㕢㜲㔴〹㐸〸戲摢挱㘳捡㍤ㅣ戶㤲敡攳㥣㝣㍣ㄶ㤶㘲っ㠶ㄸ㌱慢愳戳つㅤ㜲㕦㉢搳摥㄰て㡤㥥摦㥤㥦㘴慤㙣㠸㡥㡤ㄶ㙦㜱㜳〸搰收㔰摡敤〲搱扦慢愵㙤㐵㙢㠶搴㡦㡢㐷挶㤹挳㤸㍢ㅣ㐲搵扣㠲戳㕥㉦㡢㘷㕥㜵㜳愶扡㌹㕢摤㥣慢㙥捥㔷㌷㕢搵捤㠵敡收㈵搵捤㑢慢㥢㕢慡㥢て慢㙥㕥〶㡣扢搵昵敥㕤敤㙣挷捤㜹搵㌰㡦㉦散㝢敦攷搳挷㠴㕦㘸摣㕥昱㐴㤷㜱㘲㌷散㡣搲敢ㅥㅡㅢ㜷㉢ㅦㅡㅢ㉡慥㝣㌴㤲㌰㐷挰挰ㅣ〹㘱散づ愱㔷㍦㤲ㅣ㘷㡥㘲敥㘸〸愵㕥㐴昵㜹〸㤳ㅦ敢昵㥢㥤ㄶ敤㍣㘳㑤攳搸晤ㅢて攸㜳㤲攲昸㈲㘵㡦挵捥挸〵㥤㉤攸ㅥ愰愰㜳昴扥㉤敤つ挹㔰㘸昴捣㤶㘵㔶㙢㡢搵搵摤㤰㐲㙡摦捣慡㠶㜰㈸ㄴ㌲昷愰敦㄰㠴ㄱ㠶愸㘹㥣ㄶ㠹㤸ㄱ敡愲㄰㑡㍤攵㤴户挳づㅦ㌴㍦ㄵ㝥㜳挲挹㝦㝢捡㝡昵愰搵晤ㄵ㠷㌲㈹㉦㡥㥤愲㜶㑡㜹敤ㄴㅥ㥢㈸摥㤲㘶㠲慥㤳㄰㐶ち㐲㍦搰㘸㜸㥣㤹㘶敥㌸〸愵ㅥ㜶ちづ㍥晡挷㐱㕦㍥搸㍡敢㤶改昷て㍣㘶㔶换㌹㡡挳愷ㄴ扣ㄷ㜶挶ㄶ㤳ㅣち改㌴㠷挲挵愵㈷㔲㘶〳ぢ搸ㅢ挲ㄸて愱ㄷㅦ㐹㡤㌳㈷㌰户ㄱ㐲愹晢㥣攲敢㙦敥㌸晢戴㜷搶敤昳㥢㙢㑦て㙦户愴慦㔹换㜳㌸敡搷戹㑢捦㥢㈹ㄸ㙦㜳㤹慥㙥攷㤴㘶戵晦扢㘷晣挶㑦昸㈹㥤戹晦晤ㄳㅥ㠵晣㔷㑥㜸㜳㈲搹㥦〴㘱㑣㠶攸㍤㜷㐵愶ㄵ㘳㥤㌹㠵敡愹㄰㑡摤改㌴捡户㑢㥥戱㥥晡挷摤戳慥㕤扦㙢换攵扦晣晤㜰挵ぢ愹昴㠹改搸㈹敡㡣攱㠸㝢摥㐵捡〷㡤ㄹ㜴扤て㠴㌱ㄳ愲愸㌷㘰搰搸㤷戹戳㈰㤴扡捤㈹㜸慦扥㍦ㅡ昰摡㤷㠹㤹敢晡㙥昱挲搱㘷㑤晥㔲昱攲㉤〵捦挱捥攸攲捥ㄸ㑥戹㐵攳㤴㉦敤㡡〹㜳㉥摤捦㠳㌰收㐳ㄴㄵㅥㅢ㘷㉥㘰敥㝥㄰㑡摤攰ㄴ㝥搰㉥㍢㝥昱晡ㅢ扦㥣昵摢㥢㤶㡦晣攸㤰㝢㑥㔱㝤㤰㉤㠵ㅦ㠰㥤攲愳づ㝢攷㘰愲攴ㅣ㑣㥡ぢ改晡㐰〸攳㈰〸扤攰㈴㡥㝡ㄱ㜳て㠶㔰敡攷㑥挱㔳づ㝣改挶㝤㉥㜹㘱攲㘵攷摤㜷昴愲戹慦㍥愸㌸㔱㤱㠲て挱捥㤸攲愳㑥愷戵愳㉥㍤散㔴搸㙣愶晦㐳㈱㡣っ㠴㕥㝡ち㈳㕤㤶戹㌹〸愵㉥㜱㑡扦㙣㝣摦昹㍢㝥㝡㝦搳〵捦ㄴ㔶晤敥昴搰愳㡡㌳㈴㈹摤挲捥㘶㡣㜴〵晡㕥〲㘱㉣㠵挰㐸ㄷづ㤹㉤搴ㅤ〶愱搴㑦㥤昲戶㍥攸㡢㐳ㅦ㕥㍦愷昱搷慦㡣㍡㜱㕡㝤换㤳㡡㤳㌱㈹慦ㄵ㍢㐵㌴㈷㍣㤶㝤慥㐸㙤㜴摤づ㘱㜴㐰攸〷ㅡ㡥㡥㌳㤷㌳昷㜰〸愵捥㜴ち㝥㙣换㤷㥥昹搱慡〷㈶慤晤㔹扦敢㜷㙦㍢㘷扥攲〴㔰ち敥挲㑥㔱挱ㄱ慦㘰㥦㈱戶㥢慥㔷㐰ㄸ㉢㈱昴㠲愳改㜱收ㄱ捣㕤〵愱搴㈹㑥挱扦㝦晣捣捥㈷㝥昴攷ㄹㄷㅣ㝥攱㌱捦ㅥ昶昷㤸攲愴㔳ち㍥ㄲ㍢㥢㕥昰㔱㜴㝤㌴㠴㜱っ㐴㔱挱攸搱挷㌲昷㌸〸愵搶㌸〵晦㌹昶㜶摦㌱愷㍦㍢敤㤴捦ㅥ㍦㙥搱㠷㤱慦ㄴ㈷扡㔲昰昱搸㈹㌹㥤㔲晡搰㕥㝡㍡㐵捤戵㜴㝦〲㠴㜱㈲㠴㕥㜸ち㠵㥦挴摣㤳㈱㤴㕡敤ㄴ㝥挶㥢㌳㑦扥敢昶㜳愶㥥昷昲摣㈳ㅡ戶ㅥ㝤㠳攲〴㕢ち晦ㄱ㜶㜶搳㝢㜵㈴㤶㜴㍢㜵ち㤳㘶㙤㡢㤹愷搲昳㘹㄰挶㡦㈱昴㜲㘳㘸收搳㤹㝢〶㠴㔲㥤㑥戹㕢㍥昸晡㐷摦㙥㝢昰㠴ぢ慥㜹㘱捤戰ㄵ晤摢ㄵ攷昴㔲敥㑦戰㌳㔲㉦㌷扣挱㈹捦㔹昴㝤㌶㠴㜱づ㠴㕥㜲ち攷昱戹捣㍤て㐲愹㘵㑥挹搷づㄸ㝦搷昱㍦扦㝢搲㔵㑦摦㜳攳搴㝦㝣㜱扦攲㡤㠴㤴㝣㍥㜶戶搳㑢㡥㈵摣〳挶捣挵扣㠰扥㉥㠴㌰㉥㠲搰㑢㑡攳愲晤㌳收㕥っ愱㔴摥㈹改㌷㤳摥扦昰戲晢挶捥晡挵㈳㝢晤攳昳户㍥扡㕥昱㙥㐵㑡扡ㄴ㍢挵挷㤸昶晡㜲愲㘴㠴㑥挵捣换攸晢㜲〸攳ち〸扤攴㔸㝣㥣㜹㈵㜳慦㠲㔰㙡戱㔳㜲戲㝡摦㐷づ㡥㉣㙣㍣㜱昸ㅥ㤳攳挷摣㌶㐸昱ㄶ㠹搷㙣昳㙡㡡㙢㈰㡣㙢㈹㈶ㄷちㅤ㥤摤收㉦愸扤づ㐲愹〳ㅣㄷ㠵㈹攷慦㌹昰攴〷愶慤㥤㜵㜸㜰捣摡㙢㡥㔰摢㈰㕢㉡㝦〳㜶㑡愶㜵ㅡ㑦愵㠳㕤㈲㙡摥㐸敦㌷㐱ㄸ扦㠴搰慢ㅦ㐷愷扣㤹戹户㐰㈸㌵挷㈹扢敢昲㌵扢戴慥晤搵攴㡢㙥摢愳敦戸㤵㡤摢愹㙤㤱㉤㘵摦㠶㥤㤲㌳㈲扥攱㌳攲㜶扡㕦〷㘱晣ち愲㥦㌶㈵挶㌰昰㙢㘶摥〱愱搴㜴愷散晤㝥㍥㘶搰捤㑦捦㥡㜵挲戸㍢㑥摥改捤攱㝦㔶扣㥤㤴戲敦挴捥㌶㝡昷㠸㝡㙤ㄶ㌶敦愲愷摦㐲ㄸ㜷㐳攸挵㈴挶㤹昷㌰昳㕥〸愵㥡㥣㘲㕥摢㘷慦扤收ㄸ㜵㤳㙥㝤昶愵㔳㡥㌸敢㠸ㄷ搵昶挸㤶㘲敥挷捥敥㝡㌱愱戱戱㥥㙥ㄸ㡡㘳扡慡㙤㘱昳〱攰捤〷㈱㡣摦㐱攸散㠶㌱㤹晢㍤㜳ㅦ㠲㔰㙡㑦户㘵㘳敢收㉤摣㘵摥挴敢㈷捣晡攲㤴㙤敡捦㔳㠳㤰㉤㐵㍦㠲㥤愲㠱㉥敡㜱敢㌳戴㍦㑡搷㡦㐱ㄸ㡦㐳攸〵㈷㜱捥㍦挱摣㈷㈱㤴㡡㌹〵慦ㅢ㌹晤挹㡥搷㙥㤹㜲攷㑢㤷㌴㕣㘱昴敤摤昷㘹㘴捦㜵敥㜸㈶㜵㘶㡥挰㍤㘴捦敤㘹㘴㉣㈶っ㥢㜲㕦㡥摢昲㐲扣㤰㉣㠴挳昹㜸㈸ㄳ捤搴づ㠱摢㑤扤〱攴㈰摦户㜰㐰㑢㝢扥攳〸戹㈳摣愱㈹搳㘵昵捣ㄷ㐷㌹㜹㑤ㅤ㉢摡昳㕤㠳晣㌳攷㜷㘷扡慤敤㑢昳㝡㥣㤴㤹捤挷晤戲搵㈵攵敤㔴㙡戶㝦愶㜵㠵搵戸慡挵捥摥戱㈴ㅢ㜷换ㅤ搹捡戹㔳㍡慤挳扤摣戲ㅡ㌵㘲㌹㘷愵昸㉥㍢㑡㍢换慥搷攰㠹㑢㍢扡慣㜶愹摥愸戶㌹㉤戹㘵㔶攷㝣㡢㡢㐱㔶㕥づ㜵㉢㘶㌹户散愳㘶户攳㐰㜱ㄳ㥥ㅦ慡㙢ぢ㤳㔷㜵㕢敤㜹㉢㡦晡㉥户㍡扢㔷㉦挸㘴㕢慤慤㡢㈰㜶㤹挸搸慥㐸㍤愵㈳户愲㙢㘲㐷㝢㜷㘷㐷㙢㜱㑥㘳㝥㘵〶换〴昹㝤㍢昲ㄶ敥昲㙢戸㔵愹慡㕥扤㤴慡摡摤敦㙥㠴㝥扢挶㑡㐳㘸㑤扣㈳摡㝣摢攲㙥㌷㜶ㅥ㡥づ㐷搱㙡戱㑦㔶て摢㠸㌳昱㑢㌷㈳㉢〳戵㘳攲捡ㄹ搱㈳㉡愳愵㡥㕥换晤敦㠲慢慢〷㍡㐷㍦㜹㈵㤶㔲愶㘵摡昳慤㔶攷〶搷晤ㄴ㙢㘴㍥〳㔱ㅢ挶搹㕣㤱扤ㅡ㈰搴㉡戵扡昶㠸㤶㝣昷㔲㘳愹搵戲㘴㈹㘷㘲㔸ㅢ慣慢㈳戵㘵㥢昹ㅣ㔴收昳ㄴ㉦㐰〴〲㔵挶㡢〴ㄹ〱昳㈵㍢㕤㍢ㄴ晦㙦晥㈲㑤㌵慣㑣㔹ㄴ挲ち㕥㔷㙤ㅢ敥㐴扢㝡昵昲㍢捡㘹㤹慥愵摤散㥥ㅢ捥愴扦㍦㔰晣ㄱ愲㜶ㄸ挴㐶搷㠰㌸㜷慤攱㔲㔷扦戶㐹㔶㈱㠳〵㐶㌹扢㔵愶戶捤㕥戳㥡㘴㜵攵㑣㉥㙥㑤挷戹戲捡挰ㅥ㑥晥扥㙤散晤搶慡敥㐹㤹敥㑣敦㌶㉣㤳愱㤵㑣㠰㐶㠹㤵扤㐷换㝥愲㜳慤〳㑥ちㅥ㠲戲慢㜹改㈳ち摢ㄳ㑥ㅣ㥣㉦㔵扤ㅣ戹攱㠳㐰摤㜹㕦㙢㤴㜶昴攲攵㉥慣挲攵愷㕡敤ぢ㔶㉦户扡〸慦㌳㌶㐸㘵改改㐵㘷戳㜳搹晤扡㕢㕡扢挶愲愶㔳㍢㍢㔶㉣晦㙦晡愱㉦昳㑦㄰敥㔶㍢〲扤㜸搳㡦〹㜴㔵昵㕥挹戶㘹㙥慥慡愳㌷㙡㡣㤷㈱昴敢ㅥㄷ搹搸㜹攱晢㍢晣㈷㥢昹㉡晥ぢ㤸㠴㔶挸慢ㅤ㡥扣捤㔹㈹慣〵扥㙦ㅢ〸㕢搰㘹挹摡㘷㥤㈴㐰㝥扦戶〳㍡㍡㤷㘵㍢㍡㤶戱㝢昵㤷㔴搷㔲换敡收㝡㘲ㅦ㘷晤㔴搶㐹㤵敡搵慢㘸〱㔰㕢㜸摣ㄹ晥㡤㌷㈰晡㌵戶戶づ㜶㍤㜶ㄹ敢愱敡㠵㤵㑤攳㑤散㡣㥢搸搱戶扣愳慢㠵慢㡢捤㤳㔷㘵摡㤶户㕡㘳㥣搵㡡㌱戳㤷㜷㑦敥㝡敦敥ㄳ摥扥敢㡡㠸搵ㄵㄹ晣捥㤹㤷扦晢搳㕢摦㍤攳收戱慢㕡扢㔶愹㥤挰て㤷敦㙥㥦搶㘷敥慤㑦㥦㍢攱搶㌱㝦㥣㌴敡㤷㑢㥢搵㡥㑥㐶搹㥡攲〸㤴㌸〴㕦昳㙤〸㌵〸㌰づ㐳搸㉦摥捣㜷㤱㌶摦愳㜸ㅦ〲㠳㠹㜰㡥戱攴慦㜶㔲㡤挴晦ㅣ㑦捣て㈹㍥㠲㔰愳㈰㜸㌶㥢㝦㠳㜰㌷戵〵晣戳㤳㐸㐳㝦っ戵摥搰㕣㡥㉣㙢攸㑦〱ち㤸㠴㔶挸㔳愳㤱挷挶㌶㐹慥戹㥥㠲㔴慡㍡㤴攳换㐷㙦㈷愳㙣㥤㜳て㤸〹ㅦ㕦搱扥ㄶ㌰㝦㍥扥㘶ㄹ摦㔰㝣ぢ愱昱挱づ㡣愴ち㐱㉤㝣㜰㐸㌰慢㈱㔴〴㉡攱愳ㄷ㔲敥愶扥晥㔶攳愳ㄶ㌹㕣㍡㐸㤷ㅦ㘹㙦㘴〵㑣〲㉡攴愹㈸㝣晡戱昰ㄹ㑡昰㘵攱㔳㈷愳㙣昵㌵〱㑦㐳昰㌵㠳㈸㑥㝤っ㤸㍦ぢ㕢戰㌶〳㈹戶㠴搰㔸搸摡㑥慡㈴㥣〸ぢ摢㄰戴㉤㠴㑡㐳㈵㉣㙣㠷㤴扢愹㜷㜵ㄶ〶㈱㐷敦ㄵ㕣扢㉤敢ㄵ㍢〲ㄴ㌰〹慤㤰愷挶挱扢ㅦㅦ慦㔵攲攳㔵㈷愳㙣㔱戸〱㥥㠶攰㙢敥㡡攲搴换ㄵ昹ㄸ挱摡㡣愴搸ㅤ㐲攳㘳戴㥤㔴㝢挳㠹昰㌱㠶愰戱㄰㙡〲㔴挲挷ㅥ㐸戹㥢㝡㑥攷㈳㡣ㅣ㥤て㉥㈶㤷昱ㄱ〵㈸㘰ㄲ㕡㈱㑦㌵挲扢ㅦㅦ㡦㔴攲攳㘱㈷愳扥㜴㤵㝡㈲㍣㙤攰㐶愰㘸㘱㤸慢〰㐵㌷〲㝤ぢ㔳㕡㕡扢慤㑥㤹敢搵ㄷ昰㥦晤慣㑢搲晤㌸扦敤捣攴散愷㐸㕢ㄶ㈶㘲㡡㡢㠷㙢摤慢㝢㈶晤㘵㔳㙣㝢〶晡晦㙦㈴㝥㜰㌷ㄲ㜲ㅢ㔱㜴㌳戱㠱㠹㍡㍡㑤挹慤挴㠶挱㕡㈷攲ㅣ摡昷㍡㉦㕤㙡㉣㍣ㄷ㜷㌲攲㑢攷㈸昲〴搱挳敢㥤㤰攸㔰攵ㅢっ㜶昶昲㑥㑡愳㡡㤳昹晦㝦㉢攴ㄷ〲㘱摦ち敤挵〱慣㠱㘲㙦㡡昱ㄴㄳ㈰搴晤捥愸换㐵慦㈶㝣㤳㔸㔹㐹㔵㘳挷㙣㈲㘶㈲挵㈴〸㙤搴㥤㠲愴㌱㤵㍡ㄹ㍤〶㜳ㅡㅤ㔰㙡ㄲ㡣㘴㄰㥥㐶㥢改㄰㝤㘷㐰捣㥡㘶戵攲㡥晡扦ㄵ㜱㔰㍢〵挵㙣昸ㅥ〰㕤㘷ぢ㠰戶㙥㥢扦扡㍤户戴戳愳ㅤ㜱ㅦ扣㌵㘹捣攱㤱㝤㤷捡ㄸ㙤㌳㍢㈶慥攸㌶摡愶戵攰扦扥㙤昳慣攵㔶愶㝢㈲㔶㑣㜰摦㌳ㄳて晦攴慥㘶㝡㝥搵晦换扢㥥慡ㅡㅣ㐲ㄵ㘷㌹敥㡤㡦㉡㍤㜱敤晢て㠷摥戱㤳㍡㄰晥㘱㐹攴ぢ㘹㌷っ摣挱晥〰㙦㙢昰攸づ戵扢晣搳ㅢ昶ㅣ㝥改㉤摦㌹晦ㅦ㠷〹愱㙣挶㑣㘴㝡てㄱ换㉥挶戳㤰ㅢ㌰㠹㈹扦ㄸ㑢㥥㥡ち搲扣㡢戱㌱ㅦ挸㕥攸づ昶戴昵挶㑡ㄷ攴ㅢ㥣㡣戲㈷㤴㌳攰㙤〸扥收〱㜰愴慥㜳㑥ㄵ㈸㡡㌷昳㐰搶攸㈰㡡㐵㄰摡愹戲搸㑥慡㝤㘰㈰攷挶㈱〴㌵㐳愸㝤愱㤲〹捡愱㐸戹㥢扡ㅣ㘵㜸搳昸㉣㜲㡡㈶㈸㝥昷㙢㜹㠰〲㈶愱攵㥣㐸㥥㥡〵敦ㅥ㈷摡㌴晥愷㤵昸㌸捦挹㈸㝢㜰㍡ㄷ㥥㠶攰㙢戶愱㌸㜵㑥㐵㍥㍡㔸㥢攵ㄴ㠷㐳㘸㝣㜴搹㐹㌵て㑥㠴㡦㙥㠲㔶㐰愸〵㔰〹ㅦ㉢㤱㜲㌷㜵慡捥挷㉡攴ㄴ昱㠱攵昸戲㍥㜲㈴㐰〱㤳搰ち㜹㙡㍦㜸昷攳攳戸㑡㝣ㅣ敢㘴㤴㍤换㕤〸㑦㐳昰㌵㑦㐰㜱敡攸㡡㝣㥣挴摡㥣㑣㜱ち㠴挶挷愹㜶㔲ㅤ〸㈷挲挷㘹〴晤ㄸ㐲㉤㠲㑡昸㌸ㅤ㈹㜷㔳㕤㍡ㅦ㘷㈲㐷攷㠳㑦㠲换昸㌸ぢ愰㠰㐹㘸㠵㍣挵攷挶㝥㝣戴㔴攲㘳愹㤳㔱昶㠸戹ㄹ㥥㠶攰㙢㕥㠴攲㔴愱㈲ㅦㄷ戳㌶㤷㔰㕣ち愱昱㜱戹㥤㔴㠷挲㠹昰㜱〵㐱㔷㐲愸㉣㔴挲挷㔵㐸戹㥢㕡慣昳㜱㌵㜲㜴㍥昸㙣扡㡣㡦㙢〱ち㤸㠴㔶挸㔳㌹㜸昷攳㘳㝥㈵㍥收㌹ㄹ㘵て扤ぢ昰㌴〴㕦昳ㄶㄴ愷收㔴攴攳㌶搶收㜶㡡㜵㄰ㅡㅦ扦㐶搲戸㠳挲㥥挴攱づ㜸〹晣〹㌵扦㈱晥㑥〸挵攷攱㐲捤㕤㐸戹㥢㥡愲㔳㜳㌷㜲㝡㌵㑥昳戹〱扥ㄷ㌹〱㤳昹攵㝣㐸㥥㍡っ㉥晤昸搸慢ㄲㅦ㝢㍡ㄹ㘵て攵摢攰㘹〸扥收㈳㈸㑥愵㉢昲昱ㄸ㙢昳㌸挵ㄳ㄰ㅡㅦ㑦搹㐹搵づ㈷㐲挲搳〴㍤〳愱㤶㐳㈵㈴㍣㡢㤴扢愹㤰㑥挲昳挸搱晢〷ㅦ改㤷昵㡦ㄷ〱ち㤸㠴㔶挸㔳㠷挳扢ㅦㅦ扢㔶攲㘳戸㤳㔱ㄶ㉢挰愵收㈱昸㥡慦愱㌸戵㑢㐵㍥晥て㙢昳〶挵㝡〸㡤㡦户散愴㕡〱㈷挲挷㕦〸㝡ㅢ㐲ㅤ〱㤵昰昱づ㔲敥愶戶搷昹㜸て㌹㍡ㅦ㡣㌴㈸攳攳〳㠰〲㈶愱ㄵ昲搴㉡㜸昷攳㈳㔸㠹㡦㝡㈷愳㉣㠴攱㈸㜸ㅡ㠲慦昹ㄹ㡡㔳晤㉡昲昱㑦搶收㜳㡡㝦㐱㘸㝣㝣㘹㈷ㄵ攳ㄹ㠴㡦㝦ㄳ昴ㄵ㠴㍡ㄶ㉡攱攳㍦㐸戹㥢慡搱昹昸〶㌹㐵㝣昸㕤㕦扥〳㈸㘰ㄲ㕡捥㠷攴愹攳攰摤㡦㡦慦扥愹戰㘰昴㙦㈷愳㉣戲㘲㉤㍣つ挱搷慣慢挶ㄱ㝣〱㤸晦㠲㔱〰搹㘶ㅦ㡡扥㄰ㅡㅦ晤敤愴㍡〱㑥㠶搲㔱㍤㐱㡣㜴㔶㈷㈱㈹㝣っ㐰捡摤搴摦㔱㠶㌷晦ㄸ㠸ㅣ㥤て挶㘴㤴昵㡦慤〰ち㤸㠴㔶挸㔳㈷挳扢ㅦㅦ㙦㔷攲攳㉦㑥㐶㔹戰〷挳㌶㠴㡦㥤㔰㥣㝡戳㈲ㅦ㠳㔹㥢㈱ㄴ㐳㈱㌴㍥㠶搹㐹㜵ㅡㅣつ挵搷ㅣ㑥搰慥㄰㡡㐱ㅦ挲挷㙥㐸戹㥢晡戳捥挷㐸攴攸㝣㌰㔶愴㡣㡦㔱〰〵㑣㐲㉢攴愹㌳攰摤㡦㡦㘷㉡昱昱戴㤳㔱ㄶ㠴㜲ㄶ㍣〹ㅦ㌱ㄴ愷㥥慣挸㐷㠲戵㐹㔲昰搶㑥攳㘳㥣㥤㔴㘷挳搱㔰㝣捤㍤〹摡ぢ㐲㥤㡢愴昰搱㠰㤴扢愹摦改㝣㡣㐷㡥捥〷㈳㔸捡昸㘸〴㈸㘰ㄲ㕡㈱㑦㥤〷敦㝥㝣摣㔹㠹㡦摦㌸ㄹ㘵愱㌱ㄷ挰㤳昰㌱〳挵愹㕦㔷攴㘳㈶㙢戳㉦挵㉣〸㡤㡦㌹㜶㔲㕤〸㐷㐳昱㌵攷ㄲ㌴て㐲晤っ㐹攱㘳㍥㔲敥愶㙥搲昹搸て㌹㍡ㅦ㡣戳㈹攳攳〰㠰〲㈶愱ㄵ昲搴挵昰敥挷挷㔵㤵昸戸搲挹㈸ぢ攰戹っ㥥㠴㡦㐳㔱㥣扡扣㈲ㅦ㔹搶㈶㐷㤱㠷搰昸㈸搸㐹㜵㌹ㅣつ挵搷㕣㐲搰㔲〸㜵㈵㤲挲㐷ぢ㔲敥愶捥搷昹㔸㠶ㅣ㥤て㐶晦㤴昱搱〶㔰挰㈴戴㐲㥥扡ち摥晤昸㌸扤ㄲㅦ㍦㜶㌲捡挲㡡慥㠶㈷㉥戲㥡㉢㔹摣ㄱㄴ慢㈸㔶㔳ㅣ〹愱㑥㜲㌸晡㐸㈱戶ち挸㕢愰㝣ㅦ晢〸㤱㈳收ㄸ㡡㘳㈱㌴㡥搶㈰㘹ㅣて㔱敦〶てて㜶㈶㙢㑡㕤〳换愱戴㕥㡢㝣昳〴〸昵ぢ㈴戹㠶㔱㘵㥥㠸㘴挵ㅢ攱㤳㤰改㠶㍢㤵㜱㜶ち㌲〳㈶㈱攵㥣㐹㥥㘲㜰㔴て㘷扣て戶敦㠱㍢㉢㜱㜶戸㤳㔱ㄶ㐷挵㠵愱㈱慣敥㔹㈸㑥㜵㌸晣㐰㔱扣㤹攷戰㌶攷㔲㥣〷愱昱㜳扥㥤㔴㡣愸ㅡ㡡慦㜹〱㐱ㄷ㐲愸㥢㤱㤴㍥㜴ㄱ㔲敥愶ち㈸挳扢〶㕤㡣ㅣ扤て㌱〴慢㡣㡦㑢〱ち㤸㠴㔶挸㔳户挰㝢てㅦ敢㤱戲昹㌸戸ㄲㅦ㡢㥣㡣戲搸慥摢㘱㉢㝣㕣㡢攲搴㠱ㄵ昹戸㡥戵戹㥥攲〶〸㡤㡦㥢散愴㕡〷㐷㐳㔹㤱㕦ㄲ㜴㌳㠴㘲㝣㤷昰挱㙥攷㙥㙡㡥捥挷㙤挸搱挳戵晣愶㙣敢㠰〹㤸㐴㤶搳㈱㜹㡡㌱㘴㝥㜴㑣愹㐴挷㘴㈷愳㉣摣散㉥㜸ㄲ㍡敥㐱㜱㙡㘲㐵㍡敥㘳㙤敥愷㜸〰㐲愳攳㜷㜶㔲晤ㄶ㡥㠶攲㙢晥㥥愰㠷㈰ㄴ攳搰㠴㡥㠷㤱㜲㌷㌵㑥愷攳㔱攴攸㜴㈰㝡慤慣㜷㍣づ㑣挰㈴戲㐲㥥扡ㄷ捥晤攸〸㔵愲㘳て㈷愳㉣㉣敥〱㜸ㄲ㍡㕥㐰㜱㙡㑣㐵㍡㕥㘲㙤晥㐰昱㐷〸㡤㡥㍦摢㐹昵㈰ㅣつ挵搷㝣㤹愰㔷㈰搴敦㤱ㄴ㍡㕥㐵捡摤搴㌰㥤㡥搷㤱愳㥦㉤っ愹㉢攳攳つ㠰〲㈶愱ㄵ昲搴㐳昰敥挷挷昶㤵昸搸捥挹㈸㤴挶敡㍤ち㑦挲挷晢㈸㑥㙤㔳㤱㡦扦戲㌶ㅦ㔲㝣〴愱昱昱㜷㍢愹ㄸ戸㌷ㄴ㕦昳㘳㠲㍥㠱㔰㑦㈰㈹㝣㝣㡡㤴扢愹晥㍡ㅦ晦㐰㡥捥〷㈳晤捡昸昸ㅣ愰㠰㐹㘸㠵㍣昵㈴扣晢昱㔱㔳㠹㡦㕥㑥㐶㘹〸㘱敤㌳昰戴ㄹ愱㕦㝤〰㌷ぢ晢户㔸㐷㜰㤱扤㝦〱㝦㐱㌶㜱㐵㔷㜷㠷〴搶昴㉢㑣敡㤸搵搱㍤愹愵㙢㜹㙢㘶昵挰㠲戳㜳挰㔲慢ㅤ㘱㙦㥤㠸㝥㉢搱㜵㉣㕦㙥攵捤挲晣㡥ㄵ㥤㌹㙢晡愴ㅦ㐲㔸㥣㌴ㅢ㘲㍢㤴慡慡㔶搸扥㕦愴㔷ㄵ㉣搱㘹戰㔵搵㌲㍥慢㌴㘰㐷㝢ち搵昳挰㌳〸㘰㝤て愳ぢ㕡扡㕢慤㍥〵挹㤷晤扡〲㔸㐴㉣㘱扥㜷㘱挱㔲㐴慥㑣敡㔷㤸摡搹㤲㙦㙤㘹户搸ㄸ㜸㠸捡㍦换㥢㘹㉤㐱摣攰ㅣ㈷戲愴㕦㘱㐱㘷愶扤㙢㌹㐳愰㜲慢户㈸㑡挹㔳㠵摡㐲㔳㑢㝢ㄷ㡡㤱㔶攴㝥㝤㘱晥搲㡥㈳昰搷慢㉢摡摡愷㘶㤶㜷晤㈰㕡㐵㐹扢㔰㐸搳愸㙡㔵㕤慤敡慡敢扥㙦晢ㄸ摦攲散ㅡ㘸㐷〹て㐶㍦敤敥㙣挹慥㘰㈸㡥㤴挳〸㡥ㅡち㘹挳慡摡攷戱户㠱〷㠹㝣㥣攸㐴㜳㌲㔲㤱㜵㉤晡ㅢ㉤摦愰㌹敦㑦㠲昹〸搱晣づ搵改换㈰攲ㄹ㔳昷㥢摥ㄳ挳晢㍦晡晢摡摡ㄷ攰戹昴ㄹ㑤㘹捦昳㐲㈶户〲戸扦摤㠵愸㘳㡦挲㤹㠹㥥挰㔴㘹户っㄴ〴挳ㅥ摡扦㘷㜷ち愲敥晡ㄶ㘶㘶戲㔶㉢㘶㥥㙤㤹敥晥㜶㠲て㔵昱昷㤷㕤㑥ㅥ〲㥦摡㌲散㜲散慥昳㜳㤹㔶慢慥搰戸愲扢〳㝦㘲㘸ㄶ㈰愴㕦㍡慡捣㉡愸㌲慢㐴搵户㌰㡦㐱挴戲㑦㕦ㅤ㑢㌲㥤㉤摤㑢摢㕡㜲㜵㑣㌰搰昷〷搱㔷㜱㈵愸〱㤹敥收㡥㈵愵捦〸敤愷㘵㘸敥戱㤸㥤㤳㍡㌶㍦㝡㜴戵㌲昰㑦㝤捦ㄸ㔳㡣㍣㜲搱㌰慢攱慤ㄶ扤㑡㠶㈲愹换㈷㕣つ攲昶挹㜱搸㤱挱㐹扤㠴㈴戵㘶㉦挰戹挳㙦捤ㅦ㈰㌶ㄸ㠰搸ㅢ㠰挰捣㡥㑣㝥ち㐲㌸㍡㍡㝢㍢㝦て㕥挷㤸㌶っ㌵㥤㐱㠶㠴㑥㐴㤴㌱愲㤷㔷戶攴慤捥㍡㉡收攳戹㘷つ㠳㐹つ扢つ㜹㌲㔷搵搶昶愹昳㉢㙢扡敢㙢㤸ㄳ㔹愷晦㍤晤昴㌲晦ㅦ捤㑤㡤摦㥤戵ち挸㈵慡〶㠷㘳昲㙦慣ㄵ㠳㑤㜹㍣㈵〰㠳㠰摥㄰戵っ㙢㉣㙤㥢攲攸㑣挴㜰㥡〰搵挸㕦㔲㌳㙥戴づ㌱㤶ㄲ㜰㕡㉢〷搲㐷ぢㄴ㌵散ㄸ搱㍡昷捦戳㡤昹攸攵㔶㍥㘰㡦慦㝣敡㡢㉢㐳㔵㜵㜵つ㥡摡㈸㡤慤㈹㉢ㄶ捥摡收㕢ㄲ㐱慡㜶㐲ㄵ㡣㍡搴㜸㙢㥥㉣昰㡦昷〷ㄴ晤㜹㜲改㍣㈲㄰㌰〳㠰㔷〵ㄴ㐳㈸㕤づ㥡愸戱㐹敡㐳づ晡㐲愸户愱攴㑣㐰扢㙥愹㜷㤱攴戵慢捡攸〷挸愶㡥㤵敡㍤㔸㜰扣㌴晢搳㌱愳〸㌹っ㜹摤㌲〸敤挶扢攵㕦㘹㠱慦㌹㠰㑥㥣㠴晡㄰㍢敥㘱㘸㙤扤〵㌰收㐰〲ㄹ㡥攸〳搸㤲㠰慤〸昸ㅢ〰㙣㙦㘳㙢愴晣㜸昴ぢ㑣〴㡦摢〲づㅥ㍦搵晣㙢㍣㙥㐷晦摢搳㍦愳〹㠵㐷ㅣ慦㥣㘱㜸㍥挲㄰㐲㥢挷㐱㠰㙣搳昳㌷搵ㅢ扤敥愸㙦㘰㉡㕣敥㐰攷摦㈲㔵挴攵㑥搰㙥㥣㑢昲㈷㕣敥㑣㈷昰㈱㕦昶㐲㤷慡㄰㤴㑥㤷ㄸっ㡣㌹㠴挰㙡㝦挰㔰〲㜶㈱愰ㄷ〰挲攵㌰愴晡扡㝤㔲晥昲摢愷㈷敥ち㄰ㄸ散慤㜹搵ㄸ摣㡤㕥㐷搰㉢㈳ㄱ㑢㝢㈲挳て㠵㐱㤳㍤㔱㌶㕥㥣戵㉢戴ㅡ〸㠸㌰戵㍢㥤㌰㑡戱㠸愹搱搰㙥㥣㈹㐶㌳攲㔳㘵㡥愱ㄳ散挸㤷㈱㡤㉥㔳㕡慦ㅢぢ㡣戹〷㠱摢晡〳㐲〴㠴〹搸づ〰㘱㉡㠲㤴㕦慦昳ぢ㝣㐴慦㡢〱づ捥㜶搴晣㙢㥣挵改㍦㐱晦扢〲㔰捡ㄹ㐳ㄴ敤㕥挷〰㥡㑤㍥㝢㐷挲㑣㜸㑣搱昱敥㐸ㄵ昱㌸づ摡㡤昳㌸ㅡ㘶昸㘰昱㤶㑥㕣ㅥㄹち改挳攳㕥挰㤸つ〴㡥昵〷散㑤挰㜸〲ㄸ㌹㈹㍣㑥㐰捡㡦㐷扦㠰㐹昰搸〴㌸㜸㡣㙡晥㌵ㅥ㈷搲晦㈴㠸㕡挶㈴㙤㘰扥㠴戸つ㉤㜲慤㍦㝣ㅡ㠵晤摡㕢扡㌱㤵㘱敦㥦搲搲㡤㐱戹㙦〱〲扢ㄲ㘲戶扤㑣㜱㌴愳㔱摥慤搳捥攵㔹㐵昷㔲㍢㤵攷敢㌷㔷挳㝣戲敤摢㉥敤㙥㙢㘳㈰戹晤昲愹攳て改㝥㑣搹㜱㐷ㄸ㙥㜸㑢愶㠶㔷づ搰搳㜸攷㤴晡㝦㜰昷㈶ㄳ愸㉡㜳ち扢つ捡挴搸㘸㑥挵㍥㙦收ㅡ㌶摡㐵戴㜸㐵捥㐴〲扣愱戳㜵晤㥣㠰搸改敤㕤㤸ㄲ〵㥣ㄴ㈶扣晤㥤摤搹㉢扡㡢㜲㌲慢〶㍡㌹昸㍢㠲搹敤戸㑤挹㘵㍡昳㍦㤰㌹㉥㡥捤㙥ㄲ㤹慥㝥捦摢㘴㌸攱愶捤㑣攵慡㔹㔵换愰挰捤〹昵慣㠷㤷㝥愴摡㡢〰慤㘳㡡㙦㝣㤱ㄶ戰㕦昹㈲敢ㄵ㜳㉣㉣㌶攰〵㌸慤搶㐰㌱昰㤲㌲㤷㌳ぢ㡤搹㉥摣晢㜶昳挶挶搹㤳㤳摣㉣捣戳昸㉥㤸㤵ㄶ敥㐳㥣扤㌹戹㙥〴㌶㝢づ昸户㝤㍦㥣搶〱㈳㌵㑥ぢ㈹㘹㈳㘳〳㘳㕢昱㐱昰晣昹㥥㉤㡡㜶㉢挸昶昷昱敡㘷ㄷ㜱扢㝥㝣㤵扢攳慣㠸㡣〷㘸〳户搳ㄸ㘷昵戸㕣㥥㐵〳摤㜰㜱㝢㜴㤳㠱慢慦慢攳㍤㜷㍦慥㡤㜴㜶攳て㘰昹愲㤴㝡㥥㌶慤戸㈹改㙥挱敤㘵敢敡晥㠵改敤戹搶ㄵ㜹㑢敥㑤摤昱㕡㙥㔱㝦㄰敤㔵〳㐲㥣戳㘹〳扣㌸愴㑣挷换挳摣㍦㠸晣晥ぢ㔴收㌴㕥昶㌸㔱㠳㡦㠰㌹挳ㄹ摦㈶愰㈶㥢ㅤ〴ㅤ㠰㤷㉤㝡㐲昸攵㤵㔲ㄸ搶捡㔴ㅣ捦ㄸ捥㍡搱㡤愳㤶㌳㑥㠳捤散㤸搹挱〵㉥㑤㌵慤挵㔶晤㈰摡〹挷㘹㌷㤳㘱攰づ晤晢㥤㈱㜷ㅥ㜸昳昱㐷㠶戶㘸摣㜵㡢㌱扦㝡㈸戲㑤愳㝢戶昰晡㠲㉢㡣㙡㐲ぢ搸㤳摤㤹散ㄵ㥣㍦㜱戲㕢㑤攱㐰ㄸ〳㉤㤳戴㤹㘸㌵㌵〹㈹㝢㤲㘶户愷㌹ぢ摡㡤㑦搲愶挰っ㥦㉡㜳㌶攱搸攱㔷㌱㔴摡㥤愴㈱㡤〲攵㜶㝡づ㌰收㕣㤶㌶摤ㅦ㌰㡦㠰昹昴挴㘸摡搲㠱愶㘲㘰㌰っ慡㙡摢㜸㔷㕣搷挶搵〱㥣愶〶晥㜸ㄳ㠱捦㔸㘱㌰晡搴㌱㜰搸㕣〰搴搳㑦㍤搵挰晡愸㔹㕡昹摡㈴㙥㍦㤶扦㍦㠴㘲㘴㙣改㘴昸㐰攸㌶㜲〳挱㘰㔹攱㜴㈱㥤㉣㐲慡㘸攲㝢㄰戴ㅢ攷㜴㌱捣昰㐱搴㉤㥤戰扡晣㌲挴搶攵㔴扢㠱㌸ㄸㄸ㜳㌱㠱捤晥㠰㐳〸㘸㈶攰㔰〰㘴攲㝢㈸㔲扥ㄳ㕦㥦㐰〷捣㕡戲㠰㘳攲㥢搷晣㙢㥣攵攸㍦㑦晦㡣㥥㉤攵㡣㈱戳昶つ㠴〵挸㈶摦㐰㌰挸㔶㜸㉣搰㌱愳㙤㡢㜸㕣ち敤挶㜹散㠲ㄹ㍥㔵㘶ぢ㥤戸㍣㜲㘱搵㠷挷挳㠰㌱㤷ㄱ挸戰㕤ㅦ㐰㉢〱㙤〴㌰㤲㔷㜸㙣㐷捡㤷㐷㥦㠷戹攰㜱㌹攰攰㤱㤱扣慥㝦㡤挷挳改扦㤳晥ㄹ㜵㕢捡㈳㐳㙤㙤ㅥ扢〰搹㘴ㅥ㑦㠶㤹昰挸㔷㐶慡㔳㤰㉡攲㜱㈵戴ㅢ攷昱㔴㤸攱㠳挸〲㍡㜱㜹㘴㐸慦㝢ㄸ㕡㝦㕣〵㡣戹㥡㐰㠶晢晡〰㡥㈴攰㈸〲㑥〷㐰㜸㍣ㅡ㈹㍦ㅥ晤〲㝦挱攳戱㠰㠳㐷㐶〰扢晥㌵ㅥ㡦愳晦㌵昴㝦ㄱ〰愵㍣㕥っ㥤捤攳昱㠰㙣㌲㡦っ敡ㄵㅥ搷搲昱愵㐸ㄵ昱㜸㈲戴ㅢ攷昱㜲㤸攱㔳㘵㥥㐴㈷㉥㡦㔷㘰捦㍤っ㡤挷㤳㠱㌱㑦㈱昰㑡㝦挰㡦〸㌸㤵〰㐶づぢ㡦愷㈱攵挷愳㕦挰㌰㜸㍣ㅤ㜰昰㜸慤收㕦攳昱っ晡㍦㤳晥ㄹ攵㉢㍣㙡换㔱っ敤戵㜹晣〹㈰㥢戵ㅣ挵㠰㘰攱昲㉣㍡㕦㠷㔴ㄱ㤷攷㐰扢㜱㉥ㄹ㐱㡣て㐲㌳攸挴攵㤲戱挳㉥㤷㈱ㅥ㥣㝤摤㌹てㄸ昳愷〴㌲慥搸〷㜰㍥〱ㄷ㄰㜰ㄷ〰挲攵㠵㐸㘹换㔱㜸㍤㤷捦㜲搴捦〰〲㠳昷㙡㕥㌵〶㉦愶搷㑢攸昵ㄱ〰㑡㝢㈲㠳㠱㙤〶㉦〵㘴㤳㝢攲攳㌰ㄳ昶㉥愳㘳挶ㄱㄷ戱㜷〵戴ㅢ㘷敦㈹㤸攱㠳㄰㜴㍡㜱搹㘳搰戱㑢㡥搶ㄳ慦〲挶晣㌹㠱捦昸〳慥㈶攰ㅡ〲ㄸ愳㉣散㕤㡢㤴㕦㑦昴ぢ㑤㐶㑦扣づ㜰昰昸愲收㕦攳昱㝡晡扦㠱晥ㄹ㑦㕣捡㈳㠳㠸㙤ㅥ㙦〴㘴㤳㜹㝣〳㘶挲攳㑤㜴扣ㅥ愹㈲ㅥ㙦㠶㜶攳㍣㌲㑥ㄹㅦ〴挲搳㠹换㈳㠳㤵㝤㜸扣ㄵㄸ昳㌶〲摦昶〷摣㑥挰㍡〲ㄸ摢㉣㍣晥ち㈹㍦ㅥ晤㐲㥡挱攳ㅤ㠰㠳挷て㌴晦ㅡ㡦扦愱晦㍢改㥦㜱挸愵㍣㌲昸㔸㜸慣扣㍣捡搰㘴攱散户㜴挲ㄸ攵㈲捥敥㠱㜶攳㥣㌱㤶ㄹㅦ扣㠹㠹㑥㕣捥晥㡤㍤ㅦ捥敥〳挶扣㥦㐰〶㍢晢〰ㅥ㈰攰㐱〲ㄸ晦㉣㥣晤づ㈹㕦捥晣慦捡て〱づ捥扥搳晣㙢㥣㍤㑣晦㡦搰㍦㘳㤵㑢㌹㘳㠰戲捤ㄹ慦捡戲㐵㈰昵㈵攵㍥㠰〸㘷㡦搱〹攳㤸㡢㌸㝢〲摡㡤㜳挶㜸㘷搴て㙦㜲愲ㄳ散挸㤷㐱捦㍥㤴㍣〵㡣昹㌴㠱っ㠸昶〱㍣㐳挰戳〴っ〰㐰㌸㝢づ㈹㍦捥晣㐲愳搱捦㕥〰ㅣ㥣㙤愵昹㙦愲挶ㅥ㙥㕦愴晦㤷攸㥦昱捣愵㥣つ㠶捥㍥㕦晦〰挸㈶㥦慦㐳㘰㈶㍣晥㤱㡥ㄹ晦㕣挴攳㥦愱摤㌸㡦挳㘰㈶㍣扥㑣㈷㉥㡦挳愱昵愱改ㄵ㘰捣㔷〹㘴㈰戵て攰㌵〲㕥㈷㘰㌷〰㠴挷晦㠳㤴ㅦ㡦㝥㈱搵攰㜱㍤攰攰㜱㤴收扦愹㠷挷㌷改晦㉤晡㘷ㅣ㜴㈹㡦っ㝥戶晢ㅥ㘷㌲戲㤵昶㍤㠶㐶ぢ㘷㙦搳〹㘳愴㡢㌸㝢ㄷ摡㡤㜳挶㔸㙡攱散㍤㍡㐱㌹昲㘵㐰戵て㈵敦〳㘳㝥㐰㈰㠳慤㝤〰㝦㈵攰㐳〲ㅡ〰㄰捥㍥㐲捡㡦㌳扦戰㙢㜰昶㜷挰挱㔹愳收扦㠹ㅡ扢敦㝤㑣晦㥦搰㍦㘳愵㑢㌹㘳㠰戴摤昷㍥〵㘴㤳晢ㅥ㐳慡㠵挷捦攸㤸戱搵㐵㍣晥ㄳ摡㡤昳挸ㄸ㙣攱昱㜳㍡㜱㜹㥣ぢ慤て㑤晦〲挶晣㠲㐰〶㘹晢〰扥㈴攰摦〴捣〷㐰㜸晣ち㈹㍦ㅥ晤挲戵挱攳搷㠰㠳㐷挶㙤扢晥㥢㝡㜸晣㠶晥扦愵晦㐳〱㈸攵㤱㠱搵㜶摦攳㌹㉣㕢㘹摦㘳搸戵㜰挶㤵㜷㤵㐷慡㠸㌳㍣戹摥〴捥ㄸ愷㉤㥣昵愲ㄳ㤴㈳摦㈵搰扡㔵搶收㈹㜸〹ㄹㅥ搶ㄳ挸㐰㙥ㅦ㠰㐱㐰㙦〲ㄸ摢㉤㥣搵㈱攵挷㤹㕦㐸㌷㌸ぢ〰づ捥ㄸ摢敤晡㙦愲挶敥㝢㝤攸扦㉦晤㌳づ㥢㡦㠱㥣㐷〰晤㘹收㍣〲愸挷㍥ㄷ㘸ㄸ愵捤挷〰敥㔶戶㜸慤ㄸ挲捤〵㙣ㅥ戴扢扣㔳㘹㌱㔴㌱搴㝢㍣挱㘶㤰戵昰㔶攴戶㜰㡡㘳ㄴ昸〴慤戸扦扤㝤挷晡㜷㕥ㅤ散慤ㅢ搹捦㤹昱挷㥥挰搹㉤㝢ㄲ昶愴㙣戶慣扥㙥㜴っ㌲愴㘵户㠴㙦挵愸㜱扢㘵㥤㜵愳慤愱摤攰搹㘰㙥攳搴㘹つ㑣愵捡摢搲〴愵挸摡ㄱ㐳捡㕤㜲㔹〳㠷摣敤㠰㌱户㠷㔰っ㌷昷〱っ㈲㘰〷〲ㄸ㠰捥昵㈳㜳㐷愴扣㈵㥦㔳㌴戳愶ㅥ扦㍢搱㙣㘷㥡㌱㄰扣戴愳㌳晡摢ㅥ㌰〶〳戲挹〳挶戹㌰ㄳ㡡㠶搰㌱〳挷㡢㍡晦㉥搰㙥㤰㈲㔹挲㘳㠰戹搰㌳㡣㑥㔰㘳昹㌲捡摣㍤㝡慤昳て〷挶摣㤵㐰㐶愰晢〰㜶㈳㘰〴〱っ㑡㤷捥㍦ㄲ㈹扦捥敦ㄷ㡢㡥捥㍦ち㜰㜴晥㑢㌵晦㑤㍤㍣㡥愶晦㌱昴捦〰昲㔲ㅥㄹ㌵㙥昳㌸ㄶ㤰㑤收㤱㜱收挲攳ㅥ㜴捣㠰昳㈲ㅥ挳搰㙥㥣㐷〶愶ぢ㡦ㄱ㍡㜱㜹㘴㜴扡て㑤㔱㘰捣ㄸ㠱㡣㕣昷〱挴〹㐸㄰挰㘰㜶攱㌱㠹搴㔶㙥攴㠲ㄶ㑤攳ㄳ挳づㅡ搳㐰㠳挶㜵㥡晢愶ㅥㅡ挷搱晤㥥㜴捦挰昳㔲ㅡㄹ㙤㙥搳戸ㄷ㈰㥢㑣㈳攳搳㠵挶〶㍡㝥〰愹㈲ㅡ挷㐳扢㜱ㅡㄹ搰㉥㌴㑥愰ㄳ㤷㐶㐶戵晢戰搴〸㡣搹㐴㈰㈳摥㝤〰ㄳ〹㤸㐴挰挳〰〸㡤㤳㤱昲愳搱㈷昶ㅤ㌴㑥〵ㅡ㌴㌲〸摥㜵摦搴㐳攳㌴扡㥦㑥昷っ㔸㉦愵㤱㔱敡昶㈰挷㐵㐹搹㈲㤰晡戴㥤㌱散㐲搹㍥㜴挲㘰昶㈲捡昶㠵㜶攳㤴㌱攸㕤㈸㥢㐵㈷㈸㐱扥㡣㝣㜷慢慣㥤挱戳㠱㌱攷㄰挸愸㜸ㅦ挰㕣〲收ㄱ挰㐰㜹愱㙣㍥㔲㝥㘷戰㕦㝣㍣㌸摢て㜰㜰挶㐰㜹搷㝦ㄳ㌵昶攵㙢㝦晡㍦㠰晥ㄹ搴㕥捡ㄹ㈳搹敤慥户㄰㤰㑤敥㝡㡣㝤ㄷㅥて愴㘳〶挱ㄷ昱戸〸摡㡤昳挸㘰㜹攱昱㘰㍡㜱㜹㘴挴扣㝢ㄸㅡ㡦㡢㠱㌱て㈱㤰搱昴㍥㠰㘶〲づ㈵㠰〱昶挲㘳〶㈹㍦ㅥ晤攲敡挱㘳づ㜰昰挸〰㝢搷㝦㔳て㡦㜹晡户攸㥦攱戸㔲敦〲㔳㑥扤㙢慢搱攷㑡㈳〵换愲㌸愵㠴〲攳㌹攷㜷慦㙥㐵っ㉤㜷ㄹ㌹㘸敦昱㈹〷ㅥ晤㐳㠷㜸挶㡥㑥㍣昹慢㈹㝤㝦㤰㘷晢㌴ち敥戳㘵挹㡢㔶挵㡣㌹㔵愸㑤敤㐵晦㈹㝦㤹愸㘷捦㡡昷扣㜵㔱㙣愰㌱㤶愲㡡㕢敥摢㤲敢散攸敡㈸㜴て㥥㡦昸昰挱㝣㜱㉤㕥づ㄰㙡慣扤〰ㅥ㝤换攴㠱搵戴昳㤷㘲㔶昲㐵㡥㠱㘵敤ㅤ㐷戴㑢㙤㙡扢昸晥㕥攱慢㜷㙦ㄶㄳ挰㔷戶㕤㐰㕥戰ㄷ㉡ㅡ㐴搲㍣っ㉥晡搵〷㙢㤰〶扦㔵挶㌲愴㠷㑦㙣㥡㌸慦㌹ㅦ㑤挶昲搹㔸㈶㥥㑤挴㘳搱㘸㈲ㄵ㠹挵慣㐸㍡ㅥ捦挶慣㤰ㄵ㑤ㄸ慤ㅥ搴捡㈷挳㠹㙣㌲㤶㡡㐴慣㔸㈶ㄱ捡㐶ち㤱㜸㈶㠷㙦っ㤶戱㔸戰搶㜱㙦戶挱挶㙣㠷〸ㅡ慥慡㠳慡攵㔴昵㜶㔵ㅥ慡㌶〰搵愶㐶㘴挲〵摥〰愱㜲㜸戶㘲搵昴敥㕤ㄶ㤷㔲ㄶ挹挹㜸㙡㜹戵愷㘱㌰㤰戳昶っ搰㕣ㅡ捣攲㙦㔴摣㡡㌴㐶㍤慢捣㙥ㅥ捡ち㠸㐰戰てㄴ搴ㄹ㉢㤱ㅣ㌰戱愹戹昸㜷㝥㡣㈳愰敥ぢ戵㍣㙥㥤㠷㌷晡ㅡ慢愰改て㡤ㄶ戹ㅥ散敢㜸㌱㔷㈳搳ㅣ捡㌲㠶㐰愸晥搰㑢摢ㅥつ㍤㜷攴ㅢ㠴㤶攷㠳㍡〱〷挲㕥㠸㡣㉡攳㔸㐰㉡㜶㉤㜵㍣㘰散㕥挵摤㘳〰扣㐸昷㔸〳㘳㜴㡦㉤攸㤹捥㡥㐷摡敥ㅥ戹㜸㈴㥤㡦㐵㔳攱戰㤵㡤㠵慣㜰㈶㤹挸挶愳㔶愲㠰收捦㐵戳㘹㘳㙤て㌴㥢㠸㐴ㄲ㠹㔴㈱ㅢ㡦挵㔲㤹㔸㍡ㄴ㐳㙦㑡㈷慣㐲㉥㤳㉡㠴㜳挱㠱㡥㝢昳〴搸㤸㈷㐲〴户㜴㔵㈷㔱㜵㌲㔵㕢戹㉡〲〴慡戶㠵㡡㕤㐴ㅤ㠱㐳㘰昳㘱ㅦ敦散㘷晥㡦㈱〲㐱㠶㠱㔲㘷㥣㡥愴㑦㌳㥣〱㜵㜱㌳㥣〹㑤㘹㌳㙣敦㜸㌱㝦㠲㑣昹㌱ㅦ昹㔹ㅦ戵〳昴搲っ攷㐰敦㌵挳㑥搰㑡㌳戴愱㐲㕥㌳㥣〷㐸攵㘶㔸〶㘸㜹㌳散っ㑦搲っ攷挳ㄸ捤㌰搸愹㠷㜱〱搲㜶㌳㠴ちㄱ扣㈵摣捡挴㤲昹㔰㉣ㄹ㡥㘶㘲㔶㌴ㄵ㉦㐴㌲挹㘴㈴㤳つ挷㡤ぢ㍤㘸㈱㥢て攵㤳昱㐲㈱㔳挸挵㐲改㘴㌶ㄵ㑦收戳昱㝣㍡㥣挸㔹挹㜴捡戸挸㠳愶戲搱㐸㌲㠱㌶换攵戲戱㐸㈴㥥㑡㘰っ〸㠵㜲挹㔴㈶㤹㡢㠶㌲挱㈱㑥㑤捣㥦挱挶扣㤸攲ㄲ㠸攰㔰㔷㝦㈹㔵㤷㔱㕣㑥晤㉥慥㥥㈸ㅢ㑦㑢戵㉢昴搲㠰㡢㥤〶㘴㉦㌳慦㈶攸ㅡ㠸㐰㜰㌷挷搰戸ㄶ㐹㥦〶晣〵搴挵つ㜸ㅤ㌴愵つ㌸挲㉤晥㝡㘴捡㙦㈲挹慦㈳愹摤愱㤷〶扣〹㝡慦〱㐷㐳㉢つ㌸㕦㙢㐰㤳攷ㄱ㐷㘳㌵搷户慤ㄸ㥦㉡㙤㜵㉢㜰㘸慢戱㜴挲㥥㜷ㅢ搲㜶㕢挵ㄳ搱㤴㤵てㄵ昲攱㐸ㄶ敤ㄵ㐹㔹搱㝣㍡ㅥ㑥愴㘲攱㤴㤵戶㐲挶敤ㅥ㌴ㅣ㑡㐶ㄲ㤹㔰㈴㤳挰昹ㄲ㑡挶㌳搱㜰㈶㤷㡣㐴㌳㤹㜴㌴ㅤ㑦㠵㠳㝢㌸敥捤㜵戰㌱㝦〵ㄱっ戹慡㥥㔳㈶散慡㍣㤴㡡㐱㈵㡣㑦㜵ㄸ㐷ㅡ㙦昹愷㤷扢㈱〲挱㌸ㄴ愲攳㈹㘳昲〴㌱㜹㑥〴ㄳ慥晥㝥慡㤲戴攲扢㑡㔵ち㝡攱昰㜷搰㝢ㅣ㡥㠳㔶㌸㙣搰㌸㌴ㅥ〲愴昲㐹戰愷㉦戱㝢挲㤳㄰晢〸㡣㐱散㕥昴㑣㘲ㅦ㐵摡㈶㌶㥢㡥㈷㘲㘹换㡡㠶ㄲ戸晥愴㈲㤹㝣㈱㤵㉢攴愲戱㔰㈱㥥挰㍦攳㌱て㥡㑢挶愳戱㑣〶㍦昵ㄱ㑡挴攲攱㘸ち捣攷㌲搱㐲㉣㤱㡣㠶㜲㤱㔸戰挱㜱㙦㍥づㅢ昳〹㠸攰摥慥敡㐹慡㥥愲㙡扣慢㈲㐰愰慡〹㉡㈱㌶慣ㄳ晢ㅣ昳㥦㠷〸〴㈷〲㠰㑦㤵㔹㐲散㈴㔷晦〷㘲昷㈶㠲㜱ㄵ戵㔳愰㉦扤ㅣ㘹㝦㉡愴挵㔶昲㑦㍦㠲㕡挰慢㕣搸〶ㄴ㥣㌷ㄷ捦㐶攴㔵㌷㔵㍦㠴㜸㥤ㅡ㍢晥㙤愳搷㜴㌹㠴㐵㡢㜹㘹㉤攵愰昸㤲散ㅣ㥢㕣挷扦㕦昴㑦愰㜶〴㕡㙣搳㑡㘱晦敥㤹扥戹ㄷ㝥扣ち㥢㉤㡣㠵愸愹㘸㌳㌹ㄹ㕥㠱挲摤㙡愷㐱扢改㐱㘴戴ㅦ搸昳㤷㌵晣ㅢ慡㔱慤㠸愷摢㠴㍦㔹㝢ㄵ愵慡ㄹ㙥ㅤ㕥㐳㡡㘷ち扦㙡愶慢㝤㥤ㄸ㘸敡愸㥤〵慤㥣愶㐳昵搳昴つ㐰㉡㥦愶㠳㝤㑦搳搹昰㈴愷改㥢㌰㌶摦愲昸ぢ挵摢ㄴ敦㐰昴敢ㄳ㥣〳っ户攰㕣㜷㘷㥥扢㌳摦搹愹㕦㠰ㅤ㑥㐶っ㐱晥ㄷ㐵㜰㍦㜸㘶㈹挶扢愸㡤捦愵攴㍤愸㡢㉦㈵敦㐳㔳㝡㈹搹摦昱㘲㝥㠰㑣㜳ㄲ晣㤹ㄳ㈱搴㐲攸愵攵㍦㠲㥥㍢昲㍤〸㕡攱㜷愰挶㙦捦愵㘴㠰㉦㤵㡢㘰㈴㔴㝥〲㔷ㄸ昱づ愶ㄳ㔶晣㔳愴敤ㄱ㉦ㄵ㡦攵慤㙣搶㑡ㄶ㈲㘱㑣挲㔲愹㐴㍡ㄷ㑢挶㌱慢㑡㘱㑥㤵㑣ㄹ㥦㜹搰㐴㌴㤷㑡㔸㤸㙣㐵愲戹㔸㈱ㄵ挶㙦㝤㈶ち愱㔴㍥㔱㠸收愳昹㜸㉣戸搸㜱㙦晥〳㌶收㍦㈱㠲㠷戸慡㥥㑢㐹戳慢㈲㐰愰㉡ぢ㤵㡣㜸扤㜱ㄸ摥散敢㉢收晦〷㈲㄰捣〱㠰㑦搹㠸㤷㜷昵摦ㄱ扢てㄱ㌳挸㔸〱㝡攱戰ㅡ㡢㤷ㅥ㠷㑢愱ㄵづ扦昹慡㘷㍥㘵昲㔲㈲㤷攳晦㐰㕢㍥㜵㘲㤴㤲㜰㘸挰ㄵ㌸㍣㡣㑥㘰㘰昴㐶摡收㌰㘷愵昳搱㜴㉣㤳づ攳㑡㤱捦攷搲㤱㘸㌲㥤㐹攵㐲改㠲㤵〹㠷㌲㐶㥤〷捤收戲㔶〲ㄷ㤶㔰㉥ㄴ㡦㈵搲戱㜴㌶㥥戵㘲㔸㐷㑥攷挲㤹㜰㍥ㅣ㕣收戸㌷昹㙢戰㘶〰㈲搸敡慡㝡慥ㅡっ㜸㘲㈵〴㈰㔰戵ㅣ㉡攱昰㔳ㅣ㠶挷㘱㤰㕥〶㐰〴㠲㠷〳㠰㑦ㄹ㠷㥤慥㝥㉢㘲攷ㄱ㌱ㄷ㐲㜵㐳㉦ㅣ㙥ぢ扤挷攱㑡㘸㠵挳昷㌴づ㡤敤〱愹㝣㥥扦攳㑢㉣挳㤶㠴搸ㅤ㘰っ㘲㔷搱㌳ち㌶㜶㐴摡㈶戶㔰〸愵㜳搱㜴㈱㠵扢挱㔸㌶㥦捥㈶ㄲ昹㔸㉡㥡ち挵㜱㠹挶摤愳戱㤳〷挵捤㐳㌴ㄲ捤戲㈳〲ㅢ挳㙣㌳ㄶつ愷戳戹っ散攳昱㘴㍡挸攰㈷愱㙣㘷搸㤸㠳㈱㠲㐷扡慡㈱㔴つ愵敡㈸㔷㐵㠰㐹愸㍡ㄶ㉡㈱昶㔵㥤搸㕤㤹扦ㅢ㐴㈰㜸ㅣ〰昸㔴㤹ㅣづ㑣㥥晣㈶捦昷攰ㅡ㔷㍦㡡㔸扥㜴㔱㝥㔷㑦慤㠵㕥㠸ㅤ㑢昷愴㥡摦ㄳ愱ㄵ㘲㥦搷㠹つ〱㔲㤹搸㘷㝤㠹㍤〹㥥㠴搸〸㡣㐱散挹昴㡣㈲㡣㈸搲㌶戱㤹㄰㌸㑣㘶愲昱㘸㈱〴戲ㄲ㔹㥣搸㤸㈷㘶挳挹ㅣ敥〰㐲㐹㈳收㐱㜳昱㘸㈲㠹㤳㍤㥦〸㐵㘳㤸㘴㘶搰㘵㘱㤰挹㘷慤㤴ㄵ〹愵㠲愷㌸敥捤㌸㙣捣〴㐴昰㐷慥㉡㐹㔵㡡㉡㠶㐴〹晤〴〸㔴㥤づ㤵㄰晢戰㑥散㕥捣㙦㠰〸〴ㄹ敢㠴て㕥愰㐳㑥㜹愳㙢昲摥㌶㜸愶慢㙦㈴昶㔰㈲昸㉥㐸㜵ㄶ昴㐲散㈴攸㍤㘲捦㠱㔶㠸扤㕢㈷㜶ち㈰㤵㠹扤换㤷搸㜳攱㐹㠸㥤〶㘳㄰㝢㥥㔳て㘳㍡搲㌶戱攱㔰㍣㥥挲慤㔴㉣㠲晢㥣㙣㍡㤱㡡㕢愹㕣㍣ㅣ换㠴㤲搱㜰㉡ㄱ㌶㘶㜸搰㙣ㅡ㜷㕣㔶㈲㕢㠸㘳㈲㤹㐸㘴搲㠹㔸㈴㥤戵攲昹㔴㍥ㅤ㉡㈴㘲挶㍥ㅥ㌴㥤戴㤲搹㐲㌲㔴挸愰㕦㕢㤱㕣挶捡攵ぢ㠹㌸敥㤴攱ㅢ㤳捤攰㑦㥤㥡㤸㌳㘱㘳敥㑢㌱ぢ㈲㜸扥慢㥦㑤搵ㅣ㡡戹搴㌳愸ちㅦ〷㉡㐶挴慢㥦㐱㈹㑤㜲愳搳㈴搲㘴晢搳敥〰㠸㐰昰㘲挷搰㔸㠸愴捦愵敦㐰愸㡢㉦㝤〷㐱㔳㝡改扢挴㉤㝥ㄱ㌲攵昷ㄶ㑤慣㑦㔵愹换愰㤷〶㍣〴㝡慦〱慦㠰㔶ㅡ昰㑡扤〱て〵愴㜲〳㕥敥摢㠰㔷挲㤳㌴㘰ㄶ挶㘸挰慢攸ㄹ〵ㅢ㌹愴敤〶㡣攳㕣㠸㠶㌰攵挷搵㌰㤶㑡㕢改㌰晡㜸摡㡡㠶戳攰㌹㥦㉡ㄸ㜹て㥡挸㠶搲㠹㘸㍣ㄲ㘲搳㈵搱摣昹㜰㉣ㄹ㡢㠴慣㕣㉣㡣㌶㑤〴㝦敥戸㌷㉤搸㤸〵㠸攰搵慥㙡〹㔵㑢愹扡挶㔵㜹㈸㜵ㅤ㔴搲っ㍦㜵㥡〱改㉡戳㤵㈶㙤㄰㠱㈰㘳慦㐴挷㥢㔹㤳户慥㈶敦㔶㠳㌷戸晡挳㠹㙤愷㔵ㅢ㠹扤〹㝡㈱戶ㅢ㝡㡦搸㥢愱ㄵ㘲㝦慣ㄱ摢㌳愷㌸搵㤷挳㕢㘰㈴ㅣ慥㠲㉢㜰㜸㉢㥤㤰挳搵㐸摢ㅣ愶㌱㥢挸收㤲戱㜰㈸㤲㡢愵㌱㙣㘳戲〰〲攳ㄶ收ㅡ昹㐸㈴㘵ㅣ搹〳㑤㐷慣㌸收㄰㜹㉢㡤ㄵ挲㔴㍣㥤〹㘷戰攴㠷㈹〹㉥㥦戸㐹つ摥收戸㌷㡦㠲㡤㜹㌴㐴昰㜶㔷㜵っ㔵挷㔲戵捥㔵ㄱ㈰㔰㜵〷㔴挲攱㜱㍡㠷㙢㤹㝦〲㐴㈰挸戸㉢㝣捡慥㠷㜷扡晡㔳㠸㕤㐱〴摦㥣愹㝥ぢ扤㜰㜸ㅡ昴ㅥ㠷昷㐰㉢ㅣ慥昰攵戰换㤷挳㝢㘱㈴ㅣ㥥〹㔷攰昰㍥㍡㈱㠷㍦㐱摡收㌰㙢㘱搱㌳㥥攲攰㥢㡥㈵㐳昱㜴㍣㙤挵㈲ㄶ㘶ㄹ㜱㡣搱搱戸㜱㤶〷〵挵戱㔰〶扦昱ㄶ捡挴㌱敥㈴㌳昹㜴㈱㤶㡢攴ㄲ昱㘴㌴㤹捦㠴㠲昷㍢敥捤戳㘱㘳㥥〳ㄱ㝣挰㔵昵捣换ㅥ㜴㔵ㅥ㑡㍤〴㤵㜰搸愲㜳㜸㈱扤㕣〴ㄱ〸㍥っ〰㍥㘵ㅣ㍥攲敡㉦㈵㤶敦挷㌴昹戶㑤昵ㄸ昴挲攱ㄵ搰㝢ㅣ㍥〱慤㜰搸慣㜳挸㌹㠵捣换ㄶ晢㜲昸㈴㡣㠴挳慢㠱〳㠷㑦搱〹っ㡣㙢㤰戶㌹捣攵攲㌸㍢㌱㜹挰昰ㄹ㑢㘲㔸つ㘳㈹㈴㔲〸㠵㤲愱㐸㉡㤹换ㅡ搷㝡㔰㉣㥦㘴㜲㠹㔰㈲㥡㈹攴㘳ㄶ敥收㤳搹㐴㉥㤱㠹㐷㌳愹㜰づ扦㈴ㅡ㘴攴ㄶ摤㥢扦㠰㡤㜹ㅤ㐴昰ㄹ㔷搵㌳㝤㜸搶㔵㜹㈸昵〲㔴挲攱㝣㥤挳㥢改攵ㄶ㠸㐰昰㐵〰昰㈹㥢㍥扣攴敡搷ㄱ㝢〲ㄱ㙢㈱搴ㅦ愱ㄷづ敦㠰摥攳昰捦搰ち㠷搳㌵づ㡤㍢〱愹㍣㐸㑥昵㈵㤶㐱㔸㐲散㙦㘱っ㘲㕦愱㘷ㄴ㙣摣㡤戴㐳㉣收慤攱㌴ㄶ〸戳〵㑣㕥㌳戱㙣挲㡡攷戰扣㤷捣愷愳挹愴㤵㌷敥昱愰戸晡㐵㜲戹㈴搶昲挳㘱㑣㌴㌰㉥㘰扤㈴ㄵ㡦愷搳㘹㑣搲昲愹攰慢㡥㝢昳㕥搸㤸昷㐱〴㕦㜳㔵昷㔳昵〰㔵慦扢㉡〲〴慡搶㐳㈵挴㌶攸挴㍥挴晣㠷㈱〲挱㌷〱挰愷慣㜳扥攵敡ㅦ㈷昶㌴㈲昸慡㑦昵㌶昴㐲散㔳搰㝢挴扥ぢ慤㄰ㅢ搵㠸㌵㌹㉦㤳捥ㄹ昶攵昰㍤ㄸ〹㠷捦〱〷づ摦愷ㄳㄸㄸ捦㈳敤っ㤲愹㕣㈲㤲㑢㘵戱㘸㤷㡣攱摡㤲捥愶㌳戹㜴㈸㠳晢慢㐴ㄸ㌷㕦挶ぢㅥ㌴㤴㠹㈵㌲攱㐴㈸㤳㐹㔹戱㔴づ㐳〰㠶搲㈴㐶㑣っ戴昱㠸㤵つ㌲戴㑢㍡攷㡢戰㌱㕦㠲〸晥搵㔵昵㑣挱㍥㜴㔵ㅥ㑡晤ㅤ㉡攱㜰㌷㥤挳㔷攸攵㔵㠸㐰昰㘳〰昰㈹㥢㠲㝤攲敡摦㈰昶㙣㈲捥㠲㔰㥦㐱㉦ㅣ扥〵扤挷攱㍦愱ㄵづ㜷搴㌸㌴摥〶愴㜲攷ㅣ攴㑢散攷昰㈴挴扥ぢ㘳㄰晢㉦㝡㈶戱敦㈱㙤ㄳㅢ换攴㜱〹㠹ㄶ㔲㈹㑣愲㌰改㑡攵ぢ搱㑣ㅥ昷慤㤹㜸㌸㥦㉤㠴㡣昷㍤㘸㈴㕢㈰愷戹ㅣ敥摣㘲㤹㈸挶捡㜸㈲ㅤ㉥愴戱戲ㅤ㑢㠵㤳㠹㈰㘳扤㠴搸て㘰㘳晥ㄵ㈲昸愵慢晡㤰慡㡦愸㘲挰㤷愰〸㌰〹㔵㕦㐳㈵挴づ搰㠹晤㠴昹㥦㐲〴㠲摦〰㠰㑦搹㔹晦慤慢晦㥣㔸扥ㄹ㔴㝥㕡㔷晥㔲㕡㠸晤㤲敥㐹㌵扦搵戸攸ぢ戱扤㌵㘲㑤㥥昵搲㌹㙢㝤㌹散挵㤹〲〰收搷挰㠱挳ㅡ㍡㐱摡昸〶㘹㥢挳㜸㌴㥥て攷㌲㜸扥㠲㔹㔰㉥㔹㐸㠵挰㘰愶㄰攵㌷ㅡ㑤攷㡤㙦㍤㈸捥㙣㕣愸㜲㈱㉢㡥㔵〱㄰〹㍡㜱㘳㥢换攷㔲戹㌴㉥敤昹㘰慤攳摥晣づ㌶㈶㤷㘳㠲㠶慢敡㌹挱㝢扢㉡て愵〲㔰〹㠷晦昹户㜶㐷㙢挰㠱搹ㅢ〲㡦挶〰㄰づ㑢搶㐱晢扡晡㍥挴昲㙤愲昲㈳挱慡㍦昴㔳㘰㄰㔰㥦挱㈳搷敡㘸ㅤ㌰敢改つ㙢㙥昵挸ㄷ㡥昵㌵㌷ㄵ㠴㜶ㅡ㠰收〰挰搴ㄶ㉥㘶ぢ愴挸ㅡ扦㙡㑢㔷㍢㤰ㄸ㘸攸㔸㙤つ慤戴捥㐷㈸捥㝤㝥㘳㜲㑤㑣㕡攷慦搰㤶慤㌷愸㙤㕣㔷摢挰ㄵ㍥昲つ㙥ぢ慤戴搹戶㔰㤹摢㔱㙣㑦㌱㠸㘲〷〸㉣㡡㙤㈷㡥㠱摢摥摤ㄹ攴敥散攰散搴敦㠸㥤晦㥤㐵戱㥤攰㤹㐷㕤㝡ㄷ扣戳慢ㅦ捣慡㕥㐳挴搵㄰㙡〸昴㐲昶㉥搰㑢㘷愶㜶ㄷ㘸㠵戲搷㌴捡㡣攱㠰㔴ㅥ㈹㕥昱攳㌱㌸っ㥥㠴戱摤挸㑥㝤㜰㌸㍤愳〸㘳〴搲捥㄰㡣戹㔲㉥㤵挲ㄴ㥥㌷㙢㤸㜳㐶ㄲ㔱㑣ㄷ㐲㤸㜹㐵㈳㔰ㄸ㈳㍤㈸ㅥ戶㔸㔱㉢ㄵ挳㠳散㐲っ敢ち改㌸ㄶ扣愲ㄱ㍣ㅤ㠸㠷㈳㜹捣昵㜷㜵摣㥢扢挳挶ㅣ〵ㄱ摣捤㔵㡤愶㙡っ㔵㈳㕣ㄵ〱〲㔵愳愰㤲㕥晥ㅣづ挳㕢户〹㌳㍦〲ㄱ〸㡥〶㠰挴ㅡ㔱㈴㝤㙥戹㘲㔰ㄷ摦㜲挵愱㈹扤攵ㅡ攳㜸㌱ㄳ挸㤴摦㥢㤶㕦㥥㔶㝢㐰㉦捤㤰㠶摥㙢㠶㌰戴搲っ㡦攸捤戰㈷㈰㤵㥢攱㈱摦㘶㠸挰㤳㌴㐳〳㡣搱っ㔱㝡收搱散㡤戴摤っ㠵㘸㈸ㅣ挵㥤㐲㈲㤹㡦挵㌲㤸ㄵ㈴ぢ㠵㜰ち㡦愸攲ㅣ㤹昳〵㘳扣〷㡤挴慤㘴㈲㤵㡤㔸㈹摣㙦ㄵ㘲搹㑣㉥ㄷ㑥㐶㜳搹㙣愶㄰捦攳ㄲㄹ㡣㌹敥捤〹戰㌱ㅢ㈱㠲っつ㘳㠹㘶ㄳ㔵ㄳ愹㑡戸㉡〲〴慡搲㔰㐹㌳晣㔶㙦㠶愹捣㥦〶ㄱ〸㡥〳㐰晡㜷挹㘰戳愷慢㥦㐹散㍡ㄶ㜴㍢㠴㙡㠰㕥㠸㥤つ扤㐷散㜸㘸㠵搸㕢㜵㘲攷〲㔲㤹搸㥢㝤㠹㘵扣㤷㄰㍢ㅦ挶㈰戶㤱㥥㐹散〲愴㙤㘲㐳㤸捦㠶㜳㤱戰慣㑢㈶ㄳ㤸㔴㘴戱ㄸ㤶攴〸㥤づ㠵搱扦昷昳愰昹㔴㈴㠵㐷㕦ㄸ戹㈳㈱戴〰ㅦ戱㘷㈳㌹摣㙦攴昲〸摢挸㘶㠳㑤㡥㝢㜳㝦搸㤸〷㐰〴㈷扡慡㠵㔴ㅤ㐸搵㈴㔷㐵㠰㐰搵㔴愸㠴搸慢㜵㘲ㄷ㌳晦㄰㠸㐰㜰ㅡ〰㝥挴㌲㑥㑣昴㔹㘲昹挲㔶昹ㅤ㜱戵て昴㐲慣〵扤㐷散扥搰ち戱㍦搳㠸敤㔹摢扤搰㤷挳㔹㌰ㄲづ㕢攰ちㅣ捥愶ㄳ㜲㜸ㄸ搲㌶㠷戹〲㤶㙥㘲改㘸ㅣ㘳〲㤶ㅥ挳㥣扦愶ㄳ戸㡢挵捤㠴㠵晢〹㘳㤹〷㑤〱ㄱ挳㉤㉦㈷㘷戱㕣㌸㠲㕢摢㕣㉥㕢㐸㐴㜰㈷㥣㈸ㄴ㤲挱㌹㡥㝢戳ㄵ㌶㘶ㅢ㐴㜰慥慢敡㔹摢㥤攷慡〸㄰愸㘲㠴㤸㜰㜸愶捥㘱ㄷ昳扢㈱〲挱晤〱昰攳昰〰㔷扦㡡搸〷挹攱〳㄰敡㐰攸㠵挳愳愰昷㌸㕣〴慤㜰㜸愲挶愱㜱っ㈰㤵㍢攷㕡㕦㘲て㠶㈷㈱昶㌸ㄸ㠳搸挵昴㑣㘲搷㈰㙤ㄳㅢ㡦愵ぢ搹㄰㐶搴㜰㌶ㄵぢ㠵慤㜴㈸㡡〷〹㔹摣攸㘲摥㘰攵挲挶昱ㅥ㌴㥤挴攲㘳㈲㥣㑦㈶㌲搹ㄸ㈲㠴搲㈹㍣敡收㡤㐵搸㡡㘱㜵㌸ㅢ㍣挴㜱㙦慥㠵㡤㜹〲㐴戰搹㔵㥤㐸搵㐹㔴㌱戸㑣〶〲〲〴慡㜲㔰〹戱慢㜴㘲㑦㘵晥㘹㄰㠱㘰ㅥ〰㈱戶㘴㙤搷㜲昵㘷ㄲ换搷挵㥡㡦㐲〴ぢ搰换㠱㥦つ㝤扦晡摡挳㤰摥戳昲㙢㙤戴㄰㥤㔱㜸〳㐴搱㙦㠲㑦挶㙦㝣㌳㝥扣慡ㄷ摥慡㘷扦㡢慥愶㝡摣昷昳挵㠷愰㝣敦〷扦戵敤㌸搶晦㠱ㅦ㜶㤷㥥㈷㤷昴戸㌳扥收戹㌸攰摡㌶ㅣ慥敦ㅢ㈶散愰愵昹㜸㥤愰㌵㜶㘲㔳㜲散攴㔵㌹慢㤵㙦昳㐰挴ㄲっ慢戶㙡㥢摥㠵㕤晣㜲摢㠲㡥㐶㜹挷〴愳敡〶戸㐱㑤愳摣㥦慡ㅥ摥愳㜱㕦攰攲㥡捤敥昴散昰搳捦〸㘲㐳挶㈸晥戰昵㔶㍤㈹敤㕤㝥㠳㝡戴㜸㘷て㕥㕡㘱攵㕤㡦㕤昸㡢摡㥡敡㕥㘵㍦㠱㈶捦捣㈷㜵戴攱户㉣挷捥挱换晢攸つ㍦挳㍥㍤㑦〲〶昹扣挹戰愹愵㕢摥〴扡〳昲㤵戹っ攴ㄸ㍦挵搱ㅡつ挳ㄶづ㡢愶㙢て㐳㐳㤴扥㑤愱㘲ㄹ挵戴戳㐴昶换㠰㜹〱ㅣ慡㜶戸㈶昷捡㙣㘵㈱ㄷ搹㠵㑣㐷㈱慡㠰㐲㔸㄰㝢ㄲ摥㕡㑥㜴〷㌰㔴搱㠱㕡敥㈴㤸㕦摦㡤〴㘶改㌲攷挴㝦敥昶挹㜸㘷㙦㠲晤㝦㥤昳㝦㜰㐲㍤㠳搴挴㘲戱ㅡ㜲㑥㘳敤晡攳㑡摦㌱㙦㕢㑣㥦㜰攳つ摣〲ㄳ搴㙡㔸っ㠷戶昴㜷㝥㌳愸搱㉢昸㕤戶戲摦㍤㍥搴挹㈸晤摤攳攰搱昰㈴㈷摢㤵㌸慡㝥昵㡡㌱㘶㍣攱搴㈱戰㘰㉦㤷㡥昹㜳ㅥ昲〹㔰摢〴㌱昰捣戸挶㈶㘸昲戰㘸㕣ㅤ〴㘰て㐱扦㈰晡㐴て扤㤶攸敢㙤昴晥㐴敦敦愰㙤昲㙦㈴㥡㑢㘸ㅥ㥤㈷㍢〹愱昳㌴㈴㌶㡦捥ㅦ扢ㄶㅢ愶㜳晤昸攰〰㙥㔷㡥㔷㍦㠱㠵ㅦ㥤㜳㔱㔱㕦㍡攷㌸ㄹ愵㍦㥢ㅣ㍣〷㥥㠴捥摢㜰㔴愰昳㝣愴㠵捥㔹戰昰攸㕣挷㐳晥ㄹ戲㙣㍡ㄹ㐰㘶晣ㅡ扡摥つ挳ㅡ㘷っぢ愷搵っ㠷㈱扢挳晤㠶昰㡢㍤㌸㠳挸㡣扢ㅣ昸㍥㠴㑦㜱攰㌶愱㜷ㄳ㝥㠹〷扦㠸昰㝢ㅤ昸㑣挲㥢ㅣ㌸㌲搰㥤敦㈷晣㔲散㤳㝦慡ㄴ㈳挵扣挶戸摣㐹㐸㘳㕣㡤〴攰㥢摥户㠱挵戶攵㠴晡㙢㕣换つ㌶捡晡㤳㈶㠸㐱搵愹昶晦ㄳ㝥㌲㐱㌱㑡捣慦㜱ㅡ㔰㕤摦挶搹换挹㈸晤㌵攷攰㑤昰㈴㡤昳㌰㡥〱㡤㜳㉢搲搲㌸攳㘰攱㌵捥愳攴㠳㈱㕡㜶攳摣㠶㍤攳㜱攸㌰攲散㍦㉣ㄶ㔳〹㠰㕤㜶〲收㤳㐴晦捡㐳摦㑥昴搳㌶㝡㌲搱ㄱ〷㙤户攴戳挸愹晦㉤㌰㥢搷愳敦㜶㉤㌶㐸㕥搵〲㘷㠰昸㙡扣扡ㅦㄶ㝥愴㡤㜱戸㈹ㅢ㈰㐶㍢ㄹ愵㍦昹ㅣ晣ㅤ㍣〹㘹㝦㐰摤㐱摡㈳㐸ぢ㘹扢挳挲㈳敤㑦愴㠱㐱㕡㌶㘹㡦㘲捦㜸搹愵〱㈳攸慥㐵㌴扣㑡昴ㄳㅥ晡㌱愲㕦户搱ㄸ㈰搲㙡愸㠳戶晢昳ㅢ㐴㜳㙥攷戲慥㥥㜲ㄲ搲㈷㥦㐳㘲昳攸㝣摥戵愸㐴攷㔱㕢摥㍣昵捤㈳扢挷捦ㅥ昴晥慦㡥㥦戵㘸扣㘲㌰㤸ㅦ㥤㍢㍡慣㤵搱戹㠳㤳㔱晡㡢搱敡㘵㜸㤲㔹攳㍢㍣㉡㜴㜶㝥㠳慦㐰换㑤扤敡㘶扦㡢㙣搱㐰〴㕦㠳㔶摡攰㍤㘸捤昷㈱晡昵て扥敥㉡㍦㘰扡㕥㌱搴㐷ㅡ㘶㙢㤴捤㠶㘱㐰㔴ㅤ㕥㕥昵㤶㥢戱㤵㤳搱㥦ㄹ㡥晦㉦扦㔳㝦㜱昳户㜴昲昹慥㌸㉤晦㙤㌷㝦愰㤳㍦愸㌸晦ㅤ㌷㝦ぢ㈷㕦㉥ㄹㅦ愳〰挵戰㥣ㅥ摥收攳㔸敤ㅦ昱攸〷愴敦戹摢搷挹㈸晤㘱捦攰㐷昰㈴ㄴ㝣㙥ㅦ敤㈷㙥愱〱扤搰㉦㔸㈸㈳㘷散㙥昸㈹昶㡣㝦㐳㠷㜳㜷昲戰㐸㕡ㄹ〰戳ㄷ搹㘷攳㝦㠸晥愷㠷晥㡣攸㙦㙣昴晥㐴㔷㍢㘸扢ㅢ㝥㠷㥣晡慦㠰搹扣捥昶ㅦ搷愲㔲㘷〳㤹搸㐶㌸攷㙥昵〴挵㐱戸㠷戴昵挸戴㐹晢收换ち愴㝤敤㘴㤴晥晡㘷戰ㅡ㔵ㄵ搲㙡ㄱ㤴㠸㉥㘲㈰㉤㕤攴㉢㔸㜸攷㙥㙦㘴㉡ㄳ㔹㌶㘹扤戱㘷㤸搰〹㘹搱㤰晡ㄷ挰㍤愴昵㈱㍡攰愱敢㠸敥㘷愳㜱敥㠶搴㘷づ摡㈶慤ㅥ㌹昵㐱㘰昰搹昴慢㐶晤〰搷愲ㄲ㘹㠱㍦晤㝣㜹㐳攰搱昱㜲〵ㅦ㜰昶㜸挵挰㥢攱愴敡つ㡡昵ㄴ㙦㐲愸扦㌹摣㤴㥤愱ㅦ㌹ㄹ愵㍦ㄱㅡ摣ㄶ㥥㠴戴慤㔰㜷㤰戶〳搲㐲摡㕦㘱攱㤱戶つ㘹搸ㄹ㔹㌶㘹㍢㘲捦搸捥愶㘱摦㘱㤱戸㝡搷愱挱敥㘹㠳㠸ㅥ散愱㜷㈲㝡㐷ㅢ㝤㄰搱㙦㌹㘸㥢戴㥤㠹ㅥ〲㡣㌷攰つ㜵ㄲ㌲攰敤㡡〴㍥㥢㐱攷㙥慥㐵㈵㍡攱慤慡㙡捤㈲愷て㙥㍦㐱㌱摣㘶㌸㜴愵㜴扥敥戰㔶㐶攷㙢㑥㐶改㉦㡣〶挷挲㤳搰㌹ㅣ㐷〵㍡ㄹ㔰㈳㜴扥〲ぢ㡦捥摤㜸挸っ㝥戱改㘴㤴㡤㌱搲㈶㘸摦㘱昱㤰晡愳㐳㤰㑤攷㈸愲ㄹ〴㘳愳ㄹ㘸㘳㡣戱搱〷ㄱ晤㠲㠳戶改摣㠳㘸㍥挲昱攸㑣㌹〹愱㜳㉦㈴昰搹っ㍡ㅢ㕣㡢㑡㜴昲敡戱攵捤ㅦ㡦摦捦扤㝥㌴挲㘲戸て㥤㑦㍢慣㤵搱昹㤴㤳㔱晡〳愵挱㐹昰㈴㜴挶㜱㔴愰㜳ㅡ搲㐲攷ㄳ戰昰攸㑣昲㤰㘷㈲换㈶㘸㍡昶㡣戴㑤㔰攳㍥挳搲敡㤱㈲㠲昶㈴㥡〱㉦㌶㝡〶搱つづ㝡㈶搰扦㜳搰ㄸ㤷㌰㕦ㅣ㑦㌴㈳㕤㙣㌴㈳㙣㡣㐶〷㍤〳攸晢ㅣ戴摤㔴ㄳ㠹㘶攴っ挹愷〳㌵挷㐹戰㜱搴㕣㈷㈱㉤挱ㄸㄹっ戲㥢摥ㄲ挰㘲挳散㤲㠱㌵㘲㔹愹㐵〴攸㌷扢㘴昴捣㜰攴㤶㜶昴扢㜰ㄴ扥㔷愸㍢㥤㡣搲㥦㑡つㅥ〲㑦搲㌲搳㜱挸㘸㤹㉣搲搲㌲㜷挰挲㙢㤹㝤挸〷愳㔴㙣昶ㄸ㌴㘳散㙢戳户晦戰㜰㑣摤敥戰㘷㜷摤搹㐴ㄷ㍣㜴㥥攸戹㌶㝡㌲搱㌷㍢㘸㥢敢昹㐴㉦〱挶敢攸㑢㥤㠴搰摢㡡〴㍥㥢㑥㙦㍤〳㘵挴㘲㠳戴㔶捤敡戹㌱㍤ㅣ昰攱㍥㜴㕥敦戰㔶搶搱慦㜳㌲㑡㝦㘹㌵挸㈸ㅢ愱昳㐰ㅣㄵ攸㕣㠵戴搰㜹㉤㉣㍣㍡ㄷ昱㤰ㄹ搶㘲搳挹昸ㄹ㘳戱㑤搰昴㘱攱戸扡慡㠸愰㘶愲㡦昶搰っ愱㌱㌲㌶㝡㈱搱㤷㌹㘸㥢晣ㅣ搱挷〰攳搱㜹慣㤳㄰㍡搷㈲㠱捦㘶搰挹㤸ㄹ戱搸㌰㥤戱㥥㘹晣㈹㠰て昷愱昳㈲㠷戵㌲㍡㉦㜴㌲㑡㝦愸㌵㜸ㅡ㍣〹㥤㉤㌸㉡搰挹愸ㄹ愱昳㝣㔸㜸㜴㉥攳㈱㥦㡤㉣㥢㑥㠶搲ㄸ㙤㌶㐱戸昷㐹慢㜳㡡〸敡㈰㥡愱㌰㌶晡㉣愲て户搱戸昷㐹慢㌳ㅤ戴摤㍢扢㤰㔳㝦㈱㌰昸㙣〶㘹っ㤲ㄱ㡢㑤㈶敤㔲挰㠷晢㤰㜶慡挳㑤ㄹ㘹㍦㜲㌲㑡㝦捤㌵㜸〵㍣〹㘹慢㔱㜷㤰㜶㌵搲㐲摡挹戰昰㐸㍢㡡㌴晣〲㔹㌶つ㡣㥤㌱㡥戱㘹㌸㘸㔸㉣慥搶㍡㌴搸扤敡㌸愲慦昳搰搷ㄲ㝤扣㡤摥㤷攸㘳ㅤ戴㑤摡〹挸愹㘷愰ぢ㍥㥢㐱ㅡ愳㘲挴愲ㄲ㘹㜸〲㡤敤㐳㘷〹〴昳㈷〶挸っ昷㈱㙤戵挳㑤ㄹ㘹慢㥣㡣搲㥦㝣つ㌲愴㐶㐸㍢ㄵ㜵〷㘹っ㠱ㄱ搲㔶挲挲㈳敤挷愴攱㕥㘴搹愴㌱㉥挶㌸挳愶㘱晡戰㐸㑣㜵ㄶ搱昰ㄳ愲敦昳搰昷㄰㝤戶㡤㕥㐸㜴扢㠳戶㈹㍥㤷㘸㍥ㄶ昷㑥摣〷㥣㠴㥣戸て㈱㠱捦㘶搰挹㔸ㄸ戱愸㐴㈷扣㔵㔵慤㙦㥦㜰搴ㄱ摣〶㑦㔰㡦〳㍥ㅣ扡搲换㑡㡢挳㕡ㄹ㥤㑢㥤㡣搲㕦㡣つ㍥〵㑦㐲攷㐵㌸㉡搰昹ㅣ搲㐲㘷〱ㄶㅥ㥤ㄷ昳㤰ㄹ㤳㘲搳昹㍣昶㡣㑢㙤㠲搰〷㘳㉡㕢㐴搰攵㐴㌳挴挵㐶㌳㑡挶戸搲㐶愳て挶搴㈱づ摡敥㠳㍦㐷㑥㍤攳㔹昰搹っ搲ㄸ晣㈲ㄶㅢ㈴敤㠱㙣捦挵攳つ挰㠷晢㤰㜶愰挳㑤ㄹ㘹ぢ㥤㡣搲㥦㤵つ扥〵㑦㐲摡昵愸㍢㐸㝢ㄷ㘹㈱㙤㝦㔸㜸愴摤㐸ㅡㄸ㙡㘲搳昰ㅥ昶㡣㕦摡㌴捣攵㍡搹扣㈲ㅡ㙥㈱㥡搱㈹㌶晡㝤愲㙦㠳㡥㡢㜶㑤㠴捦㜲攰㜶㈷㕣㐷㌸攳㕢扣㑥昸㤱㤳㤰㑥昸〹ㄲ昸㙣〶㥦㥦扡ㄶㅢ攴戳㙡敡〴㜸挵戶㝥扣㘲昸换㜰散㤶㜶挲改づ㙤㘵㝣㑥㜳㌲㑡㝦㤶㌶昸㈵㍣〹㥦㜷攱愸挰攷搷㐸ぢ㥦㔳㘰攱昱㜹㌷て㤹戱㈷㌶㐳摦㘰捦戸ㄷ㍡㔹慢挷㕤㑥㔳ㄱ㐱昷ㄳ捤攳户搱摦ㄲ晤愰㡤挶〸㄰㔷㝢㍢㘸扢ㄳ晥ㅥ㌹昵㡣㕢〱㙣㌳㐸敢敤㕡㙣㤰戴〷㤶㑣㔸戴ㅦ户敤㈶愸㍥戰ㄸ敥㐳㕡摡攱愶㡣戴㤴㤳㔱昶摢戵っ㠹攱敡㡥昹戸ㅣ愹㥤㔰〳㕣敤ㄳ搰㜲㤳〵㈰㐶挲〸挱㑦㐲㙢㍥〵㠱ㄵ㥥㠱慥昲㘹愶敢㠳摢戸改㘷〸㝡㤶攲㌹㡡攷㈹㕥愰㜸ㄱ愲㕦㐰㌱挰㐵㥡㘷㌴敡挶收㜱㤷㠲戶㜳㌳㐶㌹ㄹ㈵㑢㐱㡣㠷ㄱ挳摤㥤晣㤲愵愰㐱㙥晥㐸㈷扦㘴㈹㠸㔱㌴㘲㍦挲挹㤷愵愰㤷㔱㉢㌵ㄸ㔹㍤扣昶㉣〵敤〲愴敦㐴㝢愸㤳㔱晡晢戶挱㕤攰㐹戸㝡㠳㐷㕢慦㜶㜳ぢㅤ慣ㄷ晡㈶ぢ㘵㈰㠹摤扤㐶㘰捦昸ぢ㜴攸㡣搳㠷挵㐲㙡〷㠰㜹㙡摡摤敢ㅤ愲㐷㜹攸㤱㐴扦㘷愳ㄷㄲ扤慤㠳戶捦敤て㠸㘶㐴㡡㜷㙥㌳㌲挵昵㔶ㅦ㐶㘲昳扡㈹愳㔴挴愲㔲㌷戵慦搷㝦改戹㕥㌳〴愵㠷捥昵攸㐷昶㝡挷㐰㠷戵戲㙥扡㠵㤳㔱晡昳戸挱㌴㍣〹㥤ㅦ攳愸㐰㘷〳搲搲㠶㐱㔸㜸攷昶愷㍣攴〹挸戲改㘴攴㠹昱て㥢㈰㑣戴㐳慡慦㐳㤰㑤攷攷㐴㌳㌰挴㐶㡦㈷晡ぢㅢ㡤㠹㜶㐸搵㌹㘸㥢捥㝦ㄳ捤挸ㄲ㡦捥㠹㑥㐲㠶捡愹㐸㙣ㅥ㥤搳㕣㡢㑡㜴摡扦户昰㘶て㥤っ㍣昱愳戳㤷挳㕡ㄹ㥤搵㑥㐶改捦敢〶ㄹ慡㈲㜴㝥㠷愳〲㥤昳㤱ㄶ㍡慢㘰攱搱愹昰〷㥦㡡㘱㈰㌶㐱㡣㌷㌱㝡㐱㔷换摥ㄹ㔷㕦㝦愱㜷捥㕡㠲て昰挰晢ㄱ摣摢〶㉦〴昸㑢〷㙣㤳㘹ㄲ捣㘸ㄲ㡦捣〳㥤㠴㤰戹ㄸ㠹捤㈳㤳ㄱ㈶㘲㔱㠹㑣昴㍤㙣㝢㑦㤰晦慡㍥ㄹ慦ㄸ㙣攲㐷收㍦㔰㔱摦㔳晤㌳㈷愳昴挷㜹㠳ㄶ㍣〹㤹昵㌸㉡㤰搹㠲戴㤰昹〹㉣㍣㌲〷昰㤰ㄹて㘲㤳挹挰ㄳ㘳㈰㜴昶慡㙦㐸㝤攴㄰㘴昷捤慤㠸㘶㕣㠸㡤㕥㐶昴㌶㌶ㅡ慢扥㈱昵扥㠳戶改摣づ㌹昵㕤挰㙣ㅥ㘹っ㈹搹㈰㘹㜶て㝣㜹晣挵捥㑦㠰㈸㐶㤷昸㤱昶ㄷ㠷㥢戲ㅥ昸㤶㤳㔱晡ぢ扥挱愳攰㐹㐸摢ㄹ㜵〷㘹挷㈱㉤愴慤㠷㠵㐷摡㄰搲挰㔸て㥢㠶㌵搸㌳㜶戱㘹挰〲㘶㕡扤收搰㘰㤳㌶㥣㘸挶㝣搸㘸挶㤵ㄸ扢搹㘸㉣㘰愶搵㥦ㅤ戴㑤摡㐸愲ㄹ㌴攲昵挱㤳㥣㠴昴挱㔳㤱搸㍣㍡ㄹ㐸戲㐱㍡愵敦慤㘹散㤹㑢㌲愶挴㡦捥ㄷㅤ搶捡攸㝣挱挹㈸晢〱㘰㐶愱㙣散〷㠰昹㜶㈰慢㡢㤱㈸㕤扣㘲搶ㄶㄸ㜹搱愷㘰慢ㄹ㌸㈲㍦㘶搴㉡㉦〳敡㡢摦敢散㕣㘶㜵捥挴捦搲攲㔷㍡攷户戴㌹㙦愳挱捦搵昲㠷ㅥ摣㕦㠴㌴㈵㐵㘳愳㌰扢ㄳ㍦ㄱ搹扢㌰扤ぢ㍦搹㤳慦㙢㥢㤳改敥戶㍡摢㝦〸慦㄰㐰㔰㜵つㅢㄵ愱ㄴ昲㤳挰扥㙦㐶攲㉢㡦㝣㠳㌴㠴戱戱㍤㝣戸㍦摢㔲捤㥦昹晣㝥㉦㄰㌰昶㐰攷㜳㕦攲㤵搷㝥戸戶㐶㍤㠷㈶戶㠳㠵搷㔴㝤㈷㜵㐶㉣㤳ㄹ㘶㌷㡥㐰昴㙡散㙡㤳搹ㄸ㐴挰㡣㐲㈳㉦㥢戴摦㜴㔹㝢㉥扡㐱改挱昱㕤㔵㔳㜸昴戵㐷戴攴扢㤷ㅡ㑢慤㤶㈵㑢昱㠷㑥㝤晡戸敦㤲㘲㈹㌵ㄷ挰㜴㐳愱㉤㍣㘹㝡户㌵㘷㍡㍢㌳慢敢摡㥡㕢慤昶㈵摤㑢敢㥡㔷㈲㤲〷㍦戸㡢换㐸㕤㕤㥤ㄹ㐷㝤㔸ㄴ扦敡㘲㜸愴㔷㌳愱㙢ㄹ挲挱摥㙡㈴愱昵愷攰㌱㕦ち搲挰ㅢ攳㈰㡡㈹搸ㄳㅡ㡤〲挵㈸㄰搲攰㙥敡ㄷ㐸㐸㌵ㅡ㠰昴㉡㜷愳慢摤㕢搷摥〶慤㔴㙥㍣戴晡㕢昵㡢摢攸〱摦ち㌶挲挶㘸㠲㈸慥攰㐴㘸昴ち慥㐳ㄹ㐵ㄵ晣㡤㕢㤵挹㐰㝡ㄵ扣摢搵㑥搱戵昷扢摡愹扡㤶愱〲慣戶㐹㑥㙢搴㙦㝣慢㌷〳㜹㈶昹敢改㍥㌳愹攲扢㑡敤敥愳ㅥ㠵㡦愲慡㍤改ㄶ㌷ぢ㐸慦㙡っ㄰㄰㐶㘷敢㕡㍥㝡ㄷ敥收㐰敢摦戰户昸㔶㙣ㅥ昰挶㝣㠸㘲摥ㄶ㐰愳㔷敥㑦愵㤵㝢搵慤挶晥㐰㝡㤵㝢挳搵ㅥ愰㘹㠳㝣㤰捤㠵㝤㜳㈱戴晤㝡〵昹攴㥡㤷㥦㝥㐱昵ㅥ㜶攵捡昳ぢ搴㡥㔷㥥慤愱慦挳敢㘲摦㜷㌳慥㜵㌲戶㘱㐶ㅤ㈲㤷扥㔳㝣㥣㉤〷扢〸晥敡ㄱ㝢㘶攵昰㤳㐸㠳㔷㌲ㅣ慤慢㕡㕤敤ㅥ攸㠷㤱敤㝡㑥攲挵挰ㅡ㠷㐰昴挲㡦㘳㈹搶㔸㑥攲㘶㘸昴〳攵㐳㘹戶挲昵攳㍦㤸㜰散㠴搳ㅡㄵ㥦㈶㙢捤㝢㤹敢扣㑡ㅦ㈱㜲昴㔲摣扣㔶㠹攳㉦ㅣ挷㉣㤸㥢晡てㄴ搲㤰㑢㠰昴ㄸ晣捥搵㉥搵戵㝣㍡㉢㐷摣〲慤㝦昳㥥敦㕢戱㘵挰ㅢ慤㄰挵捤摢〶㡤㝥搴㝣挰㕢搴昷晡㐰㈱㤵敢〰搲慢㕣扤慢㕤慥㙢昹ㄴ㔴㉡㜷㌸戴晥㤵㍢搳户㜲㕤挰ㅢ摤㄰挵㤵㕢〱㡤㕥㌹㍥㐸㉤慡摣㈰户ㅡ㐷〰改㔵㙥㘷㔷扢㑡搷昲㤹愲㔴㙥㌵戴晥㤵㍢搹户㜲㐷〱㙦ㅣつ㔱㕣戹㘳愰搱㉢挷挷㤲㐵㤵ㅢ攵㔶攳㌸㈰扤捡敤攱㙡搷攸㕡㍥愱㤳捡ㅤて㙤攵ㄱ敦㔸摦ち㥥〰ㅢ攳㐴㠸攲ち㥥〴㡤㕥㐱㍥攸㉢慡攰㥥㙥㔵㑥〱搲慢攰㜸㔷晢㈳㕤㍢搱搵㥥慡㙢愷㐳㉢搵㍥つ㕡㝦㑥㔷昸㔶昹㜴攰㡤㌳㈰㡡慢㝣㈶㌴㝡㤵昷㠱晦愲㉡捦㜶慢㜱ㄶ㤰㕥㤵攷扢摡戳㜵敤㠱㙥攵捥㠱搶扦㜲㙤扥㤵㍢て㜸攳愷㄰挵㤵㍢ㅦㅡ扤㜲㡢㑡㉢搷散㔶攳㐲㈰扤捡攵㕣敤㐵扡戶挵愹㥣㜳慤戰㝣㉢㜲〹㑢㉣ㅥ㑣㉥㉢愹挴戲搲㑡㜴戸挵㕤愱ㄷ搷攵㙡慦搴戵慢摤㑡昰㝣慤㔱㡢㝤㉢㜱㌵㑢攴戹搹㜳挱扡㤶㉡敤㠲㜵㔴㘹㈵㡥㜳㡢扢づ㐸㡦㠹ㄳ㕣敤昵扡昶㔴愷ㄲ挶つ搰晡㌷搳㝥扥ㄵ扢〹㜸攳㤷㄰挵捤㜴㌳㌴㝡攵㝥㕣㕡戹㥦戸搵戸ㄵ㐸慦㜲攷扡摡摢㜴敤㐵㑥攵㑣づㅡ㌵㙡㕦摦㡡晣㡡㈵㜲㠰攸㘱攸づ慡㌴㠶㉥㉥慤挴攵㙥㜱㜷〲改㔵攲攷慥昶㉥㕤㝢扤㔳〹攳户搰晡㌳㌴搹户㘲昷〰㙦摣ぢ㔱捣搰㝤搰攸㤵扢戱戴㜲户戸搵㜸〰㐸慦㜲敢㕣敤㠳扡昶㉥愷㜲㈶㥢慦㐶㌵昸㔶攴㈱㤶挸愶敡㘱攸ㄱ慡㌴㠶敥㉥慤挴晤㙥㜱㡦〱改㔵攲昷慥昶㜱㑤ㅢ㝣ㅣ㕡㤹㔷㍣〱㉤收ㄵ㕣㉦㜵收ㄵ㑦㘲㔷收ㄵ㜱搴㑣㥦㔷㜰攱㔴㌲㘲㑥㠶㌶慦攰㈲㉡挷㌵㤳昳㡡㙡ㄵ㜱て慡㘸ㅥ昱㉣昲㑣捥㈳㝡收㄰捦㔳愵ㅤㄴㄷ㕦愵㡣㌱㑥ㄹ㜲捦慢㥥㜵搵愳ㅤ昵〰㌰ㄳ㔰㕣愰ㄵ昴㈸㐷捤㈹㔰㐰㜱挹㔶搴扢㍢㙡㔶㌴愰戸㠸㉢敡㤱㡥㝡㠴愸㕦㜴搵㈳ㅣ昵㐸㔱扦っ㌵㐷㔲㙦㌶昳〶ㄴ㌲㜴扦㡣㍡晢㜷慡㕤攱愱晣ㅥ攸㔵攰㡤搷㈰㡡㍢搵敢搰攸㠷捥㌵搵愲愱㥢换愶㌲㤱㜸〳㐸慦㍤㍦㜰戵敢㜵敤挷㙥攵摥㠴搶扦㜲㍢昹㔶敥㉦挰ㅢ㙦㐳ㄴ㔷敥ㅤ㘸昴捡㜱㠵戲愸㜲㕣㠴㤴捡扤〷愴㔷戹㝦扢摡昷㜵敤㜷㙥攵㍥㠰搶扦㜲㕢晢㔶敥㐳攰㡤㡦㈰㡡㉢昷㌷㘸昴捡㈹愴㡢㉡㔷ぢ㠵㔴敥㘳散㜸㤵㌳㕤敤㈷扡戶ㅥ〹改戹㉤搸愹㔱晤㝤㉢昲て攴㤹㥣ぢ昶㥣㡥㥦㔳愵昵摣〱㐸ㄷ㔵㘲㉢㈸愴ㄲ㕦㘰挷慢挴㜶慥昶㑢㕤扢㌳ㄲ搲户晥㡤ㅤ㝦㠶っ摦㡡晤〷㜸攳㙢㠸㘲㠶扥㠱㐶慦摣㄰愴㡢㉡㌷ㅣち愹摣㜷搸昱㉡㌷搲搵攲捦愰㍤㙤㙤ㄸ摡㑤㕥㘰攰〳㤷敦昹㑡㍦㠵㐲ㄵ㔷〶攴戹㑥戵㔶㠵晡戸愳慤攳㜰㔰捦晢㜲㘲㈴愵搲㐸戱㡡㘶㉦摡敦改攴㤹㌵扡㝤㠳㙥㔱扦户㥥㔲㡤㐸㠹㝤㉤敤㜹搷㉢攵ㅢ扡晤㘴摤愲㥥㜷戶㕥昹昵扣愳昵㔲㙡〶㔲攲慤㌷扤捤㜴昲捣㍡摤ㅢ㙦㑡㍤㡢晡搹㝡㑡昱愶㔲散㑤摡㉦㜰敤〳扡㍤敦ㅢ㝢散㜹扦攸愵搴㐲愴㘴㤰晢晣㕦昶攸㍤ㅥ㐴㤹㝤改㙣㌱戲挴㜵㍦愶㥡ㅤ㌳戳㍦㔲搸㤷慦攲摤㤸㘰敡㠹戱㕣㑣㄰㈹户㤷搴昳愶换㉢戰㝥愹㥥㔲扣㘹ㄲ晢〱戴㙦㜳敤户搰敤㍢㜴㡢㝡摥て㜹摥ㄴ敦㙢挴㝥㈰敤㔷戸昶㕢敡昶扣㜵昱㉣敡㔷改㈹㜵㤴㙢扦ㄵ敤㡦㜱敤户搶敤㡦搳㉤敡搷攸㈹挵㍢〳㈹㝦ㅢ摡㥦攴摡㙦慢摢㜳昲摦㔳晥㡦㡡㔲愷敡㈹㜵㍡㔲攲㙤㍢㝡攳㕣㥤㜶收昶扡㌷捥换㝢扣㥤慤愷ㄴ攷搵㘲㍦㠸昶㥣㑥㡢晤づ扡晤㠵扡㐵晤㐵㝡㑡㕤攲摡敦㐸㝢捥㠴挵㝥㈷摤晥ち摤愲晥㑡㍤愵㌸㤳㤵昲㜷愶㍤㈷戱㘲㍦㔸户扦㑥户愸扦㕥㑦愹㥢㕣晢㈱戴攷㍣㔳散㠷敡昶㥣㔳㔲㙢㥦摡户改㈹挵㜹愲㤴扦ぢ敤㌹㐵ㄴ晢㘱扡晤㥤扡㐵晤㕤㝡㑡㜱㍡㈷昶挳㘹捦㔹㥣搸敦慡摢㍦愰㕢搴㍦愸愷ㄴ㘷㘱㘲扦ㅢ敤㌹〱ㄳ晢ㄱ扡晤㘳扡㐵晤攳㝡㑡㜱㜲㈵㈷攳㥦昴㤳㜱㜷㍡㝢ㄶ㔹攲㝡ㄴ㔳捦㍢㘶收㘸愴戰㉦㕦挵㠹㠳㘰挶㄰昳扡㡢ㄹ㡢㤴㜷㌲扥攱㘸㙤晡搶敢㈹挵㙢扢搸敦㐱晢㜷㕣晢㤰㙥捦换㜷て晤敦敢㈹挵换慦搸㠷㘹捦慢慥ㅣ㝥㐴户晦㔸户愸攷㤵搵昳愶㜸搵ㄴ晢㈸敤㜹挱ㄴ晢㤸㙥捦㡢愳㘷㔱晦愵㥥㔲扣戸㠹㝤㥣昶摦戸昶〹摤㥥搷慦ㅥ㝢㕥户扣㤴㤲ぢち㑦戸㈴搴敥ㄶ攴㠵㐵㥥攰愴戰㘳愶㈱晡昵㔷㜲敤㈰㜴㥣づ攵㌵㐴愰㝢ㄲ扡㤷つ㤵换〴愱つ㍡㤴㤷ぢ㠱敥㑤攸㜸ㅢ㉡搷㠰㌲慦扣ㄶ〸戴㤱搰㈶ㅢ㉡挳㝤ㄹ㤴挳扥㐰㈷ㄱ㍡㔹愰昵ㅣ捣て〰戴㝡㤵捡ㅤ㥡㍦昴搰㉦敢㙢〶㙦㕦戳㜰㐲摦㡢搶㍦昱搶㌹㉦ㅤ摣昰摥搷㤷㕣昲搲摢攷㍣昵昵㍤搹㠶㐷慦扡敡愱ㄹ㤷㍦昵搶ㄶ㠵㉢慡敦昸㜲收ㄵ㐷㠷㤷ㅤ㝤㜸㘱扦摤愷ㅥ㝤攰㘱㜳挳㜳〶㡣敡搵慢㜷敦摤〶㍥戶敤㠸攰㥡挳敦㔴て扥扣㑤扢㤲敢〳敢㌲〵㈵㜱攳摦搰〶㜹㥤㤰扡㑣挵㡥㌹㡤㘲㍡挵っ㡡㝤㈸㘶㔲散㑢㌱ぢ愲㕦㥤㤲㡢〸㙣㡢㔹攵挵㐴ㅣ捤㈱㜴㉥愱晤㤵㕣㉦捡愰扣㙥〸㜴㍥愱ぢ㙣愸㕣ㅡ〸摤て㘹㜷ぢ昲ㄲ㈱搰晤〹㍤挰㠶捡㔵㠰搰愲ㅥ挰慢㠱㐰て㈴昴㈰ㅢ㉡〳㍥愱㡢㤰㜶户㈰〷㝥㠱ㅥ㑣攸㘲ㅢ㉡愳㌹愱㐵㍤㠰愳扡㐰㥢〹㍤搴㠶捡挰㑤㘸㔱扦攲〰㉥搰㉣愱㌹ㅢ㉡㘳㜴ㄹ㤴㘳戵㐰㉤㐲ぢ㌶㔴㠶㘳㐲㡢ㄸ攰戰㉣搰愵㠴戶搸㔰ㄹ㜹换扣㜲〴ㄶ攸㌲㐲㕢㙤愸っ戲㠴ㄶ㤱挵挱㔶愰敤㠴㜶搸㔰ㄹ㑦换㉡挰㜱㔵愰㠷ㄳ摡㘹㐳㘵攸㉣慢〰㠷㔰㠱㜶ㄳ扡㐲愰昵ㅣㄸ晦㔷㍢戶㡣戵慣换㑡㤴挴つ昷㜷㔵㐱㡥戹㔲㤷㈳戰㘳慥愲㔸㑤㜱㈴挵㔱ㄴ㐷㔳ㅣ㐳㜱㉣〴㍡戶っ挸戰㌵㡦㐳摡摤㠲ㅣ㤸挵搱ㅡ㐲㡦㈷戴扦㤲戱㤷搰戵㍡㤴㘳戰㐰㑦㈰昴㐴ㅢ㉡挳㉣愱㈷改㔰づ户〲㍤㤹搰㔳㙣愸㡣愸㠴ㄶ昵㉢㡥慣〲㍤㤵搰搳㙣㘸ㅣ晦挹戸㕢搴㔹㌸㠸ち昴㜴㐲捦㄰㘸搰㙤㜸挵愱㔱㉥㕣㥤捥㠵㑢愰㍦㠱㔶㜱挰㤴慣攵㑥㔶ㄳ慡㠱挷づ㐱户㈶㡡㠳愵㈰㍡㜴攳㜳㘸捣㈱㔴戲摡㑡㡣摤㌳㐹㜱昸ㄴ㐴慢㙥晣㔳ㅡ㜳㔰㤵慣挳㡡㡤ㄵ挷㔱挹㘸搱㙤愴㐰㡥慥㤲戵愴挴㠶〳慡㘴ㄴ㜴㥢㡢愱㔵ㅣ㘶㈵㉢㕦㙣ㄳ攴㜰㐸㈲昰昰㠵㘳愰㘰㜲扡昹㘵㌴攷挸㈸㔹ㄹ㈷换㕥挲攰㔸㈹敡㐳ㅤ戵扤㠴挱搱㔳搴捤㡥摡㕥挲攰㜸㉡敡㐳ㅣ戵扤㠴挱ㄱ㔶搴㡢ㅤ昵〸㔴㈷愰㌸收㡡晡㘰㐷㍤㔲搴ㅣ㠵㐵扤挸㔱㍢㑤愵㌸昰㑡挶㐱㑥㠶㌴慦㄰挶攱㔸戲ㄶ㤶搸㜰〴㤶㡣〳㜴ㅢ㈱㡣攳戲㘴敤㔷㙣ㄳ㜴㝢㥣攲㤸㉣㠸〵扡昱㉦愱㔵〷戸㔹昳㡡㡤ㄵ〷㘷戱㤹慢摢摣㑡㥢㠳摣慣搹挵㌶挱㐵挸㜰㕡㠸〳戶㤸捦搲捤搷搱㝣戱㥢㌵戳搸㕣㜱攴ㄶ㥢㝤㜴㥢㍢㘸挳昱㕣戲愶㤷搸㜰〸㤷㡣㘹扡捤㕤戴攱挰㉥㔹㔳㑡㙣㌸㤶㑢挶㘴摤㐶昸攷〸㉦㔹ㄳ㑢㙣㌸愸㑢㐶㤳㙥㈳ㄴ㜲愸㤷慣〹㈵㌶ㅣ摤㈵㘳扣㙥昳㍢㘸ㄵ挷㝣挹㙡㈸戱攱㌰㉦ㄹ㝢改㌶㐲㍢〷㝦挹ㅡ㔷㘲挳昱㕥㌲搲扡捤㘳搰慡㑥㌷㉢㔹㘲挳㠱㕦㙣ㄲ扡㡤搴㙤㠵㥢ㄵ㉢戶〹㜲搸㜶㥡㤷㘳戵㤸㐷㜵昳㘷愰㔵ㅣ挱㈵㉢散㘴搹㈷㈰挷㜴㔱㠷ㅣ戵㝤〲㜲㤴ㄷ昵ㅥ㡥摡㍥〱㡦㜲搵㘳ㅤ戵㝤〲昲㑡㈰攸㌱㡥摡㍥〱㜹㙤㄰昵㘸㐷㍤㔲㑥㐰㕥㉤㐴㍤捡㔱扢㘳愵㝢搹㔰扣㔲〸㘲㜷〷㈱㘷攲㥦愰㔵扣㝥㐸搶㠸ㄲ攳戵挸㜰㔸攰搵㐳㌰扢改收慦搰㥣搷ㄴ挹ㅡ㕥㘲捥㡢㡢㘳捥㉢㡡㘰㠶改收慦搳㥣搷ㄹ挹ㅡ㕡㙣慥㜸㘹㤱㡣㈱扡㡤㡣〳扣攰㐸搶捥㈵㌶扣挶㐸挶㑥扡捤㕦愰㔵扣昲㐸搶づ㈵㌶扣搸㜰昲ㅦ㔰㍣㉦散㍤㕥〶散㍤㤶㘷敦㜱捣攵㥥昹づ㜶ㄴ捦〷㕢捦ㅥ㙢敦昱㥣户昷㜸㈶摢㝢㍣㍦敤㍤昶㌸㝢㡦晤搵摥㘳㌷戲昷搸ㄲ昶ㅥ㐹戵昷挸㡦扤挷㈳戰昷愴㜰戴戹昹㉥㔴摣ㄸ㔰ㄵ㘴挲愶扡捦晦〵慢愷戹ㄵ</t>
    <phoneticPr fontId="10" type="noConversion"/>
  </si>
  <si>
    <t>CB_Block_7.0.0.0:2</t>
    <phoneticPr fontId="10" type="noConversion"/>
  </si>
  <si>
    <t>㜸〱捤扤〷㝣ㅣ搵搵㍥慣㉢㑢㘳捤扡㘸〱㔳㙤㜰挱愶搹㤸敤挵㘰㉣换ㅤ㌷㕣㌰挶ㄸ挴㤶㔹㕢㔸挵㐸㜲挳ㄴ㔳㐳㠹㐳て㄰㍡〴㐲㜰㈰愶㐳攸〱ㄲ敡㑢愸愱㠴搰〹㌵昴搰攱㝢㥥㌳㐵㜷㜷㘷㕤昲㝦扦摦敦㕤敦ㅥ捦㍤攷㌹攷摥㜹敥㥤㍢敤㘸愶㑡㔵㔵㔵晤㡣て晦攷愷㠶ぢ〳收慣敡散戲㕡㐷㡥㙢㙦㘹戱㜲㕤捤敤㙤㥤㈳挷㜶㜴㘴㔶㑤㙢敥散敡〱㠰搱搴っ㝢㘷㙤㔳㘷昳㤱㔶㕤搳㜲慢愳ㄳ愰摡慡慡扡㍡戳ㅡ昶敤㥤㕦搰㉤㤸昴㌲㙢㈸㠰慡㌲つ㡡㥥ㄴ㜵ㄴ㈶㐵㠰愲ㄷ㐵㙦㡡㍥ㄴ㝤㈹敡㈹㠲ㄴ㕢㔰㙣㐹戱ㄵ㐵㍦㡡慤㈹戶愱搸㤶㘲㍢ち搶㙦敥㐰搱ㅦ愲昷〰㠸戹攳ㅡ㘷㘶て挷摡捣改㙡敦戰㐶っ㥡㘷户㜹㜴㌸㍣㌲㍣㌲ㄲ㑤㠷㐷㠶㐶っㅡ户慣愵㙢㔹㠷㌵扡捤㕡搶搵㤱㘹ㄹ㌱㘸晦㘵搹㤶收摣㔴㙢搵摣昶㈵㔶摢㘸㉢ㅢ㡡㘶㌳戱㔴㌸ㄶ㡦ㄷ搲改㔴敦ㅤㄱ㜹挶戸挶晤㍢慣㐲攷晦㔶捣㥤ㄸ㜳收戸挶㤱㌳慣慥晦慤㤸〳ㄱㄳ㈱挷户户㘶㥡摢晥㤷㠲搶戲㑦攳攳慤㕣㌳㍢摦戲㍡㥡摢ㄶ㡤㐴戳㡢㠸㐶㈹㌹㜲㙣㘷攷戲搶愵ㅣ㐷攳慣㤶㤶搹㔶㐱㍡扤㜵㝣㘷搷晥㤹㡥搶捥摥慤攴捦敡戰摡㜲㔶㘷摦搶〹㉢㜳㔶㡢〳散慣㙢㥤㤷改㤸㤱㘹戵㙡戸㔰摦㙡昷攱㤴扣搵搶搵摣戵慡㑦敢〱㥤搶散㑣摢㈲㡢㤰摡搶㐹换㥡昳慡愶〶摦慡ㅥ扢晡戵㑣㍡ち敤㘹ㅤ户㌸搳搱㈵㈵㜶㘱搸て慢つㄷ㔹㡢愲㜶㜱㐸つ㉡昱㘲㥦捤㘹㙥㥤㙡㜵戴㔹㉤慣㠴㍤㌹扣〴㈴〴搹晤攰㌱攵慥づ㝢㐹昵㜲㌶㍥慥ぢ㙢㌱〶㐱散㌶愳扤愳ㄵ〳㜲扡㤵㘹ㅢㅤ㡤㡦㤸搳㤵ㅦ㙦㉤ㅦㅤㅤㄹ㉤晥挴捤挱㐰㥢㐳攸户㌳㐴摦捥收搶㘵㉤ㄹ㔲㍦㉡㤱ㅣ㘵づ愵㜵ㄸ㠴慡㜹ㄹ㕢扤㕥ㄷ户扣敡愶㑣㜵㔳戶扡㈹㔷摤㤴慦㙥戲慡㥢ち搵㑤㡢慡㥢ㄶ㔷㌷㌵㔷㌷ㅤ㕥摤戴〴ㄸ昷㔳搷戳㘷戵昳㐹㍦㍡晢戲㈳摥㥤摢㜸搲搳てㅣ昴昸㔳昷挶ㄵ㌷㜴㤹㈷㜶挵挲昶㝡摢挳昱㤰摢昸㜰挸摣つ㘶㜳㜷〸㘳て〸扤戱戱昴㈸㜳㌸慤㈳㈰㤴㝡ㄶ㡤㘵㠳搵㘷㕦晤敤戳㉦㕥㥣㜲昶㑤㍢㡦ㅤ㌵㜷愷昹㡡戳㠹搴㌴ㄲぢ㝢改㌵挵㈷散ㄹ昲㠸ち㡦㑣ㄴ㝦㤲戴㥡㝢戱㠶㄰㠴ㄱ㠶搰敢㡦㠶㐶㤹ㄱ㕡愳㄰㑡㍤攱搴晦昸ㅤ㉢㑥㙢扡㜴攴㡣㥢㑥㍥㉤㌲㌸㌲敦ㄶ挵㠹㑣敡㡦㘳愱戸㤷㘲摥㡡㤶㔵㙥㈶ㄸ㍡〹㘱愴㈰昴㡡搳㠹㔱㘶㥡搶㔱㄰㑡㍤散㔴扣㜸㝥晣慥㠹㑢㝥㌵晤挶捦㍦昹㘱㤷㈵敢㠷㉡㑥㥥㔲昱㍥㔸㈸慡㌸改慤戵捦昰ㄸ捤搰晢㐲ㄸ㘳㈰昴㡡愳ㄸㅥつ戴㡥㠵㔰敡㕥愷攲㠷扥㥡㌳㙣㝡㔷㘱攲㐹㘷敦㜲挹慣扦摥㌶㔷㜱摢㤵㡡挷㘱愱愸攲㜰挴㕤攳㐸昹戸ㅣ捦搰ㄳ㈰㡣㠹㄰㝡挵㘱慣昱㈴㕡㈷㐳㈸㜵扢㔳㜱㜲散㑢㤹㙦㜷㙤㤸扡慥晦ㅤ㤳昷㕥晢攵㉦ㄵ㜷ㄲ㔲昱㝥㔸搸㝤㙥㐷㌳戶㝢㡣敤㡥ㄱ搳㥢摢㐶㈷㐳愱ㄱ搳㥡㤷㔸㉤捤㔶㘷搷攸ㄴ㑡搳㌳㉢㐷㠷㐳愱㤰㌹㤵戱愷㐱ㄸ搳㈱㙡挶㑥㡥挶捣ㄹ搴捤㠴㔰㙡扤㔳摦㥡慤㠶昶㍦㜳摢㌵㤳㑥㝤改戰慢㍦扢㘸攰㘲挵晤㤱搴㌷ぢぢ㝢敡㐳㉢㌴㌲ㅥ昷㐸づ㡤っ㠵㡢挷㔶㈲㙡捥㘶晣㌹㄰挶㕣〸㝤㙤攳愰昹〰㕡攷㐱㈸昵㝢愷昶敦㕢敥晡扥攱攳㡥改㤷敥搳㤶扢㙡昵㡤㠳㔵㉦㤸愵昶昹㔸ㄸ㕥㕣㝢搸攵搹愷敥㠴㜹㄰愳㉦㠰㌰づ㠶搰敢㑥㘳㔰㉦愴昵㄰〸愵慥㜴敡づ扤搸扢㈶㔶㜳昴昸戵㑦㝦㜴散㜹ㅦ扤昷扣攲晥㔷敡㙥挲㐲㐹摤挹つ搴ㅤ㌵て㠳㠳㤹㠱㌰戲㄰㝡摤挹搴㈸㌳㐷㙢ㅥ㐲愹㡢㥣扡㕦晢攰㥥敢〶㍣㜴搷㝥愷扤昵昸㜹㌷晤慥愹㤷攲㙥㕦敡㉥㘰愱愴敥搴〶敢㕥挴攸㡢㈱㡣㘶〸扤敥〴㐶搸攱戴㉥㠱㔰敡㕣愷敥ㅥ户㍣昹敢㥦昷㥦㍡攱摣㍢㥢搷㝦戱攳㡦〷㈹ㅥ㙤㐸摤慤㔸㈸ㅡ摡㤱敥㔹慢㝣㘳㙥㘳攸㜶〸㘳㈹㠴㕥㜱っㄵㅦ㐱㙢〷㠴㔲㙢㥤㡡㘷㍦戳挷戵扢㝦㝡攷㠴昵换晡摦㝥敦ㄶ㍢㕤慢㜸㠴㈳ㄵ㜷㘱愱㘴愵扢㌷攷昲摥㑥㤹换ㄸ㝤㌹㠴戱〲㐲慦㍢㡡扡㔷搲扡ち㐲愹㤳㥤扡戳ㄳ㕥㝥㜱挷㈷ㄳ搳晥昸晢挳捦㘹晣㝣攸㜰挵〳㉢愹㝢㌵ㄶ㡡㔶㍡戶愱㤵㍥㡡愱㡦㠶㌰㡥㠱搰㉢㑥㘲敡㍥㤶搶㌵㄰㑡ㅤ敢㔴晣晣㡣慡换扦〹ㅣ㌴昶㠶㉢㝢慦㝥慢摦㙤㍢㉡ㅥ捣㐹挵挷㘳㘱㜷㝤㠴㠷㈳摥搶㤵㉡㥤㐹搲收〹㠰㥢㈷㐲ㄸ㈷㐱ㄴ搵㡣昱㝤㌲慤扦㠰㔰㙡愵㔳昳㠴敦晦搶戴㜲挹㌱つ㤷㑤戸慤攷㡣㘵㝢㥣慡㜸〴㈹㌵㥦㡡㠵愲㔵㑥㜸慢散㌳㜷㥥挶搰愷㐳ㄸ扦㠴搰㉢㑥挵㐷㤹㙢㘹晤ㄵ㠴㔲㐷㌸ㄵ晦晤㠹昵㜷晣㌰晡捥㐹㔷愵捦㕣扦摢㘷敤挷㉡ㅥ戵㑡挵㘷㘲㘱㕢㝤㤵㔳㕥挵㜱昳㉣㐶㍡ㅢ挲㌸〷㐲慦㈷ㄱㅥ㘵㥥㑢敢㜹㄰㑡ㅤ敥搴㤳㙡㘸摣㝥㜰敤慡昱户㍣㜴挰㔷扦散㜵捤摤㡡〷挶㔲捦昹㔸ㄸ㕥㌲㔵㐶㌱㈹㙡㜳㘵㌴敥㑣㤶㌱㉣㤸ㄷ㌰晡㠵㄰挶㙦㈰㌰㔹挶㔲收㐵搴㕤っ愱㔴捥愹昱愷㜵挷昶晢挷挰㥤愷㕦昵挵摡扤㥥敢㍡搶㔲㕢挳㉣㌵㕥㡡㠵ㄱ晡㥡㘱戲㑣㙦㜰扢扤㡣攱㉦㠷㌰慥㠰㈸㕡㕤㡣愴㉢㘹扤ち㐲愹㠵㑥攵㠵㌷晦搰晢挶㈷㍦㤸㝣㘷扡㙥敤㉥敢㝥㝦愲攲搱扦㔴㝥㌵ㄶ㡡㐶㔲㐴㍢摣㐸㤴㙣戹㈹昳ㅡ挶晥ㅤ㠴㜱㉤㠴㕥㜳ㄲㅢ捦敦㘹扤づ㐲愹〳㥣㥡ㅦ㙤㍢昷挴ㅦ摦㘹ㅦ㝢挷敤晤㔷㍣㝣昴攷㡦㉡㥥㜲㐸捤㝦挰㐲㔱捤攱敥㈹挳㘷㈸㕤捦搸㌷㐰ㄸ㝦㠴搰㙢㡥㘳㈸慤愷昵㐶〸愵㘶㌸㌵慦㥦㝤摦㘰昳摤挳ㅢ㙦摢攷晡收挰㜶慤戳搵㜶㌰㑢捤㌷㘳愱攸㄰㉢㤶攸愶㍢㙥摥挲㔸户㐲ㄸ户㐱攸㌵愵戱㈷扡㥤搶㍢㈰㤴㥡攴搴搴昸挲㠳愷扦昴昴慤㌳敦晥搳慤㠳㝥昷晣㐹〷愹敤㘱㤶㥡晥㠴㠵愲㜵挴搰㜱慢ち㤷戳㝢ㄷ㘳摦つ㘱摣〳㔱慦ㅤ㠹㘲户㍣捡扣㤷收晢㈰㤴㙡㜰慡摥㝤挴戴㑢ㄳㄷ敦㌰昳攲ㄱ㑦昵晢㜸敤戹搵㙡〷㤸愵敡〷戰㔰㔴㜵㌷扢愱㤲㙥㑤㘰昷晢㘷挶㝥㄰挲㜸〸㐲㕦改㐴㙣㤴昹㌰慤㝦㠱㔰㉡敤搴㍣扥㙢挴愸扥换晦㌶昹㥡晢㕦昸改搱㤶慦敥㔰晤㘱㤶㥡ㅦ挱㐲挹㜸敥㍥晥㉥㥦㤱㤳㔱昳㔱㠶㝦っ挲㜸ㅣ㐲慦㍣㠹扥㝤㠲搶㈷㈱㤴㡡㌸㤵㍦户攸摣愱ㄳ扦晢愹攱㡡㍦摣扤㜶攷昱㍦扤摣晢㈹㤸㘷㌹愷〱攳㍢㌲㉢㜰㘲搵㝤捥ㄶㄹ㠹㕡㌷攵㘴ㄵ攷慡㠵㜸㈱㔹〸㠷昳昱㔰㈶㥡愹ㅤ㡣戰㥢㝡㔶挴扤㐲敦挲㠱捤㙤昹昶ㄵ㜲㥡㌴愰㌱搳㘹㜵㥦㌵つ㜷㙣㡤敤换摡昲㥤晤晤㡤㜳扡㌲㕤搶づ愵戶敥㈰㘵㙥㜳㜰ㄲ㘹㜵㑡㝤㍢㤵扡捤换戴㉣戳挶慥㙣戶捤㍢㤶㤸㜱ち搹㥥慤㙣㥤搸㘱ㅤ攱㔹换㕡㌴ㄶ搷㌸㤶㑢散戲戵戴㑤㜶扢〶㡤㕢摣摥㘹戵㐹昳㠶户敥摦㥣㕢㘲㜵捣戱㜸㠵挴捡换慡㙥㑤㤳㜳ㅥ㍢㝣㘶ㅢ㔶ㄴ㘷愶昹㈱扡戶㌰㘱㘵㤷搵㤶户昲㘸敦㔲慢愳㙢搵摣㑣戶挵摡愶〸㘲搷〹挳昶㐵敡㠹敤戹㘵㥤攳摡摢扡㍡摡㕢㡡㉤㘳昳换㌳㌸㜷捥㑦㙦捦㕢㌸昵慤攱愷㑡㔵昵攸愱㔴搵ㅥ㝥攷㥦㡣摢㌹㔲㍡㐲敢攲ㅤ搱攷摢ㄵて扢㤱戳戱㜶㔸㡢ㄶ㡢㘳戲㝡攸㐶㠲㐹㕣㠶搹扤㌲㔰㕢㈷㕥㑥㈲㝡户捡㘸㘹愳搷㜳晦晦㠲慢慢户㜲搶㝥挲㜲㕣㕦㤸㥣㘹换户㔸ㅤㅢ扣ㄸ愶搸㈲昳㙦㄰戵㝢㘱㙢慥挸㕥つ㄰㙡愵㕡㔵扢愲㌹摦戵搸㔸㙣㌵㉦㕡捣㘳㍤㕣㌰慢慢㈳戵㘵ㅦ昳ㄹ愸捣㘷㈹㥥㠳〸〴慡㡣攷〹㌲〲收ぢ㜶戹㜶〸晥摦晣㉢ㄷ搵昰㌲攵㑡〹㉥㙢㜵搶戶㑥㙣敦攸散搱挳㙦㉤㈷㘷㍡ㄷ㜷㜱㜸㙥搸挸㜸㝦愷㜸ㄱ愲㜶㈸挴㐶㉦㡣搴〳㔴挳敢㍦㝤㕡挷㕢㠵っ慥扡挹搶慤㌲戵慤昶㠵㥣昱㔶㘷捥攴ㄵ㥦㈹搸㔶㔶ㅡ㔸挲挶摦扢㤵愳摦㕡搹㌵㍥搳㤵改搹㡡㙢㐷攸㈵ㄳ愰攱攲㘵㉦搱戳㡦攸㕣敦㠰㔳㐲㠴愰㉣㙡㔱㝡㠹挲㡥㠴つ〷摢㑢㔵て㐷㙥㜸㈵搰昶㥤戰ㄲ㐶改㐰㉦扥〶㠴㑢㔳昹㐹㔶摢摣㔵㑢慤㑥挲敢㡣つ㔲㔹扡㜹㌱搸捣㕣昶㠰慥收㤶捥㤱㘸改愴㡥昶㘵㑢晦㌷攳㌰㤶昹ㄲ㠴晢愹摤〵愳㜸搳搷〹㜴㔵昵㕣捥扥㘹㙡慡慡㘳㌴㙡㡣㔷㈰昴晤ㅥ慦㍣㜱昰㈲昶捦昸㑦㍥收慢昸㉦㘰ㄲ㕡挱㔶㍢っ戶捤戹㝣㔶ぢ㝣敦㔶㄰㌶户挳㤲ぢ㠲㜵㔲〰昹㝤㕡て㙣敦㔸㤲㙤㙦㕦挲攱搵㔷㑡㥤㡢㉤慢㡢ㄷ搹㝡㌹ㄷㄵ攵攲愱㔲㍤㝡ㄴ㕤ㄵ搳慥挶つ㐴㝣攳つ㠸㍥㘳㕢㕡〶戹ㄱ㍢㡤㌷愱敡㠱换㝤挶㕢㔸ㄸ㌵慥扤㜵㘹㝢㘷㌳㉦戹㌵㑤㔸㤹㘹㕤摡㘲敤㌹㙢㔹愶〵㤷㉢昷㥣戹戴㙢㐲攷扦敥㍡攱敤㍢㉦㡦㔸㥤㤱㐱敦晣敡戲㜷捦㕢晦敥摡ㅢ㐶慥㙣改㕣愹〶㠰ㅦ㕥攵扡㘹㜲慦㔹敢㥦㍣愷㘱晤㥥㉦㡣ㅦ㝥晤攲㈶搵摦㌱㤴㕤㘸摢つ㌵づ挶捦㝣ㄷ㐲㙤てㄸ愷㈱㉣ㄷ㝦捣昷㔰㌶摦愷昸〰〲㤳㠹㜰㡥戹攴㈳扢愸㜶挷晦㥣㑦捣㡦㈹晥つ愱㠶㐳㜰㙢㌶㍦㠱㜰㍦㉡㠸昸ㅣ㈴搲搱㥦㐱慤㜷㌴慦摡㤵㜵昴ㄷ〰〵㑣㐲㉢搸搴〸搸搸搹㈶挹㌵㐹愷㐹㉡㤵㠱㝡㝣昹愸㜵っ㘵㤷〳昷㠲㥢昰昱〳晤㝢〰收捦挷㑦慣㠳㍣㤹ㅣ戱ㅡㅦ搵㜶㔱㠵㘰ㄳ㍥㝡㐰㘱昲慥㠸㡡㐰㈵㝣搴愲攴㝥搴㜷㍦㘹㝣昴㠴㐵攷㠳㔷ㄱ换昸㌰〱ち㤸㠴㔶戰愹㈸愲晢昱昱㈹敡昲攵攳ㄳ挷㔰㜶㜹㌲㠱㐸㠳昱㌳户㐴㜵敡㘳挰晣昹攸挷搶㙣㑤戱つ㠴挶挷㜶㜶㔱㈵ㄱ㐴昸搸㥥愰ㅤ㈰㔴ㅡ㉡攱愳㍦㑡敥㐷扤慤昳戱㈳㉣㍡ㅦ扣戸㔹挶挷㐰㠰〲㈶愱ㄵ㙣㙡ㄴ愲晢昱昱㜲㈵㍥㕥㜲っ㘵㔷㑤㐷㈳搲㘰晣捣摤㔰㥤晡㝢㐵㍥昶㘰㙢㠶㔳㡣㠰搰昸ㄸ㘹ㄷ搵扥〸㈲㝣散㐵㔰〸㐲㌵㐰㈵㝣㠴㔱㜲㍦敡㝦㜴㍥愲戰攸㝣昰㥡㙢ㄹㅦ㜱㠰〲㈶愱ㄵ㙣㙡㉣愲晢昱昱㔰㈵㍥ㅥ㜴っ㘵ㄷ㜳挷㈳搲㘰晣捣㝤㔱㥤㝡愰㈲ㅦつ㙣捤㔸㡡㐶〸㡤㡦昱㜶㔱㑤㐰㄰攱㘳〲㐱ㄳ㈱ㄴ慦改ちㅦ㤳㔰㜲㍦敡づ㥤㡦㈹戰攸㝣昰㔲㜰ㄹㅦ㔳〱ち㤸㠴㔶戰愹挹㠸敥挷挷つ㤵昸戸摥㌱㤴㕤㘳㥥㡡㐸㠳昱㌳攷愲㍡戵慥㈲ㅦ昳搸㥡〳㈹收㐳㘸㝣㉣戰㡢㙡ㅡ㠲〸ㅦ〷ㄳ戴㄰㐲捤㠰㑡昸㌸〴㈵昷愳慥搴昹㘸㠲〵搷㕣㈲改昲㌵捤挰ㄴ㌰〹愸㘰㔳㌳ㄱ搳㡦㠵ぢ㉡戱㜰扥㘳㈸扢昲㍤ㅢ㤱〶攳㘷ㅥ㡥敡搴㜹ㄵ㔹㘸㘱㙢㕡㈹摡㈰㌴ㄶ㤶摡㐵㌵〷㐱㠴㠵㈳〸敡㠰㔰〷㐰㈵㉣㜴愲攴㝥搴㉦㜵ㄶ㤶挱愲㡦ち㕥㌲㉦ㅢㄵ㉢〰ち㤸㠴㔶戰愹㜹㠸敥挷挷昱㤵昸㌸捥㌱㤴㕤㡢㍦〸㤱〶攳㘷慥㐱㜵敡搸㡡㝣ㅣ捦搶㥣㐰㜱㈲㠴挶挷挹㜶㔱㉤㐰㄰攱攳ㄷ〴㥤〲愱ㄶ㐲㈵㝣㥣㡡㤲晢㔱换㜵㍥㑥㠷㐵攷㠳㤷昱换昸㔸ぢ㔰挰㈴戴㠲㑤ㅤ㠲攸㝥㝣戴㔴攲㘳㠹㘳㈸扢㍦㜰ㄸ㈲つ挶捦晣㌵慡㔳捤ㄵ昹戸㠰慤戹㤰攲㌷㄰ㅡㅦㄷ摢㐵㤵㐱㄰攱攳ㄲ㠲㉥㠵㔰㌹愸㠴㡦换㔰㜲㍦敡㌰㥤㡦㉢㘰搱昹攰慤㠵㌲㍥慥〲㈸㘰ㄲ㕡挱愶昲㠸敥挷挷扣㑡㝣ㅣ攰ㄸ捡敥㔹昰捥挳㘰晣捣㍦愰㍡㌵愷㈲ㅦ㌷戰㌵㝦愴㔸て愱昱㜱㤳㕤㔴㡢ㄱ㐴昸戸㤹愰㕢㈰搴攱㔰〹ㅦ户愲攴㝥搴㝥㍡ㅦ户挳愲昳挱摢ㅤ㘵㝣摣〹㔰挰㈴戴㠲㑤㉤㐱㜴㍦㍥ㅡ㉡昱㌱挶㌱㤴摤㐷㘹㐳愴挱昸㤹㝦㐶㜵㙡㜴㐵㍥ㅥ㘲㙢ㅥ愶昸ぢ㠴挶挷㈳㜶㔱戵㈳㠸昰昱㈸㐱㡦㐱愸㈳愰ㄲ㍥ㅥ㐷挹晤愸㤸捥挷㤳戰攸㝣昰㉥㑣ㄹㅦ㑦〱ㄴ㌰〹慤㘰㔳ㅤ㠸敥挷挷ㅥ㤵昸搸摤㌱㤴摤摥㔹㠶㐸㠳昱㌳㕦㐴㜵㙡搷㡡㝣扣捣搶扣㐲昱て〸㡤㡦㝦摡㐵戵ㅣ㐱㠴㡦搷〸㝡ㅤ㐲慤㠴㑡昸㜸〳㈵昷愳㜶搲昹㜸ぢㄶ㥤て摥ㄹ㉡攳攳ㅤ㠰〲㈶愱ㄵ㙣㙡ㄵ愲晢昱搱慦ㄲㅦ㕢㌹㠶戲㕢㑥㐷㈱搲㘰晣捣㝦愳㍡戵㐵㐵㍥㍥㘵㙢㍥愳昸ㅣ㐲攳攳㑢扢愸㡥㐶㄰攱攳㉢㠲晥〳愱㡥㠵㑡昸昸ㅡ㈵昷愳敡㜴㍥扥㠵㐵攷㠳㌷慣捡昸昸ㅥ愰㠰㐹㘸〵㥢㕡㠳攸㝥㝣晣昴㘳㠵愳昴ㅦㅤ㐳搹㥤戰ㄳ㄰㘹㌰㝥㘶㑤㌵搶攰㝢挰晣㡦搲つ㤸捤㥥ㄴ㜵㄰ㅡㅦ〱扢愸㑥㐴㤰㈱っ搴㡢愰摥㄰㡡昷挳㠴㡦㍥㈸戹ㅦ昵㌹敡昰捥攲敡㘱㈹攲挳㙦晦戲〵㐰〱㤳搰㜲㍥挴愶㜸搳捤㡦㡦昷㉡昱昱㉦挷㔰㜶㝦敥㌴㐴ㄲ㍥㜶㐰㜵敡㥤㡡㝣っ㘰㙢㜶愴搸〹㐲攳㘳㤰㕤㔴愷㈳搰㄰晣捣挱〴つ㠱㔰㙢㔱ㄴ㍥㜶㐶挹晤愸㝦攸㝣っ㠳㐵攷㠳㜷昷捡挶挷慥〰〵㑣㐲㉢搸搴慦㄰摤㡦㡦㘷㉡昱昱戴㘳㈸扢㙤㜸ㄶ㈲〹ㅦ㈱㔴愷㥥慡挸㐷㠴慤㠹㔲挴㈰㌴㍥ㄲ㜶㔱㥤㡤㐰㐳昰㌳㤳〴愵㈰搴戹㈸ちㅦ㘹㤴摣㡦晡㡢捥挷摥戰攸㝣昰㉥㘴ㄹㅦ愳〱ち㤸㠴㔶戰愹昳㄰摤㡦㡦扢㉢昱㜱㤷㘳㈸扢扤㜹〱㈲〹ㅦㄳ㔱㥤扡戳㈲ㅦ㤳搹㥡㈹ㄴ晢㐱㘸㝣㑣戳㡢敡㐲〴ㅡ㠲㥦㌹㥤愰ㄹ㄰敡㈲ㄴ㠵㡦㤹㈸戹ㅦ戵㕥攷㘳ㄶ㉣扣㌳ㅡ㉡㕦搳㌹㌰〵㑣〲㉡搸搴挵㠸改挷挲㌵㤵㔸戸摡㌱㤴摤㜲扤っ㤱㠴㠵㠵愸㑥㕤㔵㤱㠵㐳搹㥡㈶㡡挳㈰㌴ㄶ戲㜶㔱㕤㡥㐰㐳昰㌳㜳〴攵㈱搴㤵㈸ちぢㄶ㑡敥㐷晤㐶㘷㘱ㄱ㉣㐵愳挲㙦ㄶ㙤〶㈸㘰ㄲ㕡捥㠷搸搴㔵㠸敥挷挷㤹㤵昸㌸挳㌱㤴摤〵收摤㕣攱愳〳搵愹戵ㄵ昹攸㘲㙢㤶㔱㉣㠷搰昸㔸㘹ㄷㄵ敦〸て挱捦㕣㐵搰㤱㄰㡡昷㠲㠵㡦搵㈸戹ㅦ㜵愲捥挷搱戰攸㝣昰ㄶ㜲搹㔶㜲㉣㐰〱㤳搰ち㌶㜵ㅤ愲晢昱㜱㘴㈵㍥㔶㌹㠶戲㝢搳搷㈳㤲昰㜱ち慡㔳㉢㉡昲㜱ㅡ㕢㜳㍡挵㉦㈱㌴㍥㝥㘵ㄷ搵つ〸㌴〴㍦昳っ㠲捥㠴㔰扣㐳㉤㝣㥣㠵㤲晢㔱㙤㍡ㅦ攷挰愲昳挱ㅢ摢㘵㝣㥣〷㔰挰㈴戴㠲㑤摤㠸攸㝥㝣攴㉢昱㤱㜳っ㘵㜷捣㜹㈷㕣昸戸ㄴ搵愹㑣㐵㍥㉥㘷㙢慥愰戸ㄲ㐲攳攳户㜶㔱摤㡡㐰㐳昰㌳慦㈶攸ㅡ〸挵晢攸挲挷敦㔰㜲㍦㙡扥捥挷敦㘱搱昹攰敤昷㌲㍥搶〱ㄴ㌰〹慤㘰㔳扣㔹敦挷挷㡣㑡㝣㑣㜷っ㘵昷昵敦㐲㈴攱攳ㄶ㔴愷愶㔶攴攳㌶戶收㜶㡡㍢㈰㌴㍥晥㘴ㄷ搵摤〸㌴〴㍦昳㉥㠲敥㠶㔰昷愲㈸㝣摣㠳㤲晢㔱㡤㍡ㅦ昷挱㔲㤶ㄴ㔰㐶挸〳㐰〵㑣㘲换〹ㄱ㥢扡て攱晤〸㐹㔵㈲㈴改ㄸ捡戲つ晥㡣㐸㐲挸㘳愸㑥挵㉢ㄲ昲〴㕢昳㈴挵晦㐰㘸㠴晣捤㉥慡〷ㄱ㘸〸㝥收搳〴㍤〳愱ㅥ㐶㔱〸㜹ㄶ㈵昷愳㐶攸㠴㍣て㡢㍥㐰㤸慡㔰挶挷摦〱ち㤸㠴㔶戰㈹㈶㌶昸昱㌱愴ㄲㅦ㠳ㅤ㐳㔹づ〴ㄳㄹ㠴㡦搷㔱㥤ㅡ㔸㤱㡦㌷搹㥡户㈸摥㠶搰昸㜸搷㉥慡挷㄰㘸〸㝥收扦〸㝡て㐲㌱つ㐲昸㜸ㅦ㈵昷愳戶搱昹昸㄰ㄶ㥤て㘶㑦㤴昱昱㌱㐰〱㤳搰ち㌶挵㕣ぢ㍦㍥㝡㔷攲愳㤷㘳㈸㑤换愸攵㙤摥捤戸㥤摥ぢ㜰戳㌰慦搹㕡挱晢㝦㝤ぢ㐸㔵ㅦ户慣戳慢㕤㙥㔶昶㈹㡣㙦㥦搱摥㌵扥戹㜳㘹㑢㘶搵㔶〵㘷攱挰挵㔶ㅢ㔲〹㍡㤰㔱㔰愲㙢㕦扡搴捡㥢㠵㌹敤换㍡㜲搶㤴昱晦ㄷ㔲つ愴摢㜰扦㑣愹慡㙡㠵捦㝦㜷昷扣ち㥥ㄸ㌴昸㔴搵㍥㠳㤰愵㌷㐱㈵㘱㕥㑢㔸㤰挵㈰㠰昵摤㡣捥㙤敥㙡戱㝡ㄵ㈴㔹㐰㤶敢ち㘰ㄱ昹ㄹ昹㥥㠵戹㡢㜱㌷㜰㝣㥦挲愴㡥收㝣㑢㜳㥢挵捥攸㘷㐳愷㔹㡢㤰㡢戱扦㜳户慥㑦㘱㙥㐷愶慤㜳㈹㙦㉢攷㔶㙤㔹㔴㤲晢捦戵㠵挶收戶㑥㔴㈳扤挸攵晡挲㥣挵敤㉢昰㘷㌲换㕡摢㈶㘵㤶㜶晥㥦攸ㄵ㈵晤㐲㈱㕤愳慡㔵㜵戵慡慢慥晢㙦晢挷昸て戶慥慤散㤴扥㐱ㄸ愷㕤ㅤ捤搹㘵扣扤㈹昵㐴㈰㙢㈸愴て慢㙡㤹戱㔰㝡〳㔹敢挲㤲散て戶戵攸捦㍦㝣ㄳㄱ扣扦㍤摡ㄱ㜰昳㙢㌴愷昷㌷㄰晢㑤㍡㘰㑡㜷㕥搴晦搳ㅦ昲搴㌲挷㘲㤳搳㔰戶〶戸慦㍤㠴㤸㥡挲ㄱ㠵㉤ㄳ㈳㠱愵搲㘱ㄹ㈸〸㠶㈳戴㙦昷攲㐴㘴㌲昴㉥㑣换㘴慤ㄶ㈴㘰戴㘶扡晡摡〵㘶挲攰て㍤㍡ㅤㅢ㙥㈶户㘶㌸攴昸攷㉡㜳㜲㤹ㄶ慢慥㌰㜶㔹㔷㍢㔲摥捤〲㠴㡣㑢㐷㤵㔹〹㔵㘶愵㥤㉡㔱㤸捤挴㉣㔹㘶慣昶㐵㤹㡥收慥挵慤捤戹㍡ㄶ㤸㍣昵㝦㘲慣㘲㑦㔰〳㌲摤㡦㍢㤷㤴收㕥搸ㄹ㄰攸敥㤱㐸㔷㈲㜵散㝥㡣攸㙡㘵攰㥦晡㉦昳㜶㌰昳挸㑥挳晣づ搱㙡昱㤳愹㐸摡昲改捦捥㔶昴改戱㔸㤰挹㐹㌱敤㠶㕡昳㝢㐰戹挰㕦つ㌳㕦㌶㤸搴搱ㄳ㠰挰戴昶㑣㝥㘲㈶㠷㍦㍤敢改晣攱㔹ㅤ昳〴㌰搵㜴〴㤹㘶㌳づ㤹㕢挸〸㕢摥㥣户㍡敡愸㤸㠳㍦慣慢㘱㠲㡥㘱昷㈱㌷收慡摡摡㕥㜵㝥㜵㑤㜱㘳つ㜵戲ㄵ昴㍦摣㥢㔲ㄶ晦愳㔹愹㌱㝢戰㔵〱搹㐵晤㠰搵㌱㝦攴㍡㌱㠱㠷敢㔳〲昸㠹㠰㥦㈱㙡㕦㠲戱戴㙦㡡㌳㕥㤰ㄷ㘳〲㔴㈳㝦戲挵㕣㥣㍡攴慤㐸ㄲ㑦慤慣㐸㉦㉤昹挶戰昳㙥敡摣扦〳㌳收㘰㤴㕢昹㠰㍤扦㌲挹〷㝢㠶慡敡敡ㅡ㜴戵㔱㥡戸㔸㔶㉤㠲戵捥戱㈴㉢㐷㌱ㄳ挵㘰晥收㌶摣㔸㄰ㅦ㝦愸㔸昴㜷㔰愵挷ㄱ㠱㠰㔹つ㜸㔵㐰扤ち改㜲搰㐸㡤㑤ㄲ搸挷攵㌹〸挵㑣ぢㅥ〹㘸晢㉤挵昴ち敥扢慡っ晥㔱摣愶捥㤵敡㝤㜸㜰扥㌴つ〶晥〰㑢㥣㠶扣㘱㔹〷敤挶㠷㈵㌳㌸㘴㔸昲㙦㉣摤㘱愹㤸挶攱慥㠶搶搷〱㘰捣㕥〴晥摢ㅦ搰㥢㠰㍥〴㌰敢㠳晤㙤昴㐵挹㡦㐷扦㘴て昰ㄸ〴ㅣ㍣㝥愱挵搷㜸摣㠲昱户㘴晣ㅦ〰㈸攵㤱㘹ㄹ㌶㡦㕢〱戲挹㍣㌲㤱㐳㜸散挷挰㈴愱㠸挷㙤愰摤㌸㡦搵㜰ㄳㅥ户㤵㈰㜶㐱昵㠰捡㠷挷敤㠰㌱户㈷㤰愹㈱㍥㠰ㅤ〸攸㑦〰戳㐵㠴挷〱㈸昹昱攸㤷㈴〲ㅥ㜷〲ㅣ㍣㥡㕡㝣㡤挷㠱㡣㍦㠸昱㤹搹㔱捡㈳搳㌹㙣ㅥ〷〳戲挹㍣㙥つ㌷攱㜱〸〳㌳ㄳ愴㠸挷愱搰㙥㥣㐷㘶㡣攰㡢㍦㌳㘴㄰㉣挸㙦㝢㐸ㅦ㥡㜶〱挶摣㤵㐰愶㤴昸〰㜶㈳㘰㜷〲㤸㘵㈲㍣敥㠱㤲ㅦ㡦㝥挹㈵攰㜱〴攰攰㜱愰ㄶ㕦攳㜱㑦挶ㅦ挹昸捣〸㈹攵㤱㘹㈰㌶㡦㝢〱戲挹㍣づ㠷㥢昰ㄸ㘲㘰㘶㤰ㄴ昱ㄸ㠱㜶攳㍣㌲搳〴㕦㕣搰㘵㄰㤷㐷愶㥢昸搰ㄴ〳挶㡣ㄳ挸㔴ㄴㅦ㐰㠲㠰㈴〱捣㑥ㄱㅥ㔳㈸昹昱攸㤷㤴〲ㅥ㐷〱づㅥ攳㕡㝣㡤挷扤ㄹ㝦ㅦ挶㘷㈶㐹㈹㡦つ搰搹㍣㡥〶㘴㤳㜹ㅣぢ㌷攱㜱㕦〶㙥㐴愹㠸挷〶㘸㌷捥㈳㌳㔴昰㐵晡ち㠳戸㍣㌲㑤挵㠷愶㐶㘰捣㜱〴㌲㠵挵〷㌰㥥㠰〹〴㌰慢㐵㜸㥣㠸㤲ㅦ㡦㝥挹㉣攰㜱㌲攰攰㜱慡ㄶ㕦攳㜱ち攳敦挷昸捣㐰ㄱㅥ戱㍦㤰㈳㤰㐰㤵㘲摡㠹捤攳㔴㐰戶敤晥挳㥥㡤ㅥ㤷慢〳攱㉡㕣㑥㘳㜰㘶慤ㄴ㜱㌹〳摡㡤㜳挹散ㄶ㝣昱愷㤳っ攲㜲挹ㄴㄷ㤷慡㄰㔷捥摥㘵敥て㡣㌹㡢㐰愶扦昸〰㘶ㄳ㌰㠷〰㘶挴〸㤷㜳㔱敡敤敥戳攵㉦㌵㝤昶搴昳〰〲㠳ㄹ㉤慡挶攰㠱㡣㍡㥦㔱㤹扤㔲㍡ㄲ㤹戲㘲㌳㜸㄰㈰㥢㍣ㄲ㤹攴㈲散㉤㘰㘰㘶扢ㄴ戱户㄰摡㡤戳挷慣ㄸ㝣昱攷㤷っ攲戲挷搴ㄸ㤷ㅣ㙤㑦㝤㈸㌰㘶ㄳ㠱㑣㥢昱〱ㅣ㐶㐰㠶〰㘶搲〸㝢㔹㤴晣㐶愲㕦〲つ㐶㘲ㅥ㜰昰戸㐲㡢慦昱㘸㌱㝥㠱昱搷〰㔰捡攳昱搰搹㍣㉥〲㘴㤳㜹㍣〱㙥挲攳㘲〶㘶㤶㑣ㄱ㡦㠷㐳扢㜱ㅥ㤹㑤㠳㉦晥㥣㤳㐱㕣ㅥ㤹㔲攳㐳㔳ぢ㌰㘶㉢㠱㑣户昱〱戴ㄱ搰㑥〰㌳㜰㠴挷愵㈸昹昱攸㤷㜸〳ㅥ㍢〰〷㡦捣挰㜱攳㙢㍣㜶㌲㍥㥦㥡愱㤸㉤㔳捡㈳㔳㘴㠴㐷㤳㘷搹昲㠹㐰㙡㘷搴敡㐲㐰㠴戳攵っ挲㑣㥡㈲捥㔶㐲扢㜱捥㤸㜱㠳㉦敥㘹㌰〸ㄶ攴挷戴ㅢ户挹摡搸㍢ㄲㄸ㜳㌵㠱㑣挹昱〱ㅣ㐵挰搱〴㕣〶㠰㜰㜶っ㑡㝥㥣昹㈵攷㠰戳㌵㠰㠳戳慢戴昸ㅡ㘷挷㌱晥昱㡣捦㡣㥡㔲捥㤸㐶㘳㡦扤ㄳ〰搹攴戱挷挴ㅢ攱昱㐴〶㘶〶㑥ㄱ㡦㈷㐳扢㜱ㅥ㤹愹㠳㉦晥挴㤴㐱㕣ㅥ㤹慥攳㐳搳㈹挰㤸愷ㄲ挸㔴ㅥㅦ挰㘹〴㥣㑥〰戳㝢㠴挷㕦愲攴挷愳㕦㔲て㜸晣ㄵ攰攰昱㑥㉤晥㜸㙡散㈹昸っ挶㍦㤳昱㤹㠹㔳捡㈳搳㙦散戱挷戹㔰㍥愵㘳㡦挹㌹挲搹搹っ挲㉣㥤㈲捥捥㠵㜶攳㥣㌱㥢〷㕦晣搵㉡㠳㘰㐱㝥㑣改昱愱攴搷挰㤸攷ㄳ挸㜴ㅦㅦ挰〵〴㕣㐸〰㌳㠰㠴戳摦愰攴挷㤹㕦攲て㌸扢ㄸ㜰㜰挶っ㈰㌷扥㌶昶㉥㘱晣㑢ㄹ㥦搹㍡愵㥣㌱㐵挷ㅥ㝢㤷〱戲挹㘳㡦㐹㍤挲攳攵っ捣散㥥㈲ㅥ慦㠴㜶攳㍣㌲ぢ〸㕦晣㌹㉣㠳戸㍣扥㠶㈵㜷㌵戴㙤昸户挰㤸㔷ㄳ昸扡㍦攰ㅡ〲㝥㐷挰ㅢ〰〸㡦搷愲攴挷愳㕦挲㄰㜸扣づ㜰昰挸捣㈱户〱ㅡ㡦敢ㄸ晦て㡣捦㉣㥦㔲ㅥ㤹摡㘳昳㜸㍤㈰㥢捣㈳㤳㠱㠴挷ㅢㄸ㤸㔹㐱㐵㍣慥㠷㜶攳㍣㌲㝢〸㕦晣㠹㉤㠳戸㍣㌲㠵挸㕤つ㡤挷㥢㠰㌱㙦㈶㤰改㐵㍥㠰㕢〸戸㤵〰㘶ㅣ〹㡦户愱攴挷愳㕦愲ㄱ㜸扣〳㜰昰挸㡣㈳㌷晥㌸㙡散㙤昸㑥㔸捤㍦㐱愸ㅡ散㈱㑡㜹㘴㑡㤰扤つ㤳㐷昹㤴㙥挳㍤〱ㄱ捥敥㘶㄰㘶づㄵ㜱㜶㉦戴ㅢ攷㡣ㄹ㐶㘸ㅦ晥㘲㤷㐱戰㈰扦㕥搰扡㑤搶㌸扢ㅦㄸ昳〱〲㤹㠲攴〳昸㌳〱てㄲ挰慣㈴攱散㈱㤴㝣㌹昳㐹㐶〲㘷㝦〱ㅣ㥣㙤愱挵ㅦ㐷㡤捤搹㕦㘱㌵ㅦ㠱㔰捣㈰㉡攵㡣㘹㐳ㅢ攱㙣㐷㐰㠴戳挷ㄸ㠴搹㐵㐵㥣㍤〱敤挶㌹㘳ㄶ㤲㜰昶㈴㠳戸㥣つ㠶搶㠷㤲晦〱挶㝣㡡㐰愶㈹昹〰晥㐶挰搳〴㌰㜳㐹㌸㝢〶㈵㍦捥晣ㄲ㤶挰搹㜳㠰㠳戳㕤戵昸攳扡㌹㝢ㅥ㔶昳〵〸挵㉣愳㔲捥㤸㕡㘴㙦慦㝦〷㘴㤳户搷㈸摣㠴挷ㄷㄹ㤸㔹㐹㐵㍣扥っ敤挶㜹㑣挰㑤㜸㝣㠵㐱㕣ㅥ㤹挲攴㐳搳㍦㠰㌱㕦㈵㌰攵て昸㈷〱慦ㄱ挰㡣㈷攱昱㜵㤴晣㜸昴㑢㜴〲㡦㙦〲づㅥ㐷㙢昱ㅢ扢㜹㝣㡢昱摦㘶㝣㘶㈷〹㡦摡ㄹㅣ㔳㤲散戱挷㌳㌸昹㤴㙥慦㔳〰ㄱ捥摥㘵㄰㘶㉥ㄵ㜱昶ㅥ戴ㅢ攷㡣ㄹ㑥挲搹晢っ㠲㝡攴挷㌴㈷㤷戳㄰㤴捥收昲〱㌰收㠷〴㌲〵捡〷昰ㄱ〱ㅦㄳ挰慣㈸攱散摦㈸㘹㘷㙡㜸㑣㠴捦㤹摡愷〰㠱愹㌹㕡搴挶敥㙡㍦㘳搴捦ㄹ㤵ㄹ㑣愵㈳㡥㘹㑢昶㠸晢〲㤰㑤ㅥ㜱㑤㜰ㄳ昶扥㘴攰挳㔰㉡㘲敦㍦搰㙥㥣㍤㘶㐶〹㝢㕦㌳㠸换ㅥ搳愳㕣㜲戴搹敥ㅢ㘰捣㙦〹捣晢〳扥㈳攰㝢〲㉣〰㠴扤ㅦ㔰昲ㅤ㜱㍥㐹㔴ㄸ㜱㍦〱づㅥ㥢戵昸㡤摤㍣晥捣昸㔵戸㡦愲㤸昹㔴捡㈳搳㥤散ㄱ㐷ㅥ攵㔳㍡攲㤸っ㈵㥣攱㔲㝢㤵㕡㡥㔲ㄱ㘷昸㘳昲㑤攰㙣㈵摣㠴戳㕡〶㐱㍤昲㘳ち㤵て㘷〶㌰㘶㑦〲㤹㕥攵〳愸㈳㠰てっ㔴捣戸ㄲ捥〲㈸昹㜱收㤷㘸〵捥㝡〳づ捥㡥搵攲㌷㔲㘳敦㈱晡㌰㝥㕦挶㘷㜶㔴㈹㘷㑣㠹戲㌹慢㜸㘴㝣㍡㈰挲㔹㤰㐱㤸㌹㔵挴搹㤶搰㙥㝣㥣㌱挳㑡㌸摢㡡㐱㕣捥㤸㘶攵㐳㐹㍦㘰捣慤〹㘴ち㤶て㘰ㅢ〲戶㈵㠰㔹㔹挲搹㜶㈸昹㜱收㤷㡣〵捥㜶〰ㅣ㥣㌱㉢换㡤摦搸捤㔹㝦挶ㅦ挰昸捣愰㉡攵散㜲攸㙣捥〶㔷ㅡ㘷㔷〰㈲㥣敤挴㈰捣慥㉡攲㙣㄰戴ㅢ攷㡣㔹㔸挲搹㘰〶㜱㌹扢ㅡ㕡户挹摡戶㌹〴ㄸ㜳㘷〲㤹愶攵〳ㄸ㑡挰㌰〲㤸戹㈵㥣敤㠲㤲ㅦ㘷㝥〹㕢攰㙣㌷挰挱搹㍡㉤㝥㘳㌷㘷扢㌳晥ㅥ㡣捦㉣慢㔲捥㙥㠳㙥㈳㥣㌱昱㑡㌸ㅢ挱㈰㜷愰㔴挴搹㐸㘸㌷捥ㄹ㌳戵㠴戳扤ㄸ挴攵㡣改㕡㍥㤴㠴㠰㌱挳〴㌲㤵换〷㄰㈱㈰㑡〰戳扢㠴戳ㄸ㑡摢扡搷敤戴㝢㙤昲愴ㄷ㥦ㅤ㐳〲㜸㤰昶㠰㔶㐱㘳㌷㘹㐹㔶㤰㘲〵捣挴㉡㈵㡤改㔷㐲㥡㤱〶㘴㤳㜷っ㑣搸ㄲ㈲㐷㌱㌰㌳户㡡㠸摣〷摡㡤ㄳ挹っ㉦㈱㜲㌴㠳戸㐴㌲捤换㠷愷㝤㠱㌱挷㄰挸ㄴ㌰ㅦ㐰〳〱㘳〹㘰㔶㤸㄰搹㠸㤲摦攰昳㑢〶挳攰ㅢて㌸㜸㘴㔶㤸ㅢ扦戱㥢挷〹㡣㍦㤱昱㕦〷愰㤴㐷愶㙤搹㠳慦攲愹〳㤳扡㠴戳挹っ挲散慥㈲捥昶㠳㜶攳㥣㌱ぢ㑣㌸㥢捡㈰㉥㘷㑣〵㜳㥢慣㙤戰搳㠰㌱愷ㄳ挸㌴㌱ㅦ挰っ〲㘶ㄲ挰捣㌱攱㙣㝦㤴晣㌸昳㑢ㄸ〳㘷戳〱〷㘷捣ㅣ㜳攳㌷㜶㜳㌶㠷昱攷㌲㍥昳㑣愴摤〷戰攴戴扢㤶戹〲愵户挰换搲ㄳ愴㠶〲ㄳㄵ收㜴慤㙡㐱㜲〸ㄷ㜹㑢摣㕥攲捤晤㠰攸㜰愳扥扤〳户㄰㙢㑡㥦ㅣ攲昹㍥㠵㡡㝢昵㉢㜹㉡㡢戸搱挲㍣㠸摡敢扥㉦㝦昲㠸攷捦㠶㜷㍦愲㠱㍥晣ㄸ〷愲㠹晤愶㌷攷㍡摡㍢摢ぢ㕤㠳收㈰昱㘹㄰㥦㜲㔳愸慡ち㡤慤扤ㄶㄱ㝤敢攴㡡搵戴昱㔹慢换昹搴㠷挰㤲戶昶ㄵ㙤搲㥡摡㑥㍥散㐷昸敡搹㤳搵〴㔸て㍦㍢㠳扣㈰㜳㈶㠲㈸㤸〷㈱㐴㥦晡㈰㤳づ昰慤㌲ㄶ愰㍣㙣㕣攳戸搹㑤愱㙣慣㤰换㐷㈲搱㔰㍥ㄷ换ㄶ㤲㤹㑣㈴㤲㐸愷攲〹㉢ㄶ捤㕢㤱愸㜱戰〷㑤愴昲㤱㔰㍡㤴㡣㘴㈳挹㔸㈶㤷㑥愷慤㑣㈴㔱㐸挷㔲搹愴㤵〸攵㠲㑣㘷㘰㜸㜳㈱㝣捣㐳㈰㠲捣㘲㄰搵愱㔴㌵㔱挵㥣〶㔱ㄱ㈰搰摡㙡散扢㌶㌵搵〰㑥㔵㉡慢㜲㉡慦慣㥡㥥㍤搵戰㤲挷搸㤴愵㈸㜸捦〱㌱っ㘶㈸搴㕥ち㥡㌷捤愹戸ㄷ改捣㝤慣㤹㘳扢昳㄰㠱㘰て㈸愸㌳㉣ㄴ户ㄸ搷搸㔴晣愴㕣愳〰㜵㙦愸㈵ぢ〳㡦攰敤㌴ㄶ㐱搳ㄷㅡ㉤㈵㉢㔸攳㐴㌱ㄷ挳㘸づ㘱ㅤ㠳㈱㤴〱扤昴敤ㄲ攸戹㈰扦㍡㘸戹㍤愸㜳戱㈲ㅣ㠵㌰㔴ㄹ慤㠰㔴ㅣ㕡敡㙣挰㌸扣㡡㠷㠷㠹㐸㌲㍣摡攱㡣攱ㄱ㐰㤹㍤㘳㉣㐵搹ㅥㅥ㠹㜰㌶ㅤち㔹㔶㉡㔹㠸挶㈲㠹㔴㉡㤲换㐶ち改㑣㍣㥦㑢㠴慤㙣摣㌸挲㠳ㄶ㤲戹㥣㤵㑢攴㈳挰㘲散㘴㌲搹㙣㌲ㄲづ愵ㄳ㠹㜰㈱ㅥ㠹㘴㠲扤㥣昰㘶〷㝣捣㑥㠸㘰㙦㔷搵㐵搵㌲慡晡戸㉡て愵㠲㔴攱愷㑥挱㉡戰晢戰㡣㙢敡㜴㌹ㄲ㈲㄰摣〲ち敡㡣搵㈸晡㜴挳㔱㔰ㄷ㜷挳搱搰㤴㜶挳㤶㑥ㄴ昳ㄸㄸ攵〱戹昲愸㕣搵て㝡改㠶攳愰昷扡㘱ㅢ㘸愵ㅢ㡥㐱㠳扣㙥㌸〱㤰捡摤㜰ㄴ愰攵摤戰㉤㈲㐹㌷㥣〴㘷㜴挳㜶㈸㑢㌷㥣㡣戲摤つ愹㌸㥥㝦㕤㠸攴㔳昹㔸㌸㘶㠵ㄲ搹㐸㉡㕥〸㐷ぢ挹㔸㈸㤱捣㐵㔳挶㉦㍣㘸㌸㥡㑤㐵㔲㠵㝣扡㘰攵㘳戱㕣㉣ㄳ㐲㈷㐴攳㠹㐸㉡ㄷぢ愷昲㤹攰昶㑥㜸昳ㄴ昸㤸愷㐲〴㜷㜰㔵愷㔱㜵㍡㔵晤㕤㤵㠷㔲㍢㔱㠵㥦敡搰扢攱っ扡㥣〹ㄱ〸づ㠴ㄱ摦㉡㤳㕢㠳挹戱㙦㜲戸〷〷戹晡㜳愹ちㄱ戱ㄷ㠴ㅡ挲㘰㉣㥤て扤㐷散㔰㘸㠵搸挵㍡戱ㄷ〲㔲㤹搸㠲㉦戱捣㠵㄰㘲㉦㠲㌳㠸摤〵㘵㈱昶㘲㤴㙤㘲㤳愹㝣㌶ㄶ㡤攵ぢ昱㜴㍣ㄶ捡㠳慤㔸㍣㥤㑦攴ぢ㤹㠴ㄵ挶挴㘶㕣攲㐱ぢ㠵㔰㍣㤷㡥㐶ち㤹㑣ㄲ㝤㘰愵㈲挹㘴㈲㥢戵㜲攱㜴㉡㙤㈵ぢ挱㕤㥤昰收愵昰㌱㉦㠳〸敥收慡㉥愷敡ち慡㜶㜷㔵ㅥ㑡㡤愰ち㍦戵㔰㈷昶㙡扡㕣〳ㄱ〸敥〹㈳扥戸㍤㐴ㅤ㐷戳挹〱ㅣㅣ改敡慦愳㉡㐹〴㥦㍤愲㐲っ挶搲昵搰㝢挴㐶愰ㄵ㘲㘷㙢挴㥡ㅣ戱摣晤愸晤㝤㌹㡣挲㐹㌸扣ㄱ㌸㜰ㄸ㐳㔹㌸扣〹㘵㥢挳㔸㌲㥥て挵慤㜴㌲ㄳ㐹挷㈲㜸戲㔴㉡㔵㐸㠵㌳㤶ㄵ捥㈷㉤㉢ㄲ㌲㙥昶愰愱㈴㈶㡤ㅣ㠶㙤㍡ㅣ㡡㠵ㄳ昱㔴㌴㤵㐹㈶挳挹㜸㌴ㅢ捤攵㘳㔶㤰搹ㄴっ㙦摥〲ㅦ昳㔶㠸㘰挲㔵摤㐶搵敤㔴㈵㕤ㄵ〱〲㔵愳愸挲㑦㑤搴㌹扣㡢昶扢㈱〲挱扤㘱挴户㙣㜰敥攳敡敦㈷㜶㕦㈲㐶㐳愸㝤ㄹ㡣愵〷愱昷㌸㙣㠰㔶㌸摣㐷攳搰㜸ㄸ㤰捡㠳㜳㤴㉦戱㘳ㄱ㐹㠸晤㉢㥣㐱㙣㈳捡㐲散㈳㈸㍢㤳㙦㈲㥥捦ㄷち戹㔰㈴ㄶ㡡㈵㈳挹㑣㍡㤷㡢㠶㤳ㄱ㉢㤶㡦㘷㈳㌱换㜸搴㠳㠶戲昹㝣㍣㠳㜹ㄶ挴愳㍦㉣ㄹ愳昱㜸㍡㥢㑤㐵昳搱㥣ㄵㅣ攷㠴㌷ㅦ㠳㡦昹㌸㐴㜰扣慢㝡㠲慡㈷愹㘲㡥㠵搰㑦㠰㐰搵㘴慡昰㔳㈱㥤搸愷㘹㝦〶㈲㄰㥣〲㈳扥㔵挶戳㈸晡㑣扥捦㐱㕤㍣昹㍥て㑤改攴扢㥦ㄳ挵㝣〱㐶㜹㘴戵㌹㥥摤㌰㡤㔵戳ㅢ㕥㠲摥敢㠶ㄹ搰㑡㌷散愲㜷挳㉢㠰㔴敥㠶愱扥摤挰㥣ち改㠶㔷攱㡣㙥搸摦㘹㠷昱㑦㤴㥤㌹㈲㤳㡣挷㘲戱㔴㈶㔵〸挷愲搱㜸㌶㤵㡤攵ち改㐴㈸㤳㉥攴戳搹㠲昱㕡㌷搴㡡愷㜳㔶〱〷㑡改㐸㉣㑦㐴ㅣ挳㍣㥣换攵ㄲ搹㜰㉥㥥㌳㕥昷愰攱㜴㈴ㄳ户攲㌱ぢ㕤ㄴ换攷ㄳ愹㠸㤵㑡㠴挳愹ㄸ㍡㌶ㄵ捡愵㠲戳㥣㤶㤸㙦挰挷㝣㤳攲㉤㠸攰㙣㔷晦㌶㔵敦㔰扣㑢晤ㅣ㔷敦㐱挵㔳捤㠳㕥㍡㜰ㅢ愷〳愵㠳㍦愴摦㐷㄰㠱攰㠱㡥愳昱㌱㡡㍥ㅤ昸㙦愸㡢㍢昰ㄳ㘸㑡㍢㜰扥㕢晤愷㌰捡㤳扦攵ㄹ攰㙡〱昴搲㠱㕦㐰敦㜵攰㐲㘸愵〳㝢敢ㅤ昸ㄵ㈰㤵㍢㌰攰摢㠱㑣敢㤰づ晣ㅡ捥攸挰㐳㔱㤶敤攸ㅢ㤴敤づ㉣㔸攱㘴㉥ㅢ捥㘷攳㠵㔸捣捡愷戳改㕣㈴㤲て愵ぢ昱㑣㍣ㄲ㑢㠴㡣㙦㍤㈸づ㕣戲㠹㔰㌶ㄳ戶㈲㌸㠸㐹愳㠷戳〰㈵㜳戱㐸㌲㕦挸㈵昳挱㈶㈷扣昹ㅤ㝣捣敦㈱㠲㠷戹慡ㅦ愸晡㤱慡㡣慢㈲㐰愰㉡㑦ㄵ㝥慡捡改〶㉣㔷㤹慡ㄶ愲ㅡ㈲㄰㘴敡㠷攸㑡昶㥥〵㔷㙦㄰㍢㠷㕥戳戹㘵㉣㠶㕥㠸攵换㍤㍣㘲て㠷㔶㠸晤捦㜷摡㘱㐹㉦㐰㉡ㄳ晢㈵愰攵㠷㈵㑢㄰㐹㠸敤〳㘷㄰摢㠲戲㄰摢ㄷ㘵㠷搸ㄸ㘶愸㔴ㄸ㈷て㐹㉢㠶㘳ㄱ㙣㈱㠵㐴㈶㤴戳戰戱挴戰㙤ㄸ昵ㅥ㌴㥡㡡攴ぢ愱㘴㉥㤹つ㘷㘳挹㘴㉥ㄵ㡢ㄷ戲搹㙣㍣㥥㡣㘷㔲昱㜰㌶搸敡㠴㌷㠳昰㌱户㠰〸戶戹慡㉤愹摡㡡㉡愶㡣挸昸昵㔰慡㠳㉡晣搴〷㔸つ敦攸㜰㕢扡㙣〷ㄱ〸㜶挲㠸㙦搹摥戳换搵て㈰㤶㑦㠹㤱愷戸慢攵っ挶搲㐰攸㍤㘲㔷㐲㉢挴扥慥ㄱ㙢昲㡣㑥昶㥥晦昴攵㜰ㄵ㥣㠴挳㥤ㄱちㅣㅥ㠹戲㜰㌸ㄴ㘵㥢挳㘸ㅥ㑦搱て㘳敥捥㘳摢攷㘹㔵捡ち攷㔲㔶㉡㠷㝤㘵㈴㘷愵㡣㘱ㅥㄴ〷搷愱〸收㠶㜴㌶㠱㠳ㄶㅣ㕡愷ㄳ㤹㘸ㄲ㐷㜹㔶㌴㔱〸挷愳挱搵㑥㜸㜳ㄷ昸㤸扢㐲〴㡦㜲㔵㠷㜲㈴捡〹ㄸ㔳㐸㠴㐳〲〴慡搶㔰㠵㥦㝡㑥攷㜰㑦摡㐷㐲〴㠲挷挱㠸㙦搹摥昳㜸㔷ㅦ㈱㌶㐳挴㘱㄰敡㐴〶㘳㈹づ扤挷攱挹搰ち㠷㡦㘹ㅣㅡ㐹㐰㉡て捥㐷㝣㠹㘵㈲㠸㄰㥢㠶㌳㠸㍤〵㘵㈱㜶ㄴ捡㌶戱改㑣㌸㠵敤㍤㠴〷㙣㘷㘲㌹ㅣ慡㔹昹㝣㉣㤴㑤挷㘲ㄱㅣ㠲ㄴ挲挶摥ㅥ㌴ㄳ捥㠷搳攱㜸慡㄰㡤㐶㌰晦愶戱捦㡣㈴㌱摢攷昲搹㜴㍥ㄷ㑦〵㑦㜵挲㥢晢挰挷ㅣつㄱ㍣捤㔵敤㑢搵ㄸ慡㑥㜷㔵〴〸㔴晤㡡㉡晣搴扤㍡戱攳㘸ㅦてㄱ〸㌲㔹〴摦㉡㘳〲㡡㍥㤳敦㐴愸㡢㈷摦㐹搰㤴㑥扥㘷㍡㔱捣挹㌰捡攳昸㑤㍥ㅥ㐷㥤捤慡搹つ㔳愱昷扡攱㕣㘸愵ㅢ㙥搱扡挱攴攴㉢㐳昹㈶㕦挶㤹㐶㈲㡣捦㐴㈸㌰晥㙢㤴㠵昱晤㔱戶ㄹ㡦愵昳㘹㥣改愵攲㈹㙣摥戹㜰㌸㙤㐵攳挹㈸㌶敥㌴づ慢㜱㘸㙤捣昲愰昹㜴㌲ㅤ㐹㈴昲攱㐲ㅡ㤳㐵㍡㥡挲㕥㌳㘴㠵戳㜸㤲㉦㥥㥤ㅣ㠹〶捦㜷挲㥢戳攱㘳捥㠱〸㕥攰慡扡攷搹ぢ㕤ㄵ〱〲㔵ㄷ㔳㠵㥦扡㔶㘷晣㈰摡ㄷ㐰〴㠲㑣㌵挱户㙣㈸㕦敡敡て㈵戶㥤〸晥戱㤵扡㥣挱㔸捡㐰敦㜱㜸㈵戴挲攱愵㍡㠷摥挱昴挵扥ㅣ㕥〵㈷攱搰㐲㈸㜰昸㕢㤴㠵挳〲捡捥㜴㠰㥤㑤㍡㥡〳〵攱㘴㉣㥦捥㘵戱㠹攷㤲㈱㡣捤㈴㡥㤵愳〹㘳㤱〷㑤挴ㄲ㤱㙣㌶㠲挹㈲㤱㡡㠵戳攱ㄴ愸㡥㠴挲昹㜴㈴〷搷㔸㌲挸㐴ㄴ搹搰ㄷ挳挷㙣㠶〸㕥攳慡扡捦昴㤸㡤㔲㡣㔲搷㔱㠵㥦㍡㕢攷戰㥤㔱㤶㐲〴㠲敢㘰挴户㡣挳㍦戸晡㉥㘲昹攰ㅣ㜹㔷㠲扡㠱挱㔸㕡〱扤挷攱㝡㘸㠵挳㔳㌴づ㡤㔵㠰㔴㥥づ㑥昶㈵昶㐶㐴ㄲ㘲㔷挳ㄹ挴摥㠴戲㄰㝢ㄴ捡㌶戱搹戸ㄵ捡㠵攲改㔴捣挲ㄱ㔶㉣㤹づ㐷慤㜴㈲㤶换㈴㘲愹㔰〱〷〱㐷㝢搰㌴㜶㘸㌸㉥㐸ㄷ㌰㝣㜱㘸〶摥㔳ㄹ攰昲㌹㕣晣挰㤸㑥〴㙦㜶挲㥢挷挰挷㍣ㄶ㈲㜸㡢慢㕡㐳搵㜱㔴㌱㍤㐵㠸㈵㐰愰敡づ慡昰㔳㐷改挴㥥㐴晢挹㄰㠱攰㥤㌰攲㡢晢扥㥣慥㜹攴㘵昲㘰㉢昸㈷㔷㝦ㅡ戱㝣〲㡦挹攷昹愸扢ㄹ㡣愵戵搰㝢挴摥ぢ慤㄰摢愱ㄱ㙢㤲㔸搹挰㤷晡㜲㜸ㅦ㥣㠴挳戳㠰〳㠷昷愳㉣ㅣ㥥㡤戲捤㘱〸㘷ㄲ戸晥ㄷ㉥㠴挰㘰㈲ㄲ㑡㈵搲搱㑣㍡㕦挸挷昳搱㌴㡥㠹㡤㜳㍣㘸㈶ㄷ挶ㅥ㉤㤴挹㘷㜲㤸㔲ぢㄱㅣ㌳愷㐲搸愱㠵挳㔶㍣㤹㑡愷㠲て㌸攱捤㜳攱㘳㥥〷ㄱ晣戳慢敡收昰㐱㔷㐵㠰㐰搵㕦愸挲㑦ㄵ㜴づ㉦愲晤㘲㠸㐰㤰㜹㈸昸㤶㜱昸㠸慢扦㥣搸ㄳ㠹㌸〱㐲㍤〶扤㜰㜸ㄵ昴ㅥ㠷㑦㐰㉢ㅣ㉥昴攵㜰㠱㉦㠷㑦挲㐹㌸晣ㅤ㐲㠱挳晦㐱㔹㌸扣ㄶ㘵㥢挳㐲㈴㔴㈸㘰㄰挶昰挸晣㔸㈱㤳挷戵搳㜴㈴㥥㑡攵挲ㄸ㤴戸敥㘰晣摥㠳㈶昰〴昹㝣㍣ㅡ捥㈴㌱㔰㔳挹㜴㍡ㅥ戲ち搱㈴㉦敡昰ㄸ㌵ㄶ㘴收㡡㡣戰敢攰㘳慥㠳〸晥捤㔵㜵㜳昸戴慢昲㔰敡㌹慡昰㔳晢敢ㅣ摥挸㈸㌷㐱〴㠲捣㑢挱户㡣挳ㄷ㕣晤㙤挴昲㐹㍦收㘹攴昰㐵〶㘳改㑥攸㍤づ㕦㠶㔶㌸㥣愸㜱㘸摣〵㐸攵つ㝣扣㉦戱慦㈰㤲㄰㝢て㥣㐱散㍦㔰ㄶ㘲敦㐵搹㈶㌶㤷㑡攱㍣慤㄰㑥㈶㤲㠹㔸㈶㤹攵㜱㝣〱㝣攱㐹晣搸㠷攷㈲挶㝤ㅥ㌴㥡捣㐵搲愱戴㘵㈵㜰㘲ㅤ捥㕢㌸〱换㈴㜱挴ㅦ㡥攲㈸㈱㤲㡡〶㤹捡㈲挴摥てㅦ昳〱㠸攰㍦㕤搵㥦愹㝡㤰慡搷㕣ㄵ〱㈶愱敡㑤慡昰㔳愳㜴㘲晦㑡晢㈳㄰㠱攰㕢㌰攲㕢㌶㜳扥敤敡㥦㈰昶㙣㈲昸〰㈲昵㉥㠳戱昴ㄴ挳㔳挳摦㝢搰ち戱㈱㡤㔸㤳攷扦戲㠱㡦昴攵昰㝤㌸〹㠷捦㈲ㄴ㌸晣挰愹搲㜸づ㘵㥢挳㔸㍣㘵㐵昲搹㤴ㄵ挵づ扢㠰㈳昸扣㠵㉢扤挹㌸㈶㍥㕣㠹挸攴㡤攷㍤㘸㍥㥡捣挴㜸㤱㉣ㄲ捤㘲挷㥦捣㠴㤲改㘸㈸㤱〷昹㠵㐸㍣ㅦ㌳㕥昰愰搱㜸ㅡ㘷戶改㔸㌶㤳㐹挷搲㐹㉢ㄵ㑥㘷攳戹㘴〱㠷戳㠹㔰㌴㤵て㝥攸戴挴晣㍢㝣捣ㄷ㈹㕥㠲〸㝥攴敡㑢㑥㜵㍦㜶昵挵㜸昵㈹昴挲晥㈰㠷㝤改挳㌷ㄸ敦㑤㠸㐰昰㌳搷戱㘴㝡晤摣搵扦㑢散㠵㘰㔱摥挹愲扥㠴㕥搸㝦ㅦ㝡㡦晤晦㐰㉢散㙦愳戱㙦㝣〸㐸攵㘱摤捦户㑢扥㐶㈴改㤲㡦攱㡣㉥昹〶㘵ㄹ搶晦㐶搹敥㤲戰㤵挴㘵摢㘸㡡㌷㘷㘲㔶㍡㤵㑤攴愲㐹ㅣ㈳㐵昳攱㐸〶ㄷ攲㡤㑦㍣㈸㡥ㄶ搲攱〴昶㕤戸㈴ㄹ挳改〳㉥〲攱ち㐳〶㝣㕢㔶㍣㥡捡〶扦㜵挲㥢㥦挲挷晣っ㈲昸㥤慢晡㥣慡㉦愸晡摥㔵ㄱ㈰㔰昵ㄳ㔵昸愹㠰㐳㉣㤶昱㌷攱戴㝦〳ㄱ〸晥っ㠵攸㔶㜳㤷搵㝤㠵戲ち㐵搱晦㐰散攵昴攲ㄳ㤴㔴㌵昴㐲散捦搰㝢挴搶㐰㉢挴㔶㘹挴㥡㈴㔶㠶昵㑦摦晡㥤愷搶挲㐹㌸散㘱〸㠷〶捡挲㘱つ捡㌶㠷戸扤㤵㑦㘷㘲戸㙦㠵挳晦㉣戶晤ㄴ㑥㐴挳搸㌳愵ぢ㈹摣戲㐸ㅢ戵ㅥ㌴㤹换ㄷ愲㔹㕣㉤〸㘳㘸攷㌳搹㑣㈴ㅢ㡤㐵㌱挶搳搹㕣㍣ㄱ捤〴㝢㍡攱㑤〳㍥㘶㑦㠸㘰㥤慢敡收㤰㐹㌴㌲昸〸㄰愸敡㑤ㄵ戸㔰㕦㘲㌵扣昳搴㍥戴昷㠵〸〴晢〰攰挷㘱㕦㔷扦㈵戱㝣㑥㤲扣㐳㐷〵愱ㄷづ户㠶摥攳㜰㑢㘸㠵挳て㔰㡤㝢㕦愲晢攰晥㍤㕦づ户㠲㤳㜰戸㍤㐲㘱ㅣ昶㐳㔹㌸摣〱㘵㥢㐳㥣愹㠷㜱搹㌶㥢㡣攲愴ち㠷敥搹㑣ち搷戴㤲㜸㠷㘷ㄸ户㈵㌲〹愳扦〷㡤愴㌳〵㉢ㄴ换㐵〰㠸㐵攲〵摣〹挲ㄹ㙥〱㤷㝥㌳戱㔸㌲ㄱづ㙥敤㠴㌷〷挰挷摣ㄱ㈲挸㌴ㅡ㈱慣晢攰㝥㕢㔷㐵㠰㐰搵づ㔴㤱挳㝦敡ㅣ敥㑣晢㔰㠸㐰戰㍦〰挲㘱挹㐵㤴〱慥㝥㌷㘲昹㙣㈵㤳㑦㙡㔲㍢㐱㉦ㅣづ㠷摥攳㜰㄰戴挲攱㜳㍡㠷扣〵㈱攳昰ㄹ㕦づ〷挳㉣ㅣ敥㠵㔰攰㜰〸捡挲㘱〸㘵㥢挳㐲〴敦㌰挵ㅥ㉡㤷挱㔹㘶ㄲ搷〹ぢ昱㌰敥摦攰攰㌲㤲㐸㠶愲㈱㈳散㐱㜱㍣㤰㑦收ㄳ㌸㌲㈸㘴㘳㔶㉥㤷㉥攰愵㌲改〴㙥攴攰㕡㘱㈴㥤ぢ敥散㠴㌷㈳昰㌱愳㄰挱愱慥敡㜲㉣搸㜷ㅢ㠶戹㉡て愵㜶愳㡡ㅣ㍥愲㜳㤸㘶㤴㔱㄰㠱㈰戳㘷晣挶攱ㅥ慥㝥㕦㘲㙦㈵㠷户㤰挳ㄱ搰ぢ㠷㘳愱昷㌸ㅣ〹慤㜰㜸慦㉦㠷㜷晢㜲戸ㄷ㥣㠴挳〹〸〵づ㐳㈸ぢ㠷ㄳ㔱戶㌹㡣愶㌱敥㐲攱㔴〸㘷昴戱㔰〱晢㜸捣㝡㘹㕣づて攱㝥っ慥敥ㄹ㤳㍣㘸挱㑡ㄴ㜰㍥㤹㐹ㄴ㘲戸ㅣ㤵挸愷㔳㤹㔰㈱㥢㠸攲ㅡ㤴㠵攳愷㘴㤰昹㌶㌲攸㈶挳挷㥣〲ㄱ㡣戸慡㙥づ愳慥㡡〰㤳㔰挵㑣ㅡ攱昰㈶㥤挳㤹戴敦てㄱ〸㈶〱昰攳㤰昹㌵愲㥦㑢㉣㥦攱㘴昲㠹㔰㙡ㄴ昴挲攱㠱っ㑦つ㝦晢㐰㉢ㅣ㕥慢㜳攸㥤愸㕦攳换攱㘸㌸〹㠷〷㈳ㄴ㌸摣ㄷ㘵攱㜰㈱捡捥戶㥣挵つ㕣㉢㡢㌳㙦㕣ㄱ㑤攷愲搹㜸㌶ㅡ㠹㘰㕡戴㜲㌸㈴㑤挴㡣㐳㍣㘸挸㑡攳愲〸敥晢㠶戰㑦捦挶戱㥢捦攳收㑥㌲ㅦ捡攵挲㜱散扤㠳㘳㥣昰收愱昰㌱㥢㈰㠲つ慥敡㌰慡㌲㔴㡤㜵㔵ㅥ㑡㡤愷㡡攳昰㘲㥤㐳㡢㉥〵㠸㐰㜰〲〰挲㔵挹戶㍣搱搵ㅦ㑥散㠳攴昰捦㘴㙢㌲昴挲㘱㉢昴ㅥ㠷晢㐱㉢ㅣ㥥慤㜳攸㥤ぢ㥤改换攱㔴㌸〹㠷㐷㈰ㄴ㌸㥣㠶戲㜰搸㠱戲㌳づ㤳戱〸づ㝢㌰散㉣散㔹戲㤸づ㜱摤㈲ㄵ挲㜶㡢㔳㐷散㤹㡤㑥て㥡挹攴昲攱㉣捥攲㜱ㅥ㡦㕢戲攱㜴㌴㠶㔷ㄹ㘷㜳㌸㙤捡攱搸㈸ㄳ㥣敥㠴㌷扢攰㘳㉥㠳〸捥㜰㔵摤挷昱㌳㕤㤵㠷㔲戳愹㈲㠷㈷敢ㅣ慥㘶㤴愳㈰〲挱㌹〰〸㠷㈵〷㍣㜳㕤晤ㅡ㘲ㅦ㈳㠷㝣昰㔴昰〰攸㘵挵㑦㠰扥㑦㝤敤㐱㈸敦㕤㤲㘱攱晦㘰㤹攱愵敦㔸㥡㠰㜷㈶㌱ㄱ戵慡〷㥥愸㘱㍦㠷愲愶㝡搴㝦ㄷ㡢㌹ㅣ㝣っつ㝦戵㐷㘱㕤晦ㅦ攲㜰㘴㜴攷收㌰攲㐰晣捣㤳戰挲戵ぢ戱扡㈱扦㈶㙥攸戵挴㜰慣摡扡㜵㑡㈷昲㍢昰㝡敢戹敤㘳扤㜷㈳㙦攱收㝤っ㜷㕦晤㌳慣㕢㌳㌶摢㠹㐷ㄸ㜵㔹慥摢捣づ捦て慦搲㐱㥥てっ挳昹愲愰慤扢㑢摡㜳㍣晡㜷㙢愷戴㜵攲愵㔶㔶摥㡤搸㠹搴昷㥡敡ㅥ捡昷搱㍡捥㕢㤰昹攰づ㐶挳㙢慤愶攴㐹㐰㝦㥦愷㤸㌴㌶㜷挹㔳㠰〶挰慥捣〵㈰挷昸〵搶搶ㄸ㍤㜴晡搰㜰扡㜶㈵㍡㘲㤳敢㈸愶㥤㌵㜲㙣〴捣㔳ㄱ㔰ㅤ㠲搰攴㕥㤹〷戳㤲搳敤㑡ㄶ愰ㄲ搵㠵㑡㔸ㄱ㐷㜱挰㕣㑢㌴㉦㘵扢㉡挵㑢摡㉣㌰㕡㝤づ〵ㅥ㉤〲愵㝦㍥ㅤ攳㤴ㅡ散晦敢㥣晦㠳つ昵㜹搷攳㄰㌵昸散戱戵慦ㅦ㝢搹㘷搷敤㍤散㤲㍦晥散晣㝦慣㜸慣ㄹ摢戰敥㍡㝥〲つ㙡㌱㍣㠶㐱㙢扥㐱昱㈶挵㕢㄰慡ㅤ㡤㜸ㄹ敦㍥㈹㝢㡦㑣㥢㘳㈸㝤㡦㑣㜰〹㈲挹挶㜶づ摡摢愷㕥戵愳捣つ㑥戵挰㠳愳㥣㉣㤹攷㜱㤵㍢愰戶〹㕡㡡㈵攳㝣攸搰ぢ昳㠷㐶㘳㙡㌱㠰㉥ㅢ〱昳㐲愲㍢㍤㌴搳㜳㡣㡢㙣昴ㄴ愲昳づ摡㈶晦ㄲ愲扢㠰㜱〳愸㘵㑥㐱攸㕣㠵挲收搱㜹愴敢戱㐱㍡敦捦㌶㘰捤昰ㄹ摡愰㡥㠱㠷ㅦ㥤㑤㘸愸㉦㥤㠷㍡㠶搲搷搰〴㡦㐳㈴愱昳㉡慣ㄵ攸㍣〹㘵愱㜳㈱㍣㍣㍡慦收㉡㥦〲㤳㑤攷挹㔸㌲㝥㘷ㄳ㌴㙦㘸㉣愴收㍢〴搹攳敤昷㐴㌳㐷挶㐶㌳捤挶㔸㘷愳㈷㄰㍤搷㐱摢㜴㕥㑦㌴慦慣㝡㜴㥥敥ㄴ㠴捥㌳㔰搸㍣㍡捦㜴㍤㉡搱戹攷戸〱ㅦ扥㤹〸㡣搹改昸㝢㉥晥㘸搵㘷晢慡㜳攱攱㐷攷㑣㠷戵戲搱㌹挳㌱㤴扥挵㈶㜸㍥㈲〹㥤㌷㘳慤㐰攷㐵㈸ぢ㥤搳攰攱搱㜹㉢㔷昹㔲㤸㙣㠲㉥挶㤲㜱㍢㜴㍤㐷てㅤ摢㌸㌴ㄲ㔷㤳ㅤ㠶㙣㍥敦㈴晣㌲て㝥〹攱㜷㐱㠷挱㍣㡢攸昱づ摡收昳ㅥ愲㜹㈰收昱㜹㠵㔳㄰㍥慦㐶㘱昳昸扣挶昵愸挴愷㍤㉣摤慤晤扢㌱敡㍡㜸昸昱㌹挶愱慤㡣捦㝤ㅤ㐳改㕢㜰㠲搷㈳㤲昰昹㈰搶ち㝣㌲愱㐶昸摣〷ㅥㅥ㥦て㜳㤵㙦㠱挹收昳㈶㉣ㄹ㝦戵〹㥡㌲㌴ㅣ㔳愹㈲㠲ㅥ㈵晡㔶て㝤㌳搱㡦摢攸昹㐴挷ㅣ戴㑤晥㤳㐴㌳㡢挶愳昳㜶愷㈰㜴摥㠵挲收搱㜹户敢戱㐱㍡敦㥦摤㍤㜹摥てて㍦㍡昷㜲㔸㉢愳㜳愴㘳㈸㝤㠹㑥昰㐱㐴ㄲ㍡㥦挵㕡㠱㑥愶搱〸㥤㈳攰攱搱昹㍣㔷昹㌱㤸㙣㍡ㅦ挱㤲昱㜷㥢愰〹摣扢散收㄰㘴㡦户㤷㠸㝥摣㐳㌳扤挶㜸挵㐶捦㈳㝡愸㠳戶改㝣㤵攸㈷㠰昱攸㝣搲㈹〸㥤㑣㤱搹㍣㍡㥦㜱㍤㌶㐸㘷搵㙥づ㥤搵つ㡡挹㌲㝥㜴づ㜴㔸㉢愳㜳㈷挷㔰晡づ㥥攰㑢㠸㈴㜴扥㠵戵〲㥤慦愲㉣㜴づ㠰㠷㐷攷㍢㕣攵㌷㘰戲改晣㈷㤶㡣㝦㐱挷慤㝤扦愱㤱戴摡捥㘱挸收昳㝤挲㤹㡥㘲挳㕦㈳晣㐳〷㍥㡤昰㝥づㅣ〶散摣㍦㈶晣㉤て晥㍡攱㥦㌸昰愹㠴〷ㅤ戸捤晦㘷㠴扦つ㄰昹㘷〴昵㡥㔳愰㕤扤敢ㄴ愴㌳㍥㐴〱昰㑤㍦㌰〰ㄶ㥦㝥つ昵ㅦ戹㥥ㅢ散㤴搷㑦㙡㄰㠷慡㔳敤晦ㅢ捥㘸㔰㥦挲搳慦㜳㝡愱戹扥㝢戶㠰㘳㈸㝤㌵㔰昰ぢ㐴㤲捥昹ㅡ敢㠰捥昹ㅡ㘵改㥣㍡㜸㜸㥤昳㉤昹昸づ㈶㥢㙤收扦ㄸ摦㐳㠷戹㜵捡搰㔸㕣搵〰㑣慡散扥昹㤱攸敦㍤昴户㐴晦㙣愳攷ㄳ㕤攵愰㙤慥ㄵㅥ愸愷㝥〰挶ㅢ敢㍦㍡〵愱㔷㘱愰㙦摥㔸㘷捥㡢㜸㔴愲昵挱慦㜶㕢㜸挶㥦摦ㄸㄳ摣㠲㥦戳挶㈸〳昰㘱㈰戹昴戸敢晢㙦㉡搰昹㥤㘳㈸㝤戳㔰㤰〹㌳㐲㘷㑦慣ㄵ攸㘴㠲㡢搰昹つ㍣㍣㍡㑤慥㌲搳㑣㙣㍡㤹昵㘲昴㠲捥摥戳㠵㐳敡㑢愰㕤㍡〲㘶ㅦ挲户昰攰昵㠴搷㐳㈷㝢㌶愰㍦㜵搰㌶晢㕢㄰扤㈵㌰㙥〰戵㤵㔳㄰㍥户㐵〱摦㑤ㅦ慥昵㑣㜵ㄱ㡦㑡㝣晥收㐲㝥敥ㅣ㈳㜴㤲捦〱㠰て昳攱昳㐳㠷戶戲戹攳〳挷㔰晡㘶愲攰㐰㐴ㄲ㍥户挵㕡㠱㑦㈶扢〸㥦敦挱挳攳㜳㝢慥昲㉥㌰搹㝣㌲〳挶攸㙦ㄳ㌴㝤㘸㌴慥摥㉥㈲㘸㐷愲㜷昵搰㑣㠲㌱〶摡攸〵㐴扦敥愰敤攱㌹ㄸ㤶㝡愶慢攰扢ㄹ愴㌱户㐵㍣㉡㤱㔶㤰捦扢摤㠳㌰〲昸㌰ㅦ搲㕥㜱戸㈹㈳敤㘵挷㔰晡晡愲㈰ㄳ㘳㠴戴㕤搱㜶㤰㤶㐶㔹㐸㝢ㄱㅥㅥ㘹扢㤳㠶㝤㘰戲㐹㘳㜶㡢㌱摣愶〱愷㘰㈱昵㥣㐳㠳㍤慡昶㈴㥡挹㈷㌶㥡〹㉥挶㕥㌶ㅡ攷㔲㈱昵㌷〷㙤㤳ㄶ㈶㥡搹㉢摥ㄸㅣ攳ㄴ㘴っ㌲㐹〵摦捤愰㤳ㄹ㉤攲㔱㠹㑥㝢っ扥摦㑤㈷搳㔵㠶昹搰昹戸挳㕡ㄹ㥤㡦㌹㠶搲户ㅦ〵㤹攰㈲㜴㈶戱㔶愰㜳㈶捡㐲攷㈳昰昰攸㑣㜳㤵㘷挳㘴ㄳ挴搴ㄵ㘳㙦㥢愰㈹摣挱㍣攴㄰㘴搳㌹㥡攸㌹ㅥ㝡ㄶ搱㘳㙣昴㝣愲敦㜷搰㌶㥤㘳㘱愹㍦〸ㄸ㝣㌷㠳㌴㈶愵㠸㐷㈵搲㄰つ㥦㤸戳搳挷㈱㈹昳㔳㠶㐱㔵㍡ㄱ摥攵㜰㔳㐶摡㥦ㅣ㐳改㉢㤲㠲ㄹ㐴ㄲ搲㈶愱敤㈰㡤㘹㈹㐲摡ㅤ昰昰㐸㥢㐲ㅡ㤸㐲㘲㤳㔶挰㤲㌱搵愶㘱摥搰㜸㐸摤㔲㐴挳㜴愲㤹㙢㘲愳㤹慥㘲捣戴搱ㄳ㠸㕥敦愰㙤㡡㘷挱㔲摦づっ扥㥢㐱ㅡ戳㔰挴㘳挳愴扤㌷㘶㙢㜷敦挱㠴㤴㘱㍥愴慤㜳戸㈹㈳敤㍡挷㔰晡ㅥ愵攰ち㐴ㄲ搲づ㐴摢㐱ㅡ㔳㑥㠴戴㙢攱攱㤱㜶㄰㘹㘰㝡㠸㑤挳㔱㔸㌲づ戶㘹挰㙣㤷㔶扦㉤愲攱㄰愲㡦昵搰㑣㐵㌱㥡㙣㌴㘶扢戴扡摣㐱摢㈳㉤㐳昴ㅡ㘰扣つ昷㌸愷㈰ㅢ㉥搳㐹昰摤っ㍡㑦㜶㍤㌶㑣攷昸敥㌱挸㌴㤴㘱㍥㜴㕥攴戰㔶㐶攷㙦ㅣ㐳改㙢㤸㠲㑣㕣ㄱ㍡ㄷ㘱慤㐰攷㔹㈸ぢ㥤ㄷ挰挳愳戳㤹慢捣㑣ㄱ㥢捥戳戱㘴㉣戱〹㥡㍥㌴ㄲ㔳攷㍡〴搹愳慡㤵㘸㘶㡣搸攸㜳㠸㙥户搱ぢ㠸㍥搳㐱摢㜴ㅥ〱㑢㍤昳㐷昰摤っ搲㉥㜶㍤㌶㐸㕡㐳㤳㐳摡愰〶㜵㌹㍣㠶昹㤰㜶扡挳㑤ㄹ㘹愷㌹㠶搲㜷㌵〵㤹愹㈲愴慤㐰摢㐱ㅡ搳㑤㠴戴㔳攰攱㤱戶㡡㌴㌰改挳愶㠱㌹㈸挶㙡㤷㠶㔸㕡㥤㔸㐴挳搱㐴㌳㠷挴㐶㌳つ挵㌸搶㐶㑦ㅦち昴ㅡ〷㙤㔳㝣ㅣ㉣昵㌷〲㠳敦㘶㤰㜶㤳敢戱㐱搲慡㘶㌸愴攱㜲ㅢㄳ㑤㠶昹㤰戶摡攱愶㡣戴㈳ㅤ㐳改ぢ㥤㠲㜷㈲㤲㤰昶ぢ戴ㅤ愴㌱㤵㐴㐸㕢〹て㡦戴㔳㐹挳晤㌰搹㌴㌰扦挴㌸ㅤ扡㕡㕥昴㡣愹慥㈲ㄶ搶ㄲ晣㠰〷扥㡦攰㌳㙣昰〲㠰㤷㍡㘰㝢㥣㥤㐵㌰戳㐷扣捤㤶㔹㈴㉣挸㘶换㈴ㄱ㝣㌷㠳㑣㘶㤴㠸挷㠶挹㥣摢㠰愸昸昴㙢㔰㑣㉥ㄹ㠶挵搲㕤挷ㄲ㠷戳㌲㌲て㜷っ愵㙦㠳ち㍥㠵㐸㐲收昹㔸㉢㤰昹㉣捡㐲收㘲㜸㜸㘴㕥挸㔵㘶㤲㠶㑤㈶ㄳ㑤㡣㡢愰攳㌱昴㌴㕥㍦换㍢っ攱㘴〲㈷㠰㤷㄰捥昴てㅢ捥㘴ㄳ攳㌲〷㍥㤵昰挳ㅣ戸㑤攸ㄵ㠴扦攴挱㤹㜰㘲㕣攵挰昷㈳㝣愱〳户㠷散搵㌰搵扦㐱㄰㉡攳㑦晢㔴扥㐲㙣㠳㜰㈲挸っㄲ昱摣㈰摢㑢㝦搷㈰ㅥ昳搷搹晦㥦㝢㘳㠳㝡ㄷ㥥挳愰㉤㘵晤㐰㌴捦昷㐴㜰㥥㘳㈸㝤晢㔴㤰㘹㈸挲晡㍡慣ぢ㔸㘷摡㠸戰㍥ㄷㅥㅥ敢搷㤳ㄷ愶㜸搸㌴㌲㤷挴昸㈳㜴㌸ㄵ挱㘴ㄹ㔲晢ㄷ搱㜲㈳搱㥦㜹攸㑦㠸扥搹㐶㘳戲っ愹㘹づ摡收晣㔶愲㍦〷挶ㅢ挴㕦㌸〵ㄹ挴㑣〹挱㜷搳改慤㘷晥㠸㜸㔴愲昵㡤㈳晢摤㌰改㡤㌷扢てㅡ㝦〰㝣㤸て㥤㤳ㅣ搶捡〶昱㐴挷㔰晡昲慡攰捦㠸㈴㜴摥㠵戵〲㥤㍤搰扦㐲攷㜸㜸㜸㜴摥挳㔵㘶戶㠷㑤㈷搳㑡㡣晢㙣㠲戰㉢㡦愹〶㠷㈰㝢㤴㍤㐰㜴㑦て㕤㑢昴㠳㌶ㅡ扢昲㤸摡挷㐱摢㜴㍥っ㑢㝤ㅦ㘰㠴〲慣㤴昶愹㍣㈶敢㤹㌰㈲ㅥ㤵㐸㤳㌰つ敤捥㌴ㅡ㙡㔰捣ㅤ昱㈳㉤改㜰㔳㐶㕡挲㌱㤴扥攱㉡戸㌵㈲〹㘹㡦愳敤㈰㙤㝢㤴㠵戴ㄸ㍣㍣搲㥥㈴つ㑣敦戰㐹㘳ㅥ㠹昱㤴㑤〳㉥㐶挴㔴挸愱挱㈶敤㘹愲㜷昴搰晤㠹㝥搶㐶攳㘲㐴㑣㡤㜰搰㌶㘹捦挳㔲扦㌳㌰㥢㐷ㅡ㌳㐴㌶㑥㕡搵愱摤晢ㅥ㈶㡢昸㤱戶慢挳㑤ㄹ㘹扢㌸㠶搲搷㘰〵㠷㈳㤲㤰昶ち摡づ搲㤸㈳㈲愴つ㠵㠷㐷摡慢愴㠱㤹ㅡ㌶㘹㑣ㅣ㌱㕥㠳捥扥攴㠰㌳㡥㐱㐵㍣扣㐱㜸搴㠳㌳㜹挴㜸ぢ㍡晢㘲㝡㕡つ㜰搰㌶挷敦挰㔲㥦〶㘶昳㔸㘳㑥挸㈶戰㌶愹挱ㅥ戹慦㡦㔱㑣て昱㘳㙤㕢㠷㥣㌲搶戶㜱っ愵㉦换ち㌲愱㐴㔸晢㄰㙤〷㙢ㄳ㔰ㄶ搶晡挱挳㘳敤㘳搲挰戴っ㥢㌵愶㡡ㄸ㥦戸㌴㘰㡢ぢㄶ搱昰ㄹ搱㔳㍣昴㈴愲扦㠰捥收ㄸ昰摥づ摣ㅥ㙢㕦挱㔴捦挴㡥捤㘳㡤㔹㈰ㅢ㘷敤昵㘵摤ㅢ㈸ㄳ㐲晣㔸敢改㤰㔳挶㥡攱ㄸ㑡摦愸ㄵ㍣㄰㤱㠴戵敦搱㜶戰㜶㌰捡挲㕡つ㍣㍣搶㝥㈴て捣挶戰㔹㘳㜲㠸昱㌳㜴㌸捥㔹㌰㌴慤慡㡡㔸㔰㜵〰㌳户挳〶ㅦ㐲㜰て攸攴愰㈸慤㝥昸㕡扦戲㔸㑢昰㘱㠰㜸扢〸愶㠰㜸挷㌹ㄶち㥢㐷㈶搳㐱㌶㑥㈶㑥㤱て㤰捦㍢㘳ㄴ㌳㐳晣挸晣ㅡつ昵摤攳晥挷㌱㤴扥㡥㉢搸㡡㐸㐲㘶㉦慣ㄵ挸㘴㐲㠸㤰昹㈵㍣㍣㌲晢㜰㤵㤹㤶㘱昳挳㉣ㄱ愳ㅥ㍡㙣㠹㤸昴㜱昱捦㈱挸ㅥ㔳㕢㄰扤捣㐳㜷ㄲ扤㤵㡤挶づ㈵愴㍥㜲搰昶㜶扢㌵㉣昵慢㠱搹㍣搲㤸晦戱㐱搲散㙢㕢㉦㡣搹捡㍤㐵㕥〳て㍦搲晥攵㜰㔳㌶〲摦㜵っ㘵敦散㍡〱㤱㌶昶捥㉥㍥昷挴敡㤴昷㑡搵㘳敡愸㉤昰㐹㉤扤ち戶㥡昹ㅥ㜸㔶㑢㜳㑢㡢㍣收愴㌷㕥戱搳戱挴敡㤸㠶㌷㐹攱挵㍡㜳㥡㕢㥤攷㙣攰つ㔳㝣㘳㠹晢ㄲㄷ㔳㑡㜴㌶ち㌳㍢昰㔶㤷㥥㠵㈹㥤㜸〳㔸扥慥㜵晦㑣㔷㤷搵搱昶㝦攱晤㍢㜸昰っㅦ㉡㡡㡦晤收ㅤ摦㘷扥昰㘱㉥扥戹ㄵ挲搸挸㙥㍥愶攱摤㔰㑣㘲愹收㥢㜹晥扢㤷㠱ㄹ晤㌱挴摣㐷㍡攵戵㜷㑤搵愸户搱挵昶㥦㠶慥愹晡㤹㑤㘶摡㠶戹㈳〷敢㑥㄰㍤挶㜶戶㑡慡ㄵ㐴挰ㅣ〸㡤晤㙥ㅦ㍥㝣慡慡昶㈴っ㠳搲㤵攳㔳㜸昸㠸挶慡摡ㄵ捤昹慥挵挶㘲慢㜹搱攲㉥㍣㙤愷ㄷ搷搸晤搴㥣ち搷つ㘵愴㜰㐳敡搹摡㤴改攸挸慣慡㙢㙤㙡戱摡ㄶ㜵㉤慥㙢㕡㡥〴ㅣ扣㈳ぢ搳㔸㕤㕤㥤㌹ㄸ敤㘱㔵晣愹戵㠸挸愸收㄰㕤㝢づ㌴ㅣ慤挶捥搰晡㔳昰て㕦ち㠶〱㙦散〲㔱㑣挱慥搰㘸ㄴ愸昳㄰㥢㌴戸ㅦ㜵㈱ち搲㡣摤㠱昴ㅡ㜷㠹慢摤㐳搷㕥〵慤㌴㙥㌸戴晥㡤㝢捥户㜱㝢〲㙦㡣㠴㈸㙥摣㕥搰攸㡤扢ㅡ昱㡢ㅡ昷㝢户ㄹ㘱㈰扤挶㕤敦㙡㈳扡昶㘶户㜱㔱㘸晤ㅢ昷㠴㙦攳攲挰ㅢ〹㠸攲挶㈵愱搱ㅢ㜷㙢㘹攳敥㜴㥢㤱〶搲㙢摣㍤慥㜶㤴慥㝤搰㙤摣摥搰晡㌷敥㈱摦挶㡤〶摥搸ㄷ愲戸㜱㘳愰搱ㅢ昷㜰㘹攳ㅥ㜵㥢㌱ㄶ㐸慦㜱㑦扡摡㐶㕤晢慣摢戸㜱搰晡㌷敥㙥摦挶㑤〰摥㤸〸㔱摣戸㐹搰攸㡤㝢扥戴㜱㉦戹捤㤸〲愴搷戸㔷㕤敤㝥扡昶㉤户㜱㔳愱搵摦㜵㔱㍣㉦摣攲摢挰改昰㌱㘶㐰ㄴ㌷㜰㈶㌴㝡〳摦㈹㙤攰晢㙥㔳㘶〱改㌵昰㘳㔷㍢㕢搷昲慥慦㙣㐰㜳㜴㉤㙦㡣捡愶㌲ㄷ㕡㝦㑥搷昹㌶㜹ㅥ昰挶㠱㄰挵㑤㥥て㡤摥攴㙦ㄱ扦㘸㔳昹搱㙤挶〲㈰扤㈶㉢捣㍣搲戸㠳㜵㙤㑦㘸愵㜱ぢ愱昵㙦摣㔵扥㡤㍢ㄴ㜸愳〹愲戸㜱㠷㐱愳㌷捥㐴晣愲挶昵㜱㥢㤱〵搲㙢摣ㄶ慥㌶愷㙢户㜵ㅡ㘷㜲㈷㔰愳㉥昲㙤㐸㠱㌵㜲挲敦㥥散ㄷ㔳挵㜹㕥㐴㤵摡扥戴ㄱ㍢扡搵ㅤづ愴搷㠸挱慥㜶㠹慥摤搵㘹㠴搱〲慤㍦㐳攷昸㌶慣つ㜸愳ㅤ愲㤸愱愵搰攸㡤摢扤戴㜱㝢扡捤攸〰搲㙢㕣搸搵㜶敡摡愴搳㌸㤳㘳慢㐶㥤敥摢㤰攵慣㤱攳愸㥢愱㤵㔴㘹っ愵㑢ㅢ㌱摡慤敥㐸㈰扤㐶㡣㜵戵慢㜵敤㈴愷ㄱ挶㔱搰晡㌳㜴㠲㙦挳㡥〱摥㌸ㄶ愲㤸愱㌵搰攸㡤㥢㔲摡戸改㙥㌳㡥〷搲㙢摣㉣㔷㝢㠲慥㍤搰㙤摣㠹搰晡㌷㙥戵㙦攳㑥〶摥昸〵㐴㜱攳㑥㠱㐶㙦摣㐱愵㡤㍢挴㙤挶㘹㐰㝡㡤换戸摡搳㜵敤㈲愷㜱㈶ㅢ㔷愳㍡㝤ㅢ昲㉢搶挸㠶㜴㜷摦㤹㔴㘹摤搷㕣摡㠸㔶户扡戳㠱昴ㅡ㜱㠴慢㍤㐷搷慥㈸㙥挴ㄲ摦㐶晣㥡㌵ㄶ㌷攲㠲㤲㐶慣㉡㙤挴搱㙥㜵扦搱慢㍢捥搵㕥愴㙢㝦攱㌴挲戸ㄸ㕡晦㙥捡昹㌶散㔲攰㡤换㈰㡡扢改㜲㘸㜴㠶㑥㉤㙤摣㕡户ㄹ㔷〲改㌱㜴㤶慢扤㑡搷㥥敦㌴捥攴㡥愷㐶ㅤ散摢㤰㙢㔸㈳㜷㌰摤摤㜴㉤㔵㕡㌷㕤㔸摡㠸㑢摣敡慥〳搲㙢挴ㄵ慥㜶㥤慥攵㈵㘲㤹扦晦愰㙢㜹戱㔵收敦敢愱昵攷㙤戶㙦㜳晦〸扣戱ㅥ愲㤸户ㅢ愱搱㥢㝣㍤攲ㄷ捤摦㌷扡捤戸ㄹ㐸慦挹扣昴㉡㡤扢㐵搷昲搲㈵ㅢ㘷戲㜱㌵㙡㍦摦㠶摣捥ㅡ搹㤰㙥摥敥愴㑡攳敤㥥搲㐶㍣攰㔶㜷ㄷ㤰㕥㈳㜸挱㔲ㅡ㜱户慥攵愵㐰㘹㠴㍤㐵㌶晡㌶攲㍥搶㔸㍣㐵㍥㔰搲㠸㈷㑢ㅢ昱戴㕢摤㠳㝡㜵扣〰㈸㡤㜸㐸搷昲搲㥡㌴㈲ち㙤㡤ㅡ攵摢㠸扦戲㐶ㅥ㝤㜶㌳昱㈸㔵ㅡㄳ慦㤶㌶攲つ户扡挷㠱昴㤸攰昵㌴㘹挴ㄳ扡㤶㔷慡戴㐶㐴㝣ㅢ昱ㄴ㙢㉣㙥挴搳㈵㡤昸戸戴ㄱ㥦戹搵㍤慢㔷挷换㔳搲㠸攷㜴㉤㉦晣戰ㄱ挶昳搰晡て搸㍤㝣ㅢ昶㜷攰㡤ㄷ㈱㡡〷散㑢搰攸っ晤㔸摡㌸㕥ㅦ㤲㘶扣㠲〵㡦㈱㕥〸ㄲ敤㍦㜴㙤㉦ㄴ㠴㈱㝢㍥ㅥ攲摢㤰搷〰㉡㤹ち摦愰㑡敢愶㍥㈸ㄷ㙤㌵㕢㐰㈱搵扤㠵〵慦ㄱ扣㝣㈲摡户㌵㙤㉤捦㘰㌷昹昴㥡㝦扡戰ㄵ㉥㐴戴㔸㌹扥㠱戹ㄱ敦昱ㅤ摥㠲搳攴㑤㜸㙤昲㍢愸㐷つ愴㐰っ昳㕤慤〹昵㠳ㅤ㙤ㅤ捦㘵敢㠷攸㈵挵戳㑢㌶搱晣ㄷ搵扢㍡㌶昳㍤㉣戸㉢㔶捦ㄳ㐸㐶戵晤昷搰㑢㙡㑦㤴挴晦㝤慡昷㜲㙣收〷㔸昰晣挳㡥搶昶攷戹㥤ㄷ㑤昱ㅣ㑤晣㍦愴㍡改搸捣㡦戰攰昹昳㌴捣昳愸攷改㤷㔷㔲愳㔱ㄲ晦㡦愹ㅥ攳搸捣㝦㘳挱昳ㅦ敢㘸敤晡ㅢ昵㤲攲㤹㡥昸㝦㐲昵㈴挷㘶㝥㡡〵捦㥦㈷㌳㕥㡤昵晢改㈵㌵ㅤ㈵昱晦㡣敡㤹㡥捤晣ㅣぢ㥥晦㉣㐷㙢搷㍦扢愸㌴㐷㉦愹㜹㈸㐹戴㉦愸收愹〱敢㌵扦挴㠲ㄷ㡤愷〱摤慤㌹㔸㉦㈹ㅥ挶㡢晦㔷㔴昳攸㕤晣晦㠳〵捦㍦敢㘸敤搶攴昴㤲攲搱户昸㝦㑤㌵て扣挵晦ㅢ㉣㜸晥㠷㍢㕡摢㝦㠹㕥㔲㍣㐸ㄶ晦㙦愹㕥敡搸捣敦戰攰昹㜷㌸㕡摢扦㔳㉦愹攵㈸㠹晦昷㔴慦㜴㙣收て㔸昰晣㡦㜴戴戶晦㙡扤愴㜸〸㉡晥㍦㔲捤㈳㑦㘹晦㑦㔸昰晣㡦㜷戴戶晦〹㝡㐹昱㈸㔱晣㝦愶㥡〷㠷攲㡦搷㉦㜴晢㥦愶㝢搴㥦慥㤷ㄴて敥挴㕦挱㐳㥤改晡㔷敢晥㘷敢ㅥ昵攷攸㈵昵㙢搷扦〷晤㉦㜰晤㙢㜴晦摦攸ㅥ昵ㄷ改㈵挵挳㈷愹扦㤶晥㍣㙡㤲昶ㅢ扡晦㤵扡㐷晤㔵㝡㐹昱愸㐷晣㝢搲㥦〷㍣攲㕦愷晢㕦愷㝢搴慦㉢㉡昱㘰㠶ㅥ挲慤晡㈳㑡ㄲ捤㘴戴ㅢㅤ㥢ㄹ搰愳摤慣㝢搴昳㜸愳摢晦㜶搷扦ㄷ晤㜹ㄸ㈱慤改慤晢摦愵㝢搴昳㔰愱摢晦㍥搷扦て晤ㅦ㜰晤晢敡晥て敡ㅥ昵摣换㜷晢㜳て㉥敤慦愷㍦㜷摥㔲㝦㔰昷㝦㕣昷愸攷づ扡摢晦㈹搷㝦ぢ晡㍦敤晡㙦愹晢㍦慢㝢搴㜳摦摡敤捦㝤愴搴扦ㄵ晤戹㙢㤴晡晢改晥慦攸ㅥ昵摣晤㜵晢扦收晡㙦㑤㝦敥搵挴㝦ㅢ摤晦㉤摤愳㥥㝢慥㙥㝦搹愵㜰晥搹ㄶㅥ敥㈷挸㕤㡢摣愷搸づ㕡㜳㝢㠸㍥㝤㤵散㍤〸摤㐱㠷㜲㉦㈲搰晥㠴づ戰愱戲愳㈰戴㈸敡〷㉥㜴㈷㐲〷摡搰て㥤收ㄴ㐷攵扥㐱愲づ㈶㜴㠸つ㤵改扦㉣㉡㜷〳〲ㅤ㑡攸㌰ㅢ㉡㌳㍤愱扢愰散㝥㠲㥣昱〵扡㉢愱扢搹㔰㤹搴〹摤㕤㠷㜲㜲ㄷ攸ㅥ㠴づ户愱㕦㐰㈹昴ㄶ慤ㄶ㘷㙥㠱敥㐹攸㐸ㅢ㉡㤳㌳愳敥㠵戲晢〹㜲㤲ㄶ㘸㠸搰戰つ㤵㜹㤸搰愲愸㥣㡦〵ㅡ㈵㌴㘶㐳㘵捡㈵㌴㡥戲晢〹㜲敡ㄵ㘸㠲搰愴つ晤ㅥ捡昲戶㜲㤶ㄵ㘸㥡搰㔱㌶昴㐷㕦㈸㈷㔴㠱敥㐳攸㘸ㅢ㉡㜳㈶ㅢ㔰㐴ㄶ攷㑥㠱㡥㈱戴挱㠶捡昴㔸〶攵㌴㈹搰㐶㐲挷搹㔰㤹〹换愰㥣ㄱ〵㍡㠱搰㠹㌶㔴㈶㍤㐲㈷愱散㝥㠲㥣晣〴㍡㤹搰㈹㌶㔴收㌷㐲㡢摡捡㜹㑥愰㔳〹㥤㘶㐳㑤晣㈷㘴ㄵつ㙤㑥㘲〲㥤㐱攸㑣ㅢ㉡昳ㄴ愳ㄶ㐱㌹㕦〹㜴ㄶ愱戳㙤愸㑣㐹㠴ㄶ㜵㉣愷㈶㠱捥㈵昴〰ㅢ㉡戳㑦㔹㔴捥㐲〲㍤㤰搰昹㌶㔴㈶㥡㌲㈸㈷ㅣ㠱㉥㈰昴㘰ㅢ㉡㜳ち愱ぢ㔱㜶㍦㐱捥㉤〲㍤㠴搰㐳㙤愸㑣ㅦ㠴ㄶ㤱挵㘹㐴愰㠷ㄱ㥡ㄱ㘸搰㕤ㅢ挵挹㐱敥㕥㕥晡ㅦ晢敥愵㐰㜳搰㉡㑥ㄹ㘲扡搸㌱㌵㈲㜶ㅤ㕥㈲攰戲愶㌸㕤〸攲㈲摤戹㐰㘷㑥㈲㘲扡戰搸㔹㜱摥㄰挳〵扡㑦㌳㝤㌸㥢㠸改搷㈵㍥㥣㐰挴㜰㥥敥搳㐲ㅦ㑥㉢㘲㍡愷挴㠷㌳㠹ㄸ捥搶㝤摡改挳昹㐵㑣㘷ㄶ晢〴摤㠹㐶㜱㙥ㄱ挴ㄹ扡㜳〷㥤㌹攳㠸㘹㙤㠹戳㑢扡攲㙣㈳㠸㕦敡捥换攸捣㌹㐸㑣愷ㄵ㍢㉢㑥㍢㘲㌸㔵昷㔹㐹ㅦ㑥㐶㘲晡㐵戱㑦㤰戳ㄲ㝢慢㑦㔰㜱㉡ㄲ捣挹扡晢㙡扡㜳㠲ㄲ搳㠹挵敥㡡㜳㤲ㄸ㑥搰㝤愴攷㌹㔳㠹改戸㘲㥦㈰愷㉣愷㑡捥㔳㠲㔹愳扢ㅦ〷慤攲散㈵愶㘳㡡摤ㄵ㈷㉣㌱ㅣ慤晢挸㕡㡥㜲㑤慢㑢㝣㌸㜳㠹捦㤱扡㡦㡣ㄷ捥㘷㘲㕡㔹攲挳㈹㑣っ㉢㜴㥦搳愰㔵㥣搸挴戴慣挴㠷㜳㤹ㄸ扡捡㝣㌸挳㠹愹戳挴㠷㤳㥡ㄸ㍡捡㝣㌸搵㠹改㠸㘲㥦㈰攷㍣㠷㐲㑥㜴㠲㔹慡扢㥦〵慤㥡攲㥡摡㡡摤ㄵ㘷㍣昱㘹搵㝤㘴㜰㜱ㅥㄴ搳㤲ㄲㅦ㑥㝤㘲㌸㕣昷㌹ㅦ㕡挵〹㔱㑣㡢㑢㝣㌸〷㡡㘱㔱㤹て㘷㐶㌱ㄵ㑡㝣㌸ㄹ㡡挱搲㝤愴㝢て㜰㑤戹ㄲㅦ捥㡡攲㤳搵㝤㘴搳㥥敦㥡づ㉢昱攱昴㈸㍥㑤㘵㍥㥣㌴挵㜴㘸戱㑦㤰戳愷㐳㍢愷㑣挱ㅣ愲扢晦ㄶ㕡挵㠹㔴㑣〷ㄷ扢㉢捥㥤㘲㔸愰晢挸㠸攲㡣㉡愶昹㈵㍥摣㤴㜸㔸ㄸ㔰㥣ㄱ敤㈵㡥㕢㝢㠹慢㘸㉦㜱㑥戲㤷㌸挱搸㑢散㔰㝢㠹昴搹㑢摣㥣敤㈵㙥㘵昶ㄲ㕢㘰㉦㜱搸搸㑢散㔸㝢㠹敢㈴㑢扤晥㍦㜴㘸㘹㈱</t>
    <phoneticPr fontId="10" type="noConversion"/>
  </si>
  <si>
    <t>CB_Block_7.0.0.0:1</t>
    <phoneticPr fontId="10" type="noConversion"/>
  </si>
  <si>
    <t>㜸〱敤㝤㜷㥣ㄴ㔵搶昶摣㘱愶㤹㙡ㄸ愶〵ㄵ㈳〲㠲㠲攰搰搳戹㔱㘴〸㠲㈰〲〲挶㔵戱㐳㌵っ㑣挰㤹㈱ㄹ㔶捣㌹攷〸㘲捥㌹攷ㅣ搶戴攸扡愶㌵戰㠸㘱㕤搷摤搷ㅣ扦攷㌹㜵慢扡扡扢㝡㐰摦昵昷昹挷㕢㑣ㅦ敡㥥晢摣㜳敦㝤㙥慣慡搳㕤ㄵ慡愲愲攲㘷ㅣ晣㥦㐷ㄵ㑦戶㤸戹戴愳搳㙣愹ㅦ搷搶摣㙣㘶㍡㥢摡㕡㍢敡挷戴户愷㤶㑥㘹敡攸散〶㠰㙦㜶ㄳ攲㍢慡㘷㜷㌴ㅤ㙣搶捣㕥㘴戶㜷〰㔴㕤㔱㔱㔳㘳㔴㈲㝥㔳晤〹搸〱㠳愹㡣㉡ち愰㉡っㅦ㐵㜷㡡ㅡち㠳挲㑦搱㠳愲㈷㐵㉤㐵㉦㡡㍡㡡〰挵〶ㄴ扤㈹晡㔰㙣㐸戱ㄱ挵挶ㄴ㝤㈹㌶愱㘰晥挶㘶ㄴ㥢㐳昴摣〲㘲搶戸戱搳搲昳㔰㥢㤹㥤㙤敤收昰晥㝢㕡㘵ㅥ搵搰㔰摦㔰ㅦち㈷ㅢ敡㠳挳晢㡦㕢搸摣戹戰摤ㅣ搵㙡㉥散㙣㑦㌵て敦㍦㝤㘱扡戹㈹戳慢戹㜴㔶摢㝣戳㜵㤴㤹づ㠶搳愹㐸愲㈱ㄲ㡤收㤲挹㐴捦㉤㘱㜹敡戸戱搳摢捤㕣挷㝦换㘶㍦摡㥣㌶㙥㙣晤㔴戳昳扦㘵㜳㉢搸㠴挹昱㙤㉤愹愶搶晦㤲搱㙡戶㘹㜴扣㤹㘹㘲攳㥢㘶㝢㔳敢㥣㝡ㄴ扢㠰㘸㠴攲昵㘳㍡㍡ㄶ戶㉣㘰㍦ㅡ㘷㌶㌷捦㌰㜳搲攸㉤攳㍢㍡愷愷摡㕢㍡㝡戶㤰㍦戳摤㙣捤㤸ㅤ扤㕡㜶㕥㤲㌱㥢㌵戰愳愶㘵捦㔴晢搴㔴㡢㔹挵㤳扡ㄶ慢つ㈷㘵捤搶捥愶捥愵戵㉤㝢㜴㤸㌳㔲慤㜳㑣㐲慡㕢㈶㉥㙣捡慡慡㉡晣㔵㜴摢搶慢㘴搲㔰㈸㑦换戸戹愹昶㑥〹戱〹ㅢ扣戰慥敥㈲戵㈸㈸ㄷ扢㔴晦愲㔴㙣戳㤹㑤㉤扢㥡敤慤㘶㌳㌳㘱㑢づ㉢〲〹㐱㔶㍢㌸㑣搹搵㘱㉢愹ㅥ㝡昰戱㉥捣挵搷ㅦ㈲㌹慢扤〹搵㕣搸㥣㙡ㅦ扥㕢㔳敢愸㔰㈴ㄶㅤ㍥愵㘹扥搹摣㘴㜶㜴㡥ち㈵㠳挱攱扢愵㤶㡣ち㠷挳㤱晡愴敢㠸ㅡ〳㤰摣ㄸ㐸㐳㕢㐳㔴㡤搹㈵ㅣ㌳〶㔱㌷ㄸ㐲㔵扤㠹挱敦捥㤲〳戰㜲㜶慡㜲㜶扡㜲㜶愶㜲㜶戶㜲戶㔹㌹㍢㔷㌹㝢㑥攵散戹㤵戳㥢㉡㘷捦慢㥣㍤ㅦㄸ晢愸改摥扤㔲ㅦ㥤㙢㕦戸㜵攱戴ㅤ㜷戹攷㥣昳㐳慦慦晤㘳愵攲㜸㤷改㘲㕢㥣っ㉤慡㐲ㅣ㐵捥搷㈰愱㉢搰㄰っ〶㡤㈱㠰ㅢ㐳㈱㝣摢㐱愰挸搱㠴㌱㡣扡攱㄰㑡扤㠲㈲戳搸慦敥昹㠷捡ㅦ捦扡㝡敡〵㌷ㅣ昶晤㐱慢㝢昵㔳㥣㕡㈴扦㝡㥣搴ㄷ攵搷㠰っ摤㌹㠶㄰戴㐸ぢ㠵㤹改〸㘶㄰㠴昰㌵㐰㈰搳㔸搰〸㔱ㄷ㠶㔰敡㜹㥤改〱㜳㕦㝥攲戳㈵晥昱㌷ㅥ戲昵㈱㜷㡣㔸㍢慦㥡㔳㔹搸慢㤱㡢晢捦〴捣㍢㤹㔴㐷愷敥摡㥣晤晥扢㍤㝦摤ㅤ㝦㐲㝢收户敦昸挸攴扦搲昱㡤㈸搹㡦㐱昸攲㄰㍤挶戵㘵捤晥㌳捣㐵㑤收㘲㈳挱愸㈴㠴㔲㑦改㠶㤹昶攴㤴㘷摦㍣攷搳〹攷ㅣ昷捣〱挶昰㑦ㅢㄵ〹㤶摥戰〳㑥㠶㑣㙤㙢㙦挱㡣扥㥢㤹㙡ㅤㄵづづ㥦搹㤹ㅤ㙦㉥ㅡ搵㔰ㅦ㉢㍣攲挶㡥㌴㍤ち挲户ㄳ㐴慦㡥愶ㄶ㡣㍡捥㕤㈳愳㠹㤱挶㘸挶㌶㐲㈸昵戰捥戸攳愲搷捥ㅤ㍣扦㜶捡敤㔳㙡攷扥昱攸㐵㡦㈸捥㙥㤲昱㔸㥣っ㜷㘷ㅣ慣㑦㐴敤慣㠳昵挱㠶挲扣㘳㘱㘳ㅣ㔲ㄸ攳㈱㝣㍢㐳戸㌳㡦〵㐷ㅡㄳㄸ㍢ㄱ㐲愹㝢㜴收㔳㈷㍥㕢㝢攴攴挳㜷扤㘱㔲捦晤挶ㅤ戴昷ㅦㄴ㤷㔲挹㝣ㄲ㑥㡡㌲㡦㈵扡捣㝣㌲捤敦ち攱㥢〲㔱攷慡㜹㐳㌰㌴搲搸㡤搱㔳㈱㤴扡㔵攷摥昴昹㥡㥢㡥㙦㕢㌳昹㥡㘳㙡㝦㕥㝢攰㈷摦㈸慥攱戲戶㑦㈷㜸㜷㠶㘶㐰〴㈶戵㜶㥡㜳摡㠵挶晥戳㌰㘳ㄹ㌳ㄹ㍦ぢ㐲愹敢戵戱扤㙦晦晡㥤昳扥晡㝣昲㍤摦㕤昳搷愶㉤捦晡㤷敡挱攴挴敤㐹戱ㄷ㐳㝢㐳攸搹捡戲戳て愳昶㠵㔰敡㑡㙤攷摡ㅥ㝢㉣慦㘸㕢㌶昹㤲㔵㙦㥣㝣昹攰㥡扢ㄵ户ㄳ㐲挹㝥㌸ㄹ敡㙥て捣㌶㌶㈳攱㝡捣㥤敥㈳㙡散㑦摢〷㐰昸㘶㐳戸ㅢ㈳ㄹㄹ㘹ㅣ挸搸ㄴ㠴㔲㤷敡㥣㝢晦㙤㙥昷晢㥥㥤搸㜸搲〷慦捣晤昶昵㐳㠶㉡敥㘱㈴攷っ㑥ち㜲づ㠵敤㡣㠳挵ㄹ㠷ㅢ㡣㉣㙤㥢㄰扥ㅣ㠴㍢攷〴晡攰ㅣ挶捥㠵㔰敡㍣㥤昳捦㥦㉥ㅦ晡搶捥㙦㑣戹㝦㘰敦捦搲摢㔶㝦愷戸㜱㤲㥣攷攱愴愰昳㌷㌸㔵昶攸晣昳㘹扡ㄹ挲搷〲攱捥㌸ㄶㅥ㘹戴㌲戶つ㐲愹搳㜵挶㔳㌶㝥昷戰㌱挳㌷㥡㜰昴㕥〳㔷㥣昰挲愳㝤ㄵ㌷㙢㤲昱㐱㌸昹㕦㉣㕢敤捣慢〳挲搷〹㠱改㌸ㄲ㌲ㄶ㔲户〸㐲愹ㄳ㜴晥ㅢ㥤㜰挸㤵户扦㝡昹攴换晢㥤㜲摢㝥㑦て戸㐲㜱㥦㈸㥤㘶〹挱㑢ㄹ㍡ㄸ愲㙥㑣㈶㘳㉥攸㑣㘱㡢㘱㜵㥣㐳ㄸ㝤㈸㠴㔲㐷㘹㕢㜳㉦㔹搳搶㙦搰挷扢㕣㍥晦挹慦㝢㉦㍢㘳㤱攲㜶㔳敡昲㐷㥣ㄴ㡤愵㜰ㄷ〳㌹ㅥ㌶づ愷昹㘵㄰扥㈳㈰摣㐴㐶ㅢ㐶ㅡ㐷㌲昶㈸〸愵づ搵㤹㍦㍦㝤挴㥣㙦㌳敦㑥㝢昰攲㈷㍢摥昸㘰㡢㉤ㄴ户戹㤲昹㌱㌸㈹㈶㌲㤲挴ㅣ㤶㕦㍤愳昶昲㠹〹㈵㔹戰晥㌷ㄸ挷㌲慦攳㈰㝣挷㐳㜰㌱㡤ㄸ㈷㔰㜷㈲㠴㔲ぢ㜵晥㔳㠷㝦ㅤ扡㙤挸㤵ㄳ㑥晢㜳摤㠴㑤㥥ㅥ扦㥢攲づ㕢昲㍦ㄹ㈷㐵㤵㙦攸愲昲戱㤸㜱ち捤㥦ち攱㍢つ挲㕤昹㘴㜲愴㜱㍡㘳捦㠰㔰慡㔵㘷摥敢扣换ㅥㅥ㜲挳㙢搳捥㍡昵敤㑤搷㝥晥挴㘴挵㥤扤㘴㝥ㄶ㑥㝥挱捥攱㙣摡㍥〷挲㜷㉥〴㉢ㅢ㌲捥愳敥㝣〸愵收攸晣㘶愹㐳㐷挵㑦㝡㜳捡㠳㝤收㙥昱挰挷㈳ㄶ㉡㕥㐴㐸慦戹㤰攰㡢ㄸ扡ㄸ愲㜶扣搹搱㌴愷搵㕥㜵㉥㘱攴愵㄰㑡愵戴愵慦扥晦戸昶挹㕢敥㤹㜴改晣㠷敦㝦昷散㡢㜷㔰ㅢ㈳㕡㑡扥〲㈷扦愰攴㤷〱㙥慣㠴昰㕤づ挱晥ㅥ㌳慥愰敥㑡〸愵昶搵昹㉤てㅦㄹ摢㘳㘱换㤴愳捥㌸敤摦㜷㍣戲摡愷㜸搱㈳㈵扦㥡攰㙢ㄸ扡ㄶ愲攷っ昳愰捥づ扢攰搷㌱敥㝡〸愵㘶㘹㐳慢戶〹つ晣昷㍥㐷㡤㍢㜱㐱户晦㉣摢慡昶㕦㙡ㄳ㈶㈵敥㐶㡡㥢ㄸ扡㤹㘷㝢戴㌶㜵㕡㐳收ㄶ〶㙦㠵㔰㙡慡戶昲摤〶㡦ㅣ㜲捥㐶攳愷㕥戹㘸慦㤶㐳づ晢㘲㑢挵㉢㉦愹晥敤㌸昹〵搵扦㠳戶敦㠴昰摤〵㠱敡㠷㈲挶摤搴摤〳愱搴㐴㥤摦㤷捦㉥㥦扦㘳昰敢㕤㡥戹㝥敢㙤扢㍤戰敡㘷挵㡢㍣挹敦㍥㥣晣㠲晣敥愷敤〷㈰㝣て㐲㈰扦㜰挴㜸㠸扡㠷㈱㤴㙡搴昹ㅤ搴㜷戳㌳捥扦㙤户戱户㑥㌹昴敥敦捦㥦㝥扡摡ㅣ搱㤲摦愳㌸ㄹ收㕥㑢㠲昵つ昹㈹扤㘴㘹㡦ㄹ㡦搱晡攳㄰扥㈷㈰ち〶〵愶搶㈷ㄹ晢ㄴ㠴㔲㐹㥤昷㜱攷って㌷㝤戱㜲㤷摢㔷㔷ㅦ㜳晤昲㑦㥦敢昹っ愲㜷搷㔷〷攳摢㔳㡢㜱扤㤵扦㤴ぢ搵㘳㐳戱㍥搷戰戸㠴捤㐵㜳昱㕣㐳㐳㌶ㅡ㑣㠵㔳搵〳㘰㜶㝤㉦㤶㌸扢昶捣敤搵搴㥡㙤㕢㉣㔷㑦㕢㡣㑤㜵㤸昹㍤攵㌰ㅤ㌷戶㙤㘱㙢戶㘳㜳敦挸㤹㥤愹㑥㜳戳攲戸扣㤱㤲㘴㌳㜱㙤㘹㜶㐸㝥晤㡡㤳敤㤹㙡㕥㘸㡥㔹搲㘴㐵㙦㔹ㄴ㡤㉢换戶㜴昹搸〹敤收㐱㑥㙣㐹㠹挶攰搶挷㈲戱㕤㔲㑢㉢捡㉡㔷晦㜱㜳摢㍡捣㔶㈹摥戰㤶改㑤㤹昹㘶晢㑣㤳㌷㑥捣慣㔴㜵㈳㐶改换摢㘱搳㕡㔱㔱㕣戰㘶〷扡戵戹㥤㤷㜴㥡慤㔹㌳㡢昲㉥㌰摢㍢㤷捥㑡愵㥢捤㡤ぢ㈰㔶㥥㠸搸戴㐰㍤愱㉤戳戰㘳㕣㕢㙢㘷㝢㕢㜳㘱捣㤸散㈲慥㜷搹摤戰㜱挶ㄵ㜱ㄵ㡦ち㔵搱慤㥢㔲ㄵ摢㜹㕤戱搰㙥㐷扤㌴㠴慢㠹户㐴㥢㙦㔲搸敤敡㘷愰㜶愸㐵戳挹㍥㔹㌹㘸ㅤ挶挴㉥捤っ㉤て㜴搵㠹㜷㤹㠸ㅥ㔲ㅥ㉤㘵㜴㕡敥户〵㔷㔶昶搱戵摦㜹ㄱ㙥㍢散㤲㙡捤㌶㥢敤㕤摥㈳㔳㉣㤱昱㉣㐴㜵っ愳戹㉣㝢㔵㐰愸㈵㙡㘹昵攲愶㙣攷㕣摦㕣戳㘹捥㕣㙥㜷㜰ㅦ慤愶㠶搴㤶ㅣ挶㥦愰㌲㥥愷㜸〱挲敦慦昰扤㐸㤰捦㙦扣㘴㠵慢〷攲晦㕦㝥㐳愳ㄲ愹っ戹㠱㠲扢㕤ㅤ搵㉤戸㕡敤攸搶捤慢㤶扢愴㍡收㜶戲㝢㜶ㅤ㐹㝢㉦㔳晣ㄹ愲㝡㄰挴㍡敦㤷㜰敦㔸挵摢㐲戵㉤攳捤㕣ち㌷攳㘴㜴慢㔴㜵㡢㜵㝦〷换㜱挶攰㡤愰㐹ㄸ㉢㑢㝣㌸挳攰敦搹挲摥㙦㉥改ㅣ㥦敡㑣㜵㙦挱㉤㈵戴㤲〱搰㌰㐹㘵㥤㌱㘵慤攸散搴㝥ㅤ㠲㠵㠰㥣扡慣昴㄰㠵㘵〹〳〷攳愵愲㥢㤶㕤㔷〲㘵敦㠷㑡昸㡡㍢㝡攱慤㈱摣戱捡㑥㌴㕢㘷㉤㕤㘰㜶㄰㕥攳敢㤲捡攲攱㐵㘳搳㌲改㍤㍡㥢㥡㍢敡㔱搲㠹敤㙤ぢㄷ晣㌷敤搰㤶戱ち挲㍥慡户㐷㉦㕥晦㍡㠱慥㡡敥㡢搸㌶戳㘷㔷搴搰ㅡ㌵扥㔷㈱戸搲〶つ㜶㔹㔸晣ㄹ晦挹㘱扣㠶晦晣〶〱㘵攲慡〷㈳敥㤷摣㑢慢〶扥㘷ぢ㘸㥡搵㙥捡摤挱ㅡ〹㠰昲摡㤶扤摡摡攷愷摢摡收戳㔳昵㤲㔰挷㕣搳散攴ㅤ户ㅥ晡づ愳摣㐹㔴慡㕢户㠲㝢㘳慥㕢㜳㕢挱扥敦㑤㠸摡㌱捤捤晤㙤㡢ㅤ扥户愰敡㠶㝢㝦扥户㜱㌲㜲㕣㕢换㠲戶㡥㈶摥㍥㤸扤昳㤲㔴换㠲㘶㜳晢摤ㄷ愶㥡㜱敦㜲晢㘹ぢ㍡㜷敥昸昰晥愳搶摣扢㈲㘴㜶㠴晡㝦㜰敡昲戵攷摣戲昶㤴㥢敡㤷㌴㜷㉣㔱㕢㠳ㅦ摥攵扡㙤㤷ㅥ扢摦昲挲㔹㡤户㙣晦摡昸㘱㌷捥㥤慤〶敡㠸㤲摢㙤㐳㤰㈳ㄷ㜳攳㕤〸搵ㅦ㌰㑥㍥㌸㉦㍣㡣昷ㄱ㌶㔶㔳晣ㅤ〲㔳㠸㜰㡥ㄹ攴〳㉢愸㠶攲㝦捥㈲挶㕡㡡て㈱搴㌰〸㡥㘱攳㈳〸晢㔰㝤㘱㥦㕤㐳㥡昷ㄳ愸戹㙦㑤㤶㌶攱愷㠸昲ㅢ〴㤴㠹㔳挳ㄱ挷㈶㌶㐸愹㐱ㄲつㄲ愸㙡㘱摤㤳㠵㥥㍡愲攴㈶攰〸㈴ㄳㄶ扥㘴㝡㍦㘰摥㉣㝣捤㍣扥愱昸ㄶ挲挵挲昷㔶㔰〵昱扦戰昰〳㐱㍦㐲愸㄰㠴戰昰ㄳ㑥散㐳㈹攴攱戰挰慥づㄶ愲ㅥ㥤扣ㄲ㔱㝥㠳㠰㔲ㄶ㈴㑥㠵㘱搳㡢㠵慦㝦㉡挳挲㔷㍡愲攴慥㘴ㄴ㤶扡搸搴ㄵ摣〸摣㄰搸㠲㑤㕤捦摣㠴愶收㑥戳㕤搶敤扡ㅣ晥戳敥昱㑢戸㤶㝢㤵昶㔴挶扡㝢扥㘱㙥ㅣ戶㉢㜸愸搰戹㌴扦㠱㉢搹㉥㔹扢㠹晦摢ㄴ晥敥㌶㠵戲㈵㉣搸ㄸ㜶戱改㐲愷㈹摡ㄶ㜶つ㜶㜵㈲敥㠷㍣㘷㙦改㔲昵戰㕣搸挹㠸㉦㕥㙦攴挹㠹㠳㜷㜷㐲愲㠳攵㌷㡢散散愵㥤㤴㠹捡㙥捣晥㙦㕢敢昵攸搷摡搶昶攰〴搶㤳愲㤶愲ㄷ㐵ㅤ㠴晡ㅣ㤳ㄱ攷摡户ㄱ㘸〵扢ぢ㜱愱晣〷散㉢㤵戱〱㌱扤㈹晡㐰戸收摡㡤㄰昴㙤っ㔱㘷㍦ㅤ改㙦㜵㌱扦㔲㌱㤸㤰昹户㉦ㄳ㙥〲搱㜳㔳㠸愹扢㤸捤戸㐴晡㙦㍤㙥慤㑥㈰㥢慥㌷㜵攸㍦扣ㄹ户㜱换捣愵慤㤹戹敤㙤慤㜸攸捤扤㈶㙦㈹㜶㜴愸㤴慦㘵㑡摢戸㠵㥤扥㤶㕤㥡昰㕦捦㤶ㄹ收〲㌳搵㌹づ㤷挰搸挸㑥挱ㄳㅦ搹愶㑥捡㉥昹晦戹㡤慤攰戵〶敥㉥攴㜷戲慡㜸昴㕡ㅢ㑡㑤㙦晤昸㌶㍣晢㌶攵戱㍦㘹昷昹㜰㐹昲㍢摣愷攲㌹㍦㑡户晣摦搷敤㌰昸㤲㥢㝦搶晦ㅦ㡥㕥㈸㠷ㄱ㐷愵㑢㔷摢㉤㤱挴摦㔵㥣㑡㈲㥤戳ㄲ晢〶㤲㌶㜴〳㙢㑦昲㜶戹搵昸㉤ㅤ㔱昲㈸㙡㐷㔸ㅢ挰㤲㙣〳㐳敡つ㍤㑥愰㈸㍣㡣㈱㠸㌶㠶㔲㙣〷攱ㅡ㈷挳慤愰ㅡ㠵〴㌲㈶戶㈷愸ㅥ㐲㡤㠶㑡昶㈴㈳㄰戲て昵㌲昲㜰昶㈴つ㠸㜱摦㜰攲㠳慣㤲㉤㜸ㄸ㈰扦㐱㘸㤹㌸搵〸敢づ㈷慥㍤摡㔳攵昸㜸㔲㐷㤴㍣㈱ㅢ〷㑢〳昰㌱㜶㐴㜶敡昱戲㝣散挴搲㡣愶㘸㠴㜰昱㌱搶ち慡昱㌰㈲㝣㡣㈳㘸㍣㠴㥡〰㤵昰戱㌳㐲昶愱敥㜳昳㌱ㄱ㌱㙥㍥昸㙣慤㠴㡦㐹〰昹つ㐲换挴愹㠹戰敥挵挷㉤攵昸戸㔹㐷㤴㍣戴㥢っ㑢〳昰㌱㘶㈰㍢㜵㘳㔹㍥㘶戱㌴㝢㔰散〹攱攲㘳㙦㉢愸㜶㠵ㄱ攱㘳ㅦ㠲昶㠵㔰扢㐱㈵㝣晣〱㈱晢㔰㔷戸昹搸ㅦ㌱㈵㡦晢㑡〸㤹つ㤴摦㈰戶㤴㄰㠹㔳㔳㘱摥㡢㤰ぢ换ㄱ㜲㠱㡥㈸㜹㡥㌸ㅤ㤶戸㠵㌵收㌲扢㈶㡡㜹ㄴ昳㈹㥡㈱搴㔹㥡愴㙡愰昶挳㠷㡢㑤㑢㈵㈲㡣㔶㘲摡㈸ㄶ㐰戸㐸㙡愷㡥㡢つㄶ㤷摤㤱㐴㠸敡愴㜲㈱㠴㥡〹ㄵㄷ〳㍣㘲㐲戰散㡣㌲㠳㠸ㄲ㜲㤶搲慣搱㐵㥣㥡㠵㜴㜹㜲㌸愳㔸戳挹戲㜲攴ㅣ慥㈳㑡㥥㡢敥〹㑢㐲捥㤱㌴㜲ㄴ挵搱ㄴ挷㔰ㅣぢ愱㤶㙡㜲㑥㐲〰㥣戸㔶攲攳㠹㌹㠱攲㐴〸ㄷ㌹㈷㔳愷挹搹ぢ㐹㠴㥣㔳愹㍣つ㐲敤〳㤵㐵捥改〸㤶㈵㘷㙦挰㑡挹㌹ぢ㐹晣㐶ㄷ㜱㙡㕦愴昳㈲㈷㔷㡥ㅣ㔳㐷㤴㍣散摤ㅦ㤶〶戰ㄴㄷ戳搸ㄹ㑤〴ㄴ㠵㠷㜱㈹愲㡤攵ㄴ㉢㈰㕣㐴慣戴㠲敡〰㈴㄰ㄲ㉥㈷攸ち〸㜵㈰㔴㌲㤴慥㐴挸㍥搴扥挸挳㤹㙡慦㐶㡣㝢㙡攱㤳攲㤲捥㜲㉤㐰㝥㠳搰㌲㜱㉡〵敢㜹㍥昲㤷挳搳换昱㌱㑤㐷㤴㍣㠲捥挲搲〰㝣㡣摢㤰㥤摡慤㉣ㅦ㜷戰㌴㜷㔲摣〵攱攲攳ㅥ㉢愸㑣ㄸㄱ㍥敥㈵攸㍥〸㌵〷㉡攱攳㝥㠴散㐳㡤㜷昳昱㈰㘲摣㝣昰昹㜵〹ㅦて〳攴㌷〸㉤ㄳ愷收挲扡ㄷㅦ㈳换昱㤱搴ㄱ㈵て挶攷挳搲〰㝣㡣㘷㤰㥤㡡㤷攵攳㌹㤶收㑦ㄴ捦㐳戸昸㜸搱ち慡㘶ㄸㄱ㍥㕥㈲攸㘵〸搵ち㤵昰昱㘷㠴散㐳搵扢昹㜸〵㌱㙥㍥昸㔸扤㠴㡦扦〰攴㌷〸㉤ㄳ愷摡㘰摤㡢㡦㐱攵昸搸㕡㐷㤴㍣慦㙦㠷愵〱昸ㄸ敦㈰㍢㌵愰㉣ㅦ敦戱㌴敦㔳慣㠶㜰昱戱挶ち慡づㄸㄱ㍥㍥㈰㘸㉤㠴㕡〸㤵昰昱㈱㐲昶愱㌶㜱昳昱㌱㘲㜸㑦㌰㕡㕡搳㝦㈰捡㙦㄰㔰㈶㑥㉤㠲㑤㉦ㄶ㝡㤵㘳愱㔶㐷㤴㜸つ㉣㠱㈵㤹㔲扦㘰㜶㕦㔲㝣㐵昱㌵挵㌷㄰慡扢㘶㠶ㄳ㍤て慥㌷㝢㔶㈲挲昸㡥㤸敦㈹㝥㠰㜰㌱昳ㄳ㜵㝡㑡㕤㡡㈴挲づ攷㘳㐳㌱攱㈱㔰㔹㔳㙡㈵㠲㘵愷搴㠳〱㉢㈵愰ㅡ㐹晣㐶ㄷ㜱敡㔰愴换㤳㌳㤰㘵㜹ㅢ㉡昵挵㡦㘵敥㈵晤㡦㡥㈸㜱㠳㌸ㅣ挹〶戰ㄴ扤㔸散㝦〳收㝤㐷㡤摥扥挶〶ㄴ扤㔹扡晣㝤挵つ慤愰㕡〶㈳〳㘹㘸㈳㠲㌶㠶㔰㐷㈲㈸㕤愴㉦㐲昶愱㍥㐲ㅥ捥㤴扡㈹㘲摣㐳㠶づㄴ㈵㐳㘶㜳㠰晣〶愱㘵攲搴㔱戰㥥攷㈳㍦愵扥㔳㡥㡦扦改㠸ㄲ捦㡣㘳㘱㐹昸ㄸ㠴散搴㕢㘵昹搸㠶愵搹㤶㘲〸㠴㡢㡦敤慣愰㍡づ㠶〶攲㘳っ㈳㘸㌸㠴愲㘷㠶昰戱㍤㐲昶愱㔶戹昹ㄸ㠱ㄸ摥㘷昵ㄸ㌲つ㠸昲ㅢ〴㤴戲㈰㜱敡㐴搸昴㘲攱㤹㜲㉣㍣慤㈳㑡晣㐳攸攴㈱㉣㡣㐴㜶敡挹戲㉣散挸搲㡣愲搸〹挲挵㐲愳ㄵ㔴愷挲搰㐰㝣㡣㌱〴㡤㠵㔰愷㈳㈸㉣㡣㐳挸㍥搴〳㙥ㄶ㜶㐶㡣扢㔷搰戳愴愴㔷㑣〴挸㙦㄰㕡㈶㑥搱て挵㡢㡦摢捡昱㜱慢㡥㈸㜱㔹㌹ㅢ㤶㠴㡦改挸㑥摤㕣㤶㡦ㄹ㉣捤㑣㡡㔹㄰㉥㍥㌸㥢㈰愸捥㠱愱㠱昸ㄸ㝢ㄱ戴㌷㠴㍡て㐱攱㘳ㅦ㠴散㐳㕤攵收㠳㌷㕡搸㉢㈲愵㌵摤ㅦ㔱㝥㠳㠰㌲㜱敡㝣搸昴㘲攱攲㜲㉣㕣愴㈳㑡ㅣ㘹㉥㠴㈵㤹㐸㜳捣㙥づ挵㕣㡡㈶㡡㜹㄰敡ㅣ捤っㅤ㐴っ㝣昲㜷㠹㥡㠹攱ㅥ摥㘸㠵㜰㌱戳㠰㍡㍤㤱㕥㠴㈴〳㤹戴㥤捡づ〸㜵〹㠲搶㐴摡㠹㘰搹㠹昴㘲愶㉡改㈲㡢㤱挴㙦㜴ㄱ愷㉥㐵扡㍣㌹昹㠹昴挸㜲攴ㅣ愱㈳㑡㝣㠳㉥㠳㈵改㈲换㔸散挳㌵ㄱ㔰ㄶㅥ挶㤱㠸㌶㡥愲㌸㥡愵换㑦愴挷㕡㐱戵ㄲ〹〶攲㘳ㅣ〷㠵㜱㍣㠴扡〲㐱改㈲㈷㈰㘴ㅦ㙡ㄱ昲㜰㈶搲㤳㄰挳戵搶攳〱捤㈹㠸昲ㅢ〴㤴㌲㈴㜱敡㑡搸捣戳㤰㥦㍥㥢换戱㌰㕦㐷㤴㜸㉣㕤つ㑢搲㐵捥㘵㜶攷㔱㥣㑦㜱〱挵㠵㄰捡搴捣戰㔱慢昱挹㜷㤱㡢㠹戹㠴攲㔲〸ㄷ㌳㉢愸搳㕤攴ㅡ㈴ㄹ㠸㡦戱㤲捡换㈱搴㜵〸㕡㕤攴ち〴换㜶㤱㙢㤹慡愴㡢㕣㡤㈴㝥愳㡢㌸㜵㍤搲攵挹挹㜷㤱ㄹ攵挸搹㕤㐷㤴㜸㘱搱昹㑡挸戹㠵㘵扦㤵攲㌶㡡摢㈹敥㠰㔰扢㙡㜲㑡敦戲摥㐵捣摤ㄴ昷㐰戸挸戹㡦㍡㑤捥㑤挸㘰㈰慢昹〰㤵て㐲愸㕢㄰戴挸㜹〸挱戲攴摣捣㔴㈵攴㍣㡡㈴㝥愳㡢㌸㐵㡦㌱㉦㜲ㄲ攵挸㠹敢㠸ㄲ攷戲㍢㘰㐹挶捦㜳㉣㜶㔴ㄳ〱㘵攱㘱㍣㡦㘸攳〵㡡ㄷ㔹扡晣昸㜹搹ち慡㍢㤱㘰㈰㍥挶㥦〹㕡〵愱敥㐶㔰挶捦㉢〸搹㠷ㅡ㡥㍣散昱㘳摣〵㜵㈹〱㝦〵摥摦㔵㥣扡〷改昲〴攴㠷捥挰㜲〴っ搰ㄱ㈵摥㙥昷挳㤲㄰昰ㅥ㡢扣㔵㔹〲㔶㈳摡昸㍢挵ㅡ㤶㉥㑦挰㕡㉢愸ㅥ㠰愱㠱慣捥㠷〴㝤〴愱ㅥ㐲㔰〸昸ㄸ㈱晢㔰ㅢ扢〹㜸㄰敡㔲〲晥〹㍣慥摥捡挷愹㠷ㄱ攷㐵㐰捦㜲〴昴搰ㄱ㈵敥㜷㡦挱㤲㄰昰ㄵ㡢㙣㤴㈵攰ㅢ㐴ㅢ摦㔲㝣〷攱㈲攰〷㉢愸ㅥ㠷愱㠱㉣昲㡦〴晤〴愱㥥㐴㔰〸昸ㄹ㈱晢㔰ㄵ㉥〲㝣ち㥢晥㠲㑤㠷搷搵㕢㌷㠰晣〶愱愵㕣㐹㥣愲㥦㥦ㄷㅦ㕦晤㔰㘶㙢晥愵㡥㈸㜶〹慣㝥ㄶ㤶㝥㠱㉢㔷て挰㡤摣㥥昸〶〵㝤㑦㝡攵昰敤愹㜱ぢ㍢㍡摢挴㔱愶㌶㌷扥㙤㙡㕢攷昸愶㡥〵捤愹愵㝤㜲晡㘴慦戹㘶㉢摣搸摡攱捤㔶愴㙢㕢戰挰捣ㅡ戹㤹㙤ぢ摢㌳收愴昱扦〷㌷㌷㘹㌶㜸㙤㈸㔵㔱愹㜰晣㍡捦㉤㜴〶㠵㑥㠳愳愲晡㑦㌰㔹散㠰攳㝡ㄲ㤹㝦攸ㅤ〰戰㉥捦攸慣愶捥㘶戳㐷㑥攲攵扣㈶〷ㄶ攱ㅢ㤸敤㥥㥢㌵ㄷ㍥㈹攳㙢㜳ㄳ摢㥢戲捤㑤慤㈶ㅢ〳て搲昹㤵戴㈹收ㅣ昸〱㑥搷㍥㈳戵戹㔹敤愹搶㡥〵㜴㘹捡㉣敤㕤㄰㤲㠷㑡搵戹戱㑤慤ㅤ挸㐶㕡㤱攷㜵戹㤹㜳摢ㄶ攳㥢㥢ぢ㕢㕡㈷愶ㄶ㜴晣㉥㕡㐵㐹扢㔰㐸搳愸㑡㔵㔹愹㙡㉡㙢㝥㙤晢昸㝡㘲㜴昵捤㝦挱慢㍦晡㙡㘷㝢㔳㝡㈱ㅤ㙤㈴慦㄰㘴ㄵ㠵戴㘳㐵㌵㍤收扡㜸愰捣挷捡摡㐳㤳摥㠷㉣㙦挱㜷戳㍣ㅤ攱㥣慦挴㙥〹戸㔱㡢㈲昵散〵㌱㜹攲ㅥ㤳昲㝥戹晦慢敦㤷㔶搳挷慦昸㌱㕤㜱敦㜳摣㈰㌷〲戸㤷搵㡤愸㘳慦挲攸㐴㙦㘰愸戸㙢晡㜳㠲㘱㉦敤㤵㍦㥤〰㑦扡㥥戹㈹愹戴搹㡣〷戲㉤愹捥㕥㔶㠰て搷昱昵愹づㅤ〷户愶㤶ㄴ扢ㅤ扢散捣㑣慡搹慣挹㡤㔹搸搹㠶慦㈶ㅡ㌹〸改㥢㕡㤵㕡〲㔵㙡㠹愸㝡收㘶搰㌱㔸捥㘹慢㙤㑥慡扤愹㜳㙥㑢㔳愶㠶〱㍡敦晥㉥晡㉢㈶㠰㉡㤰㘹ㅦ昶㝣㔲晣㤸搸㝡㘰㡡收慥挷㐳㙢㔲挷收㐷慦慥㔴㍥晣㔳扦搲㙦ㄴ㤳㡦㉣ㅣ㐶〰搶㜸㥦〷ち㍤㠰㍥晦搹㍥㌹ㅣ㈷㌲㐱愹㤷〸挰挷搸〰㜰㥥昰㔳昵㌲㐴㤷㑥㠵摤〱昰㑦㘹㑢㘵㈷挰㤵愷慤扤扢晥㍥㜴つ㍤搶㌰摤戴〷攸收挹慦摣挱㈳㜹㔱㔳搶㙣慦愱㘲㈶ㅥ㝤㔷搱㐱搴㘷戵㈱〷㜴㐵㜵㜵㡦ㅡ慦扣㈶搹戶〶㘹扦㌹昷昷挹㈷㤵搸晦㜴昷挴攸㈰㑢攵㤷㘵慡㌷慡㘳昴㘱㥤攸㐰捡晡ㄴ〱㌶㈴㘰㈳㠸敡㔵㠸㉣㙥㥢㐲㡦㑢昸㘵昲㕡戳㑡扥㐹㑣㕦搰ㅡ昸㑤㡡ㄳ㘹戵㔴〴㕦㉥㜴㕣㐸㝤㤶摦㘷㡤晤昵㘴摦㑣昴㜲㌳敢户收㔸㍥昸㘷㜳㔴㔶㔶愱愹㝤挵㍥㔶㈵搹挲㔸换㑣㔳扣㐲㔵㍦ㄴ挱户㌱㑡摣㤳㠳〵昶㘷攳㙡㉣㔶戲㑢昰晢㡤㑤〰挲㘳慡搷㈰敤㥡㡦愵挶愲㘶㔳搶㝣㌳〸昵㉥㤴摣〳攰搴㕥戱搴晢〸㜱搵㠲㤳〶慤昰㈸㥡つ搵㙡攸㌸㈳ㅡ㕢搰挸摦㜱挶㠹挶改㜸晤愰㕤㜷挷晢㠰㈹昰㌱戶愲ㄱㅤ㔰㜴ㄹ戴㡢散㙡捤晥挰ㄸ〳〸晣搰ㅢ㌰㤰㠰慤〹愰㠷㈱㕢搴㌷〸㈱ㄷ㔳昸ㄲ㜰昱搵〷㤸摡〶㈰㌰昵愹换敡㌸㙡㉣愶戶㐵慣㌱〴㐲㝤〹㘵㌱㔳㕦㐳户づ愶扥〱㐴㤸摡㡥㐶攸㈹㔸挰搴㜰㘸搷捤搴昷㐸㈶㑣㙤㑦㈳㍡愰㝥挰㠹〷㔳昵挰ㄸ㈳〸晣搱ㅢ㄰㈴愰㠱㠰㥦〰㄰愶㐲〸戹㤸挲㌷㤷㍤㤸㡡〰〴愶㉡㔱〰㍢㕢㔷㥦㡡搲㙡っ愲扡〷〰㕤慣㌹㜰㠳㜰㜹㠱昵㠲㑤㕦㡥摦ㄱ挲㜲挰㕥㍤愱愹ㄳㅤ扢㘷づ〲愷攲慥戵㤹㉣ㄳ慥㐴挳㥣㉤攸㔶愵㔱〵㝢搲㝥愵昱敥㑤敡㈰㡦㘸㙢晢敡摡戵慥ぢ㈴摢㔸㡦㌲晥㥥昶戵捡㜲摦愹戰戶戶㙡㜰㜹㘷㌷ㄷ敦摣㤶晣㉦㜶挱搲㠷㉡㡣〴扢㡤挲㍦っ戶㈴捥戹㈹敥戹捥㉥攲昲晤攳㙣敥攷挶搸搲搵㙡攷搲㐹慤ㅤ㔸㔶晣㍡㠴㑤㐳㉦㝤㍡㙤㘱㘷㐱㑣㙡㐹ㅦㅤ〳㑦敢㘹慤搸敡㘵㔲敤搹摦挹㍥〱㜵戳戶戴戲攴晦摡换つ㔸挱攱㕡摤㜱〱㌹㔲㜳㑤㈷扢㕦攲㍡㔹〷㑢戵愴摢昱愸慣㘱㠸㕦㝣㤷㔶戰扥昹㉥搷㝥搳㑤㕣戸攱㠷㌴㥡捤㍥㤲挰〹捡㥡㘸攴挶愴㍢㜰ㅤ搱挹つ愲㍥㤳㠱㙥攴㘶㤸晣㑡晣㈲ㄳ晢㌹㝤㌶㍤搳〹㐷㘱挷〰扦昷昴晢㘹㈱㌰㔲愵㕢㐹㐹㍢昹扡㤸摦ち㉢挱㌱昴㉢㕢ㄵ敤㤶㤳攳戳搱敡挲ぢ㜸㕣㍢扡挲㍥搱㔷㤷扤〰敡攲戲〴㜳慤摢捦㤵㈳愹㡦敤㝥㙤捤㜰㌲㜹昵戴㜵扣㜶愹攵㜵㘶㝢㈷扥ㅣ挸ㅦ㥡愸攳搰㘹挶收慥戳〹摢昴收愵扤㜲㤳㕡㌳捤ぢ戳愶散昱敤㌹㕢戶晡扦㡢昶慡〲㈱㝡㐴㜵挱㡢㈶㘵ㄲ㝥㠴挸晥戲搸慦扦搸㌷㜶挰㐸㤳挹づ㌶晣挶㈸㍤敥敡㔰㤲㕦散㔴散㐷改㝢攷㕤攲攵愷㘹㌰戵㤵愸㌸愷搱㌳搴昱㑢㤶ㄱ攷㠲㑤㘹㥢搲挶㥢〵㉥搵㉥㑤㤶敡㜷搱㑥愸愷搵㑣㍥ㅦ慥㜴㝥摤〸㠹ㅥ㌸㉦昲晥㠲〱㡤挷㡣昸昹换㌱㕢㙤搷㘸㡦ㄶ慥㌱㔸㘵ㄴ扤㠶慤敤㔹㥣搹㜱攷挴㡤㙣㈵㠵㠶搰愷㔸戶㘷愳搱㙡慡て㐲搶昶捣㙡㑦㘳っ戴㕤㙥捦㡣戱㔶㙢慢㡤㤰ㄴ㝦ㄵ挶㌸ㅡ挲㠹㝣攸㜹㙣敦㤵慣㑣㌹〴㡤昱挰ㄸ㍢ㄳ㐸慦㘴て挰〴〲㈶㐲㔴搳㌹戵㜸戲㈹敢㘷㡢〴ㄵ搵㉤扣挲愸㘹攱㤵ㄶ㠶慡て㕦㙥㠳ㅦ㌱慥搶㝣㍤㙡㌶㠵㌱㘳ㄷ愰㕥㜸晥昹㔱㉣㡦摡搲㤵晦搶㔰攸㙤敦㈴㘰㡣挹㄰㡡づ愷戲敤攵㌵愴㌵改㈸㝡㤹ち慦扥㕤〱改㘳㝤㠹㜹㥤户㔰搴㔰㈴ㄳ慥愷搰㌰ㅤ㔴ぢ戶挲㔳愱敤㤲㙢㘹搳攱㐸㠶扦ち㘳ㅡ㡤戰ち晣搰㥢搵愶㜱扢㝣㌵愶〳㘳散㑥㘰扤㌷㘰〶〱㌳〹ㄸ〱㠰㙣㠵㘷㈱戴戱㝤㜹攵晡〹ㄳ㉦㥦㔷散㘸昶〴ㅣ㥢攲戰换晥捥昹〲散㐵晢㝢搳㍥ㅤ㔵㡢㜹愴㜷慡搵㍦挹愳ㅣ散㥡慥摢㑥㙡㌴㈰挲搹扥㌴搲㠸㔰〱㘷晢㐱扢㙥捥挶㈲ㄹ晥㉡㡣晤㘹〴㈷昲愱挷慢〷㘷〷〰㘳捣㈶㜰扣㌷攰㐰〲㔲〴搰㐱㔶㌸㑢㈳攴挵㤹㤷㕦㉣㌸换〲づ捥㈶戹散㡦愳挶扡攴㌲ㄱ㙢攴㈰ㄴ㥤㔹㡢㌹㥢〵㥤搵昷收〰戲摥㝤㙦て㈴ㄳㅥ攷搲昰㥥〸ㄵ昰㌸て摡㜵昳㐸㈷㔹晣挱㡢㤴㐶㙣ㅥ昷挱㤹〷㡦捤挰ㄸ㉤〴搲㡢搶〳搰㑡㐰ㅢ〱㜴慣ㄵㅥㄷ㈰搴搷愳敦挹捦攷㜸㕣㤱戵〳て㈲㘷扢㌲㜰㕤㤱㜵㌰〳晥摣㥥愲ㄳ㉣慦捡昴㡥㝣ㄱ㤳改ㅤ昹㘲㥣㜳慥㙣㐲㌴㜷攵昶㔱戸㤷㕣愲㔱昴愱攵㝥㤲戵户㘷摢㜲㝢ㄳ㌵ㅦ㈰敥㑦昰㉢㉡㐸㥥㕦㈰て搱挶㥡ㄱ挷㐵搲㍡㍥晦戹改㡡收敤愷㉤㥥㌰扡挷㤴㠳㙥㥣昱昹㔵愳昱攵㍢ㄹ昲慤挰㔸挳㘴㠶㐰ㄱ攴㌰㜱㑦攳㙤搰㐹昳ㅥ〶摢㡡㙥扢〵搳昸攱搰㜶搹扣挶㌲㕤㈶扡昸攲慦挲㌸㠲㠶㜰㈲ㅦ摥捦戵㕢㤰㐵搰㍤昵㐸㘰㡣愳〸㕣攸つ㌸㥡㠰㘳〸㔸〴〰愷㜲攳㔸㠴㥣搹㤷扥㘰戶摤晥㜹扢挷㌱搹昱㑣㜶㈴〰慥㠶㍢ㄱ㍡㤴㐸㉥愵㑥挲㌹ㅢ㡥敥扢攵ㅢ敥㘴㡤㍡ㅡ愸昵㙥㌸晡〱㕢つ㜷ち㤲攷ㅢ敥㌴㙤㡣㉥挲㙣戸搱㡦晥㜹散㡢扤㤲㡤ㅤ㘷捦㍣㈲㜵挲攸㤲昵㤷扥挲㔶挳敤㡤㜲戳攴㈵つ㜷〲㜴搲㜰㘷挰戶愲㑢㜱㐱挳㥤〵㙤搷つ㜷戶㉥搳挹㐸㡡㍦晣㜸ぢつ㔹㤹㔵愸㔳㜱㘶ㄳ捣ㄲ攸㠶㍢ㄷㄸ攳㍣〲㑦昳〶㥣㑦挰〵〴搰㕢㔹ㅡ敥㐲㠴㥣㠶㍢换㤵慣㝦摥敥㐵㑣㜶㌱㤳搱㜹戸㜸敡愲挷戰㐵〷愷㉥㌹搸㡦摤搳晤㜲㐰㠴㡥㑢㘹㘴〵㐲〵搳搴ち㘸扢愴㐳挶换㑡㈴挳㕦㠵㜱ㄹ㡤攰㐴㍥昴㐲戶愹㜰㉤㤱㉢㠱㌱㉥㈷昰ち㙦挰ㄵ〴㕣㐹〰㥤㤶㘵㥡扡ち㈱慦改摥换㔷ㄹ搳晤㌵㠰㘳㤶扡搶㘵㝦ㅣ㌵搶㜴㝦㉤㘲㡤敢㈰ㄴㅤ㡣㡢㌹扢〳㍡㙢扡扦ㅥ㤰昵㥥敥敦㐴㌲攱昱〶ㅡ扥ぢ愱〲ㅥ㙦㠲㜶摤㍣搲㜱ㄹ㝦ㄵ挶捤㌴㘲昳㜸㉦捥㍣㜸扣〵ㄸ攳㔶〲敦昳〶摣㐶挰敤〴搰搹㔹㜸扣〳㈱㉦ㅥ扤㝣㥣挱攳㕤㠰㠳挷㠷㕤昶㕤戳晤摤戴㝦て敤搳㌱戹㤸㐷㝡㈳㕢㍣摥ぢ挸㝡昳昸㈷㈴ㄳㅥ敦愳攱攷ㄱ㉡攰昱〱㘸搷捤攳㡢㐸㠶㍦㌸㡢搰㠸捤攳㑢㌸昳攰昱㈱㘰㡣㠷〹愴㐷戴〷攰ㄱ〲ㅥ㈵㠰㑥搲挲攳㘳〸㜹昱攸攵ㅢつㅥ㥦〰ㅣ㍣晥挵㘵摦挵攳㤳戴晦ㄴ敤搳愱㔹㜸㜴摤ㅢ㝦て㍡㙢っ昷愴ㄵㅥ挵㘳昸㝤㐰㠴戳㘷㘸㘴㌵㐲〵㥣㍤〷敤扡㌹㕢㠳㘴昸㠳〷㌹㡤攰㐴㍥昴㡣戶㈹〹㐲愹㠷搰昳挰ㄸ㉦㄰㐸慦㘹て挰㡢〴扣㐴〰ㅤ愹㠵戳㤷ㄱ㜲摤昱挵㡦愳㜹散㉦㔶〱〴愶晥攱戲㍡㉥㥦敤㉢㠸㌵㕥㠵㔰㕦〰攰㕡愶㕥㘳㌲扤㑣晤ㄵ攷㕣愶扥〴愴晣㌲昵扡㐶㝤〵搴㝡㉦㔳昴慤戶㤶愹㌷㤰㍣扦㑣扤愵㡤搱敤㥡换㔴㘴㔰攷挳㔳㥥慣㙥摣晥㘷攵㍦昷捦㝤㑡㤶愹敦㠰戱摡㤴敥搰㉣㜹挹㌲㐵敦㙣㘹搳扦挱戶愲㥢戶搵愶㔶慥挶扢搰㜶搹愶挶㝢扡㑣㜴改挶㕦㠵昱㍥つ㔹㤹攱晦捡㝣戳戱〴扡㕤㔷〳㘳晣㥤㐰攵つ㔸㐳挰〷〴㔴〲㈰换搴㕡㠴㥣㘵㡡㘵戲扢挳㠰扣摤て㤹散㈳㈶愳㐳㜶昱㔴ㄱ㠰捥㥡㉡㍥〶㘴扤愷㡡つ㤰㑣㈸晡㠴㠶㝢㈳㔴搰敤㍦㠵戶㑢㡡㘴改愲愳户搰昳㑦ㅡ戱改愱户户㕤つ搷搲昵ㄹ㌰挶扦〸摣搸ㅢ昰㌹〱晦㈶愰㉦〰搲敤晦㠳㤰搷㔴攱攵ㄳ㡥愹攲ぢ挰㌱〰攸ㅣ㙥ㄷ㘰㝣㥥挷㉦㘹晦㉢摡ㅦ〴㐰昱㔴戱つ㜴敢㤸㉡戶〵㐴㌸晢㠶㐶攸攴㕤挰搹㜷搰慥㥢㌳㍡㠳ぢ㘷摦搳㠸捤ㄹ㍤挲敤㈲〷昳㐵晥〱ㄸ攳㐷〲改㉤敥〱昸㠹㠰㥦〹搸ㅥ〰攱㡣㡦づ㕣㔳〵㝥晥捦㘳慡挰搳㑣㌲㐵㈷㜱摢㉡扦㐸愹㝢㜲㌷挴ㅡ昸昱愸ち㐵㘷敦攲ㅥ㐷て㙦㡢愹戲ㅢ愳㔱㠰〸㔳㍥ㅡ愱㈳㜸〱㔳㌵搰慥㥢愹㐶㈴ㄳ愶昸㐳攲づ㔳㘳愰戵㡢散敡㕤㝥㘰㡣ㅥ〴㡥昵〶昴㈴愰㤶〰㍡㤹ぢ㔳扤㄰昲敡㕤㕥扥攵攸㕤〱挰挱搹㐴㤷晤㜱㜹捥㌶愰晤摥戴㍦ㅤ㠰攲摥㌵〳扡㜵昴㉥晡㠸ぢ㘷ㅢ搲〸㥤挵ぢ㌸摢ㄸ摡㜵㜳戶㈷㤲〹㘷㝤㘹〴愵㤳捦㕥搰摡㥣〵昳㐵摥〴ㄸ㘳㔳〲改㜵敥〱搸㡣㠰捤〹愰㈳扡㜰戶〵㐲敥摥攵戹㄰昵〳〸㑣敤敦戲㍡㍥㥦敤㔶㠸㌵晡㐳愸ㅣ〰慥㠵㘸㈰㤳改㠵㘸㙢㥣㜳㈱㥡〳㐸昹㠵㘸㤰㐶搱攷㝣扤ㄷ㈲晡愶㕢ぢ搱㘰㈴捦㉦㐴摢㙡㘳㜴㕢攷㐲㤴㍡攲㤸㠵㤳㡦晤㘹昴㘹晦㝣攲愳㙦㝣㠱㤲㠵㠸晥敢㔶㥢搲㥤㥣㈵㉦㔹㠸㕡〰㤱㌶ㅤち摢㡡㙥敥㔶㥢敡㠵㘸ㄸ戴㕤戶愹㌱㕣㤷㘹〱㤲戲㈹㡤敤㘹挸捡慣㐲戵㐳㙢㌷ㅢ㑢愰㠷㙦㍤㌰挶〸〲改㉦敦〱〸ㄲ搰㐰〰㍤攸㘵㈱ち㈱攴㉣㐴㡢㕤挹〶收敤㠶㤹㉣挲㘴换〰㈸敥攲㐷㐲户㡥㉥㑥ㅦ㜷愱㈳㐶㈳㐷㈳㔴搰挵ㄳ搰㜶㐹㠷㉣㍡挷㈲㤹㔰㤱愴ㄱ㥢㡡攳愰戵㙢ㅡ捣ㄷ㜹㈴㌰挶づ〴搲㙢摥〳戰㈳〱愳〸愰㈳扤㜴昱㥤㄰㜲㜵㜱晣㌰愷挷〴摡〸㄰扡昸㈹㉥慢㘳昳搹㡥愱搵戱戴㝡㉥〰慥㉥㍥㥥挹㜴ㄷ摦ㄹ攷散攲攷〱㔲扥㡢㑦搰㈸晡捣慦㜷ㄷ愷㙦扤搵挵㈷㈲㜹扥㡢㑦搲挶攸㜶捦㉥㝥挸つ晦㕡昵昸昱慢㐷慦摡慦㕦摦㡢㍦晦㝡戴㝤㤳㠸〵㘳搱攸㝦㙦戵改戵㈸㌷㑢㕥搲挵㉦〱㐴摡㜴㔷搸㔶㜴搳㉦攸攲扢㐱摢㘵㥢ㅡ㔳㜵㤹㔶㈰愹戴敢㌴ㅡ戲㌲慢㔰㉢愱戵㥢㡤㈵搰㕤㝣㍡㌰挶敥〴搲摦摦〳㌰㠳㠰㤹〴昰ㅢ〰搲挵㘷㈱攴㜴昱慢㕤挹〶攴敤敥挱㘴㝢㌲搹㉤〰戸ㅡ㙥㙦攸散㠶摢〷攷㘴㠷敥晡攵ㅢ㙥㕦㡤扡つ愸昵㙥㌸晡晤㕢つ昷〷㈴捦㌷摣晥摡ㄸ扦ㄲ挰㠶敢㜱昵挹ㄳ㥦慢慣㙦晣戰㙡㡢㥦㉥戸㉥㕣㌲㌷摤〵㥣搵㜰㜴搵㘷挹㑢ㅡ敥㙥㐰愴攱㘶挳戶攲㔷〸ちㅡ㉥〵㙤搷つ㤷搶㘵攲搷つ搸㕥㐶㠶㠶慣捣㉡ㄴ扦㙦攰搱㉥㔹㘰っ㤳挰〷扤〱㌹〲收㄰挰㙦㈷㐸挳捤㐵挸㘹戸㐷㕤挹晡㈳㌳摤㈱㥡㤸㙣ㅥ㤳昱换〲挵㜳ㄳ扦㈱戰㡥戹改〵㐰㠴㡥㘶ㅡ攱ㄷ〹ち收愶㔶㘸扢愴㐳挶换换㐸㈶㔴戴搱㠸㑤〵扦㜵㘰㔳ㄱ捣ㄷ㜹〱㌰挶㐱〴慥昲〶戴ㄳ搰㐱〰扦愴㈰㜳㔳㈷㐲慥戹㈹攴改㈳戵〸㈰捣㑤㝦㜵㔹㜵㙤㔴ㄶ搳敡ㄲ㕡㝤て㠰㘲愶㔶㐳户づ愶昸㐵〳㘱敡㘰ㅡ攱㌷づち㤸㍡ㄴ摡㜵㌳戵ㄶ挹㠴愹挳㘸挴㘶敡㐳㘸㍤㤸晡㈳㌰挶攱〴昲慢ぢㅥ㠰㘵〴ㅣ㐱〰扦捤㈰㑣ㅤ㠹㤰㡢愹㠸愷㡦搴搱〰㠱愹㝦扡慣㡥捤㌷搰㌱戴㝡㉣慤㝥〵㠰㌰攵㝡慣挶敦ㅣ〸㔳扥攳〰㔹敦ぢ㉦㝥㑢㐱搸㍢㥥㠶昹㜵㠵〲昶㑥㠴㜶摤散昱㙢つ挲摥㐹㌴㘲戳昷㈳戴㌶㌹慥慤昱挹挰ㄸ愷㄰挸敦㍤㜸〰㑥㈵攰㌴〲昸㔵〸㘱敦㜴㠴㍣户挶ㅥ摦㠰挰搶昸㑣挰挱㘳㌷㕣㠸搸昶㕤㍤敥㉣摡㍦㥢昶㙢〱㤰㜲㥦挳㤰㉥㜷㜵〰摡㘲㝦捥ㄲ㕦㕢挹㈱㐷慦摢㤹㥤㑢㥢攱改捣㔳晡㜷㕡㘷㝣㝥ち攷㈲攸攰㜵摡搶㕥〵て慡攲㕦晢㜲搲昲搷扥㝡㙣㔸昴ㄳ户㤲㡣㌱扤㔰㥡敡㜹摦㤷晥㡣慢㤳㥥〵捦晦摥㈵搳昰昰㥤㠷㈲㙥戸㕢㔳愶扤慤愳㉤搷搹㝦㈶㍣昹晢昳㈷㠳㜳㜰㉣ㄸ㔳㍤ㄷㄶ㍤昳㘴挵慡㕡昹㍥㥢㐵晣〹㑤晦晣搶戶挵慤㔲㥡敡づ晥㜲戲昰搵扤㍢戳昱㌳ㅦㅥ㕢㠳扣挰〶㈸㘸〰〱攳〲㤸愸慤ぢ昴㐶ㄸ㝦ㄵ扥ぢㄱㅥ㍣㙥散戸ㄹ戳捤㘸㌰ㄱ捡㐴戳㘶㉣㤴㡡㐴㔳改㜴ち敦㡡挹㌵㠴㘳㠸〸〶ㄳ㘹摦㐵づ㌴ㄵ〹㠵挲㘶㈴㤳捣挵㜲㤱㜴㍣㤵っ收愲愹㐴㐳㉡㥤㡣㘵㌲昱㕣挲㜷戱〳㐵挲㘴㉥㡥搷㈲㘵㐳改㐸㈶ㄵ㑦㐴㤳愹㠶㈴㝥㜹搸㡣㘷愳戱㜰㍡搰㐷㤷挴戸〴㘹㡣㑢㈹㤶㐳〴㌶戴昵㉢愸扡㡣㘲㈵昵昴敡㘵挹㉤㍣愱㤲愸㝡ㄳ㈸搷搷攳ㄶ㠹㉡㔴㕡㘵㔴㔶㤹㔵摤扢㤷昸捣㤵㜸敡㍡㍦挷敡昳搱㔱户㝡㕦㌴㔰戱愳㥤㜷愲挲昶㘷㘲っ㥢ち攳㙡㤶晢ㅡ〸㝦㘰㔳㕤㈱摦戵〸㙥㌰㙥散散挲昷ㄸ昹慥㠳扡㈷搴攲〶㌲〳扦挲散扢ㅥ㥡㕥搰戸扥㤹㄰搸捣愶攵〶㐴ㅡ〳㤹挷〰〸戵〵昴搲㉢㙥㠶㥥㈷昲改〷㉤㐷㤲㥡㡥㡡戰晦㈲〲㡦㑤〰㘱晦㔳㔳愱㘱ㅦ㉣散㐳㕢㌱ㄱ㜱户〳㠷㍥搴ㅦ㘱晣㔵昸敥㐰搸敡㐳つ改㔰㈶㠳户㘰挵㐲攱㔰㈴ㅤつ㈶愳挹㜰㍣㤹〹㘶愳挹㔰㈴ㅥ㑤昸敥㜴愰愹㜴㈴㥣㑢㘷㔳愹㐴㈴ㅤ〱㈶㤹〶㌶㠷昴搹㔴ㅡ㥤㈸攵扢换㠱㠶愳改㠴㤹ぢ㐷搲㔹㌳ㄲ挹㠴㌲㠹㑣㈸ㅢて㈶㜲㘶摡㑣㐷昱〹っ搰㈵㌱敥㐶ㅡ攳ㅥ㡡㝢㈱〲〳㙤㝤㔱ㅦ摡摡搶ぢ㥥㔰㐹愴戶㠱㥥晤㐸㌵愲昲㙣㘳㘹慢㐷ㄹ晦ㄸ㠴㍦戰慤㥤㤰㙤㘵戰㘵っ㌶㐶㘰㠸慤㝦㡡慡愱㈴㘹〸㠴摡㡥挶ㄸ㝡ㄶ㝡㠷晤攱搰ち晢㌱㘴㔱捡㝥〴摡㔲昶户㘷㈲㥡㝡〱愶挰㝥扤捥搲昷㈲挲ㄶ晢改㕣愶㈱〹㘲㘲ㄱ㡣攰㡣㤹㐸㠷搲戱㜸戴㈱ㄱて㠷愳㤹〴㈸㝤挹㠱挶㈲愹㘸㉣ㄷ㌷㈳ㄸ收㘰㍦㤸㡣〵㐳㜸㍦㔴ㄲ攸㔰㌲㤷〹晢㕥捥㐳㜳㈱㌳ㄳづ攱㘸㐸㐷ㄲ㘶㌸ㄵつ㌵攰㉦㙥㈶㐳昱㜴㈸㤷づ㡣搰㈵㌱晥㡣㌴挶㉡㡡㔷㈰〲㐱㕢㕦挴㝥㠳慤ㄷ愸㈴㈲㕥㐵愰ㄷ昶户㜱戳晦ㄶ敤扤つ攱て搰てㄹ㝦ㄵ㐶ㄱ晢㌱㕢晦ㅥ戱㐱㈲㐶㐰㔴㈷愰㉦ㅥ愵慥㙦挸戸摣㘱昹㡤㠷㠰换㐷㔹挶晢〶㌹晤㜳扣搳攰㈸搷㐹搵敦挱扤慡捡㜲㔷㕣攷㔴㈷㔵昸挳晥㥣㜱㡡㌹㈸㥣愹㜴摤攴搷愶㝦㥤戳㤶扦㝡㑢戴搸晡攵挲㐱㤰㕦て㔹㍡戶愸摦㔸挳ㄶ挶㜵㔲ㄲ㐱ㄹ㌱ㅦ㐰㘱ㅦ㙡愴㤷戶㝡〷㘸搷摦ㄳ㤰㔶晢攴扦㘶挲㉦ㄴつ㙢㠶㔳攴㝡㝣㝦㙢㉤捡愲㐶㜹㤵㐱㡤戶戵ㅦㄱ㠳㉣㄰慥㔰㘳㈰㘵㠴昷㜵㡤㜰摦㈷㠰㤴㕤昴搵㐶㕥挳㕥㡤戵敤㝦㡡挴㍥搸收㈷㌰づ㕡㠴㉢㡣㝦㐲搶㜶ぢ㡣㘷慥㌸〲㍢摢㈷ㄳ散㤳㠹晡愴㙥ㄷ㥣㜰㐲愷㠱晦敡ㄱ愰㑢ㄹ㜳昱㝤㠶搲㜸慣㘰晦㠲扡㜰〵晢ㅣ㥡攲ㄵ㙣戲戶㘲晣ㅢ㤱昲㙥㉦㜹换㤷㥡〲扤昴㠸㉦愰攷㠹㝣愶㐲㉢っ昷㜰㌳晣ㄵ㈰攵ㄹ㌶扣ㄸづ㑣愳㈵㤸㌵扥㐱㘲㑣慣搳ㄱ收扣敦晢ㄶ㘱㙢㘲㑤㐶戳攱㑣㌶㥢つ挷愳挹㐸㐳㐳㌴㤵〹㘳慢ㄳ㙢㐸㈶捤㔸摣捣攴㝣摦攵愱挹㠶㜴㈲搳㠰㈹ㄲ㕢愳㘴㉡㥥ち挷ㄲ戱っ㤶扦㔸〶㌳㘷㌸ㄹ搸㕤㥢㌷扥㐷ㅡ攳〷㠸挰っ㕢昵㈳㔵㍦㔱㌵搳㔶㌹㈸戵㈷㔴㌲㍤晥晣㥤戵㌸㈱㕣㘱㔴㔶㐳㜴㠳昰〷昶㠲㠲㍡㕦ㄵ㠲ㅥ捤㔰つ㜵㘱㌳昸愰㈹㙥㠶扤戵ㄵ愳㍢㈲攵㘵㘷昲摡㌳戵㉦昴搲っ㝥攸㥤㘶搸て㕡㘹㠶㉦㔱㈸㘷㈹㘳㌳挸㐶攲㝦愰㉤㕤捡昶㘷㈲ㄶ扥ㄷ㑣㠱昱〳㄰ㄶ挶敢㄰戶ㄸて愷㜲搸っ攴攲㜱㌳㤱挱づ㌳㥥㡣㌵㐴攳㌹㉣㍤改㐴㉥㤳㠸㠴㝣〱〷ㅡ㑦〴ㄳ㤱㠶㕣挴㡣㐷㤲㤱㔸捡㑣攵㘲㘶㉥㤱㑥㠴戱昸挵攲改㔸㘰戶㌶㙦㙣㠰㌴㐶㙦㠸挰㠱戶㉡捦㜸捡㔶ㄱ㈰㔰㤵㠵㑡ㄸ晦搸捤昸㈶㡣摦ㄴ挲ㅦ㌰〱挰ㅦ㥥㝦㔰㐷㝥つ㔲ㅡ挸搹晡㉤愹ㅡ㑦挴㌸〸㌵ㄷ㝡攱戰㍦昴づ㠷昳愰ㄵづ摦㜵㜱攸ㅢ〸㐸昹慥晣㌷㑦㘲攷搳ㄲ㜳ㅢ㠴挴㈰戶ㄹ㘱㈱㜶㌰挲ㄶ戱戱㕣㌴ㄴつ㠳㌲散昳㈳昱㐸㈴㥤ぢ㈶攳つ挹ㄴ昶攸㌹㙣昵挳扥㙤ㅣ㘸㌶ㄳ㡦挷挲昱㐸ㄶ㙦㤴㡡愴挲つ㠹㠶㠶㐴㉡ㅥ捣㤹攱㜸㉣ㄹ挹攴〲㉤摡扣戱㉤搲ㄸ㐳㈰〲慤戶㙡㈸㔵摢㔱搵㘶慢ㅣ㤴㙡㠷㑡㠸㝤挵㑤㙣㍤㤳㡣㠰昰〷㍡〰挰㕦挹㑡摦㘹敢挳挴敥㑡挴㘴ㄲ扢〸晡〴㍥㝥昵ㅣ㉣㜲㌵㘲㙡晣㡣㉢慤㘱㔵㔹㡣愰㄰㕦戰慡㉣昱搴㉥㠵㤶㉢㡢㤱㐴㘲㜵㠸㈷收㌰㕢扢〳㌱挸ち㘱晣㙡ぢ愴㌴攴ㄳ慥㠶㌴㌸敢换㘰㜸捣慢捤搴㌲摢搴㘸㤸㜲㈶昸㈳愰㘵㍡愳ㄱ㕡㑣昰㐷㌲〳ㅣ㠱愳散㤳愳敤㤳㘳昴㐹摤戱㌸昹㙤㈶昸攳㘰㤹戹ㄸ㥣攰つ㑥攷〶㘷昰挰昱戶㝥㍣㑡㈹慦昴㌳愶〳愶㑥㠴摥㙡㡥㝢ぢ㥡㘳ㄷ挰搸ㅣ㈷㈱扥戴㌹㑥昶搴㥥〲慤㌴挷㘴㈴㔶愷㜹㘲捥戰戵㔳㠸㐱〹㄰挶捦㠰㐲㑡㜳摣敥搹ㅣ户㝡㌶挷搹戶愹改㌰攵㌴〷㍤捦愴㌹㜶㠷ㄶ捤㜱㉥㌳挰ㄱ㌸捦㍥㌹摦㍥戹㐰㥦搴㕤㠸㤳摦愶㌹㉥㠲㘵收㔲摣ㅣㄷ摢晡㍤㔰㑡㜹㈹愲扣ㅥ㔱㕤ち扤搰扤户愶㠷〱戵〲㕡愱攷㙡㌷㍤㥣㜶愴户㕥改㐵㑦攰㌲㈶㘲搶晢㤱㠸扡挰㑡㠴㘵㠶搹ㅦ㘱㙢㠶挹愴挲㐱㌳㠲㍢〳戱㜴㌶㤲捤㠵㜱ㄷ㈱㤱㐹㈶挳戱㘰㈲㤹㡣攷攲扥〳ㅣ㘸㌴㥣挳㐵㘰扣㈱ㄶ㡣挶㈳愹㘴ㄸ㜳㜶㉡ㄴ㑢㈴挲㔹㑣昴㐸ㅡ戸㕣㥢㌷㘶㈳㡤㜱㈰㐴攰ち㕢㤵㥦㘱慥戴㔵〴〸㔴㕤〳搵㈶昸愸㡢㔰つ㕥挹攱ㅣ慥挷㡣㥦〳攱て搰㌷㑤㜴㐵搷ㄲ搷搹晡昹挴ㅥ挰㔴晢㐳愸ㅢ愰ㄷづ昹㉡㙢愷㡢摤〴慤㜰㜸㠶㡢㐳摦〲㐰捡㑦摤愷㜹ㄲ㝢㌳㉤㌱户㜶㈴〶戱户㈰㉣挴㜶㈰㙣ㄱぢ㐲㔲搹〴㤶扢㙣㉣ㅡ〹㈷戳㈹慣㝢挹㐸㌶ㄴ㑣挷㐲㐱㕣㐶晢㍡ㅤ㘸〳ㄶ挳㘸㈲ㅢ捦愵㌳㐱散㐲㈲改㔰㌸ㄳ㡡㐶捣㜴㉥㠶㝢㌱戹㠶挰慤摡扣戱㄰㘹㡣㐵㄰㠱摢㙣搵㘲慡㤶㔰㜵扢慤㈲㐰愰敡㉥愸㠴搸㘳摣挴ㅥ捡昸挳㈰晣㠱扢〱挰㕦挹搴㝤㡦慤㍦㠲㔸㤳㠸㉣㠹扤て㝡㈱昶㘸攸愵㘳㔲晢〰戴㐲散㈱㉥㘲つ㘷㕦戱搴㤳挳〷㤹㠸㠶㡦㠷㈹㜰昸㄰挲挲攱〹〸㕢ㅣ愲㉢愶挳㌹㌳搲㤰捡㠲㠸㜴㍡ㄱ㑢㘴挱㕤㠲搷戸㤱㜰㌶攷㍢搱㠱㈶㔲搱㕣㄰㤴㘷㐲ㄱ摣て㑢㤸㘹㙥㈸攲搱㐸㌴ㄸ㑤㈶㤲㜱㌳昰戰㌶㙦㥣㠴㌴挶挹㄰㠱㐷㙣搵㈹㔴㥤㑡搵愳戶捡㐱愹㈷愰ㄲづ摢摣ㅣ㥥挹㈴㘷㐱昸〳㑦〲㠰扦㤲㝤挵㔳戶晥㍣㘲㥢㠹㤸㑦戶㥥㠱㕥㌸扣㄰㝡㠷挳攷愰ㄵづ㑤㌷㠷捥㑤㥥㡣㈷㠷㜴㑡ㄳづ㉦㠵㈹㜰昸扣捥搲户ㅣ㘱㡢挳㐴ち㝢摦㐴㉡㤶攱㙥ㄸ㌷つ㤳㤹㌸㙥挲㤸戱㔴㈴㠷捤㙦㌲敥㕢攱㐰愳㤹㘸㍡ㄳ㘹〸㤹攱㕣㉡ㄲ㑣㘶ㄲ戹㕣㌲ㄸ攲慤㠶㙣㐳搴っ㈷㝤㤷㌹搰㐴㈶ㄳ挴㕤挷㘸㈲ㄷ捤㐴㈲戸攱㤸ぢ㐶愲㌱摣挲〸㘳㈶㘹㠸㠴〳㉦攸㤲ㄸ㉢㤱挶戸㥣攲ち㠸挰㡢戶㝥〵搷愵晣㡤挲㤷㙣扤攰〹㤵㐴㙡ㄵ昴挲晥ㅥ㥡㝤㜶ㄱ攳〶挶摦〸攱て扣㘲㈷㉣㥡ㅡ㕥戵昵户ㄲ换摦㌴㌵摡挹晥㙢搰㈷昰昱慢㈹戰㤸摦㝣摣㐹㙢㔸敤晥㡡㌸㘹㥤㠲捤挷敢㥥摡㌷愰㤵搵敥㙥㈴㔶㙦㜹㘲晥㘶㙢敦㈵〶㈵㐰ㄸ㕦昷㠷㤴搶㥥攰㙥㙤㘷昳㌱摥慢戵搵㝢戶愹〷㘱捡㔹敤摥㠷㔶㔶扢㠷愰挵㙡户㥡ㄹ攰〸晣摤㍥㔹㘳㥦㝣愰㑦敡搶攲攴户㔹敤㍥㠴㘵收㔲扣摡㝤㘴敢ㅦ㐳㈹攵㙤慥挶ㄲ挰搴㈷搰ぢ摤㑦㙡㝡㘴㐰㝣ち慤搰㌳搲㐵㡦敦㘹㐰捡捦搴〹㉦捥〲晦愴㈵㤶攷㔹戲㔳ㄷ昸っ㘱㤹㘵㥥㐳搸ㅡ㈱㘶づ换㕥㍣㠶㥢㘹㌱㕣慢㐴愳愹㜸ㄴ㌷搳㌳つ㌱摣昴㡥㘵㠲㐱摦㥦ㅣ㘸㍡㤸㌲㤳搹㘸〶户㌶愳㤱㔰㈴㡢摢㜲㘱㌳摣㄰㐹攱㈵㘷搱㘸㍡ㄲ昸㤷㌶㙦㍣㡦㌴挶ぢ㄰㠱捦㙤搵㡢㔴扤㐴搵扦㙤㤵㠳㔲㕦㐰㈵晤扣ㅥ搵㜰㤶挰㔷㤸攴㔵〸㝦㠰㍥㙥昸慢昰晤〵㐱㡦敢挵搷愰㉥扣㕥晣㉢㌴挵搷㡢㕦㘹㉢挶敢㠸㌴㤶㤱ㄸ晥㈸慣晡〶㝡㘹㠶户愰㤷㈶愰昶㍢㘸愵ㄹ〶戹㥡㈱㝦攳㜹愰㈷攳摦㌳ㄱつ扦ぢ㔳㘰晣〷㥤愵敦㍤㠴㉤挶㌳戱㘰㌶ㄴ㡡㌴〴㌳改㕣㈴㤴〸㈵愲戹㕣㐳㈴ㄸ㙢㠸攱昲㈵摡㄰昲扤敦㐰㠳昱〴㙥㈴㘷㘲戹㘴㉡ㅣ㐹挴㘳〹㑣晤昱㠴ㄹ㑡挷挳㘶㈲ㄶ㙥昰慤㜶愰搱㔸㉣㥢づ〶㌳戹㜰㈶ㄶ㠹攵㔲㔸㐸戱愳㌱搱㥣愱㔴㍣㥤捣〶㝥搴㈵㌱晥㡥㌴挶ㅡ㡡て㈰〲㍦搹晡愲㌹㠹摢㄰晣戹愰㤲㔲㔵㘲戸㐹㕢㙤愸摢㑡收愴㝦搲摥㘷㄰晥〰扤散㈴㘱搱㥣㔴㘵敢晦㐳散㜱㌴㝤㉣㜹昶㐱㉦散㝦〹扤挳㝥つ戴挲扥摦捤晥㐰㐰㘴换㔷攳挹扥挱㐴㌴晣㉤㜰㘰摦㡦戰昴昷敦㄰戶搸㑦愷攲㘶㌶㠵㔹㍤ㅤ捥㐶㌲つ搹㈴戶㈹㜱㍣㌵㑡㌷攰㕡㍤ㄸっ晢扥㜷愰搸慥㘴㌲㘶〳ㄶ㔰捥昲㈹搰㙢攲㡥㜳㌶㤸捥㘶挰慥ㄹぢ昴搰收㡤ㅦ㤰挶昸ㄱ㈲搰搳㔶攵户㝣戵戶捡㐱愹〰㔴挲攱㑦摦扡晡㝢㌷捣㙡㐶ㄵ㠴㍦戰〱〰㕥ㅣ昶戶昵㌵挴㥥捡慡㥥〲愱㌶㠴㕥㌸散〱扤挳攱挶搰ち㠷㕦㈰ㅢ攷㡥㠷戳慡晥〷摡搲㍢ㅥ㝤㤹㠸㠶敢㘰ちㅣ㙥愲戳昴〵㄰戶㌸っ㠷㔲愱㠶㑣㈸ㅥ捣㠴昱㤰挳㙣㐸㘷㜱换㈸ㅡ㠹㠷昰㤸㉤ㄳ㙢㐸晢㌶㜰愰戱㜸㈸搵㄰㙦㠸收戰㔱挶㉤晢っ扡㝢〲戰㕣〶戴愷攳搸挴昴㜶愰搸攴攰昶㔳㈸㤵捤㐶挳ㄱ㌳㤸㐸愴ㄲ㌰㡡愷㈶愹㔰㈶ㄴ㙢〸〵㌶搵㈵㌱晡㈰㡤戱㈱挵㐶㄰㠱捤㙣㝤㔱て摥摣搶ぢ㥥㔰㐹愴晡㐱㉦散慦搱散㑢て摥㤲昱晤㈰晣㠱慤散㠴㐵㍤戸扦慤ㅦ㐸散㌹㈴㠹㍦㤷慢〶㐲㥦㐰㜳昹搵㕢戰㤸㕦㔵户愱㌵慣慡㜴晡㤳搶㈹㔸㔵〷㜹㙡〷㐳㉢慢敡㄰㈴㔶摢㝡㘲㠶摡摡敤㠸㐱〹搸㔵搴㌰㘸愵戵晦攲㙥㙤㘷㔵㝤挵慢戵搵㜰摢㔴㍤㑣攱㑦㍥㠱敤愱挵ㅦ㙥㜱㐰㠵㔵戵㥥〱ㅣ㠱ㄱ昶㐹搰㍥㘹搰㈷㜵㈱㥣晣㌶慢㙡ㄸ㤶㘵㌰ㄴ㕤搲㐷㙣㝤ㄸ愵㤴户㕤ㅢ晣摤㕥ㄵ㠳㕥攸㡥㐱敦っ㠶〴戴㐲捦戳㙥㝡㥣挱昰戴ㄷ㍤㠱㈴ㄳ挱愶㌱㤲㐴搴〵㐶敡㉣㝤㍢㈰慣愷昳〶㍣㜷㑥攲㌹㜱㉡ㄷ㠹挴昰㐸㌰搵㄰挲捥㍤ㄶ㡣㤹愱㜸㈸㥡昶敤攸㐰戳愹㔸戶〱㑦愳㌰摤愴㈲愹㤸㤹㑥攳㠲㌳㙤㐶㜱㠳㌶㘱㜲㍡ㅦ攵㐰捤㠶㘰㍣㙡㘶㌳㈱㑣攱㤱愸搹㤰㌲㌱㘵㈵搳愹㘰㈴ㄵ㡦攱攲㈸戰㠳㉥㠹戱ㄳ搲ㄸ愳㈹ㅡ㈱〲㍢摡晡愲挱㌰捡搶㍢㔰㐹愹ㅡ愱㤷挱㜰㉦〸㜰㥥㈳敥㐲㝢㤳㈰晣㠱㌱㜶挲愲挱㌰搶搶敦㐶散㑡㤲㜴ㄹ搹ㅦて扤㌵ㄸ㙥㠱挵晣㘰搸㥤搶㌰ㄸ㜶㐶扣戴㑥挱㘰㤸攰愹㥤〸慤っ㠶㤹㐸慣㈶㜹㘲㜶戵戵㝢㄰㠳ㄲ挸㘰搸つ㕡㘹敤敢摣慤敤っ㠶㙢扣㕡㕢㑤戵㑤敤〳㔳昸戳〶挳㌴㘸昱㠷昷搰㐰㠵挱㌰㥤〱ㅣ㠱摤敤㤳ㄹ昶挹㑣㝤㔲㌷ぢ㈷扦捤㘰愰㈷㥦搷㘰搸搳搶ㅦ㠰㔲捡ぢ搴㡤慢㔱㐸戵㌷昴㔶㜳㉣㉦㘸㡥㌴㘰㙣㡥㝤㄰㕦摡ㅣ晢㝡㙡晦〰慤㌴㐷ㄶ㠹搵晥㥥㤸搹戶㌶㐷っ㑡㈰捤㤱㠲㔶㥡攳〲捦收㌸捦戳㌹搲戶愹㜹㌰㠵㍦慢㌹攸㡤㠷㍦㕣㑥㐲㠵收挸㌲㠰㈳㘰摡㈷㌹晢㘴㡥㍥愹㥢㡢㤳摦愶㌹㥡㘰搹慢㌹收搹晡㌶㤴㔲㕥㐳㉦㉦愴㔷捤搰ぢ摤敤搰昳㐴㍥慤搰ち㍤愷戸改㜱收愶㤳扣攸〹戴㌱ㄱ㉣ㄸ㡢㐸㐴㕤㘰㠱捥搲户ㄸ㘱㍤㌷搱㜳㈵㠹㘷㌹㈹昸㌸挴攲挱戴㤹㡣攵ㄲ搹㌰慥㙦ㄳ改㑣㈲攸㕢攲㐰㜳搱ㄸ㔶㘵摣搱㠲戳㐳〴捦㌱搲㠹㙣㈶㥡捡㤹戹㑣㉥ㅤ挷㜶搵户搴㠱㘶攳㔹㐰㌳㘹㌳ㄴ挴㥡㥥挴慦㉣㘶捤㐴㌶㥢㡢愴㠲挹〸㥥攸〷づ搲㈵㌱づ㐶ㅡ攳㄰㡡㐳㈱〲敤戶扥㘸㙥敡戰昵㐴攵ㄳ愹㐵搰换摣㜴ㄸ〸㜰收愶愳〹㍡〶挲ㅦ㔸㙣㈷㉣㥡㥢㤶搸晡ㄳ㠸攵捦㈴ㅢ晣搱㘵㜵㌰昴挲晥挹搰㍢散ㅦち慤戰摦攱挹晥㐱㥥散ㅦ挶㐴㌴㝣㍡㑣㠱㝤晡昲戱㈳昸捥㐰搸㘲㍦ㅡ攷搶〷捦㉢㐲㔹戸㡤愴㑤㙣㠱攲㜰㉡㡡攱㘶㐱㍣ㅤつ㈵㝤㘷㍡搰㄰慥愴㈲㤸攷戳つ㠰㘶攰㡡㠲昹ㅦ㜷㈴㌳ㄹ散㝤昰愴㈳攴㍢换㠱㐶攳愶挹㥢っ㔸㌲戰㘱挵敥㈸㥥つ挲㡦〹扢㌰慣㐰搱㜰㉣㜰戸㉥㠹㜱㌶搲ㄸ攷㔰㥣ぢㄱ㔸㘶敢㡢搸㍦挲搶ㄷ攲搵搱搰ぢ晢ㄹ㌷晢㤷搲摥㜲〸㝦攰ㄸ㍢㘱ㄱ晢挷摡晡换㠹攵㙦㌴ㅢ晣挵㘷㜵㍣昴挲晥㔵搰㍢散㥦〸慤戰扦㡦㡢㝤摦㌵㠰㤴扦摡摤换戳㐹㑥愲㈵收㜶ㅤㄲ愳㐹㑥㐶㔸㜶晦搷㈳㙣㌵㐹㈴㤷㠸攲㠲㉢㤸㠶㔷ㄷ戶㤶攱㜴㈶ㅢぢ愳㥦攳㐱㕣戶㈱ㄴ㡡晡㙥㜰愰攲〸〶㤷戰㔴㈶ㅡ㡣㈴攰㍣ㄲ㑣〶㑤摣昶挹攴攰㝢㤶㠸愴〲愷㘸昳挶㡤㐸㘳摣〴ㄱ㌸搵㔶摤㑣搵㉤㔴㥤㘶慢〸㄰愸㍡ㄳ㉡㈱㜶㌷㑤慣㑣㈰㜷㌰晥㑥〸㝦攰㉣〰㐴㔷挵敢㡡晣戳扡戳㙤晤扤挴㍥捥慡㍥〶ㄱ愰搷愱㔴晣〱攸㙢敢慡㉦㐰㜸㠷昲扦慤收昲挵ㅡ㠶㥦㈰挲て昵㥡㔹晣㍣㈶摥㐶搹戹㜴攷搶捥昶愵㈴慤ㅢ㝥ㅥ搳晡㔱挹慡捡㤱扦捥ㄶ摤㍡昸挳㔳晣㔴㡦㐳㕤晦ㄷ㜶搸㕤昲扥ㄸ戴戸ㄵ㍥挶㐳愸㜰昵㈵愸慥攷㑦ㅣ㔹摥㘹㌳昱扢愰㘶晤戸戱昱晡㥤㤷㘴捣收㜱昸㌹㈹戸愶㈱㘱挵㐶㉤㤳㍡㜰㡡户㜰捥㙡ㅢ㈳㍦㜲㐴挷换つ㙣敦戵㘱昶㝢攴〷攷㌵昶㉦㠸搹挹愶戵㍢改昰㕥㜶昸㌹㈲㘲ㄸ摦㍡扦㔱㍥攴晡㔱捥捤昳㕡晣㜰ㅣ〸㌷戳戶挵づ㝣扦戲慡戲㕢挹敢㉣挵ぢ㘸㝣㕢ぢ㕥㑥㕣捦㕦攱愴戵昶戶收㐹㔹ㄲ戰戹挷㑦㤲㡥㙤敡㤴㥦昴摤〲昱捡戸㄰攴昸ㅥ㐱㙤扢㡦ㅡ㌴㘶捡愰㜰戰㝡㌴㕡愲昸户㝣捡㘶㔲挸㍢戳㠴㍤㍣慤㝣っㄶㄵ㍤㈰㐹扥㌲㉥㘲㉥㑦攸㕣㈶㈳ㄷ戵〳㜲㘱㑥散㑢㝥攳㈹挲改〰㘹挱㉦㈶晣ㄹつ摦㤵昰戸㠶戳摢晢㡤攷〸攷㌴㐵ぢ昸慦㐲昱㕥㈹〳㡣㔷㉢㜵㠰戶敢攸㥥〸戸㝣昰㥦㝤㝣㍥㕡㥦㌵㕡晦搷攸晦〳晡晦つㅢ敢慥戱㔳敥慦〶㥣㌹愶晡扤挳㡢摦ㄹ㈰㈹挷㕥㙥愵戸收慡㐶㜹ㄷ㘷敤㜵㡤敡〶愴ㅣ㡣搸攲搷㝣㠷㔰挲㌷㠱㉡㜹搹㜹㠳㡥㈸㝥搹㜹攰㘶㔸㤲愱晢㌲敡㔰㕢愷㙥㐷㤸挳㔷㡤㐰ち㡥ㄹ改收慢挸挷摤㔰㕢昴摤㠱㌳摦慢搰㔹㙤ㅡ㐹慡㘱㐰摡㕣昹㡤搷〸扦挷㠱搳㤱搱昷扡㠶㑦ㅥ〴昸戶ㅡ㙥㌵捥㥢㠴摦敢挰敦㈲晣㙤つ摦㤵昰慤㌵摣㙡㥣㜷㄰㔵昷㈸㐱㘰㠰ㅦ搷戱ㅥ慣㍦㘶愷散㤲昵昷㡥㘹戴捣㥥㘰晤摦㜸㕡愳㝡ち㈹扤㔸敦㠷攲㜹戲扥愵㡥㈸㝥戹㝡攰㔹㔸ㄲ搶搷愰晣㘰晤〵㠴㠵昵捤㤱挲㘱㝤㉤㈲搵㥦ㄱ㘵戱晥㈲捥㝣ㅦ㐱㐷搶㜷ㅤㄴつ慡扥〵扣㝣㐲昸㉡〷晥ㄲ攱㥦㙡昸ㄴ挲晢㘸㌸㈲搰挷㍦㈳晣ㄵ〷晥㌲攱㥦㙢昸㘴挲敢㌴摣㙡愴晦㈰慡敥㉤㠲㤰㥡ㅦ搷戱ㅥ慣扦㙤愷散㤲昵ぢ㕦㙥ㄴ戳挷扦㘲晤扦攸戵㐶昵ㅥ㔲㝡戱敥㐷昱㍣㔹㌷㜴㐴昱换摣搵ㅡ㔸攲㝣㘲㝣㠳昲昳㠴㥦㠰㝤ㄹ愸搶摡搱㡥㠶搱ㅦ㐱㡢㍦扣〱〱㠹戰摤晦ㄴ㠱ㅡ㠶扦㐷搸昸㠱攲㐷㡡㥦㈸㝥愶愸㠰㠷㘴㙤愵晡㈷㠰搲愶㍦㝦攳㙡搳㑡㐴慡㝦㈳㉡㕦愵㠱㈸㠶昵㑥戱敦㠰昴慣搲户㍡愲昸㡤戸㠱㉦㘰㐹㍡㔲つ㌳慤㔳摦搸㤹㝥敤捥搴捦㑣扦㐷㤴搵㤱扥挵㤹慦㈷㜴扥㔱㠳昶收昸晡ㅦ㠰敤挹捤㙦昴㈲晡〷〷晤ㅤ搱〱ぢ㍤㠹攸㝦㘹戴搵㉦㝡ㄳ晤㈳㌰戶〱㐵愷㉣〶㘴㜶慣慣挶〲〹扡㐰㡣晢㈸摦㘳敡攸愰㈵㈹扡散㈹ㄵ㍢㌵㕥㝦ㅤ㡦敦㐶慢敥㠰て㠶昵攲搹昰ㄳ捤㕡挹㙣昸戱㡥㈸㝥愱㙥挰て㑢㐲攷㈶愸ㄵ攸散㠵戰戴攱㠷㐸攱㡣换捤㔸㘵㍡㐸㔹㜴搲ㄳ换户㠵㑤㄰〶捥摦ぢ〸敡㐷㌴ㅤ愵㉣㌴㥤戱㝣晤㉤昴摥ㅣ㘶敦㙡戴㌵戹つ㐴㑣ㅤ摤愶昰昷ぢ㐸愳㡦㤵愴㈸㐷㕡㔸㡥㝦㡣づ㙣挰攳㡣搱㙡㑢挰〷㝢㤰昶愶收愶㠴戴㌷㜴㐴昱㕢㜷〳晤㘱㐹㐸ㅢ㠲戲㠳戴㐱〸ぢ㘹㝦㐵ち㠷戴敤㐸〳摤㥡㉣ㅡ攸㘵攵ㅢづㅤ㈷戳戱㠳挲㔱昵㑡〱て昵㠴搳㑤捡㠲搳搳捡ㄷ㠴づ㕤㜶㜷愲㕦搲㘸慢ㄳ㠶㠸收ㅤ㙦愷ㄳ㙥愷〳搲〹敢ㄱ挰摦㉦攰㤳慥㔵㤲愲ㅣ㥦㡦㝦㌹㘴扦搳ㅥ晢㈰捦㈷扤慣〶㝢昰昹㥣愶慤㠴捦㘷㜵㐴挹㑢㝢攳戰㈴搳㔴㠲戵㠲㐹昹㠸㠷ㄵ敤ㄷ捣㑥昴愹挲㜰挳晤㐱㘰㌱㍢搱㌱㑡㘶愷ㅤ㄰㌶㜶愴ㄸ㐵戱ㄳ挵㘸㡡㐶〸捣㑥㡤〰㑡㈳㍤㡣㘲㌸㡤㌴ㄶ㤱㙡㍣愲〶㍢㌵挹捦㑥昷㤵慢挹扤㍡愲攴つ扢昴㘱㤲㥡散㐲扢㜶㑤㈶摢摡㠲㥡㑣㠱㔶㙡㌲㤹〵挴㕤㉥㠴愵㈶扢㈲㙣㑣愱搸㡤㘲㉡挵㌴㡡改㄰愸〹摤㡣愴㈶㌷扢㙢㌲〳㤱㙡て㐴つ昶愸挹㜵攵㙡㜲慤㡥㈸㝥ㅤ㙥㠰摥㐰搲挷昷㘶愶㜵㡡㉥㍤㤲改搵敥㑣昷㘵愶㜴扦戱㍡敤晥㌸昳敤〷㥤㜴摡㔰㐴㕤づ戰㍤㌳晡㡤〳㠸㍥搰㐱搳搵挷㜷㈰㜴搶㠸〰㝣戹㠶㕢㌳㐳ㅡ㔱㜵昴捡挱摦㉦攸挹㜴攱㤱ㄴ攵㝡㌲慣攱搸㐷㑦愷晥㐶㐵㙦㥥挱㔰ㄵ㑦愷ㄷ㙡㜲㑡㝡昲〵㍡愲昸愵戹㠱㔶㔸ㄲ搶收愲散㘰㡤晥㍡挲摡㜹㐸攱㜴扡㜹攴㘱㈱愲㉣搶攸挴攳㙢㠶慥㥡㐳㍤愹捥搲㉣㔸㈳扤㤵㘰扡搸㔸㘰扡昱昸ㄶ㐰〷㡡㌱㡤㈴搵㘹ㅡ㙤㜱搶㑥昴㘲㘰㥣㜹㠱扥㍡㜶ㄳ搴搱ㄵ〷㝦扦㠰捤挳散ㄴ㕤戳ㄹ㙦摣㐳㡥扦㡣㔶㐷㈰挵㘰て㌶㑦搴愴㤵戰㜹㠲㡥㈸㝥攵㙥攰㘸㔸ㄲ㌶㤷愰㔶㘰㤳㥥㍢挲收㜱㐸攱戰㜹㌰慢㑣晦ㄹ㡢㈰扡昳昸づ㠵づ㙣敥㍢㈸慡㡥㉡攰攷㡦〴㥦散㠰㑦㈴㜸㤹〵摥つ攰挳㌵搸愲晥㐸㠲改慣攳㤰㜹慡づ挸㈴㑢㥦ㅣ晣晤〲㌲改挰㈳㈹扡㈶㜳㔰㝥愵㍦て昰挱ㅥ㘴ㅥ慣㌹㉢㈱㜳愹㡥㈸㝥㕦㙦㠰摥㍦㐲收昱愸ㄵ挸愴ぢ㡦㤰戹ㄸ㈹ㅣ㌲㑦㘴㤵㔷㈲捡㈲㤳㝥㍤扥㤳愱攳㄰挵戵㙣㔴㜵㘸㠶㌸㜳昹㡤㔳〹愷户㡤〵㕦㐱昸改ㅡ㡥㡢搲愸㙡搳㜰㡢搰㌳〹扦挲㠱㕦㐶昸搹ㅡ㡥㡢搲愸㥡慦攱㔶㘷㍥ㄷ㔱㜵㌷㄰昴㑢㔸〶ㄶ〷慥㌶改戰㈳㈹扢㘴摢敢㙡㤳㍥㍣㠳㘱愴㜸㐲挸愱㜸㥥摢㔵㔳㐷㤴扣ㅦ昸㑥㔸㤲〵攱㘲㔶ㅤ㈶攵㜳户慤㉤㔸㄰攸戱㈳ぢ挲愵挰㘲㐱㜸㄰㘱㔹㄰㤶㈳㙣慣愰戸㡣㘲㈵挵攵ㄴ㔷㐰㘰㐱愰㈷㡥㌴攵ㅦ㔰っ愷㈹慦㐲愴㝡っ㔱㠳㥤㥡攴㤷戶㍤换搵㘴てㅤ㔱晣㌲摦〰ㅤ㘶愴晦摣挰㑣敢ㄴㅤ㕣㈴搳㤹敥㑣㙦㘲愶㜴㌳戱㍡挴㜳㌸昳摤〲㥤㙣扣搱挰搳〰戶㐷㤳摦戸㡤㘸㝡慤㔸㘸㍡扥昸敥戰搰㤳搸ㅤ㜶搵㘸慢昷摣㐵昴㡢挰搸〶ㄴ扤㕢ㄸ㤰攱㐸攷ㄵ晣晤㠲攱㐸㑦ㄷ㐹㔱慥㠳㔸扦㘲昱摡攸㍥昶ㅥ㤲㙥㉣㠳ㅤ㍡昳㙦攴㥢愰㔹㉢ㄹ㡥㍢敢㠸攲㜷〱〷攸昸㈲㜴㍥㠰㕡㠱㑥㝡慦〸㥤攳㤰挲㘹挳㠷㔸㘵扡㡦㔸〴扤㠷㌳摦㈳搰㜱㌸攲扥㐲㔴㡤㉥㘰攸㌱挲搷㌸昰昷〹㝦㐲挳愷㄰扥㠳㠶㕢愳昷㈹挲改㤲㘲㔹㕦㑤昸㌳ㅡ㡥摢㄰㔱ㄵ搷㜰㙢㌸㍥㠷愸㍡扡㥤晣扡攱昸㤹㥤戲ㅣ摢攰戵愲㘲散敤㡤昲晦㌵㜷改㥢㍦昷㌵㉡扡慦っ㠶戶㜸㌸㠶㔰㍣捦攱搸愰㈳㡡摦㍤ㅣ愰挳㡢戰晥㌲敡〲搶改戵㈲慣㡦㐰ち㠷昵㔵攴㠵扥㈳ㄶ㉦㜴㘵昱扤慡㜹挱捥㍤愸㠶ㄵ昰昲ㅡ攱㍦㍡㜰扡戳昸㕥㠷捥摡戹〷搵戶ㅡ㙤昵攲㌷ㄱ㔳㐷挷ㄳ挰㝥㐱㕦慤戲㔳㤴㘳捦扡摥㜹㝣戴㜴㔵㕥敦搴㈰挵㘰て搶〶㙡㜲㑡晡敡〰ㅤ㔱晣㠶攲〰㕤㕣㠴戵昷㔰㜶戰㐶㍦ㄵ㘱㙤㉢愴㜰㔸㕢㑤ㅡ攸昸㘱戱ㄶ挰㤹㙦つ㜴搶搲ㄱ㠹愸捤㌵て㔶攷㕢㑢昸㠶づ㥣づ㉣扥㡦㌴ㅣ㕤㍢愲晡㙡戸㐵摢㈷㠴搳愳挴戲摥㥢昰㑦㌵ㅣ㝤㌵愲晡㘸戸搵㔷㍦㐳㔴ㅤㅤ㑣昰户晥㉣〳㡢〳㑢㐷㍦㍢㘵㌹戶〵攸㜵换㡣㡥㉡㕥慣昷㐲昱㍣晢㙡慤㡥㈸㜹㈳昲㌶戰㈴㑢挷ㄷ慣㍡㌲㤴捦㄰㕢㕢戰㜴㙣〷慤㉣ㅤ㕦〱㡢愵㠳扥㈵戲㜴㝣㡤戰昱つ挵户ㄴ摦㔱㝣㑦昱〳〴㤶づ扡㥢㐸㔳㜶㐳㌱㥣愶晣〹㤱㡡㍥ㅥ昹㥡攴㤷㡥㥦扥㉥㔳㤳ㅦ㜵㐴昱敢㡢〳昴ち㤱晥㔳㠵㌲愱晦㡣戴㌳晤ㅥ㈹㥣㑣㝤㠸㔴㍢㈱捡㙡㘱晡㝢昸㙡愰戳收扡㜰㔲㝤つ戴㍤摢晢つ㍦攱㜴慤戰攰㍢ㄲ摥㔳挳戱㔳挱㍤ㅥつ户扡㕢㉦挲ㅢㅤ㌸晤㍥㝣〱つ挷搶〳㌷㜹㌴摣敡㍦扤ㄱ㔵户ぢ㐱㈰㥥ㅦ搷㔱晥㔶㡥〵㐲晦愱㈳㠷愴晣挵晤㠷扥ㅤ㜹搶昳㉢捣㈷㈸㥥㘷晦昹㔸㐷㤴扣㉥㤹敥ㅦ搲㝦㌶㘱搵㔱㌴昹㠸㕦〷〲㠵㔷搵昴攴㤰晥戳ㄹ戰攸㍦㜴挷挰ㄹ㝥戳つ搲搸㠲㘲㑢㡡㝥ㄴ㕢㔱昴㠷㐰晦搹ㄷ㐰改㍦敦愲ㄸ㑥㔳づ㐴愴㍡〰㔱昹㥡攴晢捦㥢攵㙡昲㠶㡥㈸㜹户㌱㍤㈷愴㈶㐳㘸搷慥㐹搶搶ㄶ㡣〴㍥㘶㤲㥡㙣挷〲㜶ぢ捣㐳ㄸ㘷ㄵ挶㌰㐸㘳㌸挵昶ㄴ昵ㄴ㈳㈸㠲㄰愸〹㥤ㅢ愴㈶㉦戹㙢ㄲ㐲愴愲㐷㠱㔷㑤㥥㉢㔷㤳㘷㜵㐴昱㡢㠸〳敤戰㈴㈳㈱挱㑣敢ㄴㅤ〹㈴搳愷摤㤹㡥㘴愶〷㈳捡敡摡昴㉥昰敤〸ㅤ㐷挲慥㠳㜰㥤晣㌸搰ㅣ〹㔶㕦摤㠹㜰㍥昳户攰昴㌰昰㌵㙡昸㘴挲ㅦ搶㜰㙢㈶ㅤ㑢昸愱づ㥣㕥〶扥昱ㅡ㍥㠵昰晢㌵摣ㅡ㌸ㄳ㄰㔵㜷㌴㐱㘰㤱ㅦ搷戱ㅥ㈳㠱㙥〳㤲昲ㄷ㡦〴㝡ㄲ攴㔹捦㡦㠴扢㔰㍣捦㤱㜰愷㡥㈸㝥晢㜱㠰扥〷挲晡ㄴ搴〵慣㥦㡥戰戰㝥㍢㔲㌸㥤㜶㉡㜹攱ㄳ㜹㡢㐶㝡ㄵ昸愶㍢扣㠴㈳敡收〲㕥㘶㄰捥㘷晤ㄶ晣㑣挲㘷㘹㌸㈶㤴㠸扡㕥挳慤㐶摡㤳㜰㝡〵㔸㜰㝡ㄷ昸昶搶㜰㕣㈹㐵搴搵ㅡ㙥㌵搲扥㠸慡扢㤴㈰搰捤㡦敢㔸て搶改㉥㈰㈹㝦㌱敢昴㈰昰㘲㝤㈵㡡攷挹晡㘵㍡愲昸㤵换㠱慢㘰㐹㔸㍦㄰㜵〱敢搷㈱㉣慣㉦㐷ち㠷昵㌴㜹攱昳㝣㡢ㄷ㍡づ昸戲搰㔹㜷㤰㠲敡愲〲㕡㜲㐴昳戹扥㠵愶敦㠰㙦㉥㜴ㅣㄹ㘳〷㠵㠲敡㍣つ户㐸㥦㐷㌸㍤〳散挱愲㙥搱〱戲㕣㐷〷㠰㙡㥣攰㍦昷㔱㥥摦㍡㝡ぢ㐸㡡㜲扣㕡慦㘹扡㌷扦ぢ愳攳㠰ㄷ㥦㘷㙡摡㑡㜶㘱㘷攸㠸㤲㔷㌶㍦〰㑢敢㝡㘵㌳㝦㈵挸散㤰㤷攷昱㜵㕥搵㌹㍥㕥敦㤱戳搴昴づ㤰搷愶㌵换㡦〲昵挴摢㔵摢攷㥢敤㔳昰㈲㘱扣㔳㜵㘶㔳㡢晥㙤ㄹ扣㘰㤸慦㤲戱摦摦㘹㐸㠸㠹㝤戹㘹敤㜸愱㘷昷摣愴づ扣ㄸ㉣㕢搳㌲㍤搵搹㘹戶户晥ㅥ㝥昹〲㍦搳㔴挵㐶㠵ㅦ㠵扣挴搹昳ㄷ㤲㥥㐱戴攷㠳㜸㘱慣㍥捦㠷晤㜲愸㑡扥㤴昵搷晤敥㠵㙦〱㍡㥦晢㔵挳㔹搷慢㠶慢搴㘹㘸㘶换ㄵ㝣㔹挵捦㔲㙥㜸捥ㄸ敤㐸攳敢㠰攸㌶愶愳㐵㤶㍡〸扦搱〹㡤晣㠴㥦㠸㡡敡㠷搰ㄵ㡡㉢挸摦慤㥡㐰〶慡ㄷ㌷㘵㍢攷晡收㥡㑤㜳收㜶攲昷愹㝡㍣㘳㤹ㄷ㔹㐵㌷㠲慥㝣ㄸ㌸㜰扡户捣㑥戵户愷㤶搶戴捣㙥㌶㕢攷㜴捥慤㤹扤〸㉥ㅢ㜸㐵㌲昶㠵㌵㌵㌵挶㈲㤴㠷㔹昱愳㥥㠲㐵㕡㌵ㄶ扢戵捦搹摡㈵㙥敤换搰戲ㅦㅢ㈴愷㑡ㅤ敢㐹挲㈱㠸㌳㐸㐲㥥㠰挳愸攲㡦㘷㕡〴愸㔵戰㐱ㄲ散㐳昱〱扣ㄴ攲㜰㈰㥤愲扤㘹㙢㤷戹戵敦搸摡㈳摣㕡㍥㤸㜶ㄵ敤㌰捦愲ㅤ捤㜲ㄴㄶ敤㔸慡㕣㐵㕢ぢ㍢〵㐵晢挴捥敥㜸㜷㜶㝣ㄸ㉤〵㍥挱慤晤㡦慤㍤搱愵つ昰改慤散㘹㑥㠲戶戶㥢晡づ㘱ㄶ搵㜷㌲挲㜵㜰㝤㌱㌳㜸㈵㔸晦㐵昴㠶改愸㔴ㅤ㜶搱晦ㄱ摡㌴摦戵㑥〵搶㜷ㅡ㐴㌷扣ㅣ㡥扦㉢㑥㝡晤挶改搰戸㡢捦㠷扣㌲㑢户挲ち㘷㘹㤹㐹搵て戶扡㐵慢㌷㐰㝡扦攲㠳㘰㐱㌷㙢昵挶愲晥挹㔶捦搷敡扥愲收挳㘲㐱捦搳敡㈱愲慥㐰慦ㄲ㜵㤳㔶昳㈷㤲昰扥㔱愸㐹攴戵愳㍦㙥晣㘳攳㠹㘳㔴つㄴ㔲敤昳㔱㘶晢㘷昲ち㐷搵ㅣ㔸㈸ㅤ㔵ㄷ〲敦扢〸愲㜰㔴㕤っ㡤扢敡㝥㥤㈱㜲㤷㐳昵㠲㐲摡攸㔲㈰㥤㑥搵摢搶㉥㜷㙢㌷戱ぢ户〲㕡敦挲捤昶㉣摣㑡㤶㠲㠵换昷昶㉢愸㜲㜵愹捤㡡ぢ搶捦㉥挲㔵㐰㍡〵ㅢ㘸㙢慦㜶㙢㠷搸〵扢〶㕡敦㠲敤攵㔹戰敢㠰昷㕤て㔱挸摡つ搰戸ぢ户㕤㜱攱敡敤㘲摣〴愴㔳戸㤰慤扤搹愵つ㈴愰㤵㥥㝤ぢ戴攸搹㈳ㄱ㤶㐱挸㥥㕤愹愶摡〵㉢攸挹户㈳捥㘰㑦捥昷攲㍢愹㜲㌱挶㠷㠱搲愵㈶挱㐲扥ㄷ敦㘸慢㜷搱㙡慢ㄷ昳㠱愱愰㈷㙡戵搵㡢㜷戲搵ㄳ戴摡敡挵㝣愸㈸攸㥤戵㝡〸摡捥慦ㅡ㙤昵㜸慤戶㝡昱㔸愸摤扤㌸戰ぢㄴ㔲攵〷㔱㘶㔴㜹㌲挲慥㉡㡦㐱㙡改挱〵㔵㝥㠴昵㉢慣昲㘳㐵㔵收㔳㐳㈹搶㡥㍡㝦㙢攰㑥戱搵㍢㘸戵㔵㘵㍥㔹ㄴ昴㐸慤戶慡㍣搵㔶㈷戵摡慡㌲㥦㍥ち㍡愱搵㔶㤵愷摢敡戸㔶㕢㔵㥥〱戵扢捡㙡㙦㈸愴㡡散㠲㔵㉡ち㜴改㈰㝤㥥昵㘱㜷换㡦㠳ㄷ愹㜲戵敡扥摡戰㡣㑥〲て㠰㐲〶攸换㐰㍡㕤㉤㙤㙢晦散搶捥搵㠵昰慤㠲搶㝢ㅣ㙣敦㔹戰㔷㠱昷晤〵愲㜰ㅣ扣〶㡤扢㜰昳㡡ぢ挷挵㔲ち昷㍡㤰㑥攱摡㙤敤ㅢ㙥敤ㄲ扢㜰㙦㐲敢㕤戸挱㥥㠵㝢ㅢ㜸摦摦㈰ちぢ昷づ㌴敥挲ㅤ㕣㕣戸㍦摡挵㜸て㐸愷㜰㐷摡摡昷摤摡攳㜵攱昴愲扤愵㘷㐱搶㌰挷挲㤵㜱㙤㔱㈱㑥㉣㉥挴愹㜶㜶ㅦ戹戳㍢搳搶㝥散搶昲㔹㤰戰昹㠹㑢ㅢ攰㔳ㄵㄹ㑣晦㠰ㄶ㠳改㔲㠴㕤㠳愹㡦㕤搴㠲挱昴ㄹ戰㐵㠳改㜳慡㕣㍤㡤㑦㕣愴挳昷㠲㠵晣晣戱挲㔶搷㙡戵㌵㤸昸㔴㐶搰㍤戵摡ㅡ㑣㉢㙤㜵て慤戶〶ㄳ㥦摣〸摡慦搵㐳㘴晥攰戳ㅣ㔱ㅢ㕡㙤つ㈶㍥挵㈹ㄸ㑣㝣晣挲㉡晡扥㐱㤹扤扢㑡㜷㔸㈸ㅤ㘰摦〱敦晢ㅥ愲戰慢晣〰㡤扢敡㌷改っ㥤㐱㜶ㅢㄴ挲晣㑦㐰㍡㕤㠵て㘳㐴晢戳㕢换㠷ㄹ挲晦〲㘸慢搴捦㕦㜹ㄵ愴搲㈸改㉡㔵㔴戹昸㝦愸戸㄰㡦搹搹昹㠰㜴ち挱〷ㄸ㔲㠸敥㙥敤㜳戶戶挶慤攵ㅤ㝦搷㈴昴㤵㘷搱㝡戰ㅣ㠵㤳㔰㉤㔵慥愲慤㠲ㅤ㌶㠸㝤㈸摥晥㤷㐲搴戹戳㝢搳搶〶摣㕡摥㐰㜷昱昳㤹㘷㈱晡㌰挷挲愱戴㔱㔱㈱㔶ㄷㄷ㠲㜷搳愵㄰㝤摤搹㝤㘲㙢㌷㜱㙢㍦戳戵㥢扡戴〱摥㘵㤶愱戴ㄹ戴ㄸ㑡扣㤳㉣㐵戵㤶攲㌵㜶㔱ぢ㠶搲㤶挰ㄶつ愵慤愸㜲昱挵㍢搰搲慦摦㠵㠵晣㔰晡挶㔶扦愳搵搶㔰攲㕤㙡㐱晦㑤慢慤愱昴㥤慤㝥㕢慢慤愱挴㍢搹㠲㝥㑢慢㠷愰㔵晣㡡昷戶㐵晤愶㔶てㄵ昵㑦㔰ㄷっ愵㉡㜴㔲㔷㙢扣づ㜴改戰ㄹ捡晡ㄴ戶挶戰愲㉡晡㘰愷愰㑢昸愱㤰搶搸ㅥ㐸愷户昶戲戵昵㙥㙤㙦㕢㍢挲愵つ㙣〲慤戴㐶㄰㕡戴挶㘶〸扢㕡攳㐵扢愸〵慤ㄱ〶戶愸㌵愲㔴戹㕡㘳㜳搸ㄱ㙡㥥搵搴㔸扢㠴㉤㙣昵㌳㕡㙤戵〶敦昹ち晡㘹慤戶㕡愳㥦慤㝥㑡慢慤搶攰㝤㘱㐱㍦愹搵㐳㠴昶晥戶晡〹慤ㅥ㉡敡㠱㔰扢㕢㈳㌰〴ち愹昲㈸慢捡摢㈱散慡昲愳㐸㕤扡㌱㙡㉣慤昲搸愲㉡て戳昳㝦㐰攷㙦㔵㜹戸慤扥㕦慢慤㉡昳收戰㔴攲㍥慤戶慡㕣㙦慢敦搵㙡慢捡㈳㙣昵㍤㕡㍤㐴敡ㄶ戴搵㜷㙢戵㔵攵㄰搴敥㉡慢〴ㄴ慥づ㜸㈷搰愵ㅤ㜰ち敢㔳搸〱愷ㄶ㔵㜱愴㌶㡣捣攵㔰㍢㐱㈱ㅤ㜰㍡㤰㑥〷ㅣ㙢㙢㜷㜷㙢㈷搸摡ㄹ㙥敤ㄴ㘸㕤㐵扢挱戳㘸㝢戰ㅣ㠵㐵摢㡢㉡㔷㠷㥢ち㍢〵㘳㘳㠶㥤摤㍥敥散㜸㝢㔴ち扣慦㕢扢慦慤晤㠳㕢㝢㈰戴㉣㥡㙦㍦㘸扤㔷挰换㍤㡢㝢〰昰扥搹㄰㠵㉢攰㠱搰戸㡢㥣㠶晤㠲㈲攷散㘲愴㠱㜴搸㥣㘷㙢㌳㉥㙤㜵㍢戴敢㝤㡢㠹捦㌲㝥攵慦㡥㘶㤱愹攲㝤㈱㜹㌰㘲扡㡡㔰挷扢㌳搴搶戰愳搷昱慥㑣㍥戴挴ㅤ㔲㠷㈰挴〲ㅢ㌹㕡攳㑤ㄶ戱㌶挷㙤㡤㌷㔴昲改㤷ㄵ㠴㜸〳挵㠹㔳扣㌹㈲搶收搲摡戱㍡捥㘸㜲㕢㍢摥㥤愲㡥昷㍥㥣昴㜵㈷扡㐳敡㈴㠴㘴㈰㥥慢挷㄰扦㕥㘲捣愷改㔳ㄱ㈵ㄹ㌵㌳㜴扡㑥㘶戴㈰㠴㜳昹愸ぢ㙤㑣㉢㌱扣搴㤷慡戵㈱㘴户㘰摤愵㕡㙢ㄱ挵换㜹愷㌰㙡愵㥤㝥〱搳昳㡡㕣搲ㅦ攴㑥㝦㤵㍢㐵ㅤ慦扡昳改慦戳搳户㌳晤つ㜶晡づ㜷晡㥢摣㈹敡㜸㘱㥣㑦㝦ぢ㐲㔲晤㤳摤搵㕦㐸㘳户㈳㑡慡扦㠸㈱㕥晡㑡搱ㄶ㈳㠴㜳慢晡扣戸㤴攴挷扢㤳㉦㘵㠲㐷散攴〷㌳昴㤸㥤晣㄰㜷昲攷㙤捣愱挴扣㘸㘳づ㐳挸㘱敦㘵慤戵搸攳戵㔶扥昴扣㘶㤲㈲晥㤱改㜹愹㈴㐵㍣摣㥤晥㜵㜷㡡㍡㕥づ攵搳昳戲㐶搲㉦㘳晡㜷散昴㐷戸搳扦攷㑥㔱挷㉢㤶㝣㝡㕥㡤㐸晡㈳㤹㝥慤㥤晥㈸㜷㝡㕥㜴㌸㈹敡㜸戱㤱て㝤攲づ㈹㕥㕣〸㤹㠷扡挹㍣㠶愶㍦㐳㤴㘴㜴㉣㐳㥦敢㘴挶㜱〸攱摣㙡㡢敦㙣捣昱挴㜰扦捤㡣㡣ㄳ㄰㜲挸晣㐹㙢㉤㌲戹愷㜶ち愳戸㕦㤶㍣㑥㘴㝡㙥㤵㈵晤㐹敥昴摣ㄶ㍢㈹敡戸ㅤ捥㠷戸つ㜶㐲㡡㕢㕣戱㜶㌲搵摣摤㡡戵㔳㜰攲㤴㠶㍢㔹㈷㐵ㅤ㜷戰㑥㐸㜱㜷㉡改㑦愵㥡ㅢ㔳㐹㝦ㅡ㑥㥣昴摣㠴㍡㈹敡戸昹捣㠷戸改㜴㐲㡡㥢㑤愱㜶㠱㥢摡㌳㠸攱摥㔲㌲㍡㤳㈱㙥㉢㈵愳戳㜰〲㝡㉣㙡戹㌹ㄳ捣搹㡣收扥㑣㌰攷攰挴㈹っ昷㘰㑥㠶㜵摣㝢攵㐳摣㜳㌹㈱挵扤㤶ㄴ㘶㥥扢㌰攷ㄱ挳慤㤵㘴㜴㍥㐳㔱ち戶攱〵㌸㜱ち挳㝤㡢㈴捦戹㤳㕦㐴㉣户㈹㤲晣㘲㠶戸㐳㤱攴㤷攰挴㐹捥㜵㕥㌰㤷㌲㥡㑢扣㘰㤶攳挴愹ぢ㤷㜳愷扣㜵㕣挶昳㈱㉥摦㑥㐸敤㠱㤰㔸㕢㐱㌵㔷㘵戱㜶ㄹ㑥ㅣ㙢㕣㠱㥤ㄴ㜵㕣㜹昳㈱慥戸㑥㐸㜱攵ㄴ㙢㉢愹收㠲㈹搶㉥挷㠹㘳㉤慤戵㔶ㄷ收愲㤸㑦㉦慢ㄵ〹扢〲㙡晢〸㜰搵㤲㈷㠴㔷攲挴戸ち愲戶㤷㤲愵愸〴捡㈵㐹愰搷㄰㝡慤〵㤵㜵愶〴捡昵㐶愰搷ㄳ㝡㠳㐰敢收攳扦扤〰慤㕣愲㌲〷㘶て㍣昰㥢扡慡晥㥢㔵敤摤搸昳㠲昷㥥㕢㝤收慢晢㡤晡昰㠷㡢㉦㝥㜵捤㤹捦晦昰㐰㝡搴搳㉢㔷㍥㌱㜹昹昳慢㝢攷㔶㔴摥昵捤㤴ㄵ㠷㌶捣㍦昴愰摣ㅥ摢㑤㍣㜴㥦㜹扢㌷㑣摦㘰㔸户㙥摤扢㙦摢攷㤹㑤㠶〴㤶ㅤ㜴㡦㝡昴㡤扥慤㑡㤶㈲㤶攵㐶攴挴㘳㈴㍥㠱ㄶ〴搸挰挶㑤㌸㌱㙥愶戸㠵攲㔶㡡摢㈸㙥愷戸㠳攲㑥〸搵㑡挱〴㜷攱挴㍥〲㙤〸㐸㤵敥挶㠹㜱て〴㠸㕡㠰晦㑡愱㕣愰〴㝡ㅦ愱昷㕢㔰㔹㠳㘸戵㠰晥づㅢ晡㈰愱て〹戴㙥㈱晥晢㑤㠹㤲㐵㡢㘵㜹ㄸ㌹昱搸づ㥦挰㘲〴㠴愸㐷㜰㘲㍣㑡昱ㄸ挵攳ㄴ㑦㔰㍣㐹昱ㄴ挵搳㄰㜵㕣捡㝥搳㜲ㅥ㡣っ㠴摥㘷㜰挲㈳㠱㑦挰㕥㈵㡤㘷愱㌵㥥愳昸ㄳ挵昳ㄴ㉦㔰扣㐸昱ㄲ挵换㄰㑡ㄶ㔰愴㉣愴晥㌰㐴㐹㉢慤㈲昰ㄵ〸㌴愸慣㤵㠴扥㡡戰㝤〴戸㘶ち昴㉦㠴扥㘶㐱㤷攱㍦㈹摣㕦㜱㘲ㅦ〱㉥㡦〲㝤ㅤ㈷挶ㅢ㄰戰㝡㈴晥ㄳ㘸㐱摢㜳㈵ㄴ攸㕢㠴扥㉤搰㍡慥㘸扦㈹愷挷㈲〳㈹换摦㜰挲㈳㠸㑦挰㕥㉣㡤㜷愰㌵摥愵㜸㡦攲㝤㡡搵ㄴ㝦愷㔸㐳昱〱㠴㍡㥥〲㈹㡤戵㌸戱㡦挰〹〸㐸㤵㍥挴㠹昱ㄱ〴㙡㉦㑢㈶愱〵戵㍦挹㠶㝥㐲攸㍦㉣攸挹昸慦㤴愸㔳㙣攸㍦〹晤捣㠲㥥敡〹㍤捤㠶㝥㑥攸扦〵㕡㜷〶晥晢㑤㌹㍤ㄳㄹ㐸戱晦㠳ㄳㅥ㌱㝣〲㘷㈱㈰攳改㝦㜰㘲㝣㐱昱㈵挵㔷ㄴ㕦㔳㝣㐳昱㉤挵㜷㄰㑡ㄶ㔰愴㉣㈴敡ㅣ㐴〹愷㍦㄰昸㈳㐴㙤慦扡昳昰摦㙦㕡㈵㔹㘳㔹㤶㥦㤰ㄳ㡦㐱昸〴㉥㐰㐰慡昴㌳㑥っ晥扡㡣愱㈸㉡㈹扡㔱㔴㔱㔴㔳昸㈰敡㉥晡慤换㈹㡢㌹㡡㘶㜴㐷㜶㍣㘴捥扦挴㉥㘷つ㑢㘲㔰攰㘷㝦昰㑥㔹㡡㥥ㄴ戵ㄴ扤㈸敡㈰搴愵㐸㔰摡昱㤶㐳㉢搴㙦㐰㘰㙦〸㜴攷ㄵ㥥㔰㉥敡〲摤㤰搰㡤㉣攸㑡ㅢ㕡戰㤲㕣㙥㐳晢ㄲ扡㠹㐰〳昶搸㔰㕣㠷㘵〷昳攱㤷搶扤㍡戱扡ㄹ㔰敡㉡㍢敡〳ㅤ㌵ㄶ昵慤挱ぢ㈸慦戱㈳搶㤴愴攱㌲㉤收晥㕥㤴收㝡㍢㘲㜵㐹ㅡ慥搷㤲收晤挲㌴㠱ㅢㄱ挱摢㐳戵㔵敡㈶ㅢ昳㥥㍢昹〰ㄶ㤳㑢慣㈴㝦㐷㐷㔹㌷㝢戸攸㡡晡㙦㕡㙤摤散攱㌲㉣敡户戵摡扡搹㜳㥢慤㝥㑢慢晢㈲㕦扦扡摤㔶扦愹搵㐳㐴捤挵㕢㡣扣愱搵㐳㐵㝤愷慤㝥㕤慢㌵㘱〱扢㍤搴摤㌶攲慦ㅡ㈱㙣㙦挷㙡㜰㠹ㄷ㥢㝦㈹㑣慣戸慡㑢挴慢㈵㘹戸搶㑢搴㉢㐵㘹ㅥ戴㈳㔶戹搳㡣㘰㍥て搹㔱㉦ㄷ愶〹㍣㡣〸捤昶㈳㌶收㈵㜷㜲㘱㥢敢戴㘴昹㠲㡥戲搸收捡㉤敡攷戵摡㘲㥢㙢戹愸晦愴搵ㄶ摢㑦搸敡攷戴摡㘲㥢敢扤愰㥦搵㙡㡢㙤敥〰㐴晤㡣㔶てㄵ戶戹㈷㄰昵搳㕡㙤戳捤搵㕢㔷㠴㑢戶㘰㥥搲ㄸ攱㕢㉡挲㠵㕣愲㥥搴㔱㔶㐵戸戴㡢晡〹慤戶㉡挲挵㕥搴㡦㙢戵㔵ㄱ㉥晦愲㝥㑣慢慤㡡㜰㐳㈰敡㐷戵摡慡〸户〸愲㝥㐴慢㠷㑡㐵戸㘹㄰昵挳㕡㙤㡦㌳敥ㄴ㈴攲㈱ㅤ㈱愵㤷㔶攴晥㐱愲ㅥ㈸㑣ㄳ攰㐶㠲戰摡㠰攲敥㐱㌰昷扢㤳㑦㘰㈷攰㥥㐲愲敥㉤㑡捥捤㠵㑥捥ㅤ㠵㘰敥㜱㈷㥦挴攴摣㘷㐸搴㕤㠵挹ㄵ户ㄶㄲ㜱愷㍢㡤捣㈶摣㜰㐸搴敤㠵㘹〲摣ㄸ攸收攲㙥㐰㌰户戹㤳㑢㜳㜱㡦㈰㔱户攸㈸慢戹戸㙢㄰昵捤㕡㙤㌵ㄷ昷ㄱ愲扥㐹慢慤收攲捥㐲搴㌷㙡戵搵㕣摣㙢㠸晡〶慤戶㥡㡢扢て㔱㕦慦搵㐳愵戹戸ㅦㄱ昵㜵㕡㙤昷㍢㝢㙢愲戸ㅢㄱ挴戵ㅡ㈱敤戶㌷㤹攳ㅥ㐵愲慥㉥㑣慣戸㉤㤱㠸慢摣㘹㠴㌹㙥㔶㈴敡㡡愲㌴摣㥦㐸挴攵敥㌴搲㍦戸㙢㤱愸换㡡搲㜰愳㈲ㄱ㉢摣㘹㈴ㅦ㙥㕦㈴敡搲挲㌴〱㙥㌳㜴ぢ㜱㙦㈱㤸㑢摣挹愵㠵戸攳㤰愸㡢㜴㤴搵㐲摣㠳㠸晡㐲慤戶㕡㠸扢ㄲ㔱㕦愰搵㔶ぢ㜱㥦㈲敡昳戵摡㙡㈱敥㕣㐴㝤㥥㔶㕢㉤挴扤㡣愸捦搵敡愱搲㐲摣摤㠸晡ㅣ慤戶〷ㄴ户㌴ㄲ㜱戶㡥㤰㠶㤱捡㜳愳㈳㔱㘷ㄶ愶〹㜰㐳愲㉢捦㕤㠸㘰捥㜰㈷㤷捡㜳㙦㈲㔱愷改㈸慢昲捡㔶㥦慡搵㔶攵戹㝦ㄱ昴㈹㕡㙤㔵㥥㍢ㅡ㔱㥦慣搵㔶攵戹挷ㄱ昵㐹㕡㙤㔵㥥扢ㅥ㔱㥦愸搵㐳愵昲摣〷㠹晡〴慤戶扢㈷㜷㉣扡㈲摣愶〸收㜸㡤ㄱㅥ愴㈲摣扣㐸搴㜱㍡捡慡〸户㌳愲㍥㔶慢慤㡡㜰㠳㈳敡㘳戴摡慡〸户㍣愲㍥㕡慢慤㡡㜰ㄳ㈴敡愳戴摡慡〸户㐵愲㍥㔲慢慤㡡㜰愳㈴敡㈳戴摡㙥㐵敥㡥㈴㘲㤹㡥挸户㈲昷㑣ㄲ昵挷愲㌴摣㈶㐹挴㘱㈵㘹戸㜹㤲愸㐳㡢搲㜰扦㈴ㄱ㠷戸搳ㅣぢ慤攲㉥㑡愲㤶ㄶ愵㘱㕦攲㕤ㄳ扦㈲㥢㜲晦攴㜸㈶攰ㄲ㙦改㌹㍣慤㌳捥挴搶ㄹ㈷㔵敢㡣㤳㠴㜵挶㝣慣㌳㌱㠰戶㌵㑥㠰㡡〷㕢㌱挰〰㉢㕥ㅢ攸昱晦〰晡挲㡢㘸</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</si>
</sst>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indexed="11"/>
        <bgColor indexed="64"/>
      </patternFill>
    </fill>
    <fill>
      <patternFill patternType="solid">
        <fgColor rgb="FF00FFFF"/>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6">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4" borderId="5" xfId="0" applyFill="1" applyBorder="1"/>
    <xf numFmtId="0" fontId="0" fillId="0" borderId="20" xfId="0" applyBorder="1"/>
    <xf numFmtId="0" fontId="0" fillId="4" borderId="9" xfId="0" applyFill="1" applyBorder="1"/>
    <xf numFmtId="0" fontId="0" fillId="0" borderId="9"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5" borderId="0" xfId="0" applyFill="1"/>
    <xf numFmtId="0" fontId="0" fillId="4" borderId="14" xfId="0" applyFill="1" applyBorder="1"/>
    <xf numFmtId="0" fontId="0" fillId="4" borderId="16" xfId="0" applyFill="1" applyBorder="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4" borderId="0" xfId="0" applyNumberFormat="1" applyFont="1" applyFill="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2" fillId="4" borderId="5" xfId="0" applyNumberFormat="1" applyFont="1" applyFill="1" applyBorder="1" applyAlignment="1">
      <alignment horizontal="center"/>
    </xf>
    <xf numFmtId="177" fontId="2" fillId="4" borderId="9" xfId="0" applyNumberFormat="1" applyFont="1" applyFill="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1" fillId="0" borderId="7"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3" fillId="0" borderId="3" xfId="0" applyFont="1" applyBorder="1" applyAlignment="1">
      <alignment horizontal="center"/>
    </xf>
    <xf numFmtId="0" fontId="2" fillId="0" borderId="21" xfId="0" applyFont="1" applyBorder="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29" xfId="0" applyFont="1" applyBorder="1" applyAlignment="1">
      <alignment horizontal="left"/>
    </xf>
    <xf numFmtId="0" fontId="2" fillId="0" borderId="30" xfId="0" applyFont="1" applyBorder="1" applyAlignment="1">
      <alignment horizontal="left"/>
    </xf>
    <xf numFmtId="0" fontId="2" fillId="0" borderId="0" xfId="0" applyFont="1" applyAlignment="1">
      <alignment horizontal="center"/>
    </xf>
    <xf numFmtId="0" fontId="2" fillId="0" borderId="21" xfId="0" applyFont="1" applyBorder="1" applyAlignment="1">
      <alignment horizontal="left"/>
    </xf>
    <xf numFmtId="0" fontId="2" fillId="0" borderId="3" xfId="0" applyFont="1" applyBorder="1" applyAlignment="1">
      <alignment horizontal="left"/>
    </xf>
    <xf numFmtId="0" fontId="2" fillId="0" borderId="13"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4" t="s">
        <v>0</v>
      </c>
    </row>
    <row r="2" spans="1:16" x14ac:dyDescent="0.2">
      <c r="P2">
        <f ca="1">_xll.CB.RecalcCounterFN()</f>
        <v>3</v>
      </c>
    </row>
    <row r="3" spans="1:16" x14ac:dyDescent="0.2">
      <c r="A3" t="s">
        <v>1</v>
      </c>
      <c r="B3" t="s">
        <v>2</v>
      </c>
      <c r="C3">
        <v>0</v>
      </c>
    </row>
    <row r="4" spans="1:16" x14ac:dyDescent="0.2">
      <c r="A4" t="s">
        <v>3</v>
      </c>
    </row>
    <row r="5" spans="1:16" x14ac:dyDescent="0.2">
      <c r="A5" t="s">
        <v>4</v>
      </c>
    </row>
    <row r="7" spans="1:16" x14ac:dyDescent="0.2">
      <c r="A7" s="54"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4" t="s">
        <v>13</v>
      </c>
    </row>
    <row r="26" spans="1:2" x14ac:dyDescent="0.2">
      <c r="A26" s="110" t="s">
        <v>205</v>
      </c>
      <c r="B26" s="110" t="s">
        <v>205</v>
      </c>
    </row>
    <row r="27" spans="1:2" x14ac:dyDescent="0.2">
      <c r="A27" t="s">
        <v>206</v>
      </c>
      <c r="B27" t="s">
        <v>208</v>
      </c>
    </row>
    <row r="28" spans="1:2" x14ac:dyDescent="0.2">
      <c r="A28" s="110" t="s">
        <v>207</v>
      </c>
      <c r="B28" s="110" t="s">
        <v>207</v>
      </c>
    </row>
    <row r="29" spans="1:2" x14ac:dyDescent="0.2">
      <c r="A29" s="110" t="s">
        <v>14</v>
      </c>
      <c r="B29" s="110" t="s">
        <v>210</v>
      </c>
    </row>
    <row r="30" spans="1:2" x14ac:dyDescent="0.2">
      <c r="A30" t="s">
        <v>209</v>
      </c>
      <c r="B30" t="s">
        <v>211</v>
      </c>
    </row>
    <row r="31" spans="1:2" x14ac:dyDescent="0.2">
      <c r="A31" s="110" t="s">
        <v>15</v>
      </c>
      <c r="B31" s="110" t="s">
        <v>207</v>
      </c>
    </row>
    <row r="32" spans="1:2" x14ac:dyDescent="0.2">
      <c r="B32" s="110" t="s">
        <v>212</v>
      </c>
    </row>
    <row r="33" spans="2:2" x14ac:dyDescent="0.2">
      <c r="B33" t="s">
        <v>213</v>
      </c>
    </row>
    <row r="34" spans="2:2" x14ac:dyDescent="0.2">
      <c r="B34" s="110" t="s">
        <v>207</v>
      </c>
    </row>
    <row r="35" spans="2:2" x14ac:dyDescent="0.2">
      <c r="B35" s="110" t="s">
        <v>214</v>
      </c>
    </row>
    <row r="36" spans="2:2" x14ac:dyDescent="0.2">
      <c r="B36" t="s">
        <v>215</v>
      </c>
    </row>
    <row r="37" spans="2:2" x14ac:dyDescent="0.2">
      <c r="B37" s="110" t="s">
        <v>207</v>
      </c>
    </row>
    <row r="38" spans="2:2" x14ac:dyDescent="0.2">
      <c r="B38" s="110" t="s">
        <v>216</v>
      </c>
    </row>
    <row r="39" spans="2:2" x14ac:dyDescent="0.2">
      <c r="B39" t="s">
        <v>217</v>
      </c>
    </row>
    <row r="40" spans="2:2" x14ac:dyDescent="0.2">
      <c r="B40" s="110" t="s">
        <v>207</v>
      </c>
    </row>
    <row r="41" spans="2:2" x14ac:dyDescent="0.2">
      <c r="B41" s="110" t="s">
        <v>218</v>
      </c>
    </row>
    <row r="42" spans="2:2" x14ac:dyDescent="0.2">
      <c r="B42" t="s">
        <v>219</v>
      </c>
    </row>
    <row r="43" spans="2:2" x14ac:dyDescent="0.2">
      <c r="B43" s="110" t="s">
        <v>207</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4" customWidth="1"/>
  </cols>
  <sheetData>
    <row r="1" spans="2:8" ht="13.5" customHeight="1" x14ac:dyDescent="0.2">
      <c r="D1" s="54"/>
    </row>
    <row r="2" spans="2:8" ht="12.75" customHeight="1" x14ac:dyDescent="0.2">
      <c r="B2" s="113" t="s">
        <v>17</v>
      </c>
      <c r="C2" s="1"/>
      <c r="D2" s="96" t="s">
        <v>18</v>
      </c>
      <c r="F2" s="113" t="s">
        <v>17</v>
      </c>
      <c r="G2" s="1"/>
      <c r="H2" s="97" t="s">
        <v>19</v>
      </c>
    </row>
    <row r="3" spans="2:8" ht="12.75" customHeight="1" x14ac:dyDescent="0.2">
      <c r="B3" s="114"/>
      <c r="D3" s="98"/>
      <c r="F3" s="114"/>
      <c r="H3" s="99"/>
    </row>
    <row r="4" spans="2:8" ht="12.75" customHeight="1" x14ac:dyDescent="0.2">
      <c r="B4" s="114"/>
      <c r="C4" s="100" t="s">
        <v>20</v>
      </c>
      <c r="D4" s="101" t="s">
        <v>21</v>
      </c>
      <c r="F4" s="114"/>
      <c r="G4" s="102" t="s">
        <v>20</v>
      </c>
      <c r="H4" s="103" t="s">
        <v>22</v>
      </c>
    </row>
    <row r="5" spans="2:8" ht="12.75" customHeight="1" x14ac:dyDescent="0.2">
      <c r="B5" s="114"/>
      <c r="C5" s="100" t="s">
        <v>23</v>
      </c>
      <c r="D5" s="101" t="s">
        <v>24</v>
      </c>
      <c r="F5" s="114"/>
      <c r="G5" s="102" t="s">
        <v>23</v>
      </c>
      <c r="H5" s="111" t="s">
        <v>25</v>
      </c>
    </row>
    <row r="6" spans="2:8" ht="13.5" customHeight="1" x14ac:dyDescent="0.2">
      <c r="B6" s="115"/>
      <c r="C6" s="104" t="s">
        <v>26</v>
      </c>
      <c r="D6" s="105" t="s">
        <v>27</v>
      </c>
      <c r="F6" s="115"/>
      <c r="G6" s="106" t="s">
        <v>26</v>
      </c>
      <c r="H6" s="112" t="s">
        <v>25</v>
      </c>
    </row>
    <row r="7" spans="2:8" ht="15" x14ac:dyDescent="0.2">
      <c r="B7" s="9"/>
      <c r="F7" s="9"/>
      <c r="H7" s="73"/>
    </row>
    <row r="8" spans="2:8" ht="12.75" customHeight="1" x14ac:dyDescent="0.2">
      <c r="B8" s="113" t="s">
        <v>28</v>
      </c>
      <c r="C8" s="1"/>
      <c r="D8" s="96" t="s">
        <v>18</v>
      </c>
      <c r="F8" s="113" t="s">
        <v>28</v>
      </c>
      <c r="G8" s="1"/>
      <c r="H8" s="107" t="s">
        <v>19</v>
      </c>
    </row>
    <row r="9" spans="2:8" ht="12.75" customHeight="1" x14ac:dyDescent="0.2">
      <c r="B9" s="114"/>
      <c r="C9" s="4"/>
      <c r="D9" s="108"/>
      <c r="F9" s="114"/>
      <c r="G9" s="4"/>
      <c r="H9" s="99"/>
    </row>
    <row r="10" spans="2:8" ht="12.75" customHeight="1" x14ac:dyDescent="0.2">
      <c r="B10" s="114"/>
      <c r="C10" s="100" t="s">
        <v>20</v>
      </c>
      <c r="D10" s="101" t="s">
        <v>21</v>
      </c>
      <c r="F10" s="114"/>
      <c r="G10" s="102" t="s">
        <v>20</v>
      </c>
      <c r="H10" s="103" t="s">
        <v>22</v>
      </c>
    </row>
    <row r="11" spans="2:8" ht="12.75" customHeight="1" x14ac:dyDescent="0.2">
      <c r="B11" s="114"/>
      <c r="C11" s="100" t="s">
        <v>23</v>
      </c>
      <c r="D11" s="101" t="s">
        <v>24</v>
      </c>
      <c r="F11" s="114"/>
      <c r="G11" s="102" t="s">
        <v>23</v>
      </c>
      <c r="H11" s="111" t="s">
        <v>25</v>
      </c>
    </row>
    <row r="12" spans="2:8" ht="13.5" customHeight="1" x14ac:dyDescent="0.2">
      <c r="B12" s="115"/>
      <c r="C12" s="104" t="s">
        <v>26</v>
      </c>
      <c r="D12" s="105" t="s">
        <v>29</v>
      </c>
      <c r="F12" s="115"/>
      <c r="G12" s="106" t="s">
        <v>26</v>
      </c>
      <c r="H12" s="109" t="s">
        <v>30</v>
      </c>
    </row>
    <row r="13" spans="2:8" ht="15" x14ac:dyDescent="0.2">
      <c r="B13" s="9"/>
      <c r="C13" s="4"/>
      <c r="D13" s="4"/>
      <c r="F13" s="9"/>
      <c r="G13" s="4"/>
      <c r="H13" s="73"/>
    </row>
    <row r="14" spans="2:8" ht="12.75" customHeight="1" x14ac:dyDescent="0.2">
      <c r="B14" s="113" t="s">
        <v>31</v>
      </c>
      <c r="C14" s="13"/>
      <c r="D14" s="96" t="s">
        <v>18</v>
      </c>
      <c r="F14" s="113" t="s">
        <v>31</v>
      </c>
      <c r="G14" s="13"/>
      <c r="H14" s="97" t="s">
        <v>19</v>
      </c>
    </row>
    <row r="15" spans="2:8" ht="12.75" customHeight="1" x14ac:dyDescent="0.2">
      <c r="B15" s="114"/>
      <c r="C15" s="4"/>
      <c r="D15" s="108"/>
      <c r="F15" s="114"/>
      <c r="G15" s="4"/>
      <c r="H15" s="99"/>
    </row>
    <row r="16" spans="2:8" ht="12.75" customHeight="1" x14ac:dyDescent="0.2">
      <c r="B16" s="114"/>
      <c r="C16" s="100" t="s">
        <v>20</v>
      </c>
      <c r="D16" s="101" t="s">
        <v>21</v>
      </c>
      <c r="F16" s="114"/>
      <c r="G16" s="102" t="s">
        <v>20</v>
      </c>
      <c r="H16" s="103" t="s">
        <v>22</v>
      </c>
    </row>
    <row r="17" spans="2:8" ht="12.75" customHeight="1" x14ac:dyDescent="0.2">
      <c r="B17" s="114"/>
      <c r="C17" s="100" t="s">
        <v>23</v>
      </c>
      <c r="D17" s="101" t="s">
        <v>24</v>
      </c>
      <c r="F17" s="114"/>
      <c r="G17" s="102" t="s">
        <v>23</v>
      </c>
      <c r="H17" s="111" t="s">
        <v>25</v>
      </c>
    </row>
    <row r="18" spans="2:8" ht="13.5" customHeight="1" x14ac:dyDescent="0.2">
      <c r="B18" s="115"/>
      <c r="C18" s="104" t="s">
        <v>26</v>
      </c>
      <c r="D18" s="105" t="s">
        <v>27</v>
      </c>
      <c r="F18" s="115"/>
      <c r="G18" s="106" t="s">
        <v>26</v>
      </c>
      <c r="H18" s="112" t="s">
        <v>25</v>
      </c>
    </row>
    <row r="19" spans="2:8" ht="15" x14ac:dyDescent="0.2">
      <c r="B19" s="9"/>
      <c r="C19" s="4"/>
      <c r="D19" s="4"/>
      <c r="F19" s="9"/>
      <c r="G19" s="4"/>
      <c r="H19" s="73"/>
    </row>
    <row r="20" spans="2:8" ht="12.75" customHeight="1" x14ac:dyDescent="0.2">
      <c r="B20" s="113" t="s">
        <v>32</v>
      </c>
      <c r="C20" s="13"/>
      <c r="D20" s="96" t="s">
        <v>18</v>
      </c>
      <c r="F20" s="113" t="s">
        <v>32</v>
      </c>
      <c r="G20" s="13"/>
      <c r="H20" s="107" t="s">
        <v>19</v>
      </c>
    </row>
    <row r="21" spans="2:8" ht="12.75" customHeight="1" x14ac:dyDescent="0.2">
      <c r="B21" s="114"/>
      <c r="C21" s="4"/>
      <c r="D21" s="108"/>
      <c r="F21" s="114"/>
      <c r="G21" s="4"/>
      <c r="H21" s="99"/>
    </row>
    <row r="22" spans="2:8" ht="12.75" customHeight="1" x14ac:dyDescent="0.2">
      <c r="B22" s="114"/>
      <c r="C22" s="100" t="s">
        <v>20</v>
      </c>
      <c r="D22" s="101" t="s">
        <v>21</v>
      </c>
      <c r="F22" s="114"/>
      <c r="G22" s="102" t="s">
        <v>20</v>
      </c>
      <c r="H22" s="103" t="s">
        <v>22</v>
      </c>
    </row>
    <row r="23" spans="2:8" ht="12.75" customHeight="1" x14ac:dyDescent="0.2">
      <c r="B23" s="114"/>
      <c r="C23" s="100" t="s">
        <v>23</v>
      </c>
      <c r="D23" s="101" t="s">
        <v>24</v>
      </c>
      <c r="F23" s="114"/>
      <c r="G23" s="102" t="s">
        <v>23</v>
      </c>
      <c r="H23" s="111" t="s">
        <v>25</v>
      </c>
    </row>
    <row r="24" spans="2:8" ht="13.5" customHeight="1" x14ac:dyDescent="0.2">
      <c r="B24" s="115"/>
      <c r="C24" s="104" t="s">
        <v>26</v>
      </c>
      <c r="D24" s="105" t="s">
        <v>29</v>
      </c>
      <c r="F24" s="115"/>
      <c r="G24" s="106" t="s">
        <v>26</v>
      </c>
      <c r="H24" s="109" t="s">
        <v>30</v>
      </c>
    </row>
    <row r="25" spans="2:8" ht="15" x14ac:dyDescent="0.2">
      <c r="B25" s="9"/>
      <c r="C25" s="4"/>
      <c r="D25" s="4"/>
      <c r="F25" s="9"/>
      <c r="G25" s="4"/>
      <c r="H25" s="73"/>
    </row>
    <row r="26" spans="2:8" ht="12.75" customHeight="1" x14ac:dyDescent="0.2">
      <c r="B26" s="113" t="s">
        <v>33</v>
      </c>
      <c r="C26" s="13"/>
      <c r="D26" s="96" t="s">
        <v>18</v>
      </c>
      <c r="F26" s="113" t="s">
        <v>33</v>
      </c>
      <c r="G26" s="13"/>
      <c r="H26" s="97" t="s">
        <v>19</v>
      </c>
    </row>
    <row r="27" spans="2:8" ht="12.75" customHeight="1" x14ac:dyDescent="0.2">
      <c r="B27" s="114"/>
      <c r="C27" s="4"/>
      <c r="D27" s="108"/>
      <c r="F27" s="114"/>
      <c r="G27" s="4"/>
      <c r="H27" s="99"/>
    </row>
    <row r="28" spans="2:8" ht="12.75" customHeight="1" x14ac:dyDescent="0.2">
      <c r="B28" s="114"/>
      <c r="C28" s="100" t="s">
        <v>20</v>
      </c>
      <c r="D28" s="101" t="s">
        <v>21</v>
      </c>
      <c r="F28" s="114"/>
      <c r="G28" s="102" t="s">
        <v>20</v>
      </c>
      <c r="H28" s="103" t="s">
        <v>22</v>
      </c>
    </row>
    <row r="29" spans="2:8" ht="12.75" customHeight="1" x14ac:dyDescent="0.2">
      <c r="B29" s="114"/>
      <c r="C29" s="100" t="s">
        <v>23</v>
      </c>
      <c r="D29" s="101" t="s">
        <v>24</v>
      </c>
      <c r="F29" s="114"/>
      <c r="G29" s="102" t="s">
        <v>23</v>
      </c>
      <c r="H29" s="111" t="s">
        <v>25</v>
      </c>
    </row>
    <row r="30" spans="2:8" ht="13.5" customHeight="1" x14ac:dyDescent="0.2">
      <c r="B30" s="115"/>
      <c r="C30" s="104" t="s">
        <v>26</v>
      </c>
      <c r="D30" s="105" t="s">
        <v>27</v>
      </c>
      <c r="F30" s="115"/>
      <c r="G30" s="106" t="s">
        <v>26</v>
      </c>
      <c r="H30" s="112" t="s">
        <v>25</v>
      </c>
    </row>
    <row r="31" spans="2:8" ht="15" x14ac:dyDescent="0.2">
      <c r="B31" s="9"/>
      <c r="C31" s="4"/>
      <c r="D31" s="4"/>
      <c r="F31" s="9"/>
      <c r="G31" s="4"/>
      <c r="H31" s="73"/>
    </row>
    <row r="32" spans="2:8" ht="12.75" customHeight="1" x14ac:dyDescent="0.2">
      <c r="B32" s="113" t="s">
        <v>34</v>
      </c>
      <c r="C32" s="13"/>
      <c r="D32" s="96" t="s">
        <v>18</v>
      </c>
      <c r="F32" s="113" t="s">
        <v>34</v>
      </c>
      <c r="G32" s="13"/>
      <c r="H32" s="107" t="s">
        <v>19</v>
      </c>
    </row>
    <row r="33" spans="2:8" ht="12.75" customHeight="1" x14ac:dyDescent="0.2">
      <c r="B33" s="114"/>
      <c r="C33" s="4"/>
      <c r="D33" s="108"/>
      <c r="F33" s="114"/>
      <c r="G33" s="4"/>
      <c r="H33" s="99"/>
    </row>
    <row r="34" spans="2:8" ht="12.75" customHeight="1" x14ac:dyDescent="0.2">
      <c r="B34" s="114"/>
      <c r="C34" s="100" t="s">
        <v>20</v>
      </c>
      <c r="D34" s="101" t="s">
        <v>21</v>
      </c>
      <c r="F34" s="114"/>
      <c r="G34" s="102" t="s">
        <v>20</v>
      </c>
      <c r="H34" s="103" t="s">
        <v>22</v>
      </c>
    </row>
    <row r="35" spans="2:8" ht="12.75" customHeight="1" x14ac:dyDescent="0.2">
      <c r="B35" s="114"/>
      <c r="C35" s="100" t="s">
        <v>23</v>
      </c>
      <c r="D35" s="101" t="s">
        <v>24</v>
      </c>
      <c r="F35" s="114"/>
      <c r="G35" s="102" t="s">
        <v>23</v>
      </c>
      <c r="H35" s="111" t="s">
        <v>25</v>
      </c>
    </row>
    <row r="36" spans="2:8" ht="13.5" customHeight="1" x14ac:dyDescent="0.2">
      <c r="B36" s="115"/>
      <c r="C36" s="104" t="s">
        <v>26</v>
      </c>
      <c r="D36" s="105" t="s">
        <v>29</v>
      </c>
      <c r="F36" s="115"/>
      <c r="G36" s="106" t="s">
        <v>26</v>
      </c>
      <c r="H36" s="109" t="s">
        <v>30</v>
      </c>
    </row>
    <row r="37" spans="2:8" ht="15" x14ac:dyDescent="0.2">
      <c r="B37" s="9"/>
      <c r="C37" s="4"/>
      <c r="D37" s="4"/>
      <c r="F37" s="9"/>
      <c r="G37" s="4"/>
      <c r="H37" s="73"/>
    </row>
    <row r="38" spans="2:8" ht="12.75" customHeight="1" x14ac:dyDescent="0.2">
      <c r="B38" s="113" t="s">
        <v>35</v>
      </c>
      <c r="C38" s="13"/>
      <c r="D38" s="96" t="s">
        <v>18</v>
      </c>
      <c r="F38" s="113" t="s">
        <v>35</v>
      </c>
      <c r="G38" s="13"/>
      <c r="H38" s="107" t="s">
        <v>19</v>
      </c>
    </row>
    <row r="39" spans="2:8" ht="12.75" customHeight="1" x14ac:dyDescent="0.2">
      <c r="B39" s="114"/>
      <c r="C39" s="4"/>
      <c r="D39" s="108"/>
      <c r="F39" s="114"/>
      <c r="G39" s="4"/>
      <c r="H39" s="99"/>
    </row>
    <row r="40" spans="2:8" ht="12.75" customHeight="1" x14ac:dyDescent="0.2">
      <c r="B40" s="114"/>
      <c r="C40" s="100" t="s">
        <v>20</v>
      </c>
      <c r="D40" s="101" t="s">
        <v>21</v>
      </c>
      <c r="F40" s="114"/>
      <c r="G40" s="102" t="s">
        <v>20</v>
      </c>
      <c r="H40" s="103" t="s">
        <v>22</v>
      </c>
    </row>
    <row r="41" spans="2:8" ht="12.75" customHeight="1" x14ac:dyDescent="0.2">
      <c r="B41" s="114"/>
      <c r="C41" s="100" t="s">
        <v>23</v>
      </c>
      <c r="D41" s="101" t="s">
        <v>24</v>
      </c>
      <c r="F41" s="114"/>
      <c r="G41" s="102" t="s">
        <v>23</v>
      </c>
      <c r="H41" s="111" t="s">
        <v>25</v>
      </c>
    </row>
    <row r="42" spans="2:8" ht="13.5" customHeight="1" x14ac:dyDescent="0.2">
      <c r="B42" s="115"/>
      <c r="C42" s="104" t="s">
        <v>26</v>
      </c>
      <c r="D42" s="105" t="s">
        <v>29</v>
      </c>
      <c r="F42" s="115"/>
      <c r="G42" s="106" t="s">
        <v>26</v>
      </c>
      <c r="H42" s="109" t="s">
        <v>30</v>
      </c>
    </row>
    <row r="43" spans="2:8" ht="15" x14ac:dyDescent="0.2">
      <c r="B43" s="9"/>
      <c r="C43" s="4"/>
      <c r="D43" s="4"/>
      <c r="F43" s="9"/>
      <c r="G43" s="4"/>
      <c r="H43" s="73"/>
    </row>
    <row r="44" spans="2:8" ht="12.75" customHeight="1" x14ac:dyDescent="0.2">
      <c r="B44" s="113" t="s">
        <v>36</v>
      </c>
      <c r="C44" s="13"/>
      <c r="D44" s="96" t="s">
        <v>18</v>
      </c>
      <c r="F44" s="113" t="s">
        <v>36</v>
      </c>
      <c r="G44" s="13"/>
      <c r="H44" s="107" t="s">
        <v>19</v>
      </c>
    </row>
    <row r="45" spans="2:8" ht="12.75" customHeight="1" x14ac:dyDescent="0.2">
      <c r="B45" s="114"/>
      <c r="C45" s="4"/>
      <c r="D45" s="108"/>
      <c r="F45" s="114"/>
      <c r="G45" s="4"/>
      <c r="H45" s="99"/>
    </row>
    <row r="46" spans="2:8" ht="12.75" customHeight="1" x14ac:dyDescent="0.2">
      <c r="B46" s="114"/>
      <c r="C46" s="100" t="s">
        <v>20</v>
      </c>
      <c r="D46" s="101" t="s">
        <v>21</v>
      </c>
      <c r="F46" s="114"/>
      <c r="G46" s="102" t="s">
        <v>20</v>
      </c>
      <c r="H46" s="103" t="s">
        <v>22</v>
      </c>
    </row>
    <row r="47" spans="2:8" ht="12.75" customHeight="1" x14ac:dyDescent="0.2">
      <c r="B47" s="114"/>
      <c r="C47" s="100" t="s">
        <v>23</v>
      </c>
      <c r="D47" s="101" t="s">
        <v>24</v>
      </c>
      <c r="F47" s="114"/>
      <c r="G47" s="102" t="s">
        <v>23</v>
      </c>
      <c r="H47" s="111" t="s">
        <v>25</v>
      </c>
    </row>
    <row r="48" spans="2:8" ht="13.5" customHeight="1" x14ac:dyDescent="0.2">
      <c r="B48" s="115"/>
      <c r="C48" s="104" t="s">
        <v>26</v>
      </c>
      <c r="D48" s="105" t="s">
        <v>29</v>
      </c>
      <c r="F48" s="115"/>
      <c r="G48" s="106" t="s">
        <v>26</v>
      </c>
      <c r="H48" s="109" t="s">
        <v>30</v>
      </c>
    </row>
    <row r="49" spans="2:8" ht="15" x14ac:dyDescent="0.2">
      <c r="B49" s="9"/>
      <c r="C49" s="4"/>
      <c r="D49" s="4"/>
      <c r="F49" s="9"/>
      <c r="G49" s="4"/>
      <c r="H49" s="73"/>
    </row>
    <row r="50" spans="2:8" ht="12.75" customHeight="1" x14ac:dyDescent="0.2">
      <c r="B50" s="113" t="s">
        <v>37</v>
      </c>
      <c r="C50" s="13"/>
      <c r="D50" s="96" t="s">
        <v>18</v>
      </c>
      <c r="F50" s="113" t="s">
        <v>37</v>
      </c>
      <c r="G50" s="13"/>
      <c r="H50" s="107" t="s">
        <v>19</v>
      </c>
    </row>
    <row r="51" spans="2:8" ht="12.75" customHeight="1" x14ac:dyDescent="0.2">
      <c r="B51" s="114"/>
      <c r="C51" s="4"/>
      <c r="D51" s="108"/>
      <c r="F51" s="114"/>
      <c r="G51" s="4"/>
      <c r="H51" s="99"/>
    </row>
    <row r="52" spans="2:8" ht="12.75" customHeight="1" x14ac:dyDescent="0.2">
      <c r="B52" s="114"/>
      <c r="C52" s="100" t="s">
        <v>20</v>
      </c>
      <c r="D52" s="101" t="s">
        <v>21</v>
      </c>
      <c r="F52" s="114"/>
      <c r="G52" s="102" t="s">
        <v>20</v>
      </c>
      <c r="H52" s="103" t="s">
        <v>22</v>
      </c>
    </row>
    <row r="53" spans="2:8" ht="12.75" customHeight="1" x14ac:dyDescent="0.2">
      <c r="B53" s="114"/>
      <c r="C53" s="100" t="s">
        <v>23</v>
      </c>
      <c r="D53" s="101" t="s">
        <v>24</v>
      </c>
      <c r="F53" s="114"/>
      <c r="G53" s="102" t="s">
        <v>23</v>
      </c>
      <c r="H53" s="111" t="s">
        <v>25</v>
      </c>
    </row>
    <row r="54" spans="2:8" ht="13.5" customHeight="1" x14ac:dyDescent="0.2">
      <c r="B54" s="115"/>
      <c r="C54" s="104" t="s">
        <v>26</v>
      </c>
      <c r="D54" s="105" t="s">
        <v>29</v>
      </c>
      <c r="F54" s="115"/>
      <c r="G54" s="106" t="s">
        <v>26</v>
      </c>
      <c r="H54" s="109" t="s">
        <v>30</v>
      </c>
    </row>
    <row r="55" spans="2:8" ht="15" x14ac:dyDescent="0.2">
      <c r="B55" s="9"/>
      <c r="C55" s="4"/>
      <c r="D55" s="4"/>
      <c r="F55" s="9"/>
      <c r="G55" s="4"/>
      <c r="H55" s="73"/>
    </row>
    <row r="56" spans="2:8" ht="12.75" customHeight="1" x14ac:dyDescent="0.2">
      <c r="B56" s="113" t="s">
        <v>38</v>
      </c>
      <c r="C56" s="13"/>
      <c r="D56" s="96" t="s">
        <v>18</v>
      </c>
      <c r="F56" s="113" t="s">
        <v>38</v>
      </c>
      <c r="G56" s="13"/>
      <c r="H56" s="107" t="s">
        <v>19</v>
      </c>
    </row>
    <row r="57" spans="2:8" ht="12.75" customHeight="1" x14ac:dyDescent="0.2">
      <c r="B57" s="114"/>
      <c r="C57" s="4"/>
      <c r="D57" s="108"/>
      <c r="F57" s="114"/>
      <c r="G57" s="4"/>
      <c r="H57" s="99"/>
    </row>
    <row r="58" spans="2:8" ht="12.75" customHeight="1" x14ac:dyDescent="0.2">
      <c r="B58" s="114"/>
      <c r="C58" s="100" t="s">
        <v>20</v>
      </c>
      <c r="D58" s="101" t="s">
        <v>21</v>
      </c>
      <c r="F58" s="114"/>
      <c r="G58" s="102" t="s">
        <v>20</v>
      </c>
      <c r="H58" s="103" t="s">
        <v>22</v>
      </c>
    </row>
    <row r="59" spans="2:8" ht="12.75" customHeight="1" x14ac:dyDescent="0.2">
      <c r="B59" s="114"/>
      <c r="C59" s="100" t="s">
        <v>23</v>
      </c>
      <c r="D59" s="101" t="s">
        <v>24</v>
      </c>
      <c r="F59" s="114"/>
      <c r="G59" s="102" t="s">
        <v>23</v>
      </c>
      <c r="H59" s="111" t="s">
        <v>25</v>
      </c>
    </row>
    <row r="60" spans="2:8" ht="13.5" customHeight="1" x14ac:dyDescent="0.2">
      <c r="B60" s="115"/>
      <c r="C60" s="104" t="s">
        <v>26</v>
      </c>
      <c r="D60" s="105" t="s">
        <v>29</v>
      </c>
      <c r="F60" s="115"/>
      <c r="G60" s="106" t="s">
        <v>26</v>
      </c>
      <c r="H60" s="109" t="s">
        <v>30</v>
      </c>
    </row>
    <row r="61" spans="2:8" x14ac:dyDescent="0.2">
      <c r="B61" s="20"/>
      <c r="C61" s="4"/>
      <c r="D61" s="4"/>
    </row>
    <row r="62" spans="2:8" x14ac:dyDescent="0.2">
      <c r="B62" s="20"/>
      <c r="C62" s="4"/>
      <c r="D62" s="4"/>
      <c r="F62" s="61" t="s">
        <v>39</v>
      </c>
      <c r="G62" s="62" t="s">
        <v>26</v>
      </c>
      <c r="H62" s="61"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F32:F36"/>
    <mergeCell ref="F38:F42"/>
    <mergeCell ref="F44:F48"/>
    <mergeCell ref="F50:F54"/>
    <mergeCell ref="F56:F60"/>
    <mergeCell ref="F2:F6"/>
    <mergeCell ref="F8:F12"/>
    <mergeCell ref="F14:F18"/>
    <mergeCell ref="F20:F24"/>
    <mergeCell ref="F26:F30"/>
    <mergeCell ref="B32:B36"/>
    <mergeCell ref="B38:B42"/>
    <mergeCell ref="B44:B48"/>
    <mergeCell ref="B50:B54"/>
    <mergeCell ref="B56:B60"/>
    <mergeCell ref="B2:B6"/>
    <mergeCell ref="B8:B12"/>
    <mergeCell ref="B14:B18"/>
    <mergeCell ref="B20:B24"/>
    <mergeCell ref="B26:B3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81" customWidth="1"/>
    <col min="4" max="4" width="80.28515625" style="82" customWidth="1"/>
  </cols>
  <sheetData>
    <row r="2" spans="2:4" ht="22.5" customHeight="1" x14ac:dyDescent="0.2">
      <c r="B2" s="83" t="s">
        <v>40</v>
      </c>
      <c r="C2" s="84"/>
      <c r="D2" s="85" t="s">
        <v>41</v>
      </c>
    </row>
    <row r="3" spans="2:4" ht="12.75" customHeight="1" x14ac:dyDescent="0.2">
      <c r="B3" s="116" t="s">
        <v>17</v>
      </c>
      <c r="C3" s="86" t="s">
        <v>42</v>
      </c>
      <c r="D3" s="87" t="s">
        <v>43</v>
      </c>
    </row>
    <row r="4" spans="2:4" ht="12.75" customHeight="1" x14ac:dyDescent="0.2">
      <c r="B4" s="116"/>
      <c r="C4" s="88" t="s">
        <v>44</v>
      </c>
      <c r="D4" s="89" t="s">
        <v>45</v>
      </c>
    </row>
    <row r="5" spans="2:4" ht="12.75" customHeight="1" x14ac:dyDescent="0.2">
      <c r="B5" s="116"/>
      <c r="C5" s="88" t="s">
        <v>46</v>
      </c>
      <c r="D5" s="89" t="s">
        <v>47</v>
      </c>
    </row>
    <row r="6" spans="2:4" ht="27.75" customHeight="1" x14ac:dyDescent="0.2">
      <c r="B6" s="117" t="s">
        <v>28</v>
      </c>
      <c r="C6" s="86" t="s">
        <v>48</v>
      </c>
      <c r="D6" s="87" t="s">
        <v>49</v>
      </c>
    </row>
    <row r="7" spans="2:4" ht="12.75" customHeight="1" x14ac:dyDescent="0.2">
      <c r="B7" s="118"/>
      <c r="C7" s="88" t="s">
        <v>50</v>
      </c>
      <c r="D7" s="89" t="s">
        <v>51</v>
      </c>
    </row>
    <row r="8" spans="2:4" ht="12.75" customHeight="1" x14ac:dyDescent="0.2">
      <c r="B8" s="118"/>
      <c r="C8" s="88" t="s">
        <v>52</v>
      </c>
      <c r="D8" s="89" t="s">
        <v>53</v>
      </c>
    </row>
    <row r="9" spans="2:4" ht="13.5" customHeight="1" x14ac:dyDescent="0.2">
      <c r="B9" s="119"/>
      <c r="C9" s="90" t="s">
        <v>54</v>
      </c>
      <c r="D9" s="91" t="s">
        <v>55</v>
      </c>
    </row>
    <row r="10" spans="2:4" ht="12.75" customHeight="1" x14ac:dyDescent="0.2">
      <c r="B10" s="116" t="s">
        <v>31</v>
      </c>
      <c r="C10" s="86" t="s">
        <v>56</v>
      </c>
      <c r="D10" s="87" t="s">
        <v>57</v>
      </c>
    </row>
    <row r="11" spans="2:4" ht="12.75" customHeight="1" x14ac:dyDescent="0.2">
      <c r="B11" s="116"/>
      <c r="C11" s="88" t="s">
        <v>58</v>
      </c>
      <c r="D11" s="89" t="s">
        <v>59</v>
      </c>
    </row>
    <row r="12" spans="2:4" ht="25.5" customHeight="1" x14ac:dyDescent="0.2">
      <c r="B12" s="116" t="s">
        <v>32</v>
      </c>
      <c r="C12" s="88" t="s">
        <v>48</v>
      </c>
      <c r="D12" s="89" t="s">
        <v>60</v>
      </c>
    </row>
    <row r="13" spans="2:4" ht="12.75" customHeight="1" x14ac:dyDescent="0.2">
      <c r="B13" s="116"/>
      <c r="C13" s="88" t="s">
        <v>50</v>
      </c>
      <c r="D13" s="89" t="s">
        <v>61</v>
      </c>
    </row>
    <row r="14" spans="2:4" ht="12.75" customHeight="1" x14ac:dyDescent="0.2">
      <c r="B14" s="116"/>
      <c r="C14" s="88" t="s">
        <v>52</v>
      </c>
      <c r="D14" s="89" t="s">
        <v>62</v>
      </c>
    </row>
    <row r="15" spans="2:4" ht="13.5" customHeight="1" x14ac:dyDescent="0.2">
      <c r="B15" s="120"/>
      <c r="C15" s="90" t="s">
        <v>54</v>
      </c>
      <c r="D15" s="91" t="s">
        <v>63</v>
      </c>
    </row>
    <row r="16" spans="2:4" ht="12.75" customHeight="1" x14ac:dyDescent="0.2">
      <c r="B16" s="116" t="s">
        <v>33</v>
      </c>
      <c r="C16" s="86" t="s">
        <v>64</v>
      </c>
      <c r="D16" s="87" t="s">
        <v>65</v>
      </c>
    </row>
    <row r="17" spans="2:4" ht="12.75" customHeight="1" x14ac:dyDescent="0.2">
      <c r="B17" s="116"/>
      <c r="C17" s="88" t="s">
        <v>66</v>
      </c>
      <c r="D17" s="89" t="s">
        <v>67</v>
      </c>
    </row>
    <row r="18" spans="2:4" ht="12.75" customHeight="1" x14ac:dyDescent="0.2">
      <c r="B18" s="116"/>
      <c r="C18" s="88" t="s">
        <v>68</v>
      </c>
      <c r="D18" s="89" t="s">
        <v>69</v>
      </c>
    </row>
    <row r="19" spans="2:4" ht="13.5" customHeight="1" x14ac:dyDescent="0.2">
      <c r="B19" s="120"/>
      <c r="C19" s="90" t="s">
        <v>70</v>
      </c>
      <c r="D19" s="91" t="s">
        <v>71</v>
      </c>
    </row>
    <row r="20" spans="2:4" ht="17.25" customHeight="1" x14ac:dyDescent="0.2">
      <c r="B20" s="116" t="s">
        <v>34</v>
      </c>
      <c r="C20" s="86" t="s">
        <v>48</v>
      </c>
      <c r="D20" s="87" t="s">
        <v>72</v>
      </c>
    </row>
    <row r="21" spans="2:4" ht="12.75" customHeight="1" x14ac:dyDescent="0.2">
      <c r="B21" s="116"/>
      <c r="C21" s="88" t="s">
        <v>50</v>
      </c>
      <c r="D21" s="89" t="s">
        <v>73</v>
      </c>
    </row>
    <row r="22" spans="2:4" ht="12.75" customHeight="1" x14ac:dyDescent="0.2">
      <c r="B22" s="116"/>
      <c r="C22" s="88" t="s">
        <v>52</v>
      </c>
      <c r="D22" s="89" t="s">
        <v>74</v>
      </c>
    </row>
    <row r="23" spans="2:4" ht="13.5" customHeight="1" x14ac:dyDescent="0.2">
      <c r="B23" s="120"/>
      <c r="C23" s="90" t="s">
        <v>54</v>
      </c>
      <c r="D23" s="91" t="s">
        <v>75</v>
      </c>
    </row>
    <row r="24" spans="2:4" ht="12.75" customHeight="1" x14ac:dyDescent="0.2">
      <c r="B24" s="116" t="s">
        <v>35</v>
      </c>
      <c r="C24" s="86" t="s">
        <v>76</v>
      </c>
      <c r="D24" s="87" t="s">
        <v>77</v>
      </c>
    </row>
    <row r="25" spans="2:4" ht="12.75" customHeight="1" x14ac:dyDescent="0.2">
      <c r="B25" s="116"/>
      <c r="C25" s="88" t="s">
        <v>78</v>
      </c>
      <c r="D25" s="89" t="s">
        <v>79</v>
      </c>
    </row>
    <row r="26" spans="2:4" ht="12.75" customHeight="1" x14ac:dyDescent="0.2">
      <c r="B26" s="116"/>
      <c r="C26" s="88" t="s">
        <v>80</v>
      </c>
      <c r="D26" s="89" t="s">
        <v>81</v>
      </c>
    </row>
    <row r="27" spans="2:4" ht="13.5" customHeight="1" x14ac:dyDescent="0.2">
      <c r="B27" s="120"/>
      <c r="C27" s="90" t="s">
        <v>82</v>
      </c>
      <c r="D27" s="91" t="s">
        <v>83</v>
      </c>
    </row>
    <row r="28" spans="2:4" ht="12.75" customHeight="1" x14ac:dyDescent="0.2">
      <c r="B28" s="116" t="s">
        <v>36</v>
      </c>
      <c r="C28" s="86" t="s">
        <v>84</v>
      </c>
      <c r="D28" s="87" t="s">
        <v>85</v>
      </c>
    </row>
    <row r="29" spans="2:4" ht="12.75" customHeight="1" x14ac:dyDescent="0.2">
      <c r="B29" s="116"/>
      <c r="C29" s="88" t="s">
        <v>86</v>
      </c>
      <c r="D29" s="89" t="s">
        <v>87</v>
      </c>
    </row>
    <row r="30" spans="2:4" ht="12.75" customHeight="1" x14ac:dyDescent="0.2">
      <c r="B30" s="116"/>
      <c r="C30" s="92" t="s">
        <v>88</v>
      </c>
      <c r="D30" s="93" t="s">
        <v>89</v>
      </c>
    </row>
    <row r="31" spans="2:4" ht="28.5" customHeight="1" x14ac:dyDescent="0.2">
      <c r="B31" s="113" t="s">
        <v>37</v>
      </c>
      <c r="C31" s="86" t="s">
        <v>90</v>
      </c>
      <c r="D31" s="87" t="s">
        <v>91</v>
      </c>
    </row>
    <row r="32" spans="2:4" ht="27" customHeight="1" x14ac:dyDescent="0.2">
      <c r="B32" s="116"/>
      <c r="C32" s="88" t="s">
        <v>92</v>
      </c>
      <c r="D32" s="89" t="s">
        <v>93</v>
      </c>
    </row>
    <row r="33" spans="2:4" ht="12.75" customHeight="1" x14ac:dyDescent="0.2">
      <c r="B33" s="116"/>
      <c r="C33" s="90" t="s">
        <v>94</v>
      </c>
      <c r="D33" s="91" t="s">
        <v>95</v>
      </c>
    </row>
    <row r="34" spans="2:4" ht="12.75" customHeight="1" x14ac:dyDescent="0.2">
      <c r="B34" s="113" t="s">
        <v>38</v>
      </c>
      <c r="C34" s="86" t="s">
        <v>96</v>
      </c>
      <c r="D34" s="87" t="s">
        <v>97</v>
      </c>
    </row>
    <row r="35" spans="2:4" ht="12.75" customHeight="1" x14ac:dyDescent="0.2">
      <c r="B35" s="116"/>
      <c r="C35" s="88" t="s">
        <v>98</v>
      </c>
      <c r="D35" s="89" t="s">
        <v>99</v>
      </c>
    </row>
    <row r="36" spans="2:4" ht="12.75" customHeight="1" x14ac:dyDescent="0.2">
      <c r="B36" s="120"/>
      <c r="C36" s="90" t="s">
        <v>100</v>
      </c>
      <c r="D36" s="91" t="s">
        <v>101</v>
      </c>
    </row>
    <row r="37" spans="2:4" x14ac:dyDescent="0.2">
      <c r="B37" s="20"/>
      <c r="C37" s="94"/>
      <c r="D37" s="95"/>
    </row>
    <row r="38" spans="2:4" x14ac:dyDescent="0.2">
      <c r="B38" s="20"/>
      <c r="C38" s="94"/>
      <c r="D38" s="95"/>
    </row>
    <row r="39" spans="2:4" x14ac:dyDescent="0.2">
      <c r="B39" s="20"/>
      <c r="C39" s="94"/>
      <c r="D39" s="95"/>
    </row>
    <row r="40" spans="2:4" x14ac:dyDescent="0.2">
      <c r="B40" s="20"/>
      <c r="C40" s="94"/>
      <c r="D40" s="95"/>
    </row>
    <row r="41" spans="2:4" x14ac:dyDescent="0.2">
      <c r="B41" s="20"/>
      <c r="C41" s="94"/>
      <c r="D41" s="95"/>
    </row>
    <row r="42" spans="2:4" x14ac:dyDescent="0.2">
      <c r="B42" s="20"/>
      <c r="C42" s="94"/>
      <c r="D42" s="95"/>
    </row>
    <row r="43" spans="2:4" x14ac:dyDescent="0.2">
      <c r="B43" s="20"/>
      <c r="C43" s="94"/>
      <c r="D43" s="95"/>
    </row>
    <row r="44" spans="2:4" x14ac:dyDescent="0.2">
      <c r="B44" s="20"/>
      <c r="C44" s="94"/>
      <c r="D44" s="95"/>
    </row>
    <row r="45" spans="2:4" x14ac:dyDescent="0.2">
      <c r="B45" s="20"/>
      <c r="C45" s="94"/>
      <c r="D45" s="95"/>
    </row>
    <row r="46" spans="2:4" x14ac:dyDescent="0.2">
      <c r="B46" s="20"/>
      <c r="C46" s="94"/>
      <c r="D46" s="95"/>
    </row>
    <row r="47" spans="2:4" x14ac:dyDescent="0.2">
      <c r="B47" s="20"/>
      <c r="C47" s="94"/>
      <c r="D47" s="95"/>
    </row>
    <row r="48" spans="2:4" x14ac:dyDescent="0.2">
      <c r="B48" s="20"/>
      <c r="C48" s="94"/>
      <c r="D48" s="95"/>
    </row>
    <row r="49" spans="2:4" x14ac:dyDescent="0.2">
      <c r="B49" s="20"/>
      <c r="C49" s="94"/>
      <c r="D49" s="95"/>
    </row>
    <row r="50" spans="2:4" x14ac:dyDescent="0.2">
      <c r="B50" s="20"/>
      <c r="C50" s="94"/>
      <c r="D50" s="95"/>
    </row>
    <row r="51" spans="2:4" x14ac:dyDescent="0.2">
      <c r="B51" s="20"/>
      <c r="C51" s="94"/>
      <c r="D51" s="95"/>
    </row>
    <row r="52" spans="2:4" x14ac:dyDescent="0.2">
      <c r="B52" s="20"/>
      <c r="C52" s="94"/>
      <c r="D52" s="95"/>
    </row>
    <row r="53" spans="2:4" x14ac:dyDescent="0.2">
      <c r="B53" s="20"/>
      <c r="C53" s="94"/>
      <c r="D53" s="95"/>
    </row>
    <row r="54" spans="2:4" x14ac:dyDescent="0.2">
      <c r="B54" s="20"/>
      <c r="C54" s="94"/>
      <c r="D54" s="95"/>
    </row>
    <row r="55" spans="2:4" x14ac:dyDescent="0.2">
      <c r="C55" s="94"/>
      <c r="D55" s="95"/>
    </row>
  </sheetData>
  <mergeCells count="10">
    <mergeCell ref="B20:B23"/>
    <mergeCell ref="B24:B27"/>
    <mergeCell ref="B28:B30"/>
    <mergeCell ref="B31:B33"/>
    <mergeCell ref="B34:B36"/>
    <mergeCell ref="B3:B5"/>
    <mergeCell ref="B6:B9"/>
    <mergeCell ref="B10:B11"/>
    <mergeCell ref="B12:B15"/>
    <mergeCell ref="B16:B19"/>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zoomScaleNormal="100" workbookViewId="0">
      <selection activeCell="Q39" sqref="Q39:Q40"/>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35" t="s">
        <v>103</v>
      </c>
    </row>
    <row r="2" spans="2:38" x14ac:dyDescent="0.2">
      <c r="B2" s="113" t="s">
        <v>104</v>
      </c>
      <c r="C2" s="1"/>
      <c r="D2" s="121" t="s">
        <v>105</v>
      </c>
      <c r="E2" s="121"/>
      <c r="F2" s="121"/>
      <c r="G2" s="1"/>
      <c r="H2" s="123" t="s">
        <v>106</v>
      </c>
      <c r="I2" s="121"/>
      <c r="J2" s="121"/>
      <c r="K2" s="1"/>
      <c r="L2" s="123" t="s">
        <v>107</v>
      </c>
      <c r="M2" s="121"/>
      <c r="N2" s="122"/>
      <c r="T2" s="36">
        <v>3</v>
      </c>
      <c r="U2" s="135"/>
      <c r="V2" s="125" t="s">
        <v>108</v>
      </c>
      <c r="W2" s="126"/>
      <c r="X2" s="121" t="s">
        <v>109</v>
      </c>
      <c r="Y2" s="121"/>
      <c r="Z2" s="121" t="s">
        <v>110</v>
      </c>
      <c r="AA2" s="122"/>
      <c r="AE2" s="113" t="s">
        <v>17</v>
      </c>
      <c r="AF2" s="1"/>
      <c r="AG2" s="43" t="s">
        <v>111</v>
      </c>
      <c r="AH2" s="2" t="s">
        <v>19</v>
      </c>
      <c r="AI2" s="2"/>
      <c r="AJ2" s="2" t="s">
        <v>112</v>
      </c>
      <c r="AK2" s="2" t="s">
        <v>113</v>
      </c>
      <c r="AL2" s="26" t="s">
        <v>114</v>
      </c>
    </row>
    <row r="3" spans="2:38" x14ac:dyDescent="0.2">
      <c r="B3" s="114"/>
      <c r="D3" s="3" t="s">
        <v>115</v>
      </c>
      <c r="E3" s="3" t="s">
        <v>116</v>
      </c>
      <c r="F3" s="3" t="s">
        <v>117</v>
      </c>
      <c r="H3" s="3" t="s">
        <v>115</v>
      </c>
      <c r="I3" s="3" t="s">
        <v>116</v>
      </c>
      <c r="J3" s="3" t="s">
        <v>117</v>
      </c>
      <c r="L3" s="3" t="s">
        <v>115</v>
      </c>
      <c r="M3" s="3" t="s">
        <v>116</v>
      </c>
      <c r="N3" s="27" t="s">
        <v>117</v>
      </c>
      <c r="V3" s="37" t="s">
        <v>118</v>
      </c>
      <c r="W3" s="38" t="s">
        <v>119</v>
      </c>
      <c r="X3" s="38" t="s">
        <v>118</v>
      </c>
      <c r="Y3" s="38" t="s">
        <v>119</v>
      </c>
      <c r="Z3" s="38" t="s">
        <v>118</v>
      </c>
      <c r="AA3" s="50" t="s">
        <v>119</v>
      </c>
      <c r="AE3" s="114"/>
      <c r="AG3" s="63"/>
      <c r="AH3" s="64"/>
      <c r="AI3" s="64"/>
      <c r="AJ3" s="64"/>
      <c r="AK3" s="64"/>
      <c r="AL3" s="65"/>
    </row>
    <row r="4" spans="2:38" x14ac:dyDescent="0.2">
      <c r="B4" s="114"/>
      <c r="C4" s="4" t="s">
        <v>120</v>
      </c>
      <c r="D4" s="5">
        <v>25</v>
      </c>
      <c r="E4" s="5">
        <v>35</v>
      </c>
      <c r="F4" s="5">
        <v>45</v>
      </c>
      <c r="H4" s="5">
        <v>35</v>
      </c>
      <c r="I4" s="5">
        <v>45</v>
      </c>
      <c r="J4" s="5">
        <v>55</v>
      </c>
      <c r="L4" s="5">
        <v>65</v>
      </c>
      <c r="M4" s="5">
        <v>80</v>
      </c>
      <c r="N4" s="28">
        <v>95</v>
      </c>
      <c r="U4">
        <f>IF(T$2=1,W4,IF(T$2=2,Y4,AA4))</f>
        <v>75.323547775964002</v>
      </c>
      <c r="V4" s="37">
        <f>(F4-D4)/6</f>
        <v>3.3333333333333335</v>
      </c>
      <c r="W4" s="39">
        <v>35.8131387310261</v>
      </c>
      <c r="X4" s="38">
        <f>(J4-H4)/6</f>
        <v>3.3333333333333335</v>
      </c>
      <c r="Y4" s="39">
        <v>44.275707023036802</v>
      </c>
      <c r="Z4" s="38">
        <f>(N4-L4)/6</f>
        <v>5</v>
      </c>
      <c r="AA4" s="59">
        <v>75.323547775964002</v>
      </c>
      <c r="AE4" s="114"/>
      <c r="AF4" s="4" t="s">
        <v>20</v>
      </c>
      <c r="AG4" s="66">
        <f>AH4*U4</f>
        <v>71898.230211131275</v>
      </c>
      <c r="AH4" s="67">
        <v>954.52527574749001</v>
      </c>
      <c r="AI4" s="68"/>
      <c r="AJ4" s="68">
        <v>700</v>
      </c>
      <c r="AK4" s="68">
        <v>800</v>
      </c>
      <c r="AL4" s="69">
        <v>1000</v>
      </c>
    </row>
    <row r="5" spans="2:38" x14ac:dyDescent="0.2">
      <c r="B5" s="115"/>
      <c r="C5" s="6" t="s">
        <v>121</v>
      </c>
      <c r="D5" s="7">
        <v>35</v>
      </c>
      <c r="E5" s="7">
        <v>45</v>
      </c>
      <c r="F5" s="7">
        <v>55</v>
      </c>
      <c r="G5" s="8"/>
      <c r="H5" s="7">
        <v>27</v>
      </c>
      <c r="I5" s="7">
        <v>30</v>
      </c>
      <c r="J5" s="7">
        <v>33</v>
      </c>
      <c r="K5" s="8"/>
      <c r="L5" s="7">
        <v>5</v>
      </c>
      <c r="M5" s="7">
        <v>10</v>
      </c>
      <c r="N5" s="29">
        <v>15</v>
      </c>
      <c r="U5">
        <f>IF(T$2=1,W5,IF(T$2=2,Y5,AA5))</f>
        <v>24.6848684030154</v>
      </c>
      <c r="V5" s="40">
        <f>(F5-D5)/6</f>
        <v>3.3333333333333335</v>
      </c>
      <c r="W5" s="41">
        <v>49.488512795699798</v>
      </c>
      <c r="X5" s="42">
        <f>(J5-H5)/6</f>
        <v>1</v>
      </c>
      <c r="Y5" s="41">
        <v>29.441303665410299</v>
      </c>
      <c r="Z5" s="42">
        <f>(N5-L5)/6</f>
        <v>1.6666666666666667</v>
      </c>
      <c r="AA5" s="60">
        <v>24.6848684030154</v>
      </c>
      <c r="AE5" s="115"/>
      <c r="AF5" s="6" t="s">
        <v>26</v>
      </c>
      <c r="AG5" s="70"/>
      <c r="AH5" s="71"/>
      <c r="AI5" s="71"/>
      <c r="AJ5" s="71"/>
      <c r="AK5" s="71"/>
      <c r="AL5" s="72"/>
    </row>
    <row r="6" spans="2:38" ht="15" x14ac:dyDescent="0.2">
      <c r="B6" s="9"/>
      <c r="T6" s="14" t="s">
        <v>122</v>
      </c>
      <c r="AE6" s="9"/>
      <c r="AG6" s="73"/>
      <c r="AH6" s="73"/>
      <c r="AI6" s="73"/>
      <c r="AJ6" s="73"/>
      <c r="AK6" s="73"/>
      <c r="AL6" s="73"/>
    </row>
    <row r="7" spans="2:38" x14ac:dyDescent="0.2">
      <c r="B7" s="113" t="s">
        <v>123</v>
      </c>
      <c r="C7" s="1"/>
      <c r="D7" s="121" t="s">
        <v>124</v>
      </c>
      <c r="E7" s="121"/>
      <c r="F7" s="121"/>
      <c r="G7" s="1"/>
      <c r="H7" s="121" t="s">
        <v>125</v>
      </c>
      <c r="I7" s="121"/>
      <c r="J7" s="121"/>
      <c r="K7" s="1"/>
      <c r="L7" s="121" t="s">
        <v>202</v>
      </c>
      <c r="M7" s="121"/>
      <c r="N7" s="121"/>
      <c r="O7" s="1"/>
      <c r="P7" s="123" t="s">
        <v>126</v>
      </c>
      <c r="Q7" s="121"/>
      <c r="R7" s="122"/>
      <c r="T7" s="36">
        <v>4</v>
      </c>
      <c r="V7" s="124" t="s">
        <v>127</v>
      </c>
      <c r="W7" s="121"/>
      <c r="X7" s="121" t="s">
        <v>128</v>
      </c>
      <c r="Y7" s="121"/>
      <c r="Z7" s="121" t="s">
        <v>129</v>
      </c>
      <c r="AA7" s="121"/>
      <c r="AB7" s="127" t="s">
        <v>130</v>
      </c>
      <c r="AC7" s="128"/>
      <c r="AE7" s="113" t="s">
        <v>28</v>
      </c>
      <c r="AF7" s="1"/>
      <c r="AG7" s="74" t="s">
        <v>111</v>
      </c>
      <c r="AH7" s="75" t="s">
        <v>19</v>
      </c>
      <c r="AI7" s="75"/>
      <c r="AJ7" s="75" t="s">
        <v>112</v>
      </c>
      <c r="AK7" s="75" t="s">
        <v>113</v>
      </c>
      <c r="AL7" s="76" t="s">
        <v>114</v>
      </c>
    </row>
    <row r="8" spans="2:38" x14ac:dyDescent="0.2">
      <c r="B8" s="114"/>
      <c r="C8" s="4"/>
      <c r="D8" s="3" t="s">
        <v>115</v>
      </c>
      <c r="E8" s="3" t="s">
        <v>116</v>
      </c>
      <c r="F8" s="3" t="s">
        <v>117</v>
      </c>
      <c r="H8" s="3" t="s">
        <v>115</v>
      </c>
      <c r="I8" s="3" t="s">
        <v>116</v>
      </c>
      <c r="J8" s="3" t="s">
        <v>117</v>
      </c>
      <c r="L8" s="3" t="s">
        <v>115</v>
      </c>
      <c r="M8" s="3" t="s">
        <v>116</v>
      </c>
      <c r="N8" s="3" t="s">
        <v>117</v>
      </c>
      <c r="P8" s="3" t="s">
        <v>115</v>
      </c>
      <c r="Q8" s="3" t="s">
        <v>116</v>
      </c>
      <c r="R8" s="27" t="s">
        <v>117</v>
      </c>
      <c r="V8" s="37" t="s">
        <v>118</v>
      </c>
      <c r="W8" s="38" t="s">
        <v>119</v>
      </c>
      <c r="X8" s="38" t="s">
        <v>118</v>
      </c>
      <c r="Y8" s="38" t="s">
        <v>119</v>
      </c>
      <c r="Z8" s="38" t="s">
        <v>118</v>
      </c>
      <c r="AA8" s="38" t="s">
        <v>119</v>
      </c>
      <c r="AB8" s="38" t="s">
        <v>118</v>
      </c>
      <c r="AC8" s="50" t="s">
        <v>119</v>
      </c>
      <c r="AE8" s="114"/>
      <c r="AF8" s="4"/>
      <c r="AG8" s="66"/>
      <c r="AH8" s="68"/>
      <c r="AI8" s="68"/>
      <c r="AJ8" s="68"/>
      <c r="AK8" s="68"/>
      <c r="AL8" s="69"/>
    </row>
    <row r="9" spans="2:38" x14ac:dyDescent="0.2">
      <c r="B9" s="114"/>
      <c r="C9" s="4" t="s">
        <v>120</v>
      </c>
      <c r="D9" s="10">
        <v>1</v>
      </c>
      <c r="E9" s="10">
        <v>4</v>
      </c>
      <c r="F9" s="10">
        <v>7</v>
      </c>
      <c r="H9" s="10">
        <v>7</v>
      </c>
      <c r="I9" s="10">
        <v>10</v>
      </c>
      <c r="J9" s="10">
        <v>13</v>
      </c>
      <c r="L9" s="10">
        <v>18</v>
      </c>
      <c r="M9" s="10">
        <v>20</v>
      </c>
      <c r="N9" s="10">
        <v>22</v>
      </c>
      <c r="P9" s="10">
        <v>22</v>
      </c>
      <c r="Q9" s="10">
        <v>23</v>
      </c>
      <c r="R9" s="30">
        <v>24</v>
      </c>
      <c r="U9">
        <f>IF(T$7=1,W9,IF(T$7=2,Y9,IF(T$7=3,AA9,AC9)))</f>
        <v>10.1687597504175</v>
      </c>
      <c r="V9" s="37">
        <f>(F9-D9)/6</f>
        <v>1</v>
      </c>
      <c r="W9" s="39">
        <v>3.12414241279739</v>
      </c>
      <c r="X9" s="38">
        <f>(J9-H9)/6</f>
        <v>1</v>
      </c>
      <c r="Y9" s="39">
        <v>8.7522633634921192</v>
      </c>
      <c r="Z9" s="38">
        <f>(N9-L9)/6</f>
        <v>0.66666666666666663</v>
      </c>
      <c r="AA9" s="39">
        <v>19.8563471792786</v>
      </c>
      <c r="AB9" s="38">
        <f>(R9-P9)/6</f>
        <v>0.33333333333333331</v>
      </c>
      <c r="AC9" s="59">
        <v>10.1687597504175</v>
      </c>
      <c r="AE9" s="114"/>
      <c r="AF9" s="4" t="s">
        <v>20</v>
      </c>
      <c r="AG9" s="66">
        <f>AH9*U9</f>
        <v>8414.9352154278931</v>
      </c>
      <c r="AH9" s="77">
        <v>827.52817668668001</v>
      </c>
      <c r="AI9" s="68"/>
      <c r="AJ9" s="68">
        <v>700</v>
      </c>
      <c r="AK9" s="68">
        <v>800</v>
      </c>
      <c r="AL9" s="69">
        <v>1000</v>
      </c>
    </row>
    <row r="10" spans="2:38" x14ac:dyDescent="0.2">
      <c r="B10" s="115"/>
      <c r="C10" s="6" t="s">
        <v>121</v>
      </c>
      <c r="D10" s="11">
        <v>0.25</v>
      </c>
      <c r="E10" s="11">
        <v>0.4</v>
      </c>
      <c r="F10" s="11">
        <v>0.55000000000000004</v>
      </c>
      <c r="G10" s="12"/>
      <c r="H10" s="11">
        <v>0.5</v>
      </c>
      <c r="I10" s="11">
        <v>0.55000000000000004</v>
      </c>
      <c r="J10" s="11">
        <v>0.6</v>
      </c>
      <c r="K10" s="12"/>
      <c r="L10" s="11">
        <v>0.75</v>
      </c>
      <c r="M10" s="11">
        <v>0.8</v>
      </c>
      <c r="N10" s="11">
        <v>0.85</v>
      </c>
      <c r="O10" s="12"/>
      <c r="P10" s="11">
        <v>0.05</v>
      </c>
      <c r="Q10" s="11">
        <v>0.1</v>
      </c>
      <c r="R10" s="34">
        <v>0.15</v>
      </c>
      <c r="U10" s="44">
        <f>IF(T$7=1,W10,IF(T$7=2,Y10,IF(T$7=3,AA10,AC10)))</f>
        <v>0.71964608334873204</v>
      </c>
      <c r="V10" s="40">
        <f>(F10-D10)/6</f>
        <v>5.000000000000001E-2</v>
      </c>
      <c r="W10" s="41">
        <v>0.39970865837388098</v>
      </c>
      <c r="X10" s="42">
        <f>(J10-H10)/6</f>
        <v>1.6666666666666663E-2</v>
      </c>
      <c r="Y10" s="41">
        <v>0.584717263502888</v>
      </c>
      <c r="Z10" s="42">
        <f>(N10-L10)/6</f>
        <v>1.6666666666666663E-2</v>
      </c>
      <c r="AA10" s="41">
        <v>0.86142897262255702</v>
      </c>
      <c r="AB10" s="42">
        <f>(R10-P10)/6</f>
        <v>1.6666666666666666E-2</v>
      </c>
      <c r="AC10" s="60">
        <v>0.71964608334873204</v>
      </c>
      <c r="AE10" s="115"/>
      <c r="AF10" s="6" t="s">
        <v>26</v>
      </c>
      <c r="AG10" s="70">
        <f>U5*U10*AH10</f>
        <v>15756.068864244759</v>
      </c>
      <c r="AH10" s="78">
        <v>886.94785526490602</v>
      </c>
      <c r="AI10" s="71"/>
      <c r="AJ10" s="71">
        <f>0.85*AK10</f>
        <v>3400</v>
      </c>
      <c r="AK10" s="71">
        <v>4000</v>
      </c>
      <c r="AL10" s="72">
        <f>1.15*AK10</f>
        <v>4600</v>
      </c>
    </row>
    <row r="11" spans="2:38" ht="15" x14ac:dyDescent="0.2">
      <c r="B11" s="9"/>
      <c r="C11" s="4"/>
      <c r="T11" s="14" t="s">
        <v>131</v>
      </c>
      <c r="AE11" s="9"/>
      <c r="AF11" s="4"/>
      <c r="AG11" s="79"/>
      <c r="AH11" s="79"/>
      <c r="AI11" s="79"/>
      <c r="AJ11" s="79"/>
      <c r="AK11" s="79"/>
      <c r="AL11" s="79"/>
    </row>
    <row r="12" spans="2:38" x14ac:dyDescent="0.2">
      <c r="B12" s="113" t="s">
        <v>132</v>
      </c>
      <c r="C12" s="13"/>
      <c r="D12" s="123" t="s">
        <v>133</v>
      </c>
      <c r="E12" s="121"/>
      <c r="F12" s="121"/>
      <c r="G12" s="1"/>
      <c r="H12" s="121" t="s">
        <v>134</v>
      </c>
      <c r="I12" s="121"/>
      <c r="J12" s="122"/>
      <c r="L12" s="129"/>
      <c r="M12" s="129"/>
      <c r="N12" s="129"/>
      <c r="T12" s="36">
        <v>2</v>
      </c>
      <c r="V12" s="124" t="s">
        <v>135</v>
      </c>
      <c r="W12" s="121"/>
      <c r="X12" s="121" t="s">
        <v>136</v>
      </c>
      <c r="Y12" s="122"/>
      <c r="AE12" s="113" t="s">
        <v>31</v>
      </c>
      <c r="AF12" s="13"/>
      <c r="AG12" s="74" t="s">
        <v>111</v>
      </c>
      <c r="AH12" s="75" t="s">
        <v>19</v>
      </c>
      <c r="AI12" s="75"/>
      <c r="AJ12" s="75" t="s">
        <v>112</v>
      </c>
      <c r="AK12" s="75" t="s">
        <v>113</v>
      </c>
      <c r="AL12" s="76" t="s">
        <v>114</v>
      </c>
    </row>
    <row r="13" spans="2:38" x14ac:dyDescent="0.2">
      <c r="B13" s="114"/>
      <c r="C13" s="4"/>
      <c r="D13" s="3" t="s">
        <v>115</v>
      </c>
      <c r="E13" s="3" t="s">
        <v>116</v>
      </c>
      <c r="F13" s="3" t="s">
        <v>117</v>
      </c>
      <c r="H13" s="3" t="s">
        <v>115</v>
      </c>
      <c r="I13" s="3" t="s">
        <v>116</v>
      </c>
      <c r="J13" s="27" t="s">
        <v>117</v>
      </c>
      <c r="L13" s="14"/>
      <c r="M13" s="14"/>
      <c r="N13" s="14"/>
      <c r="V13" s="37" t="s">
        <v>118</v>
      </c>
      <c r="W13" s="38" t="s">
        <v>119</v>
      </c>
      <c r="X13" s="38" t="s">
        <v>118</v>
      </c>
      <c r="Y13" s="50" t="s">
        <v>119</v>
      </c>
      <c r="AE13" s="114"/>
      <c r="AF13" s="4"/>
      <c r="AG13" s="66"/>
      <c r="AH13" s="68"/>
      <c r="AI13" s="68"/>
      <c r="AJ13" s="68"/>
      <c r="AK13" s="68"/>
      <c r="AL13" s="69"/>
    </row>
    <row r="14" spans="2:38" x14ac:dyDescent="0.2">
      <c r="B14" s="114"/>
      <c r="C14" s="4" t="s">
        <v>120</v>
      </c>
      <c r="D14" s="10">
        <v>50</v>
      </c>
      <c r="E14" s="10">
        <v>60</v>
      </c>
      <c r="F14" s="10">
        <v>70</v>
      </c>
      <c r="G14" s="14"/>
      <c r="H14" s="10">
        <v>65</v>
      </c>
      <c r="I14" s="10">
        <v>75</v>
      </c>
      <c r="J14" s="30">
        <v>85</v>
      </c>
      <c r="L14" s="14"/>
      <c r="M14" s="14"/>
      <c r="N14" s="14"/>
      <c r="U14">
        <f>IF(T$12=1,W14,Y14)</f>
        <v>72.167572238911902</v>
      </c>
      <c r="V14" s="37">
        <f>(F14-D14)/6</f>
        <v>3.3333333333333335</v>
      </c>
      <c r="W14" s="39">
        <v>55.731568237323899</v>
      </c>
      <c r="X14" s="38">
        <f>(J14-H14)/6</f>
        <v>3.3333333333333335</v>
      </c>
      <c r="Y14" s="59">
        <v>72.167572238911902</v>
      </c>
      <c r="AE14" s="114"/>
      <c r="AF14" s="4" t="s">
        <v>20</v>
      </c>
      <c r="AG14" s="66">
        <f>AH14*U14</f>
        <v>57593.057644792163</v>
      </c>
      <c r="AH14" s="77">
        <v>798.04621186548195</v>
      </c>
      <c r="AI14" s="68"/>
      <c r="AJ14" s="68">
        <v>700</v>
      </c>
      <c r="AK14" s="68">
        <v>800</v>
      </c>
      <c r="AL14" s="69">
        <v>1000</v>
      </c>
    </row>
    <row r="15" spans="2:38" x14ac:dyDescent="0.2">
      <c r="B15" s="115"/>
      <c r="C15" s="6" t="s">
        <v>121</v>
      </c>
      <c r="D15" s="15">
        <v>25</v>
      </c>
      <c r="E15" s="15">
        <v>35</v>
      </c>
      <c r="F15" s="15">
        <v>45</v>
      </c>
      <c r="G15" s="16"/>
      <c r="H15" s="15">
        <v>15</v>
      </c>
      <c r="I15" s="15">
        <v>20</v>
      </c>
      <c r="J15" s="31">
        <v>25</v>
      </c>
      <c r="U15">
        <f>IF(T$12=1,W15,Y15)</f>
        <v>20.1977784582241</v>
      </c>
      <c r="V15" s="40">
        <f>(F15-D15)/6</f>
        <v>3.3333333333333335</v>
      </c>
      <c r="W15" s="41">
        <v>46.076732326255097</v>
      </c>
      <c r="X15" s="42">
        <f>(J15-H15)/6</f>
        <v>1.6666666666666667</v>
      </c>
      <c r="Y15" s="60">
        <v>20.1977784582241</v>
      </c>
      <c r="AE15" s="115"/>
      <c r="AF15" s="6" t="s">
        <v>26</v>
      </c>
      <c r="AG15" s="70"/>
      <c r="AH15" s="71"/>
      <c r="AI15" s="71"/>
      <c r="AJ15" s="71"/>
      <c r="AK15" s="71"/>
      <c r="AL15" s="72"/>
    </row>
    <row r="16" spans="2:38" ht="15" x14ac:dyDescent="0.2">
      <c r="B16" s="9"/>
      <c r="C16" s="4"/>
      <c r="T16" s="14" t="s">
        <v>137</v>
      </c>
      <c r="AE16" s="9"/>
      <c r="AF16" s="4"/>
      <c r="AG16" s="79"/>
      <c r="AH16" s="79"/>
      <c r="AI16" s="79"/>
      <c r="AJ16" s="79"/>
      <c r="AK16" s="79"/>
      <c r="AL16" s="79"/>
    </row>
    <row r="17" spans="1:38" x14ac:dyDescent="0.2">
      <c r="B17" s="113" t="s">
        <v>138</v>
      </c>
      <c r="C17" s="13"/>
      <c r="D17" s="121" t="s">
        <v>124</v>
      </c>
      <c r="E17" s="121"/>
      <c r="F17" s="121"/>
      <c r="G17" s="1"/>
      <c r="H17" s="121" t="s">
        <v>125</v>
      </c>
      <c r="I17" s="121"/>
      <c r="J17" s="121"/>
      <c r="K17" s="1"/>
      <c r="L17" s="121" t="s">
        <v>202</v>
      </c>
      <c r="M17" s="121"/>
      <c r="N17" s="121"/>
      <c r="O17" s="1"/>
      <c r="P17" s="123" t="s">
        <v>126</v>
      </c>
      <c r="Q17" s="121"/>
      <c r="R17" s="122"/>
      <c r="T17" s="36">
        <v>4</v>
      </c>
      <c r="V17" s="124" t="s">
        <v>127</v>
      </c>
      <c r="W17" s="121"/>
      <c r="X17" s="121" t="s">
        <v>128</v>
      </c>
      <c r="Y17" s="121"/>
      <c r="Z17" s="121" t="s">
        <v>129</v>
      </c>
      <c r="AA17" s="121"/>
      <c r="AB17" s="127" t="s">
        <v>130</v>
      </c>
      <c r="AC17" s="128"/>
      <c r="AE17" s="113" t="s">
        <v>32</v>
      </c>
      <c r="AF17" s="13"/>
      <c r="AG17" s="74" t="s">
        <v>111</v>
      </c>
      <c r="AH17" s="75" t="s">
        <v>19</v>
      </c>
      <c r="AI17" s="75"/>
      <c r="AJ17" s="75" t="s">
        <v>112</v>
      </c>
      <c r="AK17" s="75" t="s">
        <v>113</v>
      </c>
      <c r="AL17" s="76" t="s">
        <v>114</v>
      </c>
    </row>
    <row r="18" spans="1:38" x14ac:dyDescent="0.2">
      <c r="B18" s="114"/>
      <c r="C18" s="4"/>
      <c r="D18" s="3" t="s">
        <v>115</v>
      </c>
      <c r="E18" s="3" t="s">
        <v>116</v>
      </c>
      <c r="F18" s="3" t="s">
        <v>117</v>
      </c>
      <c r="H18" s="3" t="s">
        <v>115</v>
      </c>
      <c r="I18" s="3" t="s">
        <v>116</v>
      </c>
      <c r="J18" s="3" t="s">
        <v>117</v>
      </c>
      <c r="L18" s="3" t="s">
        <v>115</v>
      </c>
      <c r="M18" s="3" t="s">
        <v>116</v>
      </c>
      <c r="N18" s="3" t="s">
        <v>117</v>
      </c>
      <c r="P18" s="3" t="s">
        <v>115</v>
      </c>
      <c r="Q18" s="3" t="s">
        <v>116</v>
      </c>
      <c r="R18" s="27" t="s">
        <v>117</v>
      </c>
      <c r="V18" s="37" t="s">
        <v>118</v>
      </c>
      <c r="W18" s="38" t="s">
        <v>119</v>
      </c>
      <c r="X18" s="38" t="s">
        <v>118</v>
      </c>
      <c r="Y18" s="38" t="s">
        <v>119</v>
      </c>
      <c r="Z18" s="38" t="s">
        <v>118</v>
      </c>
      <c r="AA18" s="38" t="s">
        <v>119</v>
      </c>
      <c r="AB18" s="38" t="s">
        <v>118</v>
      </c>
      <c r="AC18" s="50" t="s">
        <v>119</v>
      </c>
      <c r="AE18" s="114"/>
      <c r="AF18" s="4"/>
      <c r="AG18" s="66"/>
      <c r="AH18" s="68"/>
      <c r="AI18" s="68"/>
      <c r="AJ18" s="68"/>
      <c r="AK18" s="68"/>
      <c r="AL18" s="69"/>
    </row>
    <row r="19" spans="1:38" x14ac:dyDescent="0.2">
      <c r="B19" s="114"/>
      <c r="C19" s="4" t="s">
        <v>120</v>
      </c>
      <c r="D19" s="10">
        <v>5</v>
      </c>
      <c r="E19" s="10">
        <v>12</v>
      </c>
      <c r="F19" s="10">
        <v>19</v>
      </c>
      <c r="G19" s="14"/>
      <c r="H19" s="10">
        <v>15</v>
      </c>
      <c r="I19" s="10">
        <v>20</v>
      </c>
      <c r="J19" s="10">
        <v>25</v>
      </c>
      <c r="K19" s="14"/>
      <c r="L19" s="10">
        <v>25</v>
      </c>
      <c r="M19" s="10">
        <v>35</v>
      </c>
      <c r="N19" s="10">
        <v>45</v>
      </c>
      <c r="O19" s="14"/>
      <c r="P19" s="10">
        <v>45</v>
      </c>
      <c r="Q19" s="10">
        <v>46</v>
      </c>
      <c r="R19" s="30">
        <v>48</v>
      </c>
      <c r="U19">
        <f>IF(T$17=1,W19,IF(T$17=2,Y19,IF(T$17=3,AA19,AC19)))</f>
        <v>7.0396389895773499</v>
      </c>
      <c r="V19" s="37">
        <f>(F19-D19)/6</f>
        <v>2.3333333333333335</v>
      </c>
      <c r="W19" s="39">
        <v>9.6240455909647196</v>
      </c>
      <c r="X19" s="38">
        <f>(J19-H19)/6</f>
        <v>1.6666666666666667</v>
      </c>
      <c r="Y19" s="39">
        <v>22.283031109223401</v>
      </c>
      <c r="Z19" s="38">
        <f>(N19-L19)/6</f>
        <v>3.3333333333333335</v>
      </c>
      <c r="AA19" s="39">
        <v>32.289564460258703</v>
      </c>
      <c r="AB19" s="38">
        <f>(R19-P19)/6</f>
        <v>0.5</v>
      </c>
      <c r="AC19" s="59">
        <v>7.0396389895773499</v>
      </c>
      <c r="AE19" s="114"/>
      <c r="AF19" s="4" t="s">
        <v>20</v>
      </c>
      <c r="AG19" s="66">
        <f>AH19*U19</f>
        <v>5309.3973318854805</v>
      </c>
      <c r="AH19" s="77">
        <v>754.21443340296196</v>
      </c>
      <c r="AI19" s="68"/>
      <c r="AJ19" s="68">
        <v>700</v>
      </c>
      <c r="AK19" s="68">
        <v>800</v>
      </c>
      <c r="AL19" s="69">
        <v>1000</v>
      </c>
    </row>
    <row r="20" spans="1:38" x14ac:dyDescent="0.2">
      <c r="B20" s="115"/>
      <c r="C20" s="6" t="s">
        <v>121</v>
      </c>
      <c r="D20" s="11">
        <v>0.25</v>
      </c>
      <c r="E20" s="11">
        <v>0.4</v>
      </c>
      <c r="F20" s="11">
        <v>0.55000000000000004</v>
      </c>
      <c r="G20" s="17"/>
      <c r="H20" s="11">
        <v>0.5</v>
      </c>
      <c r="I20" s="11">
        <v>0.55000000000000004</v>
      </c>
      <c r="J20" s="11">
        <v>0.6</v>
      </c>
      <c r="K20" s="17"/>
      <c r="L20" s="11">
        <v>0.54</v>
      </c>
      <c r="M20" s="11">
        <v>0.59</v>
      </c>
      <c r="N20" s="11">
        <v>0.64</v>
      </c>
      <c r="O20" s="17"/>
      <c r="P20" s="11">
        <v>0.05</v>
      </c>
      <c r="Q20" s="11">
        <v>0.1</v>
      </c>
      <c r="R20" s="34">
        <v>0.15</v>
      </c>
      <c r="U20" s="44">
        <f>IF(T$17=1,W20,IF(T$17=2,Y20,IF(T$17=3,AA20,AC20)))</f>
        <v>0.70204950083080697</v>
      </c>
      <c r="V20" s="40">
        <f>(F20-D20)/6</f>
        <v>5.000000000000001E-2</v>
      </c>
      <c r="W20" s="41">
        <v>0.39486266278396998</v>
      </c>
      <c r="X20" s="42">
        <f>(J20-H20)/6</f>
        <v>1.6666666666666663E-2</v>
      </c>
      <c r="Y20" s="41">
        <v>0.55844736890647695</v>
      </c>
      <c r="Z20" s="42">
        <f>(N20-L20)/6</f>
        <v>1.6666666666666663E-2</v>
      </c>
      <c r="AA20" s="41">
        <v>0.80849020454197995</v>
      </c>
      <c r="AB20" s="42">
        <f>(R20-P20)/6</f>
        <v>1.6666666666666666E-2</v>
      </c>
      <c r="AC20" s="60">
        <v>0.70204950083080697</v>
      </c>
      <c r="AE20" s="115"/>
      <c r="AF20" s="6" t="s">
        <v>26</v>
      </c>
      <c r="AG20" s="70">
        <f>(U$5*(1-U$10)+U$15)*U20*AH20</f>
        <v>27002.252498904967</v>
      </c>
      <c r="AH20" s="78">
        <v>1418.30668752479</v>
      </c>
      <c r="AI20" s="71"/>
      <c r="AJ20" s="71">
        <f>0.85*AK20</f>
        <v>3400</v>
      </c>
      <c r="AK20" s="71">
        <v>4000</v>
      </c>
      <c r="AL20" s="72">
        <f>1.15*AK20</f>
        <v>4600</v>
      </c>
    </row>
    <row r="21" spans="1:38" ht="15" x14ac:dyDescent="0.2">
      <c r="B21" s="9"/>
      <c r="C21" s="4"/>
      <c r="T21" s="14" t="s">
        <v>139</v>
      </c>
      <c r="AE21" s="9"/>
      <c r="AF21" s="4"/>
      <c r="AG21" s="79"/>
      <c r="AH21" s="79"/>
      <c r="AI21" s="79"/>
      <c r="AJ21" s="79"/>
      <c r="AK21" s="79"/>
      <c r="AL21" s="79"/>
    </row>
    <row r="22" spans="1:38" x14ac:dyDescent="0.2">
      <c r="B22" s="113" t="s">
        <v>140</v>
      </c>
      <c r="C22" s="13"/>
      <c r="D22" s="121" t="s">
        <v>141</v>
      </c>
      <c r="E22" s="121"/>
      <c r="F22" s="121"/>
      <c r="G22" s="1"/>
      <c r="H22" s="121" t="s">
        <v>142</v>
      </c>
      <c r="I22" s="121"/>
      <c r="J22" s="121"/>
      <c r="K22" s="1"/>
      <c r="L22" s="121" t="s">
        <v>68</v>
      </c>
      <c r="M22" s="121"/>
      <c r="N22" s="121"/>
      <c r="O22" s="1"/>
      <c r="P22" s="121" t="s">
        <v>143</v>
      </c>
      <c r="Q22" s="121"/>
      <c r="R22" s="122"/>
      <c r="T22" s="36">
        <v>4</v>
      </c>
      <c r="V22" s="130" t="s">
        <v>144</v>
      </c>
      <c r="W22" s="131"/>
      <c r="X22" s="131" t="s">
        <v>145</v>
      </c>
      <c r="Y22" s="131"/>
      <c r="Z22" s="131" t="s">
        <v>146</v>
      </c>
      <c r="AA22" s="131"/>
      <c r="AB22" s="131" t="s">
        <v>147</v>
      </c>
      <c r="AC22" s="132"/>
      <c r="AE22" s="113" t="s">
        <v>33</v>
      </c>
      <c r="AF22" s="13"/>
      <c r="AG22" s="74" t="s">
        <v>111</v>
      </c>
      <c r="AH22" s="75" t="s">
        <v>19</v>
      </c>
      <c r="AI22" s="75"/>
      <c r="AJ22" s="75" t="s">
        <v>112</v>
      </c>
      <c r="AK22" s="75" t="s">
        <v>113</v>
      </c>
      <c r="AL22" s="76" t="s">
        <v>114</v>
      </c>
    </row>
    <row r="23" spans="1:38" x14ac:dyDescent="0.2">
      <c r="B23" s="114"/>
      <c r="C23" s="4"/>
      <c r="D23" s="3" t="s">
        <v>115</v>
      </c>
      <c r="E23" s="3" t="s">
        <v>116</v>
      </c>
      <c r="F23" s="3" t="s">
        <v>117</v>
      </c>
      <c r="H23" s="3" t="s">
        <v>115</v>
      </c>
      <c r="I23" s="3" t="s">
        <v>116</v>
      </c>
      <c r="J23" s="3" t="s">
        <v>117</v>
      </c>
      <c r="L23" s="3" t="s">
        <v>115</v>
      </c>
      <c r="M23" s="3" t="s">
        <v>116</v>
      </c>
      <c r="N23" s="3" t="s">
        <v>117</v>
      </c>
      <c r="P23" s="3" t="s">
        <v>115</v>
      </c>
      <c r="Q23" s="3" t="s">
        <v>116</v>
      </c>
      <c r="R23" s="27" t="s">
        <v>117</v>
      </c>
      <c r="V23" s="37" t="s">
        <v>118</v>
      </c>
      <c r="W23" s="38" t="s">
        <v>119</v>
      </c>
      <c r="X23" s="38" t="s">
        <v>118</v>
      </c>
      <c r="Y23" s="38" t="s">
        <v>119</v>
      </c>
      <c r="Z23" s="38" t="s">
        <v>118</v>
      </c>
      <c r="AA23" s="38" t="s">
        <v>119</v>
      </c>
      <c r="AB23" s="38" t="s">
        <v>118</v>
      </c>
      <c r="AC23" s="50" t="s">
        <v>119</v>
      </c>
      <c r="AE23" s="114"/>
      <c r="AF23" s="4"/>
      <c r="AG23" s="66"/>
      <c r="AH23" s="68"/>
      <c r="AI23" s="68"/>
      <c r="AJ23" s="68"/>
      <c r="AK23" s="68"/>
      <c r="AL23" s="69"/>
    </row>
    <row r="24" spans="1:38" x14ac:dyDescent="0.2">
      <c r="A24">
        <v>2</v>
      </c>
      <c r="B24" s="114"/>
      <c r="C24" s="4" t="s">
        <v>120</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102.20803773762201</v>
      </c>
      <c r="V24" s="37">
        <f>(F24-D24)/6</f>
        <v>50</v>
      </c>
      <c r="W24" s="39">
        <v>231.94731627798501</v>
      </c>
      <c r="X24" s="38">
        <f>(J24-H24)/6</f>
        <v>8.2333333333333396</v>
      </c>
      <c r="Y24" s="39">
        <v>239.99500478298799</v>
      </c>
      <c r="Z24" s="38">
        <f>(N24-L24)/6</f>
        <v>8.3333333333333339</v>
      </c>
      <c r="AA24" s="39">
        <v>131.60140136874401</v>
      </c>
      <c r="AB24" s="38">
        <f>(R24-P24)/6</f>
        <v>3.3333333333333335</v>
      </c>
      <c r="AC24" s="59">
        <v>102.20803773762201</v>
      </c>
      <c r="AE24" s="114"/>
      <c r="AF24" s="4" t="s">
        <v>20</v>
      </c>
      <c r="AG24" s="66">
        <f>AH24*U24</f>
        <v>86301.147220261337</v>
      </c>
      <c r="AH24" s="77">
        <v>844.36751874451204</v>
      </c>
      <c r="AI24" s="68"/>
      <c r="AJ24" s="68">
        <v>700</v>
      </c>
      <c r="AK24" s="68">
        <v>800</v>
      </c>
      <c r="AL24" s="69">
        <v>1000</v>
      </c>
    </row>
    <row r="25" spans="1:38" x14ac:dyDescent="0.2">
      <c r="B25" s="115"/>
      <c r="C25" s="6" t="s">
        <v>121</v>
      </c>
      <c r="D25" s="15">
        <v>200</v>
      </c>
      <c r="E25" s="15">
        <v>250</v>
      </c>
      <c r="F25" s="15">
        <v>300</v>
      </c>
      <c r="G25" s="16"/>
      <c r="H25" s="15">
        <f>0.9*I25</f>
        <v>171</v>
      </c>
      <c r="I25" s="15">
        <f>1*FP</f>
        <v>190</v>
      </c>
      <c r="J25" s="15">
        <f>1.1*I25</f>
        <v>209.00000000000003</v>
      </c>
      <c r="K25" s="16"/>
      <c r="L25" s="15">
        <v>90</v>
      </c>
      <c r="M25" s="15">
        <v>110</v>
      </c>
      <c r="N25" s="15">
        <v>130</v>
      </c>
      <c r="O25" s="16"/>
      <c r="P25" s="15">
        <v>29</v>
      </c>
      <c r="Q25" s="15">
        <v>34</v>
      </c>
      <c r="R25" s="31">
        <v>39</v>
      </c>
      <c r="U25">
        <f>IF(T$22=1,W25,IF(T$22=2,Y25,IF(T$22=3,AA25,AC25)))</f>
        <v>92.237119662544302</v>
      </c>
      <c r="V25" s="40">
        <f>(F25-D25)/6</f>
        <v>16.666666666666668</v>
      </c>
      <c r="W25" s="41">
        <v>235.706200372648</v>
      </c>
      <c r="X25" s="42">
        <f>(J25-H25)/6</f>
        <v>6.3333333333333384</v>
      </c>
      <c r="Y25" s="41">
        <v>190.91744331807499</v>
      </c>
      <c r="Z25" s="42">
        <f>(N25-L25)/6</f>
        <v>6.666666666666667</v>
      </c>
      <c r="AA25" s="41">
        <v>115.241710787823</v>
      </c>
      <c r="AB25" s="42">
        <f>(R25-P25)/6</f>
        <v>1.6666666666666667</v>
      </c>
      <c r="AC25" s="60">
        <v>92.237119662544302</v>
      </c>
      <c r="AE25" s="115"/>
      <c r="AF25" s="6" t="s">
        <v>26</v>
      </c>
      <c r="AG25" s="70"/>
      <c r="AH25" s="71"/>
      <c r="AI25" s="71"/>
      <c r="AJ25" s="71"/>
      <c r="AK25" s="71"/>
      <c r="AL25" s="72"/>
    </row>
    <row r="26" spans="1:38" ht="15" x14ac:dyDescent="0.2">
      <c r="B26" s="9"/>
      <c r="C26" s="4"/>
      <c r="T26" s="14" t="s">
        <v>148</v>
      </c>
      <c r="AE26" s="9"/>
      <c r="AF26" s="4"/>
      <c r="AG26" s="79"/>
      <c r="AH26" s="79"/>
      <c r="AI26" s="79"/>
      <c r="AJ26" s="79"/>
      <c r="AK26" s="79"/>
      <c r="AL26" s="79"/>
    </row>
    <row r="27" spans="1:38" x14ac:dyDescent="0.2">
      <c r="B27" s="113" t="s">
        <v>149</v>
      </c>
      <c r="C27" s="13"/>
      <c r="D27" s="121" t="s">
        <v>150</v>
      </c>
      <c r="E27" s="121"/>
      <c r="F27" s="121"/>
      <c r="G27" s="1"/>
      <c r="H27" s="121" t="s">
        <v>125</v>
      </c>
      <c r="I27" s="121"/>
      <c r="J27" s="121"/>
      <c r="K27" s="1"/>
      <c r="L27" s="121" t="s">
        <v>202</v>
      </c>
      <c r="M27" s="121"/>
      <c r="N27" s="121"/>
      <c r="O27" s="1"/>
      <c r="P27" s="123" t="s">
        <v>151</v>
      </c>
      <c r="Q27" s="121"/>
      <c r="R27" s="122"/>
      <c r="T27" s="36">
        <v>1</v>
      </c>
      <c r="V27" s="124" t="s">
        <v>127</v>
      </c>
      <c r="W27" s="121"/>
      <c r="X27" s="121" t="s">
        <v>128</v>
      </c>
      <c r="Y27" s="121"/>
      <c r="Z27" s="121" t="s">
        <v>129</v>
      </c>
      <c r="AA27" s="121"/>
      <c r="AB27" s="131" t="s">
        <v>130</v>
      </c>
      <c r="AC27" s="132"/>
      <c r="AE27" s="113" t="s">
        <v>34</v>
      </c>
      <c r="AF27" s="13"/>
      <c r="AG27" s="74" t="s">
        <v>111</v>
      </c>
      <c r="AH27" s="75" t="s">
        <v>19</v>
      </c>
      <c r="AI27" s="75"/>
      <c r="AJ27" s="75" t="s">
        <v>112</v>
      </c>
      <c r="AK27" s="75" t="s">
        <v>113</v>
      </c>
      <c r="AL27" s="76" t="s">
        <v>114</v>
      </c>
    </row>
    <row r="28" spans="1:38" x14ac:dyDescent="0.2">
      <c r="B28" s="114"/>
      <c r="C28" s="4"/>
      <c r="D28" s="3" t="s">
        <v>115</v>
      </c>
      <c r="E28" s="3" t="s">
        <v>116</v>
      </c>
      <c r="F28" s="3" t="s">
        <v>117</v>
      </c>
      <c r="H28" s="3" t="s">
        <v>115</v>
      </c>
      <c r="I28" s="3" t="s">
        <v>116</v>
      </c>
      <c r="J28" s="3" t="s">
        <v>117</v>
      </c>
      <c r="L28" s="3" t="s">
        <v>115</v>
      </c>
      <c r="M28" s="3" t="s">
        <v>116</v>
      </c>
      <c r="N28" s="3" t="s">
        <v>117</v>
      </c>
      <c r="P28" s="3" t="s">
        <v>115</v>
      </c>
      <c r="Q28" s="3" t="s">
        <v>116</v>
      </c>
      <c r="R28" s="27" t="s">
        <v>117</v>
      </c>
      <c r="V28" s="37" t="s">
        <v>118</v>
      </c>
      <c r="W28" s="38" t="s">
        <v>119</v>
      </c>
      <c r="X28" s="38" t="s">
        <v>118</v>
      </c>
      <c r="Y28" s="38" t="s">
        <v>119</v>
      </c>
      <c r="Z28" s="38" t="s">
        <v>118</v>
      </c>
      <c r="AA28" s="38" t="s">
        <v>119</v>
      </c>
      <c r="AB28" s="38" t="s">
        <v>118</v>
      </c>
      <c r="AC28" s="50" t="s">
        <v>119</v>
      </c>
      <c r="AE28" s="114"/>
      <c r="AF28" s="4"/>
      <c r="AG28" s="66"/>
      <c r="AH28" s="68"/>
      <c r="AI28" s="68"/>
      <c r="AJ28" s="68"/>
      <c r="AK28" s="68"/>
      <c r="AL28" s="69"/>
    </row>
    <row r="29" spans="1:38" x14ac:dyDescent="0.2">
      <c r="B29" s="114"/>
      <c r="C29" s="4" t="s">
        <v>120</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13.3642071429294</v>
      </c>
      <c r="V29" s="37">
        <f>(F29-D29)/6</f>
        <v>2.3333333333333335</v>
      </c>
      <c r="W29" s="39">
        <v>13.3642071429294</v>
      </c>
      <c r="X29" s="38">
        <f>(J29-H29)/6</f>
        <v>1.6666666666666667</v>
      </c>
      <c r="Y29" s="39">
        <v>18.504499288693001</v>
      </c>
      <c r="Z29" s="38">
        <f>(N29-L29)/6</f>
        <v>3.3333333333333335</v>
      </c>
      <c r="AA29" s="39">
        <v>32.028909123547898</v>
      </c>
      <c r="AB29" s="38">
        <f>(R29-P29)/6</f>
        <v>0.5</v>
      </c>
      <c r="AC29" s="59">
        <v>7.4660089317633398</v>
      </c>
      <c r="AE29" s="114"/>
      <c r="AF29" s="4" t="s">
        <v>20</v>
      </c>
      <c r="AG29" s="66">
        <f>AH29*U29</f>
        <v>11561.890558990011</v>
      </c>
      <c r="AH29" s="77">
        <v>865.13853274917699</v>
      </c>
      <c r="AI29" s="68"/>
      <c r="AJ29" s="68">
        <v>700</v>
      </c>
      <c r="AK29" s="68">
        <v>800</v>
      </c>
      <c r="AL29" s="69">
        <v>1000</v>
      </c>
    </row>
    <row r="30" spans="1:38" x14ac:dyDescent="0.2">
      <c r="B30" s="115"/>
      <c r="C30" s="6" t="s">
        <v>121</v>
      </c>
      <c r="D30" s="11">
        <v>0.13</v>
      </c>
      <c r="E30" s="11">
        <v>0.18</v>
      </c>
      <c r="F30" s="11">
        <v>0.23</v>
      </c>
      <c r="G30" s="17"/>
      <c r="H30" s="11">
        <v>0.3</v>
      </c>
      <c r="I30" s="11">
        <v>0.35</v>
      </c>
      <c r="J30" s="11">
        <v>0.4</v>
      </c>
      <c r="K30" s="17"/>
      <c r="L30" s="11">
        <v>0.3</v>
      </c>
      <c r="M30" s="11">
        <v>0.35</v>
      </c>
      <c r="N30" s="11">
        <v>0.4</v>
      </c>
      <c r="O30" s="17"/>
      <c r="P30" s="11">
        <v>0.1</v>
      </c>
      <c r="Q30" s="11">
        <v>0.15</v>
      </c>
      <c r="R30" s="34">
        <v>0.2</v>
      </c>
      <c r="U30" s="44">
        <f>IF(T$27=1,W30,IF(T$27=2,Y30,IF(T$27=3,AA30,AC30)))</f>
        <v>0.38224529231297899</v>
      </c>
      <c r="V30" s="40">
        <f>(F30-D30)/6</f>
        <v>1.6666666666666666E-2</v>
      </c>
      <c r="W30" s="41">
        <v>0.38224529231297899</v>
      </c>
      <c r="X30" s="42">
        <f>(J30-H30)/6</f>
        <v>1.6666666666666673E-2</v>
      </c>
      <c r="Y30" s="41">
        <v>0.57741598943934602</v>
      </c>
      <c r="Z30" s="42">
        <f>(N30-L30)/6</f>
        <v>1.6666666666666673E-2</v>
      </c>
      <c r="AA30" s="41">
        <v>0.85053262733479396</v>
      </c>
      <c r="AB30" s="42">
        <f>(R30-P30)/6</f>
        <v>1.6666666666666666E-2</v>
      </c>
      <c r="AC30" s="60">
        <v>0.71481012087131801</v>
      </c>
      <c r="AE30" s="115"/>
      <c r="AF30" s="6" t="s">
        <v>26</v>
      </c>
      <c r="AG30" s="70">
        <f>((U$5*(1-U$10)+U$15)*(1-U$20)+U$25)*U30*AH30</f>
        <v>71965.984809593021</v>
      </c>
      <c r="AH30" s="78">
        <v>1876.7675552721601</v>
      </c>
      <c r="AI30" s="71"/>
      <c r="AJ30" s="71">
        <f>0.85*AK30</f>
        <v>2465</v>
      </c>
      <c r="AK30" s="71">
        <v>2900</v>
      </c>
      <c r="AL30" s="72">
        <f>1.15*AK30</f>
        <v>3334.9999999999995</v>
      </c>
    </row>
    <row r="31" spans="1:38" ht="15" x14ac:dyDescent="0.2">
      <c r="B31" s="9"/>
      <c r="C31" s="4"/>
      <c r="T31" s="14" t="s">
        <v>152</v>
      </c>
      <c r="AE31" s="9"/>
      <c r="AF31" s="4"/>
      <c r="AG31" s="79"/>
      <c r="AH31" s="79"/>
      <c r="AI31" s="79"/>
      <c r="AJ31" s="79"/>
      <c r="AK31" s="79"/>
      <c r="AL31" s="79"/>
    </row>
    <row r="32" spans="1:38" x14ac:dyDescent="0.2">
      <c r="B32" s="113" t="s">
        <v>153</v>
      </c>
      <c r="C32" s="13"/>
      <c r="D32" s="121" t="s">
        <v>154</v>
      </c>
      <c r="E32" s="121"/>
      <c r="F32" s="121"/>
      <c r="G32" s="1"/>
      <c r="H32" s="123" t="s">
        <v>155</v>
      </c>
      <c r="I32" s="121"/>
      <c r="J32" s="121"/>
      <c r="K32" s="1"/>
      <c r="L32" s="121" t="s">
        <v>80</v>
      </c>
      <c r="M32" s="121"/>
      <c r="N32" s="121"/>
      <c r="O32" s="1"/>
      <c r="P32" s="123" t="s">
        <v>203</v>
      </c>
      <c r="Q32" s="121"/>
      <c r="R32" s="121"/>
      <c r="T32" s="36">
        <v>2</v>
      </c>
      <c r="V32" s="124" t="s">
        <v>156</v>
      </c>
      <c r="W32" s="121"/>
      <c r="X32" s="121" t="s">
        <v>157</v>
      </c>
      <c r="Y32" s="121"/>
      <c r="Z32" s="131" t="s">
        <v>158</v>
      </c>
      <c r="AA32" s="131"/>
      <c r="AB32" s="131" t="s">
        <v>159</v>
      </c>
      <c r="AC32" s="132"/>
      <c r="AE32" s="113" t="s">
        <v>35</v>
      </c>
      <c r="AF32" s="13"/>
      <c r="AG32" s="74" t="s">
        <v>111</v>
      </c>
      <c r="AH32" s="75" t="s">
        <v>19</v>
      </c>
      <c r="AI32" s="75"/>
      <c r="AJ32" s="75" t="s">
        <v>112</v>
      </c>
      <c r="AK32" s="75" t="s">
        <v>113</v>
      </c>
      <c r="AL32" s="76" t="s">
        <v>114</v>
      </c>
    </row>
    <row r="33" spans="2:38" x14ac:dyDescent="0.2">
      <c r="B33" s="114"/>
      <c r="C33" s="4"/>
      <c r="D33" s="3" t="s">
        <v>115</v>
      </c>
      <c r="E33" s="3" t="s">
        <v>116</v>
      </c>
      <c r="F33" s="3" t="s">
        <v>117</v>
      </c>
      <c r="H33" s="3" t="s">
        <v>115</v>
      </c>
      <c r="I33" s="3" t="s">
        <v>116</v>
      </c>
      <c r="J33" s="3" t="s">
        <v>117</v>
      </c>
      <c r="L33" s="3" t="s">
        <v>115</v>
      </c>
      <c r="M33" s="3" t="s">
        <v>116</v>
      </c>
      <c r="N33" s="3" t="s">
        <v>117</v>
      </c>
      <c r="P33" s="3" t="s">
        <v>115</v>
      </c>
      <c r="Q33" s="3" t="s">
        <v>116</v>
      </c>
      <c r="R33" s="27" t="s">
        <v>117</v>
      </c>
      <c r="V33" s="37" t="s">
        <v>118</v>
      </c>
      <c r="W33" s="38" t="s">
        <v>119</v>
      </c>
      <c r="X33" s="38" t="s">
        <v>118</v>
      </c>
      <c r="Y33" s="38" t="s">
        <v>119</v>
      </c>
      <c r="Z33" s="38" t="s">
        <v>118</v>
      </c>
      <c r="AA33" s="38" t="s">
        <v>119</v>
      </c>
      <c r="AB33" s="38" t="s">
        <v>118</v>
      </c>
      <c r="AC33" s="50" t="s">
        <v>119</v>
      </c>
      <c r="AE33" s="114"/>
      <c r="AF33" s="4"/>
      <c r="AG33" s="66"/>
      <c r="AH33" s="68"/>
      <c r="AI33" s="68"/>
      <c r="AJ33" s="68"/>
      <c r="AK33" s="68"/>
      <c r="AL33" s="69"/>
    </row>
    <row r="34" spans="2:38" x14ac:dyDescent="0.2">
      <c r="B34" s="114"/>
      <c r="C34" s="4" t="s">
        <v>120</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147.91611086421199</v>
      </c>
      <c r="V34" s="37">
        <f>(F34-D34)/6</f>
        <v>3.3333333333333335</v>
      </c>
      <c r="W34" s="39">
        <v>98.832863318762804</v>
      </c>
      <c r="X34" s="38">
        <f>(J34-H34)/6</f>
        <v>10</v>
      </c>
      <c r="Y34" s="39">
        <v>147.91611086421199</v>
      </c>
      <c r="Z34" s="38">
        <f>(N34-L34)/6</f>
        <v>16.666666666666668</v>
      </c>
      <c r="AA34" s="39">
        <v>233.22313215634401</v>
      </c>
      <c r="AB34" s="38">
        <f>(R34-P34)/6</f>
        <v>16.666666666666668</v>
      </c>
      <c r="AC34" s="59">
        <v>356.69735281283198</v>
      </c>
      <c r="AE34" s="114"/>
      <c r="AF34" s="4" t="s">
        <v>20</v>
      </c>
      <c r="AG34" s="66">
        <f>AH34*U34</f>
        <v>144157.54528258814</v>
      </c>
      <c r="AH34" s="77">
        <v>974.58988368701603</v>
      </c>
      <c r="AI34" s="68"/>
      <c r="AJ34" s="68">
        <v>700</v>
      </c>
      <c r="AK34" s="68">
        <v>800</v>
      </c>
      <c r="AL34" s="69">
        <v>1000</v>
      </c>
    </row>
    <row r="35" spans="2:38" x14ac:dyDescent="0.2">
      <c r="B35" s="115"/>
      <c r="C35" s="6" t="s">
        <v>121</v>
      </c>
      <c r="D35" s="11">
        <v>0.4</v>
      </c>
      <c r="E35" s="11">
        <v>0.5</v>
      </c>
      <c r="F35" s="11">
        <v>0.6</v>
      </c>
      <c r="G35" s="17"/>
      <c r="H35" s="11">
        <v>0.3</v>
      </c>
      <c r="I35" s="11">
        <v>0.35</v>
      </c>
      <c r="J35" s="11">
        <v>0.4</v>
      </c>
      <c r="K35" s="17"/>
      <c r="L35" s="11">
        <v>0.65</v>
      </c>
      <c r="M35" s="11">
        <v>0.7</v>
      </c>
      <c r="N35" s="11">
        <v>0.75</v>
      </c>
      <c r="O35" s="17"/>
      <c r="P35" s="11">
        <v>0.63</v>
      </c>
      <c r="Q35" s="11">
        <v>0.68</v>
      </c>
      <c r="R35" s="34">
        <v>0.73</v>
      </c>
      <c r="U35" s="44">
        <f>IF(T$32=1,W35,IF(T$32=2,Y35,IF(T$32=3,AA35,AC35)))</f>
        <v>0.59468087581783902</v>
      </c>
      <c r="V35" s="40">
        <f>(F35-D35)/6</f>
        <v>3.3333333333333326E-2</v>
      </c>
      <c r="W35" s="41">
        <v>0.562048101461327</v>
      </c>
      <c r="X35" s="42">
        <f>(J35-H35)/6</f>
        <v>1.6666666666666673E-2</v>
      </c>
      <c r="Y35" s="41">
        <v>0.59468087581783902</v>
      </c>
      <c r="Z35" s="42">
        <f>(N35-L35)/6</f>
        <v>1.6666666666666663E-2</v>
      </c>
      <c r="AA35" s="41">
        <v>0.67798466642768296</v>
      </c>
      <c r="AB35" s="42">
        <f>(R35-P35)/6</f>
        <v>1.6666666666666663E-2</v>
      </c>
      <c r="AC35" s="60">
        <v>0.80261845298502499</v>
      </c>
      <c r="AE35" s="115"/>
      <c r="AF35" s="6" t="s">
        <v>26</v>
      </c>
      <c r="AG35" s="70">
        <f>((U$5*(1-U$10)+U$15)*(1-U$20)+U$25)*(1-U$30)*U35*AH35</f>
        <v>93914.381237560039</v>
      </c>
      <c r="AH35" s="78">
        <v>2548.34031543934</v>
      </c>
      <c r="AI35" s="71"/>
      <c r="AJ35" s="71">
        <f>0.85*AK35</f>
        <v>2465</v>
      </c>
      <c r="AK35" s="71">
        <v>2900</v>
      </c>
      <c r="AL35" s="72">
        <f>1.15*AK35</f>
        <v>3334.9999999999995</v>
      </c>
    </row>
    <row r="36" spans="2:38" ht="15" x14ac:dyDescent="0.2">
      <c r="B36" s="9"/>
      <c r="C36" s="4"/>
      <c r="T36" s="14" t="s">
        <v>160</v>
      </c>
      <c r="AE36" s="9"/>
      <c r="AF36" s="4"/>
      <c r="AG36" s="79"/>
      <c r="AH36" s="79"/>
      <c r="AI36" s="79"/>
      <c r="AJ36" s="79"/>
      <c r="AK36" s="79"/>
      <c r="AL36" s="79"/>
    </row>
    <row r="37" spans="2:38" x14ac:dyDescent="0.2">
      <c r="B37" s="113" t="s">
        <v>161</v>
      </c>
      <c r="C37" s="13"/>
      <c r="D37" s="123" t="s">
        <v>162</v>
      </c>
      <c r="E37" s="121"/>
      <c r="F37" s="121"/>
      <c r="G37" s="1"/>
      <c r="H37" s="121"/>
      <c r="I37" s="121"/>
      <c r="J37" s="121"/>
      <c r="K37" s="1"/>
      <c r="L37" s="123"/>
      <c r="M37" s="121"/>
      <c r="N37" s="122"/>
      <c r="T37" s="14">
        <v>1</v>
      </c>
      <c r="V37" s="124" t="s">
        <v>163</v>
      </c>
      <c r="W37" s="121"/>
      <c r="X37" s="121" t="s">
        <v>164</v>
      </c>
      <c r="Y37" s="121"/>
      <c r="Z37" s="121" t="s">
        <v>165</v>
      </c>
      <c r="AA37" s="122"/>
      <c r="AE37" s="113" t="s">
        <v>36</v>
      </c>
      <c r="AF37" s="13"/>
      <c r="AG37" s="74" t="s">
        <v>111</v>
      </c>
      <c r="AH37" s="75" t="s">
        <v>19</v>
      </c>
      <c r="AI37" s="75"/>
      <c r="AJ37" s="75" t="s">
        <v>112</v>
      </c>
      <c r="AK37" s="75" t="s">
        <v>113</v>
      </c>
      <c r="AL37" s="76" t="s">
        <v>114</v>
      </c>
    </row>
    <row r="38" spans="2:38" x14ac:dyDescent="0.2">
      <c r="B38" s="114"/>
      <c r="C38" s="4"/>
      <c r="D38" s="3" t="s">
        <v>115</v>
      </c>
      <c r="E38" s="3" t="s">
        <v>116</v>
      </c>
      <c r="F38" s="3" t="s">
        <v>117</v>
      </c>
      <c r="H38" s="3" t="s">
        <v>115</v>
      </c>
      <c r="I38" s="3" t="s">
        <v>116</v>
      </c>
      <c r="J38" s="3" t="s">
        <v>117</v>
      </c>
      <c r="L38" s="3" t="s">
        <v>115</v>
      </c>
      <c r="M38" s="3" t="s">
        <v>116</v>
      </c>
      <c r="N38" s="27" t="s">
        <v>117</v>
      </c>
      <c r="V38" s="37" t="s">
        <v>118</v>
      </c>
      <c r="W38" s="38" t="s">
        <v>119</v>
      </c>
      <c r="X38" s="38" t="s">
        <v>118</v>
      </c>
      <c r="Y38" s="38" t="s">
        <v>119</v>
      </c>
      <c r="Z38" s="38" t="s">
        <v>118</v>
      </c>
      <c r="AA38" s="50" t="s">
        <v>119</v>
      </c>
      <c r="AE38" s="114"/>
      <c r="AF38" s="4"/>
      <c r="AG38" s="66"/>
      <c r="AH38" s="68"/>
      <c r="AI38" s="68"/>
      <c r="AJ38" s="68"/>
      <c r="AK38" s="68"/>
      <c r="AL38" s="69"/>
    </row>
    <row r="39" spans="2:38" x14ac:dyDescent="0.2">
      <c r="B39" s="114"/>
      <c r="C39" s="4" t="s">
        <v>120</v>
      </c>
      <c r="D39" s="10">
        <v>0</v>
      </c>
      <c r="E39" s="10">
        <v>5.0000000000000001E-3</v>
      </c>
      <c r="F39" s="10">
        <v>0.01</v>
      </c>
      <c r="G39" s="14"/>
      <c r="H39" s="18">
        <v>40</v>
      </c>
      <c r="I39" s="18">
        <v>50</v>
      </c>
      <c r="J39" s="18">
        <v>60</v>
      </c>
      <c r="K39" s="14"/>
      <c r="L39" s="18">
        <v>35</v>
      </c>
      <c r="M39" s="18">
        <v>40</v>
      </c>
      <c r="N39" s="32">
        <v>45</v>
      </c>
      <c r="U39">
        <f>IF(T$37=1,W39,IF(T$37=2,Y39,AA39))</f>
        <v>4.7126406652342303E-3</v>
      </c>
      <c r="V39" s="37">
        <f>(F39-D39)/6</f>
        <v>1.6666666666666668E-3</v>
      </c>
      <c r="W39" s="39">
        <v>4.7126406652342303E-3</v>
      </c>
      <c r="X39" s="38">
        <f>(J39-H39)/6</f>
        <v>3.3333333333333335</v>
      </c>
      <c r="Y39" s="39">
        <v>51.104830365428597</v>
      </c>
      <c r="Z39" s="38">
        <f>(N39-L39)/6</f>
        <v>1.6666666666666667</v>
      </c>
      <c r="AA39" s="59">
        <v>40.775055325658698</v>
      </c>
      <c r="AE39" s="114"/>
      <c r="AF39" s="4" t="s">
        <v>20</v>
      </c>
      <c r="AG39" s="66">
        <f>AH39*U39</f>
        <v>3.8883905008069104</v>
      </c>
      <c r="AH39" s="77">
        <v>825.09802402124103</v>
      </c>
      <c r="AI39" s="68"/>
      <c r="AJ39" s="68">
        <v>700</v>
      </c>
      <c r="AK39" s="68">
        <v>800</v>
      </c>
      <c r="AL39" s="69">
        <v>1000</v>
      </c>
    </row>
    <row r="40" spans="2:38" x14ac:dyDescent="0.2">
      <c r="B40" s="115"/>
      <c r="C40" s="6" t="s">
        <v>121</v>
      </c>
      <c r="D40" s="11">
        <v>0</v>
      </c>
      <c r="E40" s="11">
        <v>5.0000000000000002E-5</v>
      </c>
      <c r="F40" s="11">
        <v>1E-4</v>
      </c>
      <c r="G40" s="17"/>
      <c r="H40" s="19">
        <v>0.55000000000000004</v>
      </c>
      <c r="I40" s="19">
        <v>0.6</v>
      </c>
      <c r="J40" s="19">
        <v>0.65</v>
      </c>
      <c r="K40" s="17"/>
      <c r="L40" s="19">
        <v>0.7</v>
      </c>
      <c r="M40" s="19">
        <v>0.75</v>
      </c>
      <c r="N40" s="33">
        <v>0.8</v>
      </c>
      <c r="U40">
        <f>IF(T$37=1,W40,IF(T$37=2,Y40,AA40))</f>
        <v>2.6923398573117202E-5</v>
      </c>
      <c r="V40" s="40">
        <f>(F40-D40)/6</f>
        <v>1.6666666666666667E-5</v>
      </c>
      <c r="W40" s="41">
        <v>2.6923398573117202E-5</v>
      </c>
      <c r="X40" s="42">
        <f>(J40-H40)/6</f>
        <v>1.6666666666666663E-2</v>
      </c>
      <c r="Y40" s="41">
        <v>0.61443141501861898</v>
      </c>
      <c r="Z40" s="42">
        <f>(N40-L40)/6</f>
        <v>1.666666666666668E-2</v>
      </c>
      <c r="AA40" s="60">
        <v>0.75004418354881697</v>
      </c>
      <c r="AE40" s="115"/>
      <c r="AF40" s="6" t="s">
        <v>26</v>
      </c>
      <c r="AG40" s="70">
        <f>((U$5*(1-U$10)+U$15)*(1-U$20)+U$25)*(1-U$30)*(1-U$35)*U40*AH40</f>
        <v>2.6582109876036881</v>
      </c>
      <c r="AH40" s="78">
        <v>3930.7169234063899</v>
      </c>
      <c r="AI40" s="71"/>
      <c r="AJ40" s="71">
        <v>3000</v>
      </c>
      <c r="AK40" s="71">
        <v>3500</v>
      </c>
      <c r="AL40" s="72">
        <v>4500</v>
      </c>
    </row>
    <row r="41" spans="2:38" ht="15" x14ac:dyDescent="0.2">
      <c r="B41" s="9"/>
      <c r="C41" s="4"/>
      <c r="T41" s="14" t="s">
        <v>166</v>
      </c>
      <c r="AE41" s="9"/>
      <c r="AF41" s="4"/>
      <c r="AG41" s="79"/>
      <c r="AH41" s="79"/>
      <c r="AI41" s="79"/>
      <c r="AJ41" s="79"/>
      <c r="AK41" s="79"/>
      <c r="AL41" s="79"/>
    </row>
    <row r="42" spans="2:38" x14ac:dyDescent="0.2">
      <c r="B42" s="113" t="s">
        <v>167</v>
      </c>
      <c r="C42" s="13"/>
      <c r="D42" s="123" t="s">
        <v>168</v>
      </c>
      <c r="E42" s="121"/>
      <c r="F42" s="121"/>
      <c r="G42" s="1"/>
      <c r="H42" s="123" t="s">
        <v>204</v>
      </c>
      <c r="I42" s="121"/>
      <c r="J42" s="121"/>
      <c r="K42" s="1"/>
      <c r="L42" s="123" t="s">
        <v>170</v>
      </c>
      <c r="M42" s="121"/>
      <c r="N42" s="122"/>
      <c r="T42" s="36">
        <v>1</v>
      </c>
      <c r="V42" s="124" t="s">
        <v>171</v>
      </c>
      <c r="W42" s="121"/>
      <c r="X42" s="121" t="s">
        <v>172</v>
      </c>
      <c r="Y42" s="121"/>
      <c r="Z42" s="127" t="s">
        <v>173</v>
      </c>
      <c r="AA42" s="128"/>
      <c r="AE42" s="113" t="s">
        <v>37</v>
      </c>
      <c r="AF42" s="13"/>
      <c r="AG42" s="74" t="s">
        <v>111</v>
      </c>
      <c r="AH42" s="75" t="s">
        <v>19</v>
      </c>
      <c r="AI42" s="75"/>
      <c r="AJ42" s="75" t="s">
        <v>112</v>
      </c>
      <c r="AK42" s="75" t="s">
        <v>113</v>
      </c>
      <c r="AL42" s="76" t="s">
        <v>114</v>
      </c>
    </row>
    <row r="43" spans="2:38" x14ac:dyDescent="0.2">
      <c r="B43" s="114"/>
      <c r="C43" s="4"/>
      <c r="D43" s="3" t="s">
        <v>115</v>
      </c>
      <c r="E43" s="3" t="s">
        <v>116</v>
      </c>
      <c r="F43" s="3" t="s">
        <v>117</v>
      </c>
      <c r="H43" s="3" t="s">
        <v>115</v>
      </c>
      <c r="I43" s="3" t="s">
        <v>116</v>
      </c>
      <c r="J43" s="3" t="s">
        <v>117</v>
      </c>
      <c r="L43" s="3" t="s">
        <v>115</v>
      </c>
      <c r="M43" s="3" t="s">
        <v>116</v>
      </c>
      <c r="N43" s="27" t="s">
        <v>117</v>
      </c>
      <c r="V43" s="37" t="s">
        <v>118</v>
      </c>
      <c r="W43" s="38" t="s">
        <v>119</v>
      </c>
      <c r="X43" s="38" t="s">
        <v>118</v>
      </c>
      <c r="Y43" s="38" t="s">
        <v>119</v>
      </c>
      <c r="Z43" s="38" t="s">
        <v>118</v>
      </c>
      <c r="AA43" s="50" t="s">
        <v>119</v>
      </c>
      <c r="AE43" s="114"/>
      <c r="AF43" s="4"/>
      <c r="AG43" s="66"/>
      <c r="AH43" s="68"/>
      <c r="AI43" s="68"/>
      <c r="AJ43" s="68"/>
      <c r="AK43" s="68"/>
      <c r="AL43" s="69"/>
    </row>
    <row r="44" spans="2:38" x14ac:dyDescent="0.2">
      <c r="B44" s="114"/>
      <c r="C44" s="4" t="s">
        <v>120</v>
      </c>
      <c r="D44" s="10">
        <v>75</v>
      </c>
      <c r="E44" s="10">
        <v>80</v>
      </c>
      <c r="F44" s="10">
        <v>85</v>
      </c>
      <c r="G44" s="14"/>
      <c r="H44" s="10">
        <v>110</v>
      </c>
      <c r="I44" s="10">
        <v>120</v>
      </c>
      <c r="J44" s="10">
        <v>130</v>
      </c>
      <c r="K44" s="14"/>
      <c r="L44" s="10">
        <v>140</v>
      </c>
      <c r="M44" s="10">
        <v>150</v>
      </c>
      <c r="N44" s="30">
        <v>160</v>
      </c>
      <c r="U44">
        <f>IF(T$42=1,W44,IF(T$42=2,Y44,AA44))</f>
        <v>98.689783429840801</v>
      </c>
      <c r="V44" s="37">
        <f>(F44-D44)/6</f>
        <v>1.6666666666666667</v>
      </c>
      <c r="W44" s="39">
        <v>98.689783429840801</v>
      </c>
      <c r="X44" s="38">
        <f>(J44-H44)/6</f>
        <v>3.3333333333333335</v>
      </c>
      <c r="Y44" s="39">
        <v>81.433943226900595</v>
      </c>
      <c r="Z44" s="38">
        <f>(N44-L44)/6</f>
        <v>3.3333333333333335</v>
      </c>
      <c r="AA44" s="59">
        <v>71.671021518283496</v>
      </c>
      <c r="AE44" s="114"/>
      <c r="AF44" s="4" t="s">
        <v>20</v>
      </c>
      <c r="AG44" s="66">
        <f>AH44*U44</f>
        <v>79004.223515017613</v>
      </c>
      <c r="AH44" s="77">
        <v>800.53092396521697</v>
      </c>
      <c r="AI44" s="68"/>
      <c r="AJ44" s="68">
        <v>700</v>
      </c>
      <c r="AK44" s="68">
        <v>800</v>
      </c>
      <c r="AL44" s="69">
        <v>1000</v>
      </c>
    </row>
    <row r="45" spans="2:38" x14ac:dyDescent="0.2">
      <c r="B45" s="115"/>
      <c r="C45" s="6" t="s">
        <v>121</v>
      </c>
      <c r="D45" s="11">
        <v>0.83</v>
      </c>
      <c r="E45" s="11">
        <v>0.88</v>
      </c>
      <c r="F45" s="11">
        <v>0.93</v>
      </c>
      <c r="G45" s="17"/>
      <c r="H45" s="11">
        <v>0.505</v>
      </c>
      <c r="I45" s="11">
        <v>0.55500000000000005</v>
      </c>
      <c r="J45" s="11">
        <v>0.60499999999999998</v>
      </c>
      <c r="K45" s="17"/>
      <c r="L45" s="11">
        <v>0.8</v>
      </c>
      <c r="M45" s="11">
        <v>0.85</v>
      </c>
      <c r="N45" s="34">
        <v>0.9</v>
      </c>
      <c r="U45">
        <f>IF(T$42=1,W45,IF(T$42=2,Y45,AA45))</f>
        <v>0.67982003828992998</v>
      </c>
      <c r="V45" s="40">
        <f>(F45-D45)/6</f>
        <v>1.666666666666668E-2</v>
      </c>
      <c r="W45" s="41">
        <v>0.67982003828992998</v>
      </c>
      <c r="X45" s="42">
        <f>(J45-H45)/6</f>
        <v>1.6666666666666663E-2</v>
      </c>
      <c r="Y45" s="41">
        <v>0.77256815725737904</v>
      </c>
      <c r="Z45" s="42">
        <f>(N45-L45)/6</f>
        <v>1.6666666666666663E-2</v>
      </c>
      <c r="AA45" s="60">
        <v>0.88185329760728504</v>
      </c>
      <c r="AE45" s="115"/>
      <c r="AF45" s="6" t="s">
        <v>26</v>
      </c>
      <c r="AG45" s="70">
        <f>((U$5*(1-U$10)+U$15)*(1-U$20)+U$25)*(1-U$30)*(1-U$35)*(1-U$40)*U45*AH45</f>
        <v>124791.50467414204</v>
      </c>
      <c r="AH45" s="78">
        <v>7308.2762092869398</v>
      </c>
      <c r="AI45" s="71"/>
      <c r="AJ45" s="71">
        <f>0.85*AK45</f>
        <v>4930</v>
      </c>
      <c r="AK45" s="71">
        <v>5800</v>
      </c>
      <c r="AL45" s="72">
        <f>1.15*AK45</f>
        <v>6669.9999999999991</v>
      </c>
    </row>
    <row r="46" spans="2:38" ht="15" x14ac:dyDescent="0.2">
      <c r="B46" s="9"/>
      <c r="C46" s="4"/>
      <c r="T46" s="14" t="s">
        <v>174</v>
      </c>
      <c r="AE46" s="9"/>
      <c r="AF46" s="4"/>
      <c r="AG46" s="79"/>
      <c r="AH46" s="79"/>
      <c r="AI46" s="79"/>
      <c r="AJ46" s="79"/>
      <c r="AK46" s="79"/>
      <c r="AL46" s="79"/>
    </row>
    <row r="47" spans="2:38" x14ac:dyDescent="0.2">
      <c r="B47" s="113" t="s">
        <v>175</v>
      </c>
      <c r="C47" s="13"/>
      <c r="D47" s="123" t="s">
        <v>176</v>
      </c>
      <c r="E47" s="121"/>
      <c r="F47" s="121"/>
      <c r="G47" s="1"/>
      <c r="H47" s="123" t="s">
        <v>169</v>
      </c>
      <c r="I47" s="121"/>
      <c r="J47" s="121"/>
      <c r="K47" s="1"/>
      <c r="L47" s="123" t="s">
        <v>177</v>
      </c>
      <c r="M47" s="121"/>
      <c r="N47" s="122"/>
      <c r="T47" s="36">
        <v>3</v>
      </c>
      <c r="V47" s="124" t="s">
        <v>178</v>
      </c>
      <c r="W47" s="121"/>
      <c r="X47" s="121" t="s">
        <v>179</v>
      </c>
      <c r="Y47" s="121"/>
      <c r="Z47" s="121" t="s">
        <v>180</v>
      </c>
      <c r="AA47" s="122"/>
      <c r="AE47" s="113" t="s">
        <v>38</v>
      </c>
      <c r="AF47" s="13"/>
      <c r="AG47" s="74" t="s">
        <v>111</v>
      </c>
      <c r="AH47" s="75" t="s">
        <v>19</v>
      </c>
      <c r="AI47" s="75"/>
      <c r="AJ47" s="75" t="s">
        <v>112</v>
      </c>
      <c r="AK47" s="75" t="s">
        <v>113</v>
      </c>
      <c r="AL47" s="76" t="s">
        <v>114</v>
      </c>
    </row>
    <row r="48" spans="2:38" x14ac:dyDescent="0.2">
      <c r="B48" s="114"/>
      <c r="C48" s="4"/>
      <c r="D48" s="3" t="s">
        <v>115</v>
      </c>
      <c r="E48" s="3" t="s">
        <v>116</v>
      </c>
      <c r="F48" s="3" t="s">
        <v>117</v>
      </c>
      <c r="H48" s="3" t="s">
        <v>115</v>
      </c>
      <c r="I48" s="3" t="s">
        <v>116</v>
      </c>
      <c r="J48" s="3" t="s">
        <v>117</v>
      </c>
      <c r="L48" s="3" t="s">
        <v>115</v>
      </c>
      <c r="M48" s="3" t="s">
        <v>116</v>
      </c>
      <c r="N48" s="27" t="s">
        <v>117</v>
      </c>
      <c r="V48" s="37" t="s">
        <v>118</v>
      </c>
      <c r="W48" s="38" t="s">
        <v>119</v>
      </c>
      <c r="X48" s="38" t="s">
        <v>118</v>
      </c>
      <c r="Y48" s="38" t="s">
        <v>119</v>
      </c>
      <c r="Z48" s="38" t="s">
        <v>118</v>
      </c>
      <c r="AA48" s="50" t="s">
        <v>119</v>
      </c>
      <c r="AE48" s="114"/>
      <c r="AF48" s="4"/>
      <c r="AG48" s="66"/>
      <c r="AH48" s="68"/>
      <c r="AI48" s="68"/>
      <c r="AJ48" s="68"/>
      <c r="AK48" s="68"/>
      <c r="AL48" s="69"/>
    </row>
    <row r="49" spans="1:38" x14ac:dyDescent="0.2">
      <c r="B49" s="114"/>
      <c r="C49" s="4" t="s">
        <v>120</v>
      </c>
      <c r="D49" s="10">
        <v>15</v>
      </c>
      <c r="E49" s="10">
        <v>20</v>
      </c>
      <c r="F49" s="10">
        <v>25</v>
      </c>
      <c r="G49" s="14"/>
      <c r="H49" s="10">
        <v>25</v>
      </c>
      <c r="I49" s="10">
        <v>30</v>
      </c>
      <c r="J49" s="10">
        <v>35</v>
      </c>
      <c r="K49" s="14"/>
      <c r="L49" s="10">
        <v>50</v>
      </c>
      <c r="M49" s="10">
        <v>60</v>
      </c>
      <c r="N49" s="30">
        <v>70</v>
      </c>
      <c r="U49">
        <f>IF(T$47=1,W49,IF(T$47=2,Y49,AA49))</f>
        <v>63.2907011272031</v>
      </c>
      <c r="V49" s="37">
        <f>(F49-D49)/6</f>
        <v>1.6666666666666667</v>
      </c>
      <c r="W49" s="39">
        <v>20.808495191395298</v>
      </c>
      <c r="X49" s="38">
        <f>(J49-H49)/6</f>
        <v>1.6666666666666667</v>
      </c>
      <c r="Y49" s="39">
        <v>29.479617493949</v>
      </c>
      <c r="Z49" s="38">
        <f>(N49-L49)/6</f>
        <v>3.3333333333333335</v>
      </c>
      <c r="AA49" s="59">
        <v>63.2907011272031</v>
      </c>
      <c r="AE49" s="114"/>
      <c r="AF49" s="4" t="s">
        <v>20</v>
      </c>
      <c r="AG49" s="66">
        <f>AH49*U49</f>
        <v>52795.295248911949</v>
      </c>
      <c r="AH49" s="77">
        <v>834.17143922616299</v>
      </c>
      <c r="AI49" s="68"/>
      <c r="AJ49" s="68">
        <v>700</v>
      </c>
      <c r="AK49" s="68">
        <v>800</v>
      </c>
      <c r="AL49" s="69">
        <v>1000</v>
      </c>
    </row>
    <row r="50" spans="1:38" x14ac:dyDescent="0.2">
      <c r="B50" s="115"/>
      <c r="C50" s="6" t="s">
        <v>121</v>
      </c>
      <c r="D50" s="11">
        <v>0.7</v>
      </c>
      <c r="E50" s="11">
        <v>0.75</v>
      </c>
      <c r="F50" s="11">
        <v>0.8</v>
      </c>
      <c r="G50" s="17"/>
      <c r="H50" s="11">
        <v>0.8</v>
      </c>
      <c r="I50" s="11">
        <v>0.85</v>
      </c>
      <c r="J50" s="11">
        <v>0.9</v>
      </c>
      <c r="K50" s="17"/>
      <c r="L50" s="11">
        <v>0.98499999999999999</v>
      </c>
      <c r="M50" s="11">
        <v>0.99</v>
      </c>
      <c r="N50" s="34">
        <v>0.995</v>
      </c>
      <c r="U50">
        <f>IF(T$47=1,W50,IF(T$47=2,Y50,AA50))</f>
        <v>0.93178558953738899</v>
      </c>
      <c r="V50" s="40">
        <f>(F50-D50)/6</f>
        <v>1.666666666666668E-2</v>
      </c>
      <c r="W50" s="41">
        <v>0.75010013840215595</v>
      </c>
      <c r="X50" s="42">
        <f>(J50-H50)/6</f>
        <v>1.6666666666666663E-2</v>
      </c>
      <c r="Y50" s="41">
        <v>0.82163204352409702</v>
      </c>
      <c r="Z50" s="42">
        <f>(N50-L50)/6</f>
        <v>1.6666666666666681E-3</v>
      </c>
      <c r="AA50" s="60">
        <v>0.93178558953738899</v>
      </c>
      <c r="AE50" s="115"/>
      <c r="AF50" s="6" t="s">
        <v>26</v>
      </c>
      <c r="AG50" s="70">
        <f>((U$5*(1-U$10)+U$15)*(1-U$20)+U$25)*(1-U$30)*(1-U$35)*(1-U$40)*(1-U$45)*U50*AH50</f>
        <v>131896.57017758995</v>
      </c>
      <c r="AH50" s="78">
        <v>17601.4018206529</v>
      </c>
      <c r="AI50" s="71"/>
      <c r="AJ50" s="71">
        <f>0.85*AK50</f>
        <v>17000</v>
      </c>
      <c r="AK50" s="71">
        <v>20000</v>
      </c>
      <c r="AL50" s="72">
        <f>1.15*AK50</f>
        <v>23000</v>
      </c>
    </row>
    <row r="51" spans="1:38" x14ac:dyDescent="0.2">
      <c r="B51" s="20"/>
      <c r="C51" s="4"/>
    </row>
    <row r="52" spans="1:38" x14ac:dyDescent="0.2">
      <c r="B52" s="20"/>
      <c r="C52" s="4"/>
      <c r="AE52" s="61" t="s">
        <v>39</v>
      </c>
      <c r="AF52" s="62" t="s">
        <v>26</v>
      </c>
      <c r="AG52" s="80">
        <f>((U$5*(1-U$10)+U$15)*(1-U$20)+U$25)*(1-U$30)*(1-U$35)*(1-U$40)*(1-U$45)*(1-U50)*AH52</f>
        <v>13714.702585888635</v>
      </c>
      <c r="AH52" s="61">
        <v>25000</v>
      </c>
    </row>
    <row r="53" spans="1:38" x14ac:dyDescent="0.2">
      <c r="B53" s="20"/>
      <c r="C53" s="4"/>
      <c r="P53" s="35"/>
      <c r="S53" s="45"/>
      <c r="T53" s="46" t="s">
        <v>181</v>
      </c>
      <c r="U53" s="47">
        <f>AG4+AG9+AG14+AG19+AG24+AG29+AG34+AG39+AG44+AG49</f>
        <v>517039.61061950662</v>
      </c>
    </row>
    <row r="54" spans="1:38" x14ac:dyDescent="0.2">
      <c r="C54" s="4"/>
      <c r="S54" s="48"/>
      <c r="T54" s="49" t="s">
        <v>182</v>
      </c>
      <c r="U54" s="50"/>
    </row>
    <row r="55" spans="1:38" ht="15.75" x14ac:dyDescent="0.25">
      <c r="B55" s="21" t="s">
        <v>183</v>
      </c>
      <c r="C55" s="4"/>
      <c r="P55" s="35" t="s">
        <v>184</v>
      </c>
      <c r="Q55" t="s">
        <v>185</v>
      </c>
      <c r="R55">
        <v>190</v>
      </c>
      <c r="S55" s="51"/>
      <c r="T55" s="52" t="s">
        <v>186</v>
      </c>
      <c r="U55" s="53">
        <f>AG10+AG20+AG30+AG35+AG40+AG45+AG50+AG52</f>
        <v>479044.12305891101</v>
      </c>
    </row>
    <row r="56" spans="1:38" ht="28.5" customHeight="1" x14ac:dyDescent="0.2">
      <c r="A56" s="22" t="s">
        <v>187</v>
      </c>
      <c r="B56" s="133" t="s">
        <v>188</v>
      </c>
      <c r="C56" s="134"/>
      <c r="D56" s="23">
        <f>IF(AND(Design_Decision&gt;1,DR_Decision&lt;3),1,0)</f>
        <v>0</v>
      </c>
      <c r="T56" s="54"/>
    </row>
    <row r="57" spans="1:38" x14ac:dyDescent="0.2">
      <c r="A57" s="24"/>
      <c r="B57" s="25"/>
      <c r="C57" s="4"/>
      <c r="S57" s="55"/>
      <c r="T57" s="56" t="s">
        <v>189</v>
      </c>
      <c r="U57" s="57">
        <f>U53+U55</f>
        <v>996083.73367841763</v>
      </c>
    </row>
    <row r="58" spans="1:38" ht="25.5" customHeight="1" x14ac:dyDescent="0.2">
      <c r="A58" s="22" t="s">
        <v>190</v>
      </c>
      <c r="B58" s="133" t="s">
        <v>191</v>
      </c>
      <c r="C58" s="134"/>
      <c r="D58" s="23">
        <f>IF(AND(Code_Decision&lt;3,CR_Decision&lt;3),1,0)</f>
        <v>0</v>
      </c>
    </row>
    <row r="59" spans="1:38" x14ac:dyDescent="0.2">
      <c r="A59" s="24"/>
      <c r="B59" s="25"/>
      <c r="C59" s="4"/>
    </row>
    <row r="60" spans="1:38" ht="24.75" customHeight="1" x14ac:dyDescent="0.2">
      <c r="A60" s="22" t="s">
        <v>192</v>
      </c>
      <c r="B60" s="133" t="s">
        <v>193</v>
      </c>
      <c r="C60" s="134"/>
      <c r="D60" s="23">
        <f>IF(AND(CR_Decision&lt;3,UT_Decision=1),1,0)</f>
        <v>0</v>
      </c>
      <c r="T60" t="s">
        <v>194</v>
      </c>
      <c r="U60" s="58">
        <f>((U$5*(1-U$10)+U$15)*(1-U$20)+U$25)*(1-U$30)*(1-U$35)*(1-U$40)*(1-U$45)*(1-U50)</f>
        <v>0.54858810343554543</v>
      </c>
    </row>
    <row r="61" spans="1:38" x14ac:dyDescent="0.2">
      <c r="B61" s="20"/>
      <c r="C61" s="4"/>
    </row>
    <row r="62" spans="1:38" x14ac:dyDescent="0.2">
      <c r="B62" s="20"/>
      <c r="C62" s="4"/>
      <c r="T62" t="s">
        <v>195</v>
      </c>
      <c r="U62" s="58">
        <f>U5*U10</f>
        <v>17.764368864208901</v>
      </c>
    </row>
    <row r="63" spans="1:38" x14ac:dyDescent="0.2">
      <c r="B63" s="20"/>
      <c r="C63" s="4"/>
    </row>
    <row r="64" spans="1:38" x14ac:dyDescent="0.2">
      <c r="B64" s="20"/>
      <c r="C64" s="4"/>
      <c r="T64" t="s">
        <v>196</v>
      </c>
      <c r="U64" s="58">
        <f>(U$5*(1-U$10)+U$15)*U20</f>
        <v>19.038373531206386</v>
      </c>
    </row>
    <row r="65" spans="2:21" x14ac:dyDescent="0.2">
      <c r="B65" s="20"/>
      <c r="C65" s="4"/>
    </row>
    <row r="66" spans="2:21" x14ac:dyDescent="0.2">
      <c r="B66" s="20"/>
      <c r="C66" s="4"/>
      <c r="T66" t="s">
        <v>197</v>
      </c>
      <c r="U66" s="58">
        <f>((U$5*(1-U$10)+U$15)*(1-U$20)+U$25)*U30</f>
        <v>38.345710211916391</v>
      </c>
    </row>
    <row r="67" spans="2:21" x14ac:dyDescent="0.2">
      <c r="B67" s="20"/>
      <c r="C67" s="4"/>
    </row>
    <row r="68" spans="2:21" x14ac:dyDescent="0.2">
      <c r="B68" s="20"/>
      <c r="C68" s="4"/>
      <c r="T68" t="s">
        <v>198</v>
      </c>
      <c r="U68" s="58">
        <f>((U$5*(1-U$10)+U$15)*(1-U$20)+U$25)*(1-U$30)*U35</f>
        <v>36.853155235417987</v>
      </c>
    </row>
    <row r="69" spans="2:21" x14ac:dyDescent="0.2">
      <c r="B69" s="20"/>
      <c r="C69" s="4"/>
    </row>
    <row r="70" spans="2:21" x14ac:dyDescent="0.2">
      <c r="C70" s="4"/>
      <c r="T70" t="s">
        <v>199</v>
      </c>
      <c r="U70" s="58">
        <f>((U$5*(1-U$10)+U$15)*(1-U$20)+U$25)*(1-U$30)*(1-U$35)*U40</f>
        <v>6.7626619759228598E-4</v>
      </c>
    </row>
    <row r="72" spans="2:21" x14ac:dyDescent="0.2">
      <c r="T72" t="s">
        <v>200</v>
      </c>
      <c r="U72" s="58">
        <f>((U$5*(1-U$10)+U$15)*(1-U$20)+U$25)*(1-U$30)*(1-U$35)*(1-U$40)*U45</f>
        <v>17.075367857000824</v>
      </c>
    </row>
    <row r="74" spans="2:21" x14ac:dyDescent="0.2">
      <c r="T74" t="s">
        <v>201</v>
      </c>
      <c r="U74" s="58">
        <f>((U$5*(1-U$10)+U$15)*(1-U$20)+U$25)*(1-U$30)*(1-U$35)*(1-U$40)*(1-U$45)*U50</f>
        <v>7.4935264544001772</v>
      </c>
    </row>
  </sheetData>
  <mergeCells count="93">
    <mergeCell ref="D47:F47"/>
    <mergeCell ref="AE2:AE5"/>
    <mergeCell ref="AE7:AE10"/>
    <mergeCell ref="AE12:AE15"/>
    <mergeCell ref="AE17:AE20"/>
    <mergeCell ref="AE22:AE25"/>
    <mergeCell ref="AE27:AE30"/>
    <mergeCell ref="AE32:AE35"/>
    <mergeCell ref="AE37:AE40"/>
    <mergeCell ref="AE42:AE45"/>
    <mergeCell ref="AE47:AE50"/>
    <mergeCell ref="B56:C56"/>
    <mergeCell ref="B58:C58"/>
    <mergeCell ref="B60:C60"/>
    <mergeCell ref="B2:B5"/>
    <mergeCell ref="B7:B10"/>
    <mergeCell ref="B12:B15"/>
    <mergeCell ref="B17:B20"/>
    <mergeCell ref="B22:B25"/>
    <mergeCell ref="B27:B30"/>
    <mergeCell ref="B32:B35"/>
    <mergeCell ref="B37:B40"/>
    <mergeCell ref="B42:B45"/>
    <mergeCell ref="B47:B50"/>
    <mergeCell ref="H47:J47"/>
    <mergeCell ref="L47:N47"/>
    <mergeCell ref="V47:W47"/>
    <mergeCell ref="X47:Y47"/>
    <mergeCell ref="Z37:AA37"/>
    <mergeCell ref="Z42:AA42"/>
    <mergeCell ref="Z47:AA47"/>
    <mergeCell ref="D42:F42"/>
    <mergeCell ref="H42:J42"/>
    <mergeCell ref="L42:N42"/>
    <mergeCell ref="V42:W42"/>
    <mergeCell ref="X42:Y42"/>
    <mergeCell ref="D37:F37"/>
    <mergeCell ref="H37:J37"/>
    <mergeCell ref="L37:N37"/>
    <mergeCell ref="V37:W37"/>
    <mergeCell ref="X37:Y3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AB7:AC7"/>
    <mergeCell ref="D12:F12"/>
    <mergeCell ref="H12:J12"/>
    <mergeCell ref="L12:N12"/>
    <mergeCell ref="V12:W12"/>
    <mergeCell ref="X12:Y12"/>
    <mergeCell ref="Z2:AA2"/>
    <mergeCell ref="D7:F7"/>
    <mergeCell ref="H7:J7"/>
    <mergeCell ref="L7:N7"/>
    <mergeCell ref="P7:R7"/>
    <mergeCell ref="V7:W7"/>
    <mergeCell ref="X7:Y7"/>
    <mergeCell ref="Z7:AA7"/>
    <mergeCell ref="D2:F2"/>
    <mergeCell ref="H2:J2"/>
    <mergeCell ref="L2:N2"/>
    <mergeCell ref="V2:W2"/>
    <mergeCell ref="X2:Y2"/>
    <mergeCell ref="U1:U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2025-07-11T01:42:48Z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