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defaultThemeVersion="124226"/>
  <mc:AlternateContent xmlns:mc="http://schemas.openxmlformats.org/markup-compatibility/2006">
    <mc:Choice Requires="x15">
      <x15ac:absPath xmlns:x15ac="http://schemas.microsoft.com/office/spreadsheetml/2010/11/ac" url="E:\GZNR\2025\五月\水晶球实验\"/>
    </mc:Choice>
  </mc:AlternateContent>
  <xr:revisionPtr revIDLastSave="0" documentId="13_ncr:1_{7A3DB690-5564-4DAE-B3BD-130B286DA0EF}" xr6:coauthVersionLast="47" xr6:coauthVersionMax="47" xr10:uidLastSave="{00000000-0000-0000-0000-000000000000}"/>
  <bookViews>
    <workbookView xWindow="-120" yWindow="-120" windowWidth="24240" windowHeight="15000" tabRatio="546" firstSheet="1" activeTab="3" xr2:uid="{00000000-000D-0000-FFFF-FFFF00000000}"/>
  </bookViews>
  <sheets>
    <sheet name="CB_DATA_" sheetId="4" state="hidden" r:id="rId1"/>
    <sheet name="Units of measure" sheetId="5" r:id="rId2"/>
    <sheet name="Process Description" sheetId="6" r:id="rId3"/>
    <sheet name="Model" sheetId="1" r:id="rId4"/>
    <sheet name="Sheet2" sheetId="2" r:id="rId5"/>
    <sheet name="Sheet3" sheetId="3" r:id="rId6"/>
  </sheets>
  <definedNames>
    <definedName name="AT_Decision" localSheetId="2">'Process Description'!#REF!</definedName>
    <definedName name="AT_Decision" localSheetId="1">'Units of measure'!#REF!</definedName>
    <definedName name="AT_Decision">Model!$T$47</definedName>
    <definedName name="CB_008b1fd305514201a8e5c1af1cd0babd" localSheetId="3" hidden="1">Model!$AH$4</definedName>
    <definedName name="CB_025b56d493fd4ea799ac7dfb71e20e1e" localSheetId="3" hidden="1">Model!$AH$49</definedName>
    <definedName name="CB_040cd8300434447d8dd1ec7f95ece8d5" localSheetId="3" hidden="1">Model!$AC$10</definedName>
    <definedName name="CB_06db507f81094d66bdf5492d31d2411a" localSheetId="3" hidden="1">Model!$Y$39</definedName>
    <definedName name="CB_0768dd12c9ba40478be5d368f9d87b29" localSheetId="3" hidden="1">Model!$AC$24</definedName>
    <definedName name="CB_0cace266cdb148eab939088d26aba984" localSheetId="3" hidden="1">Model!$AA$20</definedName>
    <definedName name="CB_0ce434d88c2d48cf87f2c97f5beb32fa" localSheetId="3" hidden="1">Model!$W$49</definedName>
    <definedName name="CB_0db9d16b69254e48a7a2aac00f3aa66e" localSheetId="3" hidden="1">Model!$U$57</definedName>
    <definedName name="CB_0dc9474e4a824b7fac490c5c4371585b" localSheetId="3" hidden="1">Model!$Y$50</definedName>
    <definedName name="CB_0de9fbf6b0c549b89e6bbfbbdf949c3b" localSheetId="3" hidden="1">Model!$U$64</definedName>
    <definedName name="CB_11880c3cf8dc4c36b30c12d27c9045f8" localSheetId="3" hidden="1">Model!$W$29</definedName>
    <definedName name="CB_1466b39f73d946c7b95d9237191b72e6" localSheetId="3" hidden="1">Model!$AH$4</definedName>
    <definedName name="CB_1466b39f73d946c7b95d9237191b72e6" localSheetId="2" hidden="1">'Process Description'!#REF!</definedName>
    <definedName name="CB_1466b39f73d946c7b95d9237191b72e6" localSheetId="1" hidden="1">'Units of measure'!#REF!</definedName>
    <definedName name="CB_147fabfe1fdc4d23a3f38d2fd4747f65" localSheetId="3" hidden="1">Model!$AH$40</definedName>
    <definedName name="CB_17b665573800456d987e3b39878925b0" localSheetId="3" hidden="1">Model!$W$9</definedName>
    <definedName name="CB_18a37914abc04f979eb8d18724398205" localSheetId="3" hidden="1">Model!$W$5</definedName>
    <definedName name="CB_1942403805214479b4c455f58c0ba6bc" localSheetId="3" hidden="1">Model!$AA$4</definedName>
    <definedName name="CB_1b2413801790478089d960a5f19b1f68" localSheetId="3" hidden="1">Model!$AH$29</definedName>
    <definedName name="CB_1b2da355cdae4e4e833ab6861ee125d8" localSheetId="3" hidden="1">Model!$Y$10</definedName>
    <definedName name="CB_1bd6c710c1f84e6caf49bf137d4e6992" localSheetId="3" hidden="1">Model!$W$44</definedName>
    <definedName name="CB_1cfe51afdbf942f698209e1c4819bac4" localSheetId="3" hidden="1">Model!$T$12</definedName>
    <definedName name="CB_1ea458101bbe49ad908733a0c03ce199" localSheetId="3" hidden="1">Model!$T$47</definedName>
    <definedName name="CB_20faf180b763439cac278195c318d946" localSheetId="3" hidden="1">Model!$Y$30</definedName>
    <definedName name="CB_21077b3e51b2467fb8ec8fe7ecd736ce" localSheetId="3" hidden="1">Model!$Y$19</definedName>
    <definedName name="CB_21bf52b0e609426ab63cad690a186d52" localSheetId="3" hidden="1">Model!$Y$44</definedName>
    <definedName name="CB_223226d259f143838a7003f2801f0def" localSheetId="3" hidden="1">Model!$U$62</definedName>
    <definedName name="CB_23809f73826c45b499b12f0c3a764119" localSheetId="3" hidden="1">Model!$Y$40</definedName>
    <definedName name="CB_249467d4fa4640fea1acbc8d2344feda" localSheetId="3" hidden="1">Model!$AA$30</definedName>
    <definedName name="CB_2553f5c4744d46668592269d51c7b654" localSheetId="3" hidden="1">Model!$Y$14</definedName>
    <definedName name="CB_292298a6b8a549be8bedfae66acd84bf" localSheetId="3" hidden="1">Model!$Y$9</definedName>
    <definedName name="CB_299fecff45db4cd9bb2212ee622705fa" localSheetId="3" hidden="1">Model!$AC$9</definedName>
    <definedName name="CB_2c6a161b16f9414c99b7197ce17ecebc" localSheetId="3" hidden="1">Model!$W$25</definedName>
    <definedName name="CB_2f8c2fb87abd4717af0cc2afc59b798e" localSheetId="3" hidden="1">Model!$T$22</definedName>
    <definedName name="CB_30a30c5003c94a1384236766afff8797" localSheetId="3" hidden="1">Model!$W$45</definedName>
    <definedName name="CB_3106663aa42346428431275779c88301" localSheetId="3" hidden="1">Model!$AH$14</definedName>
    <definedName name="CB_32c1351867bd4c0cafda42eea9a10979" localSheetId="3" hidden="1">Model!$D$58</definedName>
    <definedName name="CB_32f72c4e28b246a58fd10f4618c7444d" localSheetId="3" hidden="1">Model!$AH$45</definedName>
    <definedName name="CB_332c9587f46948a2b3e20585ab9fecca" localSheetId="3" hidden="1">Model!$AC$20</definedName>
    <definedName name="CB_3682339f75554c6d83918ff1b4c0e206" localSheetId="3" hidden="1">Model!$AH$39</definedName>
    <definedName name="CB_3a2c7444760e48d0a6c0d6fec96cf5b8" localSheetId="3" hidden="1">Model!$AA$9</definedName>
    <definedName name="CB_3c3c4bdc06504408b0cfd487779077d3" localSheetId="3" hidden="1">Model!$Y$5</definedName>
    <definedName name="CB_3c999cbb627648a4a023470095976a25" localSheetId="3" hidden="1">Model!$W$24</definedName>
    <definedName name="CB_3d7c01548b374cdabd13681cbce92f75" localSheetId="3" hidden="1">Model!$AH$44</definedName>
    <definedName name="CB_41376f0e21884e33b1e6a09d19efe2dd" localSheetId="3" hidden="1">Model!$W$4</definedName>
    <definedName name="CB_5209fe41fc6f483f81458216e816fb3b" localSheetId="3" hidden="1">Model!$AH$20</definedName>
    <definedName name="CB_52b3346623584352a9404ef787170f94" localSheetId="3" hidden="1">Model!$W$20</definedName>
    <definedName name="CB_530c3f9ef11d42bf97ce6678c28c30c7" localSheetId="3" hidden="1">Model!$AA$50</definedName>
    <definedName name="CB_5fd0fb456b78407e9f45b6074e752a89" localSheetId="3" hidden="1">Model!$AA$24</definedName>
    <definedName name="CB_5fe91c1c31cc40e186edcc65db5a790e" localSheetId="3" hidden="1">Model!$AH$19</definedName>
    <definedName name="CB_60f75a16e0c54150b5da2b84480f69cb" localSheetId="3" hidden="1">Model!$AH$9</definedName>
    <definedName name="CB_61d9413727f94b40ab1bb8483b8df48c" localSheetId="3" hidden="1">Model!$W$19</definedName>
    <definedName name="CB_65bd5280107648e7a0207335980a21c6" localSheetId="3" hidden="1">Model!$W$10</definedName>
    <definedName name="CB_65ce67fef3cc4ebba6e026699fadc325" localSheetId="3" hidden="1">Model!$U$55</definedName>
    <definedName name="CB_672f50cc63f94fdfbd9cc573d9e51c1c" localSheetId="3" hidden="1">Model!$Y$35</definedName>
    <definedName name="CB_6acfaa8d33dc490294abe7fd055f2726" localSheetId="3" hidden="1">Model!$AH$10</definedName>
    <definedName name="CB_6b9fc9f5303c48f785ab232703bcd2ff" localSheetId="3" hidden="1">Model!$AH$24</definedName>
    <definedName name="CB_6fe49d68241e48e9a36bc5f712809176" localSheetId="3" hidden="1">Model!$U$74</definedName>
    <definedName name="CB_70d264c0436046ef97b2881e1362f89a" localSheetId="3" hidden="1">Model!$U$60</definedName>
    <definedName name="CB_728ec9c388ca4ad89771987dcf6aee34" localSheetId="3" hidden="1">Model!$Y$15</definedName>
    <definedName name="CB_729c4ef3f8364cca8e4681402e7dc2d2" localSheetId="3" hidden="1">Model!$W$15</definedName>
    <definedName name="CB_7bc011fa15954e44a576576d7b7df41d" localSheetId="3" hidden="1">Model!$U$68</definedName>
    <definedName name="CB_7c506b580a1c4876b520da9e57837189" localSheetId="3" hidden="1">Model!$W$34</definedName>
    <definedName name="CB_7ddf164c2c414615845722a089cdc117" localSheetId="3" hidden="1">Model!$AA$5</definedName>
    <definedName name="CB_80964666865948c0824e71102d82a577" localSheetId="3" hidden="1">Model!$U$53</definedName>
    <definedName name="CB_8251ef9ce92d4afba31d0b7aec1ec9e9" localSheetId="3" hidden="1">Model!$AA$40</definedName>
    <definedName name="CB_84214266b836489a9758fe87f3e9a961" localSheetId="0" hidden="1">#N/A</definedName>
    <definedName name="CB_84946ec9e5fd416fb8b71b77c57df2c9" localSheetId="3" hidden="1">Model!$AA$34</definedName>
    <definedName name="CB_864ce18db2b9479294d951773d162caa" localSheetId="3" hidden="1">Model!$AA$45</definedName>
    <definedName name="CB_866cb6c7361846b4bba2b8f8f7982899" localSheetId="3" hidden="1">Model!$T$17</definedName>
    <definedName name="CB_8a77b8cb9e5f4e2eb2868a32213256b4" localSheetId="3" hidden="1">Model!$W$40</definedName>
    <definedName name="CB_8bc3d642d1d94fb5bcbab520a7d58559" localSheetId="3" hidden="1">Model!$AC$29</definedName>
    <definedName name="CB_8c7f34c1e9204bc6a9a8c88342b4a72c" localSheetId="0" hidden="1">#N/A</definedName>
    <definedName name="CB_911a1771b298424db14c7cb7fb985090" localSheetId="3" hidden="1">Model!$AH$34</definedName>
    <definedName name="CB_916fae0fe58a4bb3b7a68c3119670c09" localSheetId="3" hidden="1">Model!$W$39</definedName>
    <definedName name="CB_96cdb40350ff454b94b969b0f31dfd59" localSheetId="3" hidden="1">Model!$AA$10</definedName>
    <definedName name="CB_96d69b736b254c0db34c0d68d9c19bc0" localSheetId="3" hidden="1">Model!$Y$49</definedName>
    <definedName name="CB_98e844b7be9e4e2ea7c63cf3f5e2eca9" localSheetId="3" hidden="1">Model!$AC$19</definedName>
    <definedName name="CB_9e4c2c299c364f1a9c2ccf14ed8d9402" localSheetId="3" hidden="1">Model!$AC$34</definedName>
    <definedName name="CB_9f52c939e671425485d1c159cbcfbe35" localSheetId="3" hidden="1">Model!$AA$19</definedName>
    <definedName name="CB_9f550ba96f004a809dd2d98ca32508b7" localSheetId="3" hidden="1">Model!$U$72</definedName>
    <definedName name="CB_a0004ed50af84159aea20c7be314b61d" localSheetId="3" hidden="1">Model!$AA$39</definedName>
    <definedName name="CB_a57b8915d4b34aa3a31e8db25cc721a4" localSheetId="3" hidden="1">Model!$AH$35</definedName>
    <definedName name="CB_a60bd68c30014ff19fa729253e860efc" localSheetId="3" hidden="1">Model!$T$7</definedName>
    <definedName name="CB_a82ad252f02945b9b0751bb7be111ea8" localSheetId="3" hidden="1">Model!$Y$29</definedName>
    <definedName name="CB_aabdeadfc41c4abb8ae3cb95b2a75f0b" localSheetId="3" hidden="1">Model!$AA$35</definedName>
    <definedName name="CB_abd459469c4b43d29e94be7c5b51dbc1" localSheetId="3" hidden="1">Model!$AA$25</definedName>
    <definedName name="CB_aee4f0696f884ae4a8850dffe660eaf8" localSheetId="3" hidden="1">Model!$AC$35</definedName>
    <definedName name="CB_b1cde6744f75483cb8959832d8e67e02" localSheetId="3" hidden="1">Model!$AH$30</definedName>
    <definedName name="CB_b4ba4dc8a2384fffb82d392904d39693" localSheetId="3" hidden="1">Model!$T$27</definedName>
    <definedName name="CB_b703c8455b1e4a1f80412e5641570b85" localSheetId="3" hidden="1">Model!$W$35</definedName>
    <definedName name="CB_b7c66788f9c14aa199283ba015c4e826" localSheetId="3" hidden="1">Model!$Y$20</definedName>
    <definedName name="CB_b8b0ccd73dfc47b9a33990b028f16f7f" localSheetId="3" hidden="1">Model!$AA$49</definedName>
    <definedName name="CB_b93f11a6a38144bba2cdbcab47f3f7bf" localSheetId="3" hidden="1">Model!$AA$44</definedName>
    <definedName name="CB_bb3558686b464d8eb1f2effc266bb024" localSheetId="3" hidden="1">Model!$AC$25</definedName>
    <definedName name="CB_bbc60f6a125f4ad983891983b779a2bd" localSheetId="0" hidden="1">#N/A</definedName>
    <definedName name="CB_bfa1970eac284fd6938edc19e6f0c44a" localSheetId="3" hidden="1">Model!$AC$30</definedName>
    <definedName name="CB_Block_00000000000000000000000000000000" localSheetId="0" hidden="1">"'7.0.0.0"</definedName>
    <definedName name="CB_Block_00000000000000000000000000000000" localSheetId="3" hidden="1">"'7.0.0.0"</definedName>
    <definedName name="CB_Block_00000000000000000000000000000001" localSheetId="0" hidden="1">"'638878263405180787"</definedName>
    <definedName name="CB_Block_00000000000000000000000000000001" localSheetId="3" hidden="1">"'638878263405921951"</definedName>
    <definedName name="CB_Block_00000000000000000000000000000003" localSheetId="0" hidden="1">"'11.1.2391.0"</definedName>
    <definedName name="CB_Block_00000000000000000000000000000003" localSheetId="3" hidden="1">"'11.1.2391.0"</definedName>
    <definedName name="CB_BlockExt_00000000000000000000000000000003" localSheetId="0" hidden="1">"'11.1.2.1.000"</definedName>
    <definedName name="CB_BlockExt_00000000000000000000000000000003" localSheetId="3" hidden="1">"'11.1.2.1.000"</definedName>
    <definedName name="CB_c47872e997ed4319adf2fb3f3349d439" localSheetId="3" hidden="1">Model!$T$32</definedName>
    <definedName name="CB_c4d0685e78ee440aad7b237bb42fe66a" localSheetId="3" hidden="1">Model!$AH$50</definedName>
    <definedName name="CB_c62e80ed678f4fa399f3a73011361e39" localSheetId="3" hidden="1">Model!$D$60</definedName>
    <definedName name="CB_c64d0237325c415884252f45357db11b" localSheetId="3" hidden="1">Model!$Y$25</definedName>
    <definedName name="CB_c94cc54f95da46ec9587c85e092cec40" localSheetId="3" hidden="1">Model!$U$66</definedName>
    <definedName name="CB_ca2c366f79154ee7a8d8bd6acff12a78" localSheetId="3" hidden="1">Model!$D$56</definedName>
    <definedName name="CB_cb4929b3dc6f46afb8d49c3da0060c07" localSheetId="3" hidden="1">Model!$AA$29</definedName>
    <definedName name="CB_cc0fabe170d44797a8c41df76b7b2ad3" localSheetId="3" hidden="1">Model!$T$2</definedName>
    <definedName name="CB_ced414c8788844c0829a0da92a6d9253" localSheetId="3" hidden="1">Model!$W$14</definedName>
    <definedName name="CB_d0f5f101f3f149d892b223413a541e58" localSheetId="3" hidden="1">Model!$Y$34</definedName>
    <definedName name="CB_d2ccf89dedf646e7ae62c1c880e5cdff" localSheetId="3" hidden="1">Model!$T$42</definedName>
    <definedName name="CB_d8da4562cd1d4c36afa96a9342f2242b" localSheetId="3" hidden="1">Model!$W$50</definedName>
    <definedName name="CB_def7b358f6974af0b8faa8d7691d93ef" localSheetId="3" hidden="1">Model!$U$70</definedName>
    <definedName name="CB_ecddc11418fe405c97a5d28024750e6e" localSheetId="3" hidden="1">Model!$Y$24</definedName>
    <definedName name="CB_f3991b7e99f4459297c3220a2488a5ad" localSheetId="3" hidden="1">Model!$Y$4</definedName>
    <definedName name="CB_f71d235adfdd4eadbaac7029ec5ebc87" localSheetId="3" hidden="1">Model!$W$30</definedName>
    <definedName name="CB_fbbb6cfbed404d729e3c6e63a37bb121" localSheetId="3" hidden="1">Model!$Y$45</definedName>
    <definedName name="CBCR_00631c2191c347698cb39578ec4901bd" localSheetId="3" hidden="1">Model!$I$5</definedName>
    <definedName name="CBCR_03ce0721f04e46208693a9dfd5d394cf" localSheetId="3" hidden="1">Model!$M$24</definedName>
    <definedName name="CBCR_071ebcf749104165838a771753b3cd4e" localSheetId="3" hidden="1">Model!$X$14</definedName>
    <definedName name="CBCR_078bdec6f9a3487682ec78e2b73e8631" localSheetId="3" hidden="1">Model!$AL$45</definedName>
    <definedName name="CBCR_07d80eb882584bf1b0b14d6afd4a754e" localSheetId="3" hidden="1">Model!$E$25</definedName>
    <definedName name="CBCR_08b9f7481d2b4ca7859a19cede7d563b" localSheetId="3" hidden="1">Model!$AK$30</definedName>
    <definedName name="CBCR_0a46a160aa8e48c4a55e57e9b9e752eb" localSheetId="3" hidden="1">Model!$M$44</definedName>
    <definedName name="CBCR_0b12d5b1a97b45958257f4f29b53ecaa" localSheetId="3" hidden="1">Model!$M$40</definedName>
    <definedName name="CBCR_0b4fcd2230dc4bf7aa2269856e43de23" localSheetId="3" hidden="1">Model!$M$19</definedName>
    <definedName name="CBCR_0bdd5af5281a475eaa74e559bb83d3ce" localSheetId="3" hidden="1">Model!$V$19</definedName>
    <definedName name="CBCR_0ce17d5fa501435bb6f1c21b78bf3532" localSheetId="3" hidden="1">Model!$A$60</definedName>
    <definedName name="CBCR_0e933288205d4b57a0df817d0cc15603" localSheetId="3" hidden="1">Model!$M$9</definedName>
    <definedName name="CBCR_0f23f3751332421ab4027a924475c065" localSheetId="3" hidden="1">Model!$A$56</definedName>
    <definedName name="CBCR_0f27f1ea47d04713a4e385f2a772ab15" localSheetId="3" hidden="1">Model!$AJ$19</definedName>
    <definedName name="CBCR_105580f242654b9685e8c514a0731861" localSheetId="3" hidden="1">Model!$AK$9</definedName>
    <definedName name="CBCR_10726a02a68a4075a31ac723aa939581" localSheetId="3" hidden="1">Model!$E$44</definedName>
    <definedName name="CBCR_13b828fd9fed44c4a021035628c418da" localSheetId="3" hidden="1">Model!$E$40</definedName>
    <definedName name="CBCR_192a5e54ebb84dd682e86118424e80c8" localSheetId="3" hidden="1">Model!$AK$29</definedName>
    <definedName name="CBCR_1b2ccba462324b50959379c0d5924758" localSheetId="3" hidden="1">Model!$AL$49</definedName>
    <definedName name="CBCR_1bbe0411469346068986d43de4ec832a" localSheetId="3" hidden="1">Model!$E$9</definedName>
    <definedName name="CBCR_1e718d384bf74e98b6c377f13d12a9a5" localSheetId="3" hidden="1">Model!$M$20</definedName>
    <definedName name="CBCR_1e7458d7fbc049a4b23c254ebf6748f1" localSheetId="3" hidden="1">Model!$AB$9</definedName>
    <definedName name="CBCR_1eb323bd3d5e444cb44319bcac395579" localSheetId="3" hidden="1">Model!$Z$25</definedName>
    <definedName name="CBCR_1fe1467a209343f6ab86fc3cf9c8f71c" localSheetId="3" hidden="1">Model!$V$24</definedName>
    <definedName name="CBCR_21622d516b534524b4f8c675218942d2" localSheetId="3" hidden="1">Model!$AL$20</definedName>
    <definedName name="CBCR_223d9a4b27b94bc2987c71ac29f8ec69" localSheetId="3" hidden="1">Model!$M$34</definedName>
    <definedName name="CBCR_240366133fb9468cbfe3b5edb11fe806" localSheetId="3" hidden="1">Model!$V$5</definedName>
    <definedName name="CBCR_25e768b2e8754f4bacc173cbbaf5da16" localSheetId="3" hidden="1">Model!$X$10</definedName>
    <definedName name="CBCR_263e445ed1db4c959e10d4dcca2c6e32" localSheetId="3" hidden="1">Model!$AK$34</definedName>
    <definedName name="CBCR_29afe04c26b1425fabb015f1eba44761" localSheetId="3" hidden="1">Model!$X$44</definedName>
    <definedName name="CBCR_2bfaa8ecc91c4a3da05691f9ffa48176" localSheetId="3" hidden="1">Model!$AB$19</definedName>
    <definedName name="CBCR_32a21c270c344ce1bd26c54724c9c61b" localSheetId="3" hidden="1">Model!$AL$44</definedName>
    <definedName name="CBCR_3341bdc7b4e043df9cb04107c12eaccd" localSheetId="3" hidden="1">Model!$AJ$4</definedName>
    <definedName name="CBCR_34dd507bf8844bbb8b280e73db143507" localSheetId="3" hidden="1">Model!$I$30</definedName>
    <definedName name="CBCR_357c93c123174d9cb6a3c7058f738a36" localSheetId="3" hidden="1">Model!$V$50</definedName>
    <definedName name="CBCR_35961194baa9497e819b5c7f6d06038d" localSheetId="3" hidden="1">Model!$AJ$40</definedName>
    <definedName name="CBCR_35b8ef34bde44c2c8c2d708febeb5beb" localSheetId="3" hidden="1">Model!$AK$49</definedName>
    <definedName name="CBCR_36d43eda9bd94dadbccfd85bef7a98c0" localSheetId="3" hidden="1">Model!$X$9</definedName>
    <definedName name="CBCR_37429d7402ea4bbba8f12808c12462a9" localSheetId="3" hidden="1">Model!$Z$30</definedName>
    <definedName name="CBCR_37b7da3a6752419686db132f80cbefb8" localSheetId="3" hidden="1">Model!$I$19</definedName>
    <definedName name="CBCR_37c2909ee64041de84da7e2f136be283" localSheetId="3" hidden="1">Model!$Z$4</definedName>
    <definedName name="CBCR_382df07c7b1b477c845fbbb5575a851b" localSheetId="3" hidden="1">Model!$Q$10</definedName>
    <definedName name="CBCR_3986b018076b40f0bfcb99b2402774ed" localSheetId="3" hidden="1">Model!$Q$34</definedName>
    <definedName name="CBCR_3af3fbf77e8c4b7796157fa52b8fc842" localSheetId="3" hidden="1">Model!$I$50</definedName>
    <definedName name="CBCR_3b812126195e404f860f67c55937e28a" localSheetId="3" hidden="1">Model!$AL$10</definedName>
    <definedName name="CBCR_3d70015afd1844ac98e1c8e8c0712ce8" localSheetId="3" hidden="1">Model!$M$35</definedName>
    <definedName name="CBCR_3df5c0875fb24176a968452a71e206d8" localSheetId="3" hidden="1">Model!$V$34</definedName>
    <definedName name="CBCR_43db60ba1e2f439a9fb5a57c427dfc7d" localSheetId="3" hidden="1">Model!$X$45</definedName>
    <definedName name="CBCR_458e2db8e3044ffdbde5dc752cbddfad" localSheetId="3" hidden="1">Model!$AL$40</definedName>
    <definedName name="CBCR_475d05e97a2942efa88f81aee1d7ee20" localSheetId="3" hidden="1">Model!$I$14</definedName>
    <definedName name="CBCR_47d2d270917a4c1e97e81c6a2880af32" localSheetId="3" hidden="1">Model!$I$4</definedName>
    <definedName name="CBCR_4942e2c9d093407ba19c17f06c11f7f0" localSheetId="3" hidden="1">Model!$V$15</definedName>
    <definedName name="CBCR_49d40af7f0a54267ad9f4c2c65737da0" localSheetId="3" hidden="1">Model!$E$49</definedName>
    <definedName name="CBCR_49d9522858c84c119e357351b9a044a0" localSheetId="3" hidden="1">Model!$I$29</definedName>
    <definedName name="CBCR_4adaf23f88f643188df3ade6ea51dbf0" localSheetId="3" hidden="1">Model!$Q$19</definedName>
    <definedName name="CBCR_4b9f1e8d987e4b9e9951f76ffd7b4ced" localSheetId="3" hidden="1">Model!$X$4</definedName>
    <definedName name="CBCR_4bc2b8e6f194451eb02e493db8129807" localSheetId="3" hidden="1">Model!$V$45</definedName>
    <definedName name="CBCR_4f852850bced4b53bcd63c5aaf6d1225" localSheetId="3" hidden="1">Model!$Q$20</definedName>
    <definedName name="CBCR_4f9bd7ef2f57442584015f8a6b1110a3" localSheetId="0" hidden="1">CB_DATA_!$A$10006</definedName>
    <definedName name="CBCR_535d1ca904434c7f80adeaf3eaf3339d" localSheetId="3" hidden="1">Model!$X$25</definedName>
    <definedName name="CBCR_53f43f7160574a9383ba26883d52bdf3" localSheetId="3" hidden="1">Model!$AB$24</definedName>
    <definedName name="CBCR_541e35c1765c40329730ff1ca66c36a3" localSheetId="3" hidden="1">Model!$AL$14</definedName>
    <definedName name="CBCR_549fb08441b8401e9036f3b595c9eec1" localSheetId="3" hidden="1">Model!$M$29</definedName>
    <definedName name="CBCR_5571491b73f44266ba86b173911d8da6" localSheetId="3" hidden="1">Model!$I$44</definedName>
    <definedName name="CBCR_5638ed0fd12b47d28e3d95168418e9e0" localSheetId="3" hidden="1">Model!$V$44</definedName>
    <definedName name="CBCR_566db00cf3c646faa4b4dfea752a7b9d" localSheetId="3" hidden="1">Model!$AK$45</definedName>
    <definedName name="CBCR_56b830fc3143489e912089e31b0c2d8f" localSheetId="3" hidden="1">Model!$V$14</definedName>
    <definedName name="CBCR_57a1719af2db47be83d778560457b529" localSheetId="3" hidden="1">Model!$AL$34</definedName>
    <definedName name="CBCR_57ee614368e8405ba7d07f8e1bcaf536" localSheetId="3" hidden="1">Model!$AJ$34</definedName>
    <definedName name="CBCR_5ba5debe485f49c3b5b322298ec4fa64" localSheetId="3" hidden="1">Model!$Z$9</definedName>
    <definedName name="CBCR_5c5bc412e3fa409c8ff9020233d15e39" localSheetId="3" hidden="1">Model!$AJ$35</definedName>
    <definedName name="CBCR_5ce73b20381946aa9ca6e4aa69ebc807" localSheetId="3" hidden="1">Model!$E$10</definedName>
    <definedName name="CBCR_60e89e869cc6448ab93fde0fc18f3397" localSheetId="3" hidden="1">Model!$E$15</definedName>
    <definedName name="CBCR_61b900ee87f3426882cb2f9a5dc61eb5" localSheetId="3" hidden="1">Model!$X$34</definedName>
    <definedName name="CBCR_63c86e6ef23c4f818146f08d6f3d3d54" localSheetId="3" hidden="1">Model!$V$29</definedName>
    <definedName name="CBCR_6462bb2c8e6841b18351201d92c74d47" localSheetId="3" hidden="1">Model!$E$50</definedName>
    <definedName name="CBCR_64a56f7e4bba47909602334951829fc3" localSheetId="3" hidden="1">Model!$AL$50</definedName>
    <definedName name="CBCR_650ad531a7964879950ef374c4a60ba4" localSheetId="3" hidden="1">Model!$M$49</definedName>
    <definedName name="CBCR_653f2e4f60fb4968a7c560816b42cc27" localSheetId="3" hidden="1">Model!$E$5</definedName>
    <definedName name="CBCR_665ddffc02404727a9cc3172e4d5b24e" localSheetId="3" hidden="1">Model!$E$19</definedName>
    <definedName name="CBCR_672a1715f83d495c828824cfcd87b7df" localSheetId="3" hidden="1">Model!$AJ$44</definedName>
    <definedName name="CBCR_68d209072b274ac999ea26f948b7e60c" localSheetId="3" hidden="1">Model!$Z$19</definedName>
    <definedName name="CBCR_6b0963520a964754bd147420ec415536" localSheetId="3" hidden="1">Model!$E$14</definedName>
    <definedName name="CBCR_6f2ec322221b48e3a5215217e927b2fb" localSheetId="3" hidden="1">Model!$AJ$50</definedName>
    <definedName name="CBCR_6f5253808de64744bf09719af74f36e3" localSheetId="3" hidden="1">Model!$AB$35</definedName>
    <definedName name="CBCR_73b1631dee6c4ff8b7608d89abe02879" localSheetId="3" hidden="1">Model!$V$25</definedName>
    <definedName name="CBCR_7481d08bac50482fb090e05acf08284a" localSheetId="3" hidden="1">Model!$AB$20</definedName>
    <definedName name="CBCR_74886c2add534e088a8c54b5ba2c2612" localSheetId="3" hidden="1">Model!$AK$44</definedName>
    <definedName name="CBCR_75ccdde1f4c14bad909308d3dca6d1c0" localSheetId="3" hidden="1">Model!$Z$40</definedName>
    <definedName name="CBCR_780841f4e74946aeaf6ef8b83b6767b6" localSheetId="3" hidden="1">Model!$X$50</definedName>
    <definedName name="CBCR_78db434df59540d4a0459d6dfa6e148b" localSheetId="3" hidden="1">Model!$AB$25</definedName>
    <definedName name="CBCR_7a754448a8f14335b8b4cf960a9fdbbf" localSheetId="3" hidden="1">Model!$AJ$29</definedName>
    <definedName name="CBCR_7aaf54680ac44d1780a2e109cb4b5e62" localSheetId="3" hidden="1">Model!$I$9</definedName>
    <definedName name="CBCR_7cb6d065a43449589f9fd564fe80a9e3" localSheetId="3" hidden="1">Model!$I$20</definedName>
    <definedName name="CBCR_7cdf3bcb11e14daba2b34323b9bc563a" localSheetId="3" hidden="1">Model!$Z$34</definedName>
    <definedName name="CBCR_7d7f4ac475614b72a38918ffcbf7514d" localSheetId="3" hidden="1">Model!$V$4</definedName>
    <definedName name="CBCR_7dfd0576ccc3401eab9c25cf9d4cac42" localSheetId="3" hidden="1">Model!$E$34</definedName>
    <definedName name="CBCR_7e59cef8d2924d60a954161ccc6b1c5c" localSheetId="3" hidden="1">Model!$AL$29</definedName>
    <definedName name="CBCR_854debbe7f214388869c4758298ca878" localSheetId="3" hidden="1">Model!$E$29</definedName>
    <definedName name="CBCR_85a48f2d8d414e06b285f13f74067c38" localSheetId="3" hidden="1">Model!$V$40</definedName>
    <definedName name="CBCR_878d7bd548b648368308a7cc02f1ee30" localSheetId="3" hidden="1">Model!$AK$14</definedName>
    <definedName name="CBCR_89f52da3b4b74828ae2494589da2f671" localSheetId="3" hidden="1">Model!$AL$4</definedName>
    <definedName name="CBCR_8a34402c5e574c1292eccbf627416ff7" localSheetId="3" hidden="1">Model!$V$20</definedName>
    <definedName name="CBCR_8a5f0f3ac24a458eb3b677545059897e" localSheetId="3" hidden="1">Model!$M$5</definedName>
    <definedName name="CBCR_8a9668a6c75945089c7bebe6a4f91b97" localSheetId="3" hidden="1">Model!$AL$35</definedName>
    <definedName name="CBCR_8b3276266ccb42258665400c78a7c30a" localSheetId="3" hidden="1">Model!$AL$19</definedName>
    <definedName name="CBCR_8c1d7d6258fb4ecc9ff7f96356dd629c" localSheetId="3" hidden="1">Model!$Q$29</definedName>
    <definedName name="CBCR_8c52cc7a60114c6fbc3068559994cbd8" localSheetId="3" hidden="1">Model!$X$24</definedName>
    <definedName name="CBCR_8cc05ab58f5c44008f0456b2b36f6143" localSheetId="3" hidden="1">Model!$AK$35</definedName>
    <definedName name="CBCR_92302469f3574dd38a8aca6dc2cb9e36" localSheetId="3" hidden="1">Model!$Z$39</definedName>
    <definedName name="CBCR_95d3cddd37594115ac3b966199e67ecf" localSheetId="3" hidden="1">Model!$X$49</definedName>
    <definedName name="CBCR_967ac88352654bdeb263082025a324bd" localSheetId="3" hidden="1">Model!$I$40</definedName>
    <definedName name="CBCR_97d6061d76ab4d71981688c521e439fb" localSheetId="3" hidden="1">Model!$Z$29</definedName>
    <definedName name="CBCR_97e7bf70facb4e2caecdf65a76c510c2" localSheetId="3" hidden="1">Model!$AJ$9</definedName>
    <definedName name="CBCR_98c62c8b684740c29b9ac90a6ef6198c" localSheetId="3" hidden="1">Model!$Z$44</definedName>
    <definedName name="CBCR_98cb3fe41ad748bb868d0a88f2ec43df" localSheetId="3" hidden="1">Model!$Z$5</definedName>
    <definedName name="CBCR_991b8c12156f49a7a3686c5926c3a539" localSheetId="3" hidden="1">Model!$I$49</definedName>
    <definedName name="CBCR_992e508dde9b4a859a1af25deb8c03aa" localSheetId="3" hidden="1">Model!$X$15</definedName>
    <definedName name="CBCR_9a18f440500a4c76bedd40b9442bcff1" localSheetId="3" hidden="1">Model!$M$10</definedName>
    <definedName name="CBCR_9cb916302c194071aa75e5ae81ee538b" localSheetId="3" hidden="1">Model!$Z$20</definedName>
    <definedName name="CBCR_9e7fbc74102c49d9bf8131b5e54dd228" localSheetId="3" hidden="1">Model!$I$15</definedName>
    <definedName name="CBCR_9ee4db0f144541deacc79fcdbe262c3d" localSheetId="3" hidden="1">Model!$E$24</definedName>
    <definedName name="CBCR_a02f003e41e443258aaebd90e4fb587f" localSheetId="0" hidden="1">CB_DATA_!$A$10005</definedName>
    <definedName name="CBCR_a08057a353f044c6b86e726b17cea407" localSheetId="3" hidden="1">Model!$M$50</definedName>
    <definedName name="CBCR_a1d19158f332424983d278f1cdb9dc58" localSheetId="3" hidden="1">Model!$Z$10</definedName>
    <definedName name="CBCR_a4223e4c9f6f4b7a90f5a81ab96cc7f8" localSheetId="3" hidden="1">Model!$AJ$30</definedName>
    <definedName name="CBCR_a605a5c0e53c4c918ec469cdc8c9e50d" localSheetId="3" hidden="1">Model!$I$25</definedName>
    <definedName name="CBCR_a7e417b077154151b8e632783e1bbdb7" localSheetId="0" hidden="1">CB_DATA_!$A$10002</definedName>
    <definedName name="CBCR_aacd1bc7070544c1934455bcd5dc359a" localSheetId="3" hidden="1">Model!$M$30</definedName>
    <definedName name="CBCR_ab43fbdaa84b479c9b593fb2cdabcc7a" localSheetId="3" hidden="1">Model!$AJ$49</definedName>
    <definedName name="CBCR_ac1fd10adac242f28b48012c11e57898" localSheetId="3" hidden="1">Model!$Z$24</definedName>
    <definedName name="CBCR_b0ae9d5cde45424da563e314aefa55b4" localSheetId="3" hidden="1">Model!$I$35</definedName>
    <definedName name="CBCR_b2f04b77aa374e2b8eaca48f4f4b81dc" localSheetId="3" hidden="1">Model!$X$19</definedName>
    <definedName name="CBCR_b3295603f87e49c2993e58aa9b6995e1" localSheetId="3" hidden="1">Model!$V$9</definedName>
    <definedName name="CBCR_b5e0c05984e24e47913e964ca6480f60" localSheetId="3" hidden="1">Model!$M$39</definedName>
    <definedName name="CBCR_b95649ee306e4a82adf8cfc340f56565" localSheetId="3" hidden="1">Model!$E$39</definedName>
    <definedName name="CBCR_b9f27e6bf553466a96429be5d8d90f64" localSheetId="3" hidden="1">Model!$AL$9</definedName>
    <definedName name="CBCR_ba7eda233b3d4c1d9d877500b1c84003" localSheetId="3" hidden="1">Model!$AB$30</definedName>
    <definedName name="CBCR_bcbe6a820c0546949b5be4fff9c1a1d1" localSheetId="3" hidden="1">Model!$V$30</definedName>
    <definedName name="CBCR_be0eafe3f43a4731b647ea2db0e1ea32" localSheetId="3" hidden="1">Model!$X$20</definedName>
    <definedName name="CBCR_be25a58536794705959e42e94a57ce35" localSheetId="3" hidden="1">Model!$V$49</definedName>
    <definedName name="CBCR_bfc19708642a4ce8b2b675187335c87a" localSheetId="3" hidden="1">Model!$AK$50</definedName>
    <definedName name="CBCR_c1136919caf446cdaa128cb606e2725b" localSheetId="3" hidden="1">Model!$AJ$39</definedName>
    <definedName name="CBCR_c49b194e3bfe4fa4b6e5c4227d9377ed" localSheetId="3" hidden="1">Model!$I$24</definedName>
    <definedName name="CBCR_c529d43811eb40e1a76b53e6f60bc3b9" localSheetId="3" hidden="1">Model!$E$35</definedName>
    <definedName name="CBCR_c5367818d6034951a9b5c6badbe8e208" localSheetId="3" hidden="1">Model!$Z$50</definedName>
    <definedName name="CBCR_c60d22410cbf428285ff1406164d4512" localSheetId="3" hidden="1">Model!$AJ$45</definedName>
    <definedName name="CBCR_c69fccb2000f4f828bcd5aa62f73bba2" localSheetId="3" hidden="1">Model!$E$4</definedName>
    <definedName name="CBCR_c6d0280c9b6b4310996a37d44e36f153" localSheetId="3" hidden="1">Model!$Z$35</definedName>
    <definedName name="CBCR_c70cfd393097427e9b79c6706afd1afa" localSheetId="3" hidden="1">Model!$V$10</definedName>
    <definedName name="CBCR_c7534aa23306451388e9ca3f46730c24" localSheetId="3" hidden="1">Model!$V$39</definedName>
    <definedName name="CBCR_c88754f176764a7bb60bfef311ddc5c2" localSheetId="3" hidden="1">Model!$M$4</definedName>
    <definedName name="CBCR_ca30e4f6f6bd4df39998c993608997f7" localSheetId="3" hidden="1">Model!$Q$24</definedName>
    <definedName name="CBCR_cb622668fb5448a490468296efca8f1c" localSheetId="3" hidden="1">Model!$V$35</definedName>
    <definedName name="CBCR_cc552082e7e7478d9126a2f0070287cb" localSheetId="3" hidden="1">Model!$Z$45</definedName>
    <definedName name="CBCR_ce7d59a53a324670be96f8d34098bc80" localSheetId="3" hidden="1">Model!$AK$24</definedName>
    <definedName name="CBCR_ce9d394a91c34ddc92379a8c09fea10a" localSheetId="3" hidden="1">Model!$E$30</definedName>
    <definedName name="CBCR_cfa0749355a34831bc3096d22912e126" localSheetId="3" hidden="1">Model!$E$20</definedName>
    <definedName name="CBCR_d0fe3e844dbf419b95d5432f8c512d36" localSheetId="3" hidden="1">Model!$X$40</definedName>
    <definedName name="CBCR_d20cce1897c440adb0e829d0bdca4be6" localSheetId="3" hidden="1">Model!$Q$30</definedName>
    <definedName name="CBCR_d374db4a5b6543368244e2955b4e0e36" localSheetId="3" hidden="1">Model!$X$39</definedName>
    <definedName name="CBCR_d37a46e1423b49d7a079306d764f25d4" localSheetId="3" hidden="1">Model!$AK$40</definedName>
    <definedName name="CBCR_d42fa5d77de84faead5204cced2bf55f" localSheetId="3" hidden="1">Model!$X$30</definedName>
    <definedName name="CBCR_d77a84895d834613be8d5cc8e2112449" localSheetId="3" hidden="1">Model!$AJ$14</definedName>
    <definedName name="CBCR_d7dcfccbe20d499abede8ddf4a094864" localSheetId="3" hidden="1">Model!$AL$24</definedName>
    <definedName name="CBCR_d828564469204cb68fbb2c2e9cd5b6bb" localSheetId="3" hidden="1">Model!$X$5</definedName>
    <definedName name="CBCR_d95ac6063afd4e1387b6c6a53a81c166" localSheetId="3" hidden="1">Model!$M$45</definedName>
    <definedName name="CBCR_d979266d1f9e48938cef0e1befe7f123" localSheetId="3" hidden="1">Model!$X$29</definedName>
    <definedName name="CBCR_da6d117e500a4a6ebb999be5b968e631" localSheetId="3" hidden="1">Model!$AL$39</definedName>
    <definedName name="CBCR_db8250134f624257af54bcaac471c398" localSheetId="3" hidden="1">Model!$AJ$10</definedName>
    <definedName name="CBCR_dc776374d4934a318118a70fe37694cf" localSheetId="3" hidden="1">Model!$Q$35</definedName>
    <definedName name="CBCR_df3ad8780d65439da08494d20b620a84" localSheetId="3" hidden="1">Model!$Q$9</definedName>
    <definedName name="CBCR_df9c16a7ba714435b4edd94598b626d5" localSheetId="3" hidden="1">Model!$E$45</definedName>
    <definedName name="CBCR_e1075edc2fea45e1ae2339ba04a764eb" localSheetId="3" hidden="1">Model!$AK$39</definedName>
    <definedName name="CBCR_e5082c5de62a45abba999f136e50008b" localSheetId="3" hidden="1">Model!$AL$30</definedName>
    <definedName name="CBCR_ed716b74822e4a60b2f25ac25a443344" localSheetId="3" hidden="1">Model!$I$39</definedName>
    <definedName name="CBCR_eefb0923b3e64b2cabd755b5e8c3b025" localSheetId="3" hidden="1">Model!$AK$20</definedName>
    <definedName name="CBCR_ef675d4c2c0247b1980ca7ee0980aca3" localSheetId="3" hidden="1">Model!$AK$10</definedName>
    <definedName name="CBCR_eff3976518684255a75a99c16e7d6c00" localSheetId="3" hidden="1">Model!$X$35</definedName>
    <definedName name="CBCR_f20ff84e46634fadb7e92588c1e47dfa" localSheetId="3" hidden="1">Model!$Z$49</definedName>
    <definedName name="CBCR_f2145f17ca4247ef8f5167caca267030" localSheetId="3" hidden="1">Model!$AB$29</definedName>
    <definedName name="CBCR_f277f233de9a4c04b4d5d5cac4388314" localSheetId="3" hidden="1">Model!$AK$4</definedName>
    <definedName name="CBCR_f30132c467d44a4cb7ff1823a5ecc9df" localSheetId="3" hidden="1">Model!$I$10</definedName>
    <definedName name="CBCR_f41cbbdcdf0441fa969a90e1f3c8ceab" localSheetId="3" hidden="1">Model!$AJ$20</definedName>
    <definedName name="CBCR_f465d812307e4740a8ff6a0ce48a4fdb" localSheetId="3" hidden="1">Model!$AB$10</definedName>
    <definedName name="CBCR_f56cfc268ab44c4bb8dc5afefcfb7224" localSheetId="3" hidden="1">Model!$AJ$24</definedName>
    <definedName name="CBCR_f7ccec6d287f43daabb72109661f522a" localSheetId="3" hidden="1">Model!$I$34</definedName>
    <definedName name="CBCR_fbd0d75ffafc4097b857db5d916ce798" localSheetId="3" hidden="1">Model!$AK$19</definedName>
    <definedName name="CBCR_fc0e00fe540942f8a28a5ac3dacb9a06" localSheetId="3" hidden="1">Model!$A$58</definedName>
    <definedName name="CBCR_fe17cb1db5f44ed9b9c22d09f5a52460" localSheetId="3" hidden="1">Model!$I$45</definedName>
    <definedName name="CBCR_fe6ffe7a6f4a4f6d98a0fb637b1e0ba7" localSheetId="3" hidden="1">Model!$AB$34</definedName>
    <definedName name="CBCR_ff05c932faa74e0e82776bbec1989e7f" localSheetId="3" hidden="1">Model!$Q$25</definedName>
    <definedName name="CBCR_ff09c39f82e44bd9b66d483805ee3b4e" localSheetId="3" hidden="1">Model!$M$25</definedName>
    <definedName name="CBWorkbookPriority" localSheetId="0" hidden="1">-2114830799</definedName>
    <definedName name="CBx_3abb73100c774cb69e09a396aeb4141c" localSheetId="0" hidden="1">"'Process Description'!$A$1"</definedName>
    <definedName name="CBx_510b48b2cdb04093b02dd6442bad685f" localSheetId="0" hidden="1">"'Model'!$A$1"</definedName>
    <definedName name="CBx_9c70d9da314044128dde6f074c8d35e9" localSheetId="0" hidden="1">"'Units of measure'!$A$1"</definedName>
    <definedName name="CBx_c996936dc43c4f7a8860ec799da44364" localSheetId="0" hidden="1">"'CB_DATA_'!$A$1"</definedName>
    <definedName name="CBx_Sheet_Guid" localSheetId="0" hidden="1">"'c996936d-c43c-4f7a-8860-ec799da44364"</definedName>
    <definedName name="CBx_Sheet_Guid" localSheetId="3" hidden="1">"'510b48b2-cdb0-4093-b02d-d6442bad685f"</definedName>
    <definedName name="CBx_Sheet_Guid" localSheetId="2" hidden="1">"'3abb73100c774cb69e09a396aeb4141c"</definedName>
    <definedName name="CBx_Sheet_Guid" localSheetId="1" hidden="1">"'9c70d9da314044128dde6f074c8d35e9"</definedName>
    <definedName name="CBx_SheetRef" localSheetId="0" hidden="1">CB_DATA_!$A$14</definedName>
    <definedName name="CBx_SheetRef" localSheetId="3" hidden="1">CB_DATA_!$B$14</definedName>
    <definedName name="CBx_StorageType" localSheetId="0" hidden="1">2</definedName>
    <definedName name="CBx_StorageType" localSheetId="3" hidden="1">2</definedName>
    <definedName name="Code_Decision" localSheetId="2">'Process Description'!#REF!</definedName>
    <definedName name="Code_Decision" localSheetId="1">'Units of measure'!#REF!</definedName>
    <definedName name="Code_Decision">Model!$T$22</definedName>
    <definedName name="CR_Decision" localSheetId="2">'Process Description'!#REF!</definedName>
    <definedName name="CR_Decision" localSheetId="1">'Units of measure'!#REF!</definedName>
    <definedName name="CR_Decision">Model!$T$27</definedName>
    <definedName name="Design_Decision" localSheetId="2">'Process Description'!#REF!</definedName>
    <definedName name="Design_Decision" localSheetId="1">'Units of measure'!#REF!</definedName>
    <definedName name="Design_Decision">Model!$T$12</definedName>
    <definedName name="DR_Decision" localSheetId="2">'Process Description'!#REF!</definedName>
    <definedName name="DR_Decision" localSheetId="1">'Units of measure'!#REF!</definedName>
    <definedName name="DR_Decision">Model!$T$17</definedName>
    <definedName name="FP">Model!$R$55</definedName>
    <definedName name="IT_Decision" localSheetId="2">'Process Description'!#REF!</definedName>
    <definedName name="IT_Decision" localSheetId="1">'Units of measure'!#REF!</definedName>
    <definedName name="IT_Decision">Model!$T$37</definedName>
    <definedName name="_xlnm.Print_Titles" localSheetId="2">'Process Description'!$2:$2</definedName>
    <definedName name="RD_Decision" localSheetId="2">'Process Description'!#REF!</definedName>
    <definedName name="RD_Decision" localSheetId="1">'Units of measure'!#REF!</definedName>
    <definedName name="RD_Decision">Model!$T$2</definedName>
    <definedName name="RR_Decision" localSheetId="2">'Process Description'!#REF!</definedName>
    <definedName name="RR_Decision" localSheetId="1">'Units of measure'!#REF!</definedName>
    <definedName name="RR_Decision">Model!$T$7</definedName>
    <definedName name="ST_Decision" localSheetId="2">'Process Description'!#REF!</definedName>
    <definedName name="ST_Decision" localSheetId="1">'Units of measure'!#REF!</definedName>
    <definedName name="ST_Decision">Model!$T$42</definedName>
    <definedName name="UT_Decision" localSheetId="2">'Process Description'!#REF!</definedName>
    <definedName name="UT_Decision" localSheetId="1">'Units of measure'!#REF!</definedName>
    <definedName name="UT_Decision">Model!$T$32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5" i="1" l="1"/>
  <c r="J25" i="1" s="1"/>
  <c r="I24" i="1"/>
  <c r="J24" i="1" s="1"/>
  <c r="H24" i="1" l="1"/>
  <c r="H25" i="1"/>
  <c r="W5" i="1" l="1"/>
  <c r="V50" i="1"/>
  <c r="V49" i="1"/>
  <c r="V45" i="1"/>
  <c r="V44" i="1"/>
  <c r="X45" i="1"/>
  <c r="X49" i="1"/>
  <c r="X50" i="1"/>
  <c r="X44" i="1"/>
  <c r="Z50" i="1"/>
  <c r="Z49" i="1"/>
  <c r="Z45" i="1"/>
  <c r="Z44" i="1"/>
  <c r="Z40" i="1"/>
  <c r="Z39" i="1"/>
  <c r="X40" i="1"/>
  <c r="X39" i="1"/>
  <c r="V40" i="1"/>
  <c r="V39" i="1"/>
  <c r="V35" i="1"/>
  <c r="V34" i="1"/>
  <c r="X35" i="1"/>
  <c r="X34" i="1"/>
  <c r="Z35" i="1"/>
  <c r="Z34" i="1"/>
  <c r="AB35" i="1"/>
  <c r="AB34" i="1"/>
  <c r="AB30" i="1"/>
  <c r="AB29" i="1"/>
  <c r="Z30" i="1"/>
  <c r="Z29" i="1"/>
  <c r="X30" i="1"/>
  <c r="X29" i="1"/>
  <c r="V30" i="1"/>
  <c r="V29" i="1"/>
  <c r="V25" i="1"/>
  <c r="V24" i="1"/>
  <c r="Z25" i="1"/>
  <c r="Z24" i="1"/>
  <c r="AB25" i="1"/>
  <c r="AB24" i="1"/>
  <c r="AB20" i="1"/>
  <c r="AB19" i="1"/>
  <c r="AB10" i="1"/>
  <c r="AB9" i="1"/>
  <c r="Z20" i="1"/>
  <c r="Z19" i="1"/>
  <c r="X20" i="1"/>
  <c r="X19" i="1"/>
  <c r="V20" i="1"/>
  <c r="V19" i="1"/>
  <c r="X15" i="1"/>
  <c r="X14" i="1"/>
  <c r="V15" i="1"/>
  <c r="V14" i="1"/>
  <c r="Z10" i="1"/>
  <c r="Z9" i="1"/>
  <c r="X10" i="1"/>
  <c r="X9" i="1"/>
  <c r="V10" i="1"/>
  <c r="V9" i="1"/>
  <c r="Z5" i="1"/>
  <c r="X5" i="1"/>
  <c r="X4" i="1"/>
  <c r="Z4" i="1"/>
  <c r="V4" i="1"/>
  <c r="V5" i="1"/>
  <c r="S50" i="1" l="1"/>
  <c r="S45" i="1"/>
  <c r="S40" i="1"/>
  <c r="S35" i="1"/>
  <c r="S30" i="1"/>
  <c r="S25" i="1"/>
  <c r="S20" i="1"/>
  <c r="S15" i="1"/>
  <c r="S10" i="1"/>
  <c r="S5" i="1"/>
  <c r="AH50" i="1"/>
  <c r="AH45" i="1"/>
  <c r="AH40" i="1"/>
  <c r="AH35" i="1"/>
  <c r="AH30" i="1"/>
  <c r="AH20" i="1"/>
  <c r="Y50" i="1"/>
  <c r="Y49" i="1"/>
  <c r="W50" i="1"/>
  <c r="W49" i="1"/>
  <c r="W40" i="1"/>
  <c r="W39" i="1"/>
  <c r="Y40" i="1"/>
  <c r="Y39" i="1"/>
  <c r="AA39" i="1"/>
  <c r="AA40" i="1"/>
  <c r="AA45" i="1"/>
  <c r="AA44" i="1"/>
  <c r="Y45" i="1"/>
  <c r="Y44" i="1"/>
  <c r="AC35" i="1"/>
  <c r="AC34" i="1"/>
  <c r="AA35" i="1"/>
  <c r="AA34" i="1"/>
  <c r="W35" i="1"/>
  <c r="W34" i="1"/>
  <c r="AC30" i="1"/>
  <c r="AC29" i="1"/>
  <c r="AA30" i="1"/>
  <c r="AA29" i="1"/>
  <c r="Y30" i="1"/>
  <c r="Y29" i="1"/>
  <c r="AA25" i="1"/>
  <c r="AA24" i="1"/>
  <c r="W25" i="1"/>
  <c r="W24" i="1"/>
  <c r="AA20" i="1"/>
  <c r="AA19" i="1"/>
  <c r="Y20" i="1"/>
  <c r="Y19" i="1"/>
  <c r="W20" i="1"/>
  <c r="W19" i="1"/>
  <c r="W15" i="1"/>
  <c r="W14" i="1"/>
  <c r="AA10" i="1"/>
  <c r="AA9" i="1"/>
  <c r="Y10" i="1"/>
  <c r="Y9" i="1"/>
  <c r="W10" i="1"/>
  <c r="W9" i="1"/>
  <c r="Y5" i="1"/>
  <c r="Y4" i="1"/>
  <c r="W4" i="1"/>
  <c r="AF45" i="1" l="1"/>
  <c r="AF50" i="1"/>
  <c r="AF52" i="1"/>
  <c r="AF15" i="1"/>
  <c r="AF20" i="1"/>
  <c r="AF25" i="1"/>
  <c r="AF30" i="1"/>
  <c r="AF35" i="1"/>
  <c r="AF40" i="1"/>
  <c r="AF5" i="1"/>
  <c r="AA50" i="1"/>
  <c r="W45" i="1"/>
  <c r="Y35" i="1"/>
  <c r="W30" i="1"/>
  <c r="AC25" i="1"/>
  <c r="AC20" i="1"/>
  <c r="Y15" i="1"/>
  <c r="AC10" i="1"/>
  <c r="AA5" i="1"/>
  <c r="AA49" i="1"/>
  <c r="W44" i="1"/>
  <c r="Y34" i="1"/>
  <c r="W29" i="1"/>
  <c r="AC24" i="1"/>
  <c r="AC19" i="1"/>
  <c r="Y14" i="1"/>
  <c r="AC9" i="1"/>
  <c r="AA4" i="1"/>
  <c r="AH49" i="1"/>
  <c r="AH44" i="1"/>
  <c r="AH39" i="1"/>
  <c r="AH34" i="1"/>
  <c r="AH29" i="1"/>
  <c r="AH24" i="1"/>
  <c r="AH19" i="1"/>
  <c r="AH14" i="1"/>
  <c r="AH10" i="1" l="1"/>
  <c r="AF10" i="1" s="1"/>
  <c r="S55" i="1" s="1"/>
  <c r="AH9" i="1"/>
  <c r="AH4" i="1"/>
  <c r="AL10" i="1"/>
  <c r="AL20" i="1"/>
  <c r="AJ20" i="1"/>
  <c r="AJ10" i="1"/>
  <c r="AL50" i="1"/>
  <c r="AJ50" i="1"/>
  <c r="AL30" i="1"/>
  <c r="AJ30" i="1"/>
  <c r="AL35" i="1"/>
  <c r="AJ35" i="1"/>
  <c r="D60" i="1"/>
  <c r="D58" i="1"/>
  <c r="D56" i="1"/>
  <c r="AL45" i="1"/>
  <c r="AJ45" i="1"/>
  <c r="A10006" i="4"/>
  <c r="A10005" i="4"/>
  <c r="A10002" i="4"/>
  <c r="B11" i="4"/>
  <c r="A11" i="4"/>
  <c r="P2" i="4"/>
  <c r="Y25" i="1" l="1"/>
  <c r="U25" i="1"/>
  <c r="U24" i="1"/>
  <c r="U30" i="1"/>
  <c r="U45" i="1"/>
  <c r="U5" i="1"/>
  <c r="U9" i="1"/>
  <c r="U20" i="1"/>
  <c r="U29" i="1"/>
  <c r="U34" i="1"/>
  <c r="U4" i="1"/>
  <c r="U10" i="1"/>
  <c r="U15" i="1"/>
  <c r="U19" i="1"/>
  <c r="U40" i="1"/>
  <c r="U50" i="1"/>
  <c r="U14" i="1"/>
  <c r="U39" i="1"/>
  <c r="U44" i="1"/>
  <c r="U49" i="1"/>
  <c r="U35" i="1"/>
  <c r="Y24" i="1"/>
  <c r="X24" i="1" l="1"/>
  <c r="X25" i="1"/>
  <c r="AG10" i="1"/>
  <c r="AG30" i="1"/>
  <c r="AG20" i="1"/>
  <c r="AG52" i="1"/>
  <c r="U60" i="1"/>
  <c r="U66" i="1"/>
  <c r="AG40" i="1"/>
  <c r="U68" i="1"/>
  <c r="AG24" i="1"/>
  <c r="AG50" i="1"/>
  <c r="AG14" i="1"/>
  <c r="U70" i="1"/>
  <c r="U62" i="1"/>
  <c r="AG45" i="1"/>
  <c r="AG35" i="1"/>
  <c r="U72" i="1"/>
  <c r="U64" i="1"/>
  <c r="AG19" i="1"/>
  <c r="AG4" i="1"/>
  <c r="AG49" i="1"/>
  <c r="AG44" i="1"/>
  <c r="AG39" i="1"/>
  <c r="AG34" i="1"/>
  <c r="AG29" i="1"/>
  <c r="AG9" i="1"/>
  <c r="U74" i="1"/>
  <c r="U55" i="1" l="1"/>
  <c r="U53" i="1"/>
  <c r="U57" i="1" l="1"/>
</calcChain>
</file>

<file path=xl/sharedStrings.xml><?xml version="1.0" encoding="utf-8"?>
<sst xmlns="http://schemas.openxmlformats.org/spreadsheetml/2006/main" count="651" uniqueCount="204">
  <si>
    <t>Crystal Ball Data</t>
  </si>
  <si>
    <t>Workbook Variables</t>
  </si>
  <si>
    <t>Last Var Column</t>
  </si>
  <si>
    <t xml:space="preserve">    Name:</t>
  </si>
  <si>
    <t xml:space="preserve">    Value:</t>
  </si>
  <si>
    <t>Worksheet Data</t>
  </si>
  <si>
    <t>Last Data Column Used</t>
  </si>
  <si>
    <t>Sheet Ref</t>
  </si>
  <si>
    <t>Sheet Guid</t>
  </si>
  <si>
    <t>c996936d-c43c-4f7a-8860-ec799da44364</t>
  </si>
  <si>
    <t>510b48b2-cdb0-4093-b02d-d6442bad685f</t>
  </si>
  <si>
    <t>Deleted sheet count</t>
  </si>
  <si>
    <t>Last row used</t>
  </si>
  <si>
    <t>Data blocks</t>
  </si>
  <si>
    <t>CB_Block_7.4.0.0:1</t>
  </si>
  <si>
    <t>Decisioneering:7.4.0.0</t>
  </si>
  <si>
    <t>StartOptEquations</t>
  </si>
  <si>
    <t>Requirements Development</t>
  </si>
  <si>
    <t>Units of measure</t>
  </si>
  <si>
    <t>Unit Costs</t>
  </si>
  <si>
    <t>Effort</t>
  </si>
  <si>
    <t>Person days</t>
  </si>
  <si>
    <t>Dollars/Person  day</t>
  </si>
  <si>
    <t>Cycle Time</t>
  </si>
  <si>
    <t>Days</t>
  </si>
  <si>
    <t>--</t>
  </si>
  <si>
    <t>Quality</t>
  </si>
  <si>
    <t>The number of injected defects</t>
  </si>
  <si>
    <t>Reqts Review</t>
  </si>
  <si>
    <t>The percentage of defects removed</t>
  </si>
  <si>
    <t>Dollars/Defect to fix</t>
  </si>
  <si>
    <t>Design</t>
  </si>
  <si>
    <t>Design Review</t>
  </si>
  <si>
    <t>Code</t>
  </si>
  <si>
    <t>Code Review</t>
  </si>
  <si>
    <t>Unit Test</t>
  </si>
  <si>
    <t>Integration Test</t>
  </si>
  <si>
    <t>System Test</t>
  </si>
  <si>
    <t>Acceptance Test</t>
  </si>
  <si>
    <t>Customer</t>
  </si>
  <si>
    <t>Subprocess</t>
  </si>
  <si>
    <t>Description</t>
  </si>
  <si>
    <t>Traditional Spec Driven</t>
  </si>
  <si>
    <t>Requirements are developed using Traditional Specification Driven method.</t>
  </si>
  <si>
    <t>KJ Analysis &amp; QFD</t>
  </si>
  <si>
    <t>Requirements are developed using Intense interviewing and modeling.</t>
  </si>
  <si>
    <t>Prototyping</t>
  </si>
  <si>
    <t>Mockups are used for evaluation of requirements.</t>
  </si>
  <si>
    <t>Email Routing</t>
  </si>
  <si>
    <t>Reqts documents are emailed to reviewers. And each reviewer reviews them individually.</t>
  </si>
  <si>
    <t>Walkthrough</t>
  </si>
  <si>
    <t>Reqts are reviewed at informal meetings.</t>
  </si>
  <si>
    <t>Inspections</t>
  </si>
  <si>
    <t>All reqts are reviewed through Formal Fagan Inspections.</t>
  </si>
  <si>
    <t>Sampling Inspections</t>
  </si>
  <si>
    <t>Samples of reqts are reviewed through Formal Fagan Inspections.</t>
  </si>
  <si>
    <t>SA/SD</t>
  </si>
  <si>
    <t>Designs are developed using Structured analysis and structured design approach.</t>
  </si>
  <si>
    <t>OOD</t>
  </si>
  <si>
    <t>Designs are developed using Object Oriented Design approach.</t>
  </si>
  <si>
    <t>Design documents are emailed to reviewers. And each reviewer reviews them individually.</t>
  </si>
  <si>
    <t>Designs are reviewed at informal meetings.</t>
  </si>
  <si>
    <t>All designs are reviewed through Formal Fagan Inspections.</t>
  </si>
  <si>
    <t>Samples of designs are reviewed through Formal Fagan Inspections.</t>
  </si>
  <si>
    <t>Manual w/No Reuse</t>
  </si>
  <si>
    <t>Codes are developed manually without reuse.</t>
  </si>
  <si>
    <t>Manual w/Reuse</t>
  </si>
  <si>
    <t>Codes are developed manually with reuse.</t>
  </si>
  <si>
    <t>Code Generation w/No Reuse</t>
  </si>
  <si>
    <t>Codes are developed using Code Generation tool without reuse.</t>
  </si>
  <si>
    <t>Code Generation w/Reuse</t>
  </si>
  <si>
    <t>Codes are developed using Code Generation tool with reuse.</t>
  </si>
  <si>
    <t>Codes are emailed to reviewers. And each reviewer reviews them individually.</t>
  </si>
  <si>
    <t>Codes are reviewed at informal meetings.</t>
  </si>
  <si>
    <t>All codes are reviewed through Formal Fagan Inspections.</t>
  </si>
  <si>
    <t>Samples of codes are reviewed through Formal Fagan Inspections.</t>
  </si>
  <si>
    <t>Ad Hoc</t>
  </si>
  <si>
    <t>Unit test is conducted without plans.</t>
  </si>
  <si>
    <t>Path Testing Only</t>
  </si>
  <si>
    <t>Logical paths and decisions are tested.</t>
  </si>
  <si>
    <t>Data Flow Testing Only</t>
  </si>
  <si>
    <t>Different data states are tested.</t>
  </si>
  <si>
    <t xml:space="preserve">Both Path and Data Flow </t>
  </si>
  <si>
    <t>Logical paths and decisions, and different data states are tested.</t>
  </si>
  <si>
    <t>Bottom-Up</t>
  </si>
  <si>
    <t>Components are tested first with "drivers".</t>
  </si>
  <si>
    <t>Top-Down</t>
  </si>
  <si>
    <t>High level structures are tested with "stubs" for missing components.</t>
  </si>
  <si>
    <t>Hybrid</t>
  </si>
  <si>
    <t>Integration test is conducted using both bottom-up and top-down approach.</t>
  </si>
  <si>
    <t>On Breadboard</t>
  </si>
  <si>
    <t>Breadboards are used for system test. A breadboard is very immature and early prototype hardware. Breadboard has a lot of blue wires on circuits.</t>
  </si>
  <si>
    <t>On Brassboard</t>
  </si>
  <si>
    <t xml:space="preserve">Brassboards are used for system test. A brassboard is more mature hardware with very few blue wires, </t>
  </si>
  <si>
    <t>Production Hardware</t>
  </si>
  <si>
    <t>Real hardware with no blue wires is used for system test.</t>
  </si>
  <si>
    <t>Low Intensity</t>
  </si>
  <si>
    <t>Acceptance test has been conducted superficially for over several days.</t>
  </si>
  <si>
    <t>Medium Intensity</t>
  </si>
  <si>
    <t>Acceptance test has been conducted structurally for over one week.</t>
  </si>
  <si>
    <t>High Intensity</t>
  </si>
  <si>
    <t>Acceptance test has been conducted including stress test for over 1 month.</t>
  </si>
  <si>
    <t>RD Decision</t>
  </si>
  <si>
    <t>Value for Decision</t>
  </si>
  <si>
    <r>
      <rPr>
        <b/>
        <sz val="12"/>
        <rFont val="宋体"/>
        <family val="3"/>
        <charset val="134"/>
      </rPr>
      <t>需求开发</t>
    </r>
    <r>
      <rPr>
        <b/>
        <sz val="12"/>
        <rFont val="Arial"/>
        <family val="2"/>
      </rPr>
      <t>Requirements Development</t>
    </r>
  </si>
  <si>
    <t>1 Traditional Spec Driven</t>
  </si>
  <si>
    <t>2 KJ Analysis &amp; QFD</t>
  </si>
  <si>
    <t>3 Prototyping</t>
  </si>
  <si>
    <t>Costs</t>
  </si>
  <si>
    <t>Min</t>
  </si>
  <si>
    <t>Most Likely</t>
  </si>
  <si>
    <t>Max</t>
  </si>
  <si>
    <t>LL</t>
  </si>
  <si>
    <t>Avg</t>
  </si>
  <si>
    <t>UL</t>
  </si>
  <si>
    <t>std dev</t>
  </si>
  <si>
    <t>simulation</t>
  </si>
  <si>
    <r>
      <rPr>
        <b/>
        <sz val="10"/>
        <rFont val="宋体"/>
        <family val="3"/>
        <charset val="134"/>
      </rPr>
      <t>工时</t>
    </r>
    <r>
      <rPr>
        <b/>
        <sz val="10"/>
        <rFont val="Arial"/>
        <family val="2"/>
      </rPr>
      <t>Effort</t>
    </r>
  </si>
  <si>
    <r>
      <rPr>
        <b/>
        <sz val="10"/>
        <rFont val="宋体"/>
        <family val="3"/>
        <charset val="134"/>
      </rPr>
      <t>质量</t>
    </r>
    <r>
      <rPr>
        <b/>
        <sz val="10"/>
        <rFont val="Arial"/>
        <family val="2"/>
      </rPr>
      <t>Quality</t>
    </r>
  </si>
  <si>
    <t>RR Decision</t>
  </si>
  <si>
    <r>
      <rPr>
        <b/>
        <sz val="12"/>
        <rFont val="宋体"/>
        <family val="3"/>
        <charset val="134"/>
      </rPr>
      <t>需求评审</t>
    </r>
    <r>
      <rPr>
        <b/>
        <sz val="12"/>
        <rFont val="Arial"/>
        <family val="2"/>
      </rPr>
      <t>Reqts Review</t>
    </r>
  </si>
  <si>
    <t>1 Email Routing</t>
  </si>
  <si>
    <t>2 Walkthrough</t>
  </si>
  <si>
    <t>3 Inspections</t>
  </si>
  <si>
    <t>4 Sampling Inspections</t>
  </si>
  <si>
    <t>Design Decision</t>
  </si>
  <si>
    <r>
      <rPr>
        <b/>
        <sz val="12"/>
        <rFont val="宋体"/>
        <family val="3"/>
        <charset val="134"/>
      </rPr>
      <t>设计</t>
    </r>
    <r>
      <rPr>
        <b/>
        <sz val="12"/>
        <rFont val="Arial"/>
        <family val="2"/>
      </rPr>
      <t>Design</t>
    </r>
  </si>
  <si>
    <t>1 SA/SD</t>
  </si>
  <si>
    <t>2 OOD</t>
  </si>
  <si>
    <t>DR Decision</t>
  </si>
  <si>
    <r>
      <rPr>
        <b/>
        <sz val="12"/>
        <rFont val="宋体"/>
        <family val="3"/>
        <charset val="134"/>
      </rPr>
      <t>设计评审</t>
    </r>
    <r>
      <rPr>
        <b/>
        <sz val="12"/>
        <rFont val="Arial"/>
        <family val="2"/>
      </rPr>
      <t>Design Review</t>
    </r>
  </si>
  <si>
    <t>Code Decision</t>
  </si>
  <si>
    <r>
      <rPr>
        <b/>
        <sz val="12"/>
        <rFont val="宋体"/>
        <family val="3"/>
        <charset val="134"/>
      </rPr>
      <t>代码</t>
    </r>
    <r>
      <rPr>
        <b/>
        <sz val="12"/>
        <rFont val="Arial"/>
        <family val="2"/>
      </rPr>
      <t>Code</t>
    </r>
  </si>
  <si>
    <t>1 Manual w/No Reuse</t>
  </si>
  <si>
    <t>2 Manual w/Reuse</t>
  </si>
  <si>
    <r>
      <rPr>
        <b/>
        <sz val="10"/>
        <rFont val="Arial"/>
        <family val="2"/>
      </rPr>
      <t xml:space="preserve">3 </t>
    </r>
    <r>
      <rPr>
        <b/>
        <sz val="8"/>
        <rFont val="Arial"/>
        <family val="2"/>
      </rPr>
      <t xml:space="preserve">Code Generation </t>
    </r>
    <r>
      <rPr>
        <b/>
        <sz val="10"/>
        <rFont val="Arial"/>
        <family val="2"/>
      </rPr>
      <t>w/No Reuse</t>
    </r>
  </si>
  <si>
    <r>
      <rPr>
        <b/>
        <sz val="10"/>
        <rFont val="Arial"/>
        <family val="2"/>
      </rPr>
      <t xml:space="preserve">4 </t>
    </r>
    <r>
      <rPr>
        <b/>
        <sz val="8"/>
        <rFont val="Arial"/>
        <family val="2"/>
      </rPr>
      <t>Code Generation w/Reuse</t>
    </r>
  </si>
  <si>
    <t>CR Decision</t>
  </si>
  <si>
    <r>
      <rPr>
        <b/>
        <sz val="12"/>
        <rFont val="宋体"/>
        <family val="3"/>
        <charset val="134"/>
      </rPr>
      <t>代码评审</t>
    </r>
    <r>
      <rPr>
        <b/>
        <sz val="12"/>
        <rFont val="Arial"/>
        <family val="2"/>
      </rPr>
      <t>Code Review</t>
    </r>
  </si>
  <si>
    <t>UT Decision</t>
  </si>
  <si>
    <r>
      <rPr>
        <b/>
        <sz val="12"/>
        <rFont val="宋体"/>
        <family val="3"/>
        <charset val="134"/>
      </rPr>
      <t>单元测试</t>
    </r>
    <r>
      <rPr>
        <b/>
        <sz val="12"/>
        <rFont val="Arial"/>
        <family val="2"/>
      </rPr>
      <t>Unit Test</t>
    </r>
  </si>
  <si>
    <t>1 Ad Hoc</t>
  </si>
  <si>
    <t>2 Path Testing Only</t>
  </si>
  <si>
    <t>3 Data Flow Testing Only</t>
  </si>
  <si>
    <t>4 Both Path and Data Flow</t>
  </si>
  <si>
    <t>IT Decision</t>
  </si>
  <si>
    <r>
      <rPr>
        <b/>
        <sz val="12"/>
        <rFont val="宋体"/>
        <family val="3"/>
        <charset val="134"/>
      </rPr>
      <t>综合测试</t>
    </r>
    <r>
      <rPr>
        <b/>
        <sz val="12"/>
        <rFont val="Arial"/>
        <family val="2"/>
      </rPr>
      <t>Integration Test</t>
    </r>
  </si>
  <si>
    <t>1 Bottom-Up</t>
  </si>
  <si>
    <t>2 Top-Down</t>
  </si>
  <si>
    <t>3 Hybrid</t>
  </si>
  <si>
    <t>ST Decision</t>
  </si>
  <si>
    <r>
      <rPr>
        <b/>
        <sz val="12"/>
        <rFont val="宋体"/>
        <family val="3"/>
        <charset val="134"/>
      </rPr>
      <t>系统测试</t>
    </r>
    <r>
      <rPr>
        <b/>
        <sz val="12"/>
        <rFont val="Arial"/>
        <family val="2"/>
      </rPr>
      <t>System Test</t>
    </r>
  </si>
  <si>
    <t>1 On Breadboard</t>
  </si>
  <si>
    <t>2 On Brassboard</t>
  </si>
  <si>
    <t>3 Production Hardware</t>
  </si>
  <si>
    <t>AT Decision</t>
  </si>
  <si>
    <r>
      <rPr>
        <b/>
        <sz val="12"/>
        <rFont val="宋体"/>
        <family val="3"/>
        <charset val="134"/>
      </rPr>
      <t>验收测试</t>
    </r>
    <r>
      <rPr>
        <b/>
        <sz val="12"/>
        <rFont val="Arial"/>
        <family val="2"/>
      </rPr>
      <t>Acceptance Test</t>
    </r>
  </si>
  <si>
    <t>1 Low Intensity</t>
  </si>
  <si>
    <t>2 Medium Intensity</t>
  </si>
  <si>
    <t>3 High Intensity</t>
  </si>
  <si>
    <t>Total Effort</t>
  </si>
  <si>
    <t>Total Cycle Time</t>
  </si>
  <si>
    <t>Tests to Enforce e.g. exclude if 1</t>
  </si>
  <si>
    <t>功能点数</t>
  </si>
  <si>
    <t>FP</t>
  </si>
  <si>
    <t>Total Quality</t>
  </si>
  <si>
    <t>TEST01</t>
  </si>
  <si>
    <t>如果有分概要+详细设计，设计评审必须审查</t>
  </si>
  <si>
    <t>Total development costs</t>
  </si>
  <si>
    <t>TEST02</t>
  </si>
  <si>
    <t>手工编码便必须代码评审用审查方式</t>
  </si>
  <si>
    <t>TEST03</t>
  </si>
  <si>
    <t>如果手工编码没有复用，就必须用审查做代码评审</t>
  </si>
  <si>
    <r>
      <rPr>
        <sz val="10"/>
        <rFont val="Arial"/>
        <family val="2"/>
      </rPr>
      <t>F</t>
    </r>
    <r>
      <rPr>
        <sz val="10"/>
        <rFont val="Arial"/>
        <family val="2"/>
      </rPr>
      <t>ield Defects</t>
    </r>
  </si>
  <si>
    <r>
      <rPr>
        <sz val="10"/>
        <rFont val="Arial"/>
        <family val="2"/>
      </rPr>
      <t>Field</t>
    </r>
    <r>
      <rPr>
        <sz val="10"/>
        <rFont val="Arial"/>
        <family val="2"/>
      </rPr>
      <t xml:space="preserve"> </t>
    </r>
    <r>
      <rPr>
        <sz val="10"/>
        <rFont val="Arial"/>
        <family val="2"/>
      </rPr>
      <t>Reqts Review</t>
    </r>
  </si>
  <si>
    <r>
      <rPr>
        <sz val="10"/>
        <rFont val="Arial"/>
        <family val="2"/>
      </rPr>
      <t>Field</t>
    </r>
    <r>
      <rPr>
        <sz val="10"/>
        <rFont val="Arial"/>
        <family val="2"/>
      </rPr>
      <t xml:space="preserve"> </t>
    </r>
    <r>
      <rPr>
        <sz val="10"/>
        <rFont val="Arial"/>
        <family val="2"/>
      </rPr>
      <t>Design Review</t>
    </r>
  </si>
  <si>
    <r>
      <rPr>
        <sz val="10"/>
        <rFont val="Arial"/>
        <family val="2"/>
      </rPr>
      <t>Field</t>
    </r>
    <r>
      <rPr>
        <sz val="10"/>
        <rFont val="Arial"/>
        <family val="2"/>
      </rPr>
      <t xml:space="preserve"> </t>
    </r>
    <r>
      <rPr>
        <sz val="10"/>
        <rFont val="Arial"/>
        <family val="2"/>
      </rPr>
      <t>Code Review</t>
    </r>
  </si>
  <si>
    <r>
      <rPr>
        <sz val="10"/>
        <rFont val="Arial"/>
        <family val="2"/>
      </rPr>
      <t>Field</t>
    </r>
    <r>
      <rPr>
        <sz val="10"/>
        <rFont val="Arial"/>
        <family val="2"/>
      </rPr>
      <t xml:space="preserve"> </t>
    </r>
    <r>
      <rPr>
        <sz val="10"/>
        <rFont val="Arial"/>
        <family val="2"/>
      </rPr>
      <t>Unit Test</t>
    </r>
  </si>
  <si>
    <r>
      <rPr>
        <sz val="10"/>
        <rFont val="Arial"/>
        <family val="2"/>
      </rPr>
      <t>Field</t>
    </r>
    <r>
      <rPr>
        <sz val="10"/>
        <rFont val="Arial"/>
        <family val="2"/>
      </rPr>
      <t xml:space="preserve"> </t>
    </r>
    <r>
      <rPr>
        <sz val="10"/>
        <rFont val="Arial"/>
        <family val="2"/>
      </rPr>
      <t>Integration Test</t>
    </r>
  </si>
  <si>
    <r>
      <rPr>
        <sz val="10"/>
        <rFont val="Arial"/>
        <family val="2"/>
      </rPr>
      <t>Field</t>
    </r>
    <r>
      <rPr>
        <sz val="10"/>
        <rFont val="Arial"/>
        <family val="2"/>
      </rPr>
      <t xml:space="preserve"> </t>
    </r>
    <r>
      <rPr>
        <sz val="10"/>
        <rFont val="Arial"/>
        <family val="2"/>
      </rPr>
      <t>System Test</t>
    </r>
  </si>
  <si>
    <r>
      <rPr>
        <sz val="10"/>
        <rFont val="Arial"/>
        <family val="2"/>
      </rPr>
      <t>Field</t>
    </r>
    <r>
      <rPr>
        <sz val="10"/>
        <rFont val="Arial"/>
        <family val="2"/>
      </rPr>
      <t xml:space="preserve"> </t>
    </r>
    <r>
      <rPr>
        <sz val="10"/>
        <rFont val="Arial"/>
        <family val="2"/>
      </rPr>
      <t>Acceptance Test</t>
    </r>
  </si>
  <si>
    <r>
      <t xml:space="preserve">WAR </t>
    </r>
    <r>
      <rPr>
        <b/>
        <sz val="10"/>
        <rFont val="宋体"/>
        <family val="3"/>
        <charset val="134"/>
      </rPr>
      <t>审查</t>
    </r>
    <r>
      <rPr>
        <b/>
        <sz val="10"/>
        <rFont val="Arial"/>
        <family val="2"/>
      </rPr>
      <t xml:space="preserve"> Inspections</t>
    </r>
  </si>
  <si>
    <t>Infosys iter</t>
  </si>
  <si>
    <t>Infosys  iter</t>
  </si>
  <si>
    <r>
      <t xml:space="preserve">Infosys </t>
    </r>
    <r>
      <rPr>
        <b/>
        <sz val="10"/>
        <rFont val="宋体"/>
        <family val="3"/>
        <charset val="134"/>
      </rPr>
      <t>iter</t>
    </r>
  </si>
  <si>
    <r>
      <t xml:space="preserve">WAR  </t>
    </r>
    <r>
      <rPr>
        <b/>
        <sz val="10"/>
        <rFont val="宋体"/>
        <family val="3"/>
        <charset val="134"/>
      </rPr>
      <t>走查</t>
    </r>
    <r>
      <rPr>
        <b/>
        <sz val="10"/>
        <rFont val="Arial"/>
        <family val="2"/>
      </rPr>
      <t xml:space="preserve"> Walkthrough</t>
    </r>
  </si>
  <si>
    <t>..</t>
  </si>
  <si>
    <t>Exp Value</t>
    <phoneticPr fontId="10" type="noConversion"/>
  </si>
  <si>
    <t>㜸〱敤㕣㙢㙣ㅣ搷㜵摥扢攴㉥㜷㤶㕣㜱㉤捡㤲攵㌸づㄳ㍦攲㠴挲㕡㤴慤挶㑡愰㉡㝣㔸㡦㤸ㄲ㘹㤱㤲攳㍣㐰つ㜷㘷挸戱㜶㘶愹㤹㔹㑡戴㥤搸㍦㡡ㄴ㉤㤲ㄴ〸搰㈶㜱㡣挴㜵㔳户〱㡡㍥搰搶㑤摡晥㈹㄰㈰㐱攰〴昹ㄱㄴ㘸㠰〲㙥㔰戴㍦㔲ㄴ〲晡愳昹ㄱ㈰晤扥㜳㘷㜶㘷㤷摣ㄱ扤戶㕢扡攰㤵昶攸捥戹㡦戹昷㥥㜳捦㌹昷㥣㍢捡愸㑣㈶昳㉢㈴晥换㌴挸捣㕤㡢㥢㐱㘸戹㤵㤹㐶扤㙥㔵㐳愷攱〵㤵㈹摦㌷㌷攷㥣㈰ㅣ㐰㠵晣戲㠳昲㈰户ㅣ㌸㑦㕢㠵攵つ换て㔰㈹㤷挹ㄴち㐶ㄶ攵散㠴扦㜲晣㘰戰搵挸㈰挰搲捣昴晣捡㔳攸㜵㌱㙣昸搶㤱昱换扡敤挹挹挹捡㘴攵搸㐳㈷㈶㉢㐷㡦㡣捦㌴敢㘱搳户㑥㝡㔶㌳昴捤晡㤱昱㠵收㑡摤愹㍥㘶㙤㉥㌵慥㕡摥㐹㙢攵攸㐳㉢收挳㡦㑣㍥㝣晣戸㝤攲挴㈳㈳㜸㜵收挲捣昴㠲㙦搹挱㕢搴㘷㡥㐳㝥㜸搶慡㍡㥣㥢㘵昹㡥户㕡㤹㤹挶摦挴昸昱昴愱捡攲㥡㘵㠵㝣戵攵㕢㕥搵ちっ㌴ㅣ㜶愷㠲愰改慥㜳昱っ昷㌴愶㕡㌵㠳㌰攷捥㔸昵扡攱挶扤ㄶ摣㜹慣㕤摤摣ㅣ㜱ㄷ㉤㉦㜰㐲㘷挳〹㌷昳敥ㄲ㍡慡㤵摣㑢㠱㜵搱昴㔶慤ぢ愶㙢攵摣㌳㑤愷㌶愸㔳㘶攰晤㜱ㄷ挹㠱挹昴㉢㔳㠱㍢戳㘶晡㌲愲㠰ぢ㤳㔲昷戴㕦敤慣㝢㑦敦㝥㌹㜴㜹〳晢扣慦㜷㍤㤴㕣㌶晤㔶捤㠹摥㌵愳挹㜷㡥攰挱摥昵ㄳ㙢搴搹收〳扤摢挸㔲㜶搶㔶挳ㄱ㝦换㡡㘲㌲㐶㥥㘰㠸愰㐰㐰〲ㅡ㐵㠲㘱㠲ㄱ〰㌵昸㕦搸㈵挹㠶㉣捡㉥㥢搹攵㤵散㜲㌵扢㕣换㉥㕢搹㘵㍢扢扣㥡㕤㕥换㉥㍢搹攵愷戲换㔷㔱㈷㑥㠵愱愱㙣㤴慥晤昴㉦㥦晣㥤㈹晦戱㉦㝣敦ㄳ昷晦昷㠷㝦㥥ㅢ搹㠷㑡㡦㐷㠳㥡昵捤敢㘰戵㌶ㄷㅦ慢ㅣ攵㥦㕢敦ち㙣ち晢戸晤㈱㝢㜲戲㜶晣愸昹㤰㤹攳戴㔲㠸摦挱㈸㘵搴ㅤ戱㥦㜰扣㕡攳扡搰敥慥㘹㌳戰摡ぢ㌷ㄱ㤵㑤㌷㥡㕥㉤㜸搷昶㠵㡢愱ㄹ㕡㜷㜶㤷戵㍢搹搲㙣ㄱ摢捡ち攴㝤㜷㜷㌷扢㙣搶㥢搶搴つ㐷ㄷ扦扢慢搸㕤昰ㅢ㉢扤㑢㑦晢搶戵㔶改㤶ㄱ㑤㐱愸㙤㐸摦㕢㘶愹㡢昴戸挶㘷搶ㅡ㠱攵挹昰㈶摣〵愷㝡搵昲ㄷ㉤㡡㐴慢㈶㔳扤㥤㐵搱慥㥦㤸昷㌰㔱散搶摡晢㤲㔸晢搱ㅢ㈱㌶戳㔵挳㜸搷㉤㍦摣㕣㌲㔷敡搶挱㡥㉡晡㥤㈸㌸摣㠱㍥摤愸㌶㠳㤹㠶ㄷ晡㡤㝡㘷挹㔴㙤挳㠴愴愹㥤㙦搴慣挱挱㡣〸〵〸摣㠱〱愵㌲ㅦ散扤ㄷ㠴㄰〹ㄲ㜳㈳摦搱挹㜶㤵㡢㤸ㅤ㘶㔱户挸㤳搹㝢㙦搱ㄹ挷㉢㌲㈶㘵〷㈶收㐴晤挱㤷㍥㜰㡢㙥㕢㤴㝢㝢㉢㘷戳㘳搱散ㅦ摤戰扣昰慣改搵敡㤶㥦慡晤ㄴ㐷㘴㡣〲攴㙥㐲㈰昴㕣㍤慡㍡㜵㐳㙤收慥㍢戵㜰㉤扦㘶㌹慢㙢㈱㜰搰㤰㠵〲㤷㜶㑢㌲㙥〳捡搸㑦㌰〶㔰㉣㘶昲〷㔸㈹㕦㐴捡攴㈸㥤㔲昶㜲㠷㈰㘷扢㡥扤㍣㘲㥦㜶敡愱愵㠵昲愸つ㡡㘸慤㈶攴㉢㤱㐵㝤戳慡ㄵ挶〱㝢〶㕣㙡㍡㕥戸搹摥户㕢㜶㠹㘶愲㍤㔹戰敢㘴〱㐵㐱愷㍣㐸搹㙢㘰㥡㉥㘹㤰㕥㌹挱㐴摣〶㈹㥡ㅤ㍤㜷㌲ㄹ敢愷挸〸搴㑦㌲㈱㙢ㅦ敤㉤㈳挸散㕢㤹㤴㡤㝡敥挷㍤㘹戶㥤㉤慦愵搹敤㔸㌸攳㈰挱㈱㠲㍢〸づ〳愸㝦㠳㠴愳㤴㐳扥㌳ㄹ敦挲戳㜱ㄷ挱扢〱㈰㥦っ捡㥣㐸㔴搱㠶摡㠹ㅤ挹㝡㈵搸挹㘲ㄴ㙢㔱㐴换戸㘵㘷㤶㕣㈱㜴㘴㜵敥づ㕤㍢㈸㍡昶晥摥扣㤹㥣づ㌹㌲愵㙡㜲慥户愸㥡㕣〸㔶敤㔳㙦扤〷㑤㡤㜱㠲昷〲㘸挵㐲㘳㜷㘷搶㍣捤挹㜷㠴㐹愴つ愱㍥㤵㝢挴挴㌴晦㔳〴摣㤶愳换㥥晤㑣㔳㜰挲㝥挷摢捦㐷㝡敦敤㠸攸㕤㍡㜳㑦攷搰㔷昴〶㉤攸昷㘱㝢愹㝦敥愹㕦敥㐵戱㜱ㅦ挱晤〰㕤晡㠵㈷敦㌷敡㈵㄰㤳搸㑤㔰㙥㍦㍤㉥㘲攱㉥㙤慥㕢愲㝤㐶散㈵搳㕦戵㐲㜸㉦捥捤挲づ㙥昸扥㔵挷㠱戶㈶〸㥥㕤づ㜵㈲㠳搳㝥挳㈵㝥捦㍥づ摥ㄱ㡡㘱㜰㌰㍢㤰改戲㡦㔳散捣㠴扦㈹挱㌹搴扦て昵ㄶㄲ㠹㐶㥤散挵㜶改㘷换㍤㐹搲㠷㈴㜹〰换㙡㝣〰〰㔲㐲晤㘳㑦㠹㌲挱㙡㐷愴㕡愷戵㑡敦㕥捡挹愴换㝦戸㐵㡥っ㙢㘷敤㌴㝣〷㐱挹㕤㜴摣㤶戰ㄸ㜶ㄷ㉣扦ち扦㠲㔳户㡡摡㈵㑢㔱戳㈷㉢摥㈱戲㘲㘰㘰换㔹㍡挵户㈶㝣搲㈵㈵㔲㜷㝢㙡㘱捡㌹扣捤㔴㜴㐱㔲愸愴戸㠵㕡ㄲ㠸㥣挷扡㝢㈲愶てㄱ㔳挱挲ㄹてㄲㅣ㈵㤸〴挸晤〸㤲㘶愷ぢ捦㔰搸搰〶摤搹换换㤹〲挹㈰敥挱ㅦ昶ㄴ㔶て昳㌵挷〹㝥つ愰换晣愱昳㌱㠵ㄱ㠵攴〹㐶愴戵㘴搸㤷ㅤ敢㍡㜹㘰㥦㡤愰搲㑣㌳〸ㅢ㉥愳㑡㈵㝢戶㜱愱ㄱ捥㍡挱㍡愲㔰㘳㜶㤴㜹㘲捤昲挰㕤㍥㙣㥦㉥㕣㘳㝤摤慡ㄹ昶㘲愳〹搱㜶㙥㜶㌷ㅣ捡㌱㍦搸㤲㜲㉥捦㉡愴晥捥挶攸㐲挹㠹ㄸ扥㔶㝡㘲㜷攴昹收愱㙦戴扤愲㑢㑥㔸户㠶㙤扤改㤸㉦搸㔸㐵㐴つ㙡㐳昶搲㥡㙦㔹戳㈵晢㡣敦搴敡㡥㘷㤱ㄸ戰㌱ㄹ愸㥢戳㔶ㄱ㈱㔸㘸㌰晥搷昰㑡昶㤲㙦㝡挱扡挹㘰攲收晥㡥㈷〹㠹攴散㘹挷ぢ昰ㅡ愱㈲昳愳昶攲㕡攳㍡愲戵㑤搷㍢㘳慥〷扢㠲㉡㘴㝡㥤㠴㌴㉡慢戲㔹㔵挸ㄶ晡愵てて攴㤹捣㌱晣〶〹㠴㔶㤹ㅣ晤攵㈹摡㥢㜶㝤ㄴ㥦愱㥤捥㌱㡤㈰㜲搴㐲づ愴㑡㘱敥㔴攳ㄱ戶㌹〱昰戱㌳㤷捥戵愳㜲㙦㉡㕥㥤愳㠷㍦㐵挶ぢ㕢戴㠲㈰昴捦敤搳慣㐲ㅣ㌹〷㍢㄰ㄴ攷㔳㌷晢ㄵ㙤愹㐳敥摢搷捥㥥㐶ㄴ㘹挴㥥㌳㔷慣㍡㘲搱慥ㄹ敥搳て㌴㘳㕤戳ㅥ㐴㘵㌳つ搷㌵挹㕡㘴换挵慡㐹づ㥥㙡㠶㡤昳㡥㘷搸〰挲㝦ㄱ捡扣〱㤴㜹㐳㔰㈳昶㐵㠶〵㈵捦扥ㅡ慢愶敦㠴㙢慥㔳㉤昰㠱愱扢㕤挱㤳搸攴㤴扣㜱㡡㘵挶㜸㤷㌵㝦〹㈶㕢㔰〱戹㉢㤰愳㕣㍡㤲ㅦ㥣㥢㔵㜹晣㔱㝤㍡㤶㈰㘰挴㑢㙡㝣〴扤攵攴㘶〴㐴㡥愴㥢昱晤㡢㥢捦〱愳晤㜲愴㝡ち㡢挰㈳㤸㄰昲㜴㙦攷敤㑢㥥ㄳ㠲㝡愴搸㘹㈷㥣つ㐰㜲〰㘴攵㜸㝢愷㔰㌵搱㘸愲愵ㄵ摥戳戵愸㐳㑤摣扤戵㍣愹㌷敥摤愶㔸㙢㤴㠴㈲戹㔵㈵搱㉣摢㡣㜱㌷愹ㅡ㈵㡡㍢搶㌶㉡捤㙤摡㕥㜷㑡㤱㌷愱㤸㠴㘷㌲挶㐹㘱ㄴ〴㜹挹ㅤ搰㔱昴搷愷戳㐷㈲㕡㐳ㅢ愰㐸㍤愵㜱愵㈸ㅣ㜸づ㔷㑥㙡㔶㌱㝡挲晥摥ㄷ㘵攷㥢㘱㐷㠹㜹㘳㉣㉡㤹慡搷攷㍤㔸〹㔵搳慦敤㤲㉤㡤戹㘹つ㈳扢戳㕦敤慦㤷㌷戱ㄱ愳㙤挸㤰㐸㡡ㅦㄸ摢㄰㥢㉢ㄱ㑤愵㜵㔶攲㔲户搰〵㍥㥤户㑣㑦㈸戰ㄸ搶㘶慤つ㌱挳摡㤶晣㤸㌴㘸㥤ㄶ㐵㡥ㅡ昶搴㑡〰㤵ㅥ㔲㡥㐷㌹搹攰㠶㝤㤱㙥㈹㕣㘰㠰搸㡤㜲ぢ搵㄰㘱摤㔶〷㍣ㄹ散ㅥ敡㘰㐵㜴搸㠴搶ㄹ㈵㘸㍥㠵㜱㍢㈷挱扤搳㈷㐵㈱㐸㙤㐹晦㜹㑡扤昰㔵愶㙦㥤捡挴㤹㘸ㄳ㌱搴㤵㘲㍤㠰戸挹愸㈴㜷搱㔸ㅣ㉣搷㤲㑤㠴搶㐸㡣愳㠹㔱愲挹攷㠷戸挱挳㌸搶㈸户㑤ㅤ㜷摣㐲〷摡戴扥戹捦㍥攷㔵敢捤㥡㈵慡㌸㤶搵愲㤱㜷〵扤攴晡㥦摥㑤㈹敢ㄲ㉤捡㌹ㅣ愵㌸㘵ㄲ愹㝦扢摢昸㜵㌴ㄷ㈱㠷㍥戴㙣㘳昰㌱挵㉤㈷挱戰㉤㜷ㄴ㘸ㅦ敥㙦㕦㕥㤰㡢㜳㄰㘹㕢㔰㤴㘵㜳戸㡢搷㡡㈰换㙥㑢㔴㥢㙢捣㌵㘸戳㈷㔰㘷ㅤ㡤摡ㄵ㌴挲㍣戵挰换攷㘱㡣昴戹㍢搸㐹收㘶ㄴ搹扤昹㥣㍣㘶㙥㥥㡡㡣て挵昸㉥㑦㐱㤹晣㐷〱㠶ㅥ㙦㥡㜵㕣㑣〴㤹戵〵㥥㙤㕢攰㡡㔱㘰㕡攱挶ㄴ㠰㘲㌸㤸挶㉤㙡㙡㘳㘷〶昹㔴㘳挷㤸㐵つ㙡㌴〶㈷㔳愲愵挹挰㉡㘳㤶㘳㜰攰㠳㠸搸㕤㍣㔸㉦㌵愰㤴挲〳㜲㐹㉣扥愷㌸攱攲㐸搴昰て㜶㈱ㄷ捣㄰㔷㘱扣挳㕤攸愹㕡㡤收㉦晣㜵扢㠲捡戸挶愱捤搳〳㕤ㄷ戴㘴㑥戴昷敥改㉡㠸㉥づㅥ㥢慤㥣㌵挳敡摡㘲戸愹㉦㜱昵换㈲戹扦㠳㝦㘲摢户搳㠶ㅥ昴㜸㈹㜵㠳㙢㕦扣敡㌵慥㝢㌲慥㕣挰ㅢ㠰攰ㄲ㕣愷ㅣ攲㈰㡢㤹㕦攱㡦愴㙣㈶昷户攸㜱㈷挳㘶〷㙤㠷〹晢㤱愴愵挳㌸昲㈹㝣〲㕢扥㜵㠳㠰㝣㜲愰㡢㑦㐴㌰散㌱㡡户晡㤶㌱㡡晡づ挸㑡㘶搱㐷㜴慣昹㉢搸晥敡摢挰㤰攰㜸㡥挴㑡敥扤挸愵㤰㑥〴㝢㜴摤㠳㤷㐳晥晦㔰㈹摥捤摢㙥愷晦㠵捤慣晥愶㥢㐴㜷㤳㐴慦㙥㈵ㄱ〳戳㙦㈸〴捥搱敦ㅤ㍤摦昶㙢扥晦㠷㐷捦㌹㔰㤸㐹慣㌳〴搹敥㐵㕥㡣〳散㜷㤵ㄵ㤷㕣搲㈰戸て挵㘲㄰㥣㘷ㅢ挶敦戵㐱㄰㜹㍦收㠱㐸㌵〸攴㜸换愸㕥㡡〹㤸〸戲㈶ㅣㅡ㍣㝢ㅤ㜴改ㄹ㍢㡢敢戶㔶㠰㐸㍥搴㔳㌰〳㕦搴愱慤攸〵搳㌷摤挳㠲㍦攳㕢㔰㕢晥ㄲ敥㙦㑢ㄳ戶戸㜳摢ㄲ㘹戴㡤㤷㈲昶慦敦㜹㔲㜶㜶㙢ㅤ㤴搲㐹㍢敥㔵㐱攵摦㠴㡦㐴昱挴㤰㜹收挰㥦㥥昹㤷愷㝦攳ㄴ敦愹㐵扣㥡㘳㘰戸㥦㘰㍤㉤〷㠴㜳ㄳ㔷㐴㙥攷攷㌸攷昱㘱㤲戳㕥户愶㑤㕦散㥤挰㜰攳慣㘶扣〴㘳㙡收摢つ挶㈴㙥㍣㘸㘳戲搲攵攸㤴捦㤹挴㌹㔸㐹っ㕣扣㜹㜱挰㔰昵㔴㔹㝤摡㤵戹㍦㠷搲㜹㠳〳改戴〷㜹摥㘴㔲敡捦扡戵摡㜱㙡㌵㌱ㄳㄵ〳晥戱㤴㐲攴㠱ㅣ㤲㤴㔲扣ち㈰㔲敡㈲㌲戹ち㐰㑡㑣慤㍢戸㑢㑦挰㥥㄰戰㕡搷晤晡晣㜴〵慢〸㉡挶㕥昸㝥捦戲戴㍡㘳搵昴㈰昳昸ㄹ㡢〰㜲㑣㈱㠲㔱㕢挱㉥㈱ㄳ愷摣㈴㜲㍢㜶㐴昱㈵㈵㔷㠷摣昴挶捥戹昴戲ㄵ摤㐷扤㈶敥㝣㐰捦攴㐵㘱㜸晢㠹挶搱㔳愲㜳扡㙡㔱愳〸㐷㜵戶搵㘸㌸㉡㠲捥昲づ攳晣㠹戰ㅦ扦て㘲昹㐴扢敢摢扢㑢愸攳扣㈱㑣㤰㍦搸㕦㜷愷㙣㙣扣㤵㍢〶ㄲ㜶㐷戵ち晡㔲昸㈵㌴ㄱ㝢㕥ㄹ敤㉣摦愵ㄴ愳搳昱捥ㅡ搸慡晦㡦愳㔸㜶搶㘵搶㘶〰扢㐳晦㝦ㅣ㠸㕢敡㝦挵愸㥢㤰散挹㈸挳㠷ㅣ㈳㈷户っ搶㜰㐵攰搳㐶搸㐶㡥挰㠶㘴ㄹ散搶戹㐵㝣戲慡㡢㐵㠲挳攳㌵搸㝤㈹愲搵㤶戶敤㜰㑦〱㜸㠲㐳㝡〵㈲愸㘷㝢づ㝡敢㌹㌶晦㐹愰て㥣㜷慡㝥㈳㘸搸攱昸㈲挲扤攳晣攲捣㠶捤㌳愵扥搹㉤搴敥挱㑡㡣㝣ㅡ㙤㉥捣㐳㘰㕦戰挲户㉡ち挹㤸挲捥㘲ㄸ晣晡愸㥣〸㉣㔱㍢〴户搹㤱㕦㘸ㅥ㕥捥㤰愸㕤愱散戴慦戹晢㙥〶㤷づ户戳ㅥ㠳攷挷慡㔷㄰ㄶ㤳㈹㝣昲搳㕣搷敥㌵攸慣ㅢ捤㉤㘰捤晥扣㙤挵摣换愰改捥摥搲挹㌲㝣㈷扦㐳㉥ㅡ换㠴昰㤲搱㕢扡㜳搷㉣㝢ㅢ〳㥦㐷㥦㜱搳攵㌵㔱㠷愳㙣〷㜱敦㉢㘸慡愶〸昰㌳捣㈸挳挱㈸晡昴戸ㄵ搵搷㌱㉤㙥〰攴㌳昹㉡㐰㙦慥㝥㜱㍢慥㔶戳散〵㍦挳㘲て搱㑦昱挰㐱摥㉣慡ㄷ搰㡡㙢愷搷㘰㤵㌸ㅣ㐰攴㘰㠱扣戱〶㄰㈷挵㠳㠵㡣敡换㘸搰ㅡ搵㔳挰昶ㅥ搵敦㙥㍢㉡㥡〴㌲慡㝡摣㌹晥㉤挷㉡挵㜰昱㘴㜸〴つ㠲㜵ㄶ挶㥡㘵㤴挲㤲ㄲ㈸慦㐳つ摦㌹㠵㍣搲㡦愳㝦㕦㍦昵挳搷㤸晥攳㤴ㄲ昱㠸㈲攳㥡搴搰㐰㔱㍣捡㉣扥㤸㥣㐵〰㙣敦㔹㝣㝥扢㔹㤴㈹㌹㜹㐱挵㘸〲㤴㐶ㄵ㌹㐸㘶戵ㄱ㘵昸愰慥挴搸敢挸挴愹㙣㈲㈷㙤㙦㈰㔳ㅡ㉤㤳㍣昲扣㠹㡣昱㌴挱㌳〴捦ㄲ㝣㠶攰戳〰愵愲㈲㠹攴㈵捦㐵ㄹ㍥㤴㐹㈷㌶㉦㤵换㕣㔲㥤捤㜱ㅤ㔳扥ㄳㄲ愳㡢昷㉡改ち捡㙢㕦㙥㕥慢摡㠲ㅢ㌹㜱㜷㠵挰㠹摣昱㍤昵㐴扥捦ぢ〳敡昹㤸慥㘷捦挶ㅦ㘱㘵愳㄰ㄶ昸㑡㥢戹攴㐳㉥愴㝡㉥慥晣ㄷ慦戶㍤慥㈸㐰〲昳改捡攴㔷愹晣搹戸昲㌱㝣攰㈵㜵㌲扣㤰挰昴㝡㕣㜹ㅤて㔲昹㌳㜱攵㥦ㅦ㍢摣慡ㅣ戳戱敥戹㑣ㅥ㡥挸㑡㜶㑢戱愵攵㜴㤱昸敥㝢ㄴ搵㜳㌶昵昳戰慤搱㤴捣ㄲ㤴慥㡢㠶ㅥ挱㌵ㄳㅦ㕦㕥捦攱搶ㄴ㉥㤷㐰㠸敢晦㠰攱ㅣ㙥㔳捤㥡愱㠹て慢㌷㄰挶昶つ㜹㘲攳扣㍤敦〳㌱㘴㥦ぢ㜰㘶慢敤㉡㙥㠱戹㌱愸㤷晡ㄶ敥晤ㄴ搳戴扤ㅥ㜱昸㉤换摢㈹晤㈹㈷〹搳っ慡㘷㘲㈲㘷㥥㙦戳㡦昱㌹㄰〷〲ㄷ㤰ㄹ攳㌷〱㜵㔸攷〰ㄱ㘵㑡ㄲち㍢攳户〰㑡〳㘵捡㄰捤〵㡡㠲㠳㥣㤰晦㙤㠰搱昸㍦挰ㄸ摦㄰㡦㑣㔶㌵攳搷㈵㜹捡昸㍣ㅢ㝣〱㘰〰慥㘰戸㤶㤰㜰攱挱昸㈲晥㑤扣㌶㐷㈱昴㤱摥ㄶ㉦て戴昱㐷昹〸㔵㜶㝣㝤晦㈸扥愶摦㘴挷〳昸捦㐴㜲㘲㥥て㘶㍦摣㕦㕦㘴㌵㕡搶昲㕢挷㠴摥㐴㍦㕣攲戶愵挸ㅥ㐵攵㈹㡡㕡㑥㔷㌵搰㍦摦㐱挳扢愸㈸㝣〵敤㐵攸㠳㠲愶㌸ㄶ戴ㅢ愱㜹㝢愱愸㈸愰〵㕤㡦搰昴慥ㄵㄵ㐵戶愰慦㐶㘸㍡㑢㡡㘵㑡㙥㈱敡敦㈱㔳ㅡ挸㤱〷㜶捣㡣㥣㐷㥦〶挷㤷搱㔴㤱挳搸㠷昱㤵㈸挳〷㐵昶㤲㤱慥㐶㈳㍤挵㉡㉦戰㠸㉣挳ㄱㅡ㕦攳ㄳ㌹㐵㥡扦㠸っ昵〶㝦㡡ㄳ㤱收搵㘴昳慦戳㐸㕥㡡㡣昱つ㠰㌸㤵昹㜲㔹㠲㤷㤰㈹つ㡣昲㑤㑦攰㤷扤愱慡㔷㙡㔷慥晣㘲㜴㜰晣捥挱㡦㝦㜴攴慢慦晦攰㘷㕦晡挹愷㑥晥晢㉦㕦㝣昱㈷晦晡愵搷㝥昹昷㉢㈷扦昷昲换摦晤搸㌷㕥晢搹㝥晢愵散慢扦㤸㝢改搹挹慢捦㕥戳㉦㝤昰捣戳㑦㍥昵昸攴挲㙤ㄳ〳〳㐳㐳敦ㅦ晢晥ㅤて㤴㥦扦昶㙤昵て晦㜴挸㔳㌲㜸扣挰昸㝤㠰㌸㤵㌹〹㙥㈷攳㘵㠲㍦㈰昸㈶挱ㅦㄲ扣㐲昰㐷〴㝦㑣昰㉤㠰㔲㘱㤴㤳㝡㍢㐷㕡收㍡㐵㕢晣㈵㘴㘵㔹㉦㐷换㍡つ㐴㐱㘵捡昱㈴ㄴ挷㉤㌵㉥㐵㌵㘴㌶㝦〲慣攲㙣愴㘸㌱㉡搲晣捥昹〹晡㘲㠴搶晣捥ㄹぢ晡昱〸慤昹㥤㙢㈰攸㠵〸㝤〸㠸愲攲慡〸㝡㍥㐲㙢㝥攷㍡〹晡㐲㠴ㄶ㝥㔷㕣㌹㐱㥦㡦搰搱㌴ㄴ挷㈹慣昵㔷挸㈸〱挸ㄸ㝦つ挰㐴〶㈹昳㐱㉦挷昰晦〰昵敦て〵</t>
    <phoneticPr fontId="10" type="noConversion"/>
  </si>
  <si>
    <t>Decisioneering:7.0.0.0</t>
    <phoneticPr fontId="10" type="noConversion"/>
  </si>
  <si>
    <t>CB_Block_0</t>
    <phoneticPr fontId="10" type="noConversion"/>
  </si>
  <si>
    <t>㜸〱敤㕣㕤㙣ㅣ搷㜵摥扢摣㕤敥㉣戹㈲㉤捡㤲攵㌸づㄳ摢㠹ㄳち㙢㔱戶ㅡ慢㠱慡昰㐷㝦〹㈵搲㕡㑡㜶㤰〶慢攱敥っ㌹搶捥っ㌵㌳㑢㠹戶〳扢㠵㠳ㄶ㘹㡢〲㐱ㅡ挴慥摤戸㙥敡愲㝤攸㉦攰㈶㙤㕦ち〴㘸㔱㌸㐵ㅦ㠲〲㝤㈸攰〶㐵晢搰愲㄰搰㤷㍣〴㜰扦敦捣捣敥散㤲㍢愴搷㜶㑢ㄷ扣搲ㅥ摤㌹昷㘷敥扤攷摣㜳捥㍤攷㡥㌲㉡㤳挹扣㠳挴㝦㤹㜲捣摣㔷摤昴〳挳慥捣戹捤愶㔱て㉣搷昱㉢㌳㥥愷㙦㉥㔸㝥㌰㠴ち㠵㥡㠵㜲㍦㕦昳慤㘷㡣㘲㙤挳昰㝣㔴捡㘷㌲挵愲㤶㐵㌹㍢攱㙦㍣㝥搰搸㙡㌴〷戰㍣㌷扢戸昲㌴㝡慤〶慥㘷ㅣ㥢扣ㄶ戶㍤㍤㍤㕤㤹慥㥣㜸昴搴㜴攵昸戱挹戹㔶㌳㘸㜹挶㘹挷㘸〵㥥摥㍣㌶戹搴㕡㘹㕡昵㉦ㅡ㥢换敥つ挳㌹㙤慣ㅣ㝦㜴㐵㝦散昱改挷㑥㥥㌴㑦㥤㝡㝣ㄴ慦捥㕣㥥㥢㕤昲っ搳㝦㥦晡捣㜳挸㡦捤ㅢ㜵㡢㜳㌳っ捦㜲㔶㉢㜳戳昸㥢ㄸ㍦㥥㍥㕢愹慥ㄹ㐶挰㔷ㅢ㥥攱搴つ㕦㐳挳ㄱ㝢挶昷㕢昶㍡ㄷ㑦戳捦㘱慡㜵摤て昲昶㥣搱㙣㙡㜶摣㙢搱㕥挴摡㌵昵捤㔱扢㙡㌸扥ㄵ㔸ㅢ㔶戰㔹戰㤷搱㔱愳㙣㕦昵㡤㉢扡戳㙡㕣搶㙤㈳㙦㥦㙦㔹㡤㕣㤸㌲㐳㥦㡡扢㐸づ㑣愶㕦㤹昱敤戹㌵摤㤳ㄱ昹㕣㤸㤴扡攷扣㝡㜷摤〷晡昷换愱换ㅢ搸攷㐳晤敢愱攴㥡敥戵㙢㑥昵慦ㄹ㑤扥㝢〴㡦昴慦㥦㔸愳敥㌶㥦敥摦㐶㤶戲扢戶ㅡ㠹昸㕢㔶ㄴ㤳搱ち〴挳〴㐵〲ㄲ㔰㉢ㄱ㡣㄰㡣〲愸摣㝦㘳㤷㈴ㅢ戲㈸㕢搳戳戵㤵㙣慤㥥慤㌵戲㌵㈳㕢㌳戳戵搵㙣㙤㉤㕢戳戲戵愷戳戵ㅢ愸ㄳ愷攲昰㜰㌶㑡㐳㙦扥㥣㜹㌶愸㥥晤晡て摥昹收慢愳敥捤搱〳愸昴㐴㌴愸㜹㑦扦〵㔶敢㜰昱㠹捡㜱晥搹㜹㔷㘰㔳㤸㈷捤捦㥡搳搳㡤㤳挷昵㐷昵㍣愷㤵㐲晣㉥㐶ㄹ㐷摤㔱昳㐹换㘹戸户㠴㜶昷捤敡扥搱㔹戸愹愸㙣搶㙤㌹つ晦㈳摢ㄷ㔶〳㍤㌰敥敤㉤敢㜴戲愵㔹ㄵ摢捡昰攵㝤昷昷㌶扢愶㌷㕢挶捣㙤㉢㉣晥㘸㑦戱扤攴戹㉢晤㑢捦㜹挶捤㜶改㤶ㄱ捤㐰愸㙤㐸摦㕢㘶ㄹㄶ㠵攳㥡㥣㕢㜳㝤挳㤱攱㑤搹㑢㔶晤㠶攱㔵つ㡡㐴愳㈱㔳扤㥢㐵搱慥㥦㕡㜴㌰㔱散搶挶㈷㤲㔸昳散敤〰㥢搹㘸㘰扣敢㠶ㄷ㙣㉥敢㉢㑤攳㜰㔷㤵昰㥤㈸㌸摡㠵㍥攷搶㕢晥㥣敢〴㥥摢散㉥㤹㘹㙣攸㤰㌴㡤㑢㙥挳挸攵㌲㈲ㄴ㈰㜰㠷㠶㤴捡㝣愶晦㕥㄰㐲㈴㐸捣㡤㝣㑦㌷摢㔵慥㘰㜶㤸㐵搳㈰㑦㘶ㅦ摣愱㌳㡥㔷㘴㑣捡づ㑣捣㠹晡㠳㉦㝤㜸㠷㙥摢㤴晢㘰㉢㘷戳ㄳ搱散捦㙥ㄸ㑥㜰㐱㜷ㅡ㑤挳㑢搵㝥㡡㈳搲挶〰昲㜷㈰㄰晡慥ㅥ㔵㥤扡慤㌶昳户慣㐶戰㔶㔸㌳慣搵戵〰㌸㘸挸㘲㤱㑢扢㈵㘹㜷〱愵ㅤ㈴㤸〰㈸㤵㌲㠵㐳慣㔴㈸㈱㘵昲㤴㑥㈹㝢戹㑢㤰戳㕤搷㕥ㅥ㌵捦㔹捤挰〸㠵昲㤸〹㡡㠴㕡㑤挸㔷㈶㡢㝡㝡㍤㔴ㄸ㠷捣㌹㜰愹㙥㌹挱㘶㘷摦㙥搹㈵㈱ㄳ敤换㠲㍤㈷ぢ㈸ち扡攵㐱捡㕥〳搳昴㐸㠳昴捡〹㈶攲㌶㐸搱散攸戹㥢挹㔸㍦㐵㐶愰㝥㤲〹㔹晢㜸㝦ㄹ㐱㘶摦捡愴㙣搴㜷㍦敥㑢戳敤㙣昹㔰㥡摤㡤㠵搳づㄳㅣ㈱戸㠷攰㈸㠰晡㌷㐸㌸㑡㌹攴扢㤳昶ㄱ㍣㙢昷ㄱ㝣ㄴ〰昲㐹愳捣㠹㐴ㄵ㙤愸摤搸㤱慣㔷㠶㥤㉣㐶㜱㈸㡡㘸ㄹ户敤捣戲㉤㠴㡥慣捥扤愱㙢㜳愲㘳㍦搹㥦㌷㤳搳㈱㐷愶㔴㑤捥㜵㠷慡挹㠵㘰搵〱昵搶挷搰㔴㥢㈴昸㌸㐰愸㔸㘸散敥捥㥡愷㌹昹愱㌰㠹㐲㐳㘸㐰攵ㅥ㌱㌱捤晦ㄴ〱户攵攸戲㙦㍦搳ㄴ㥣㌲㍦昴昶昳戱晥㝢㍢㈲㝡㡦捥摣搷㌹昴ㄵ扤㑢ぢ晡ㄳ搸㕥敡㥦晢敡㤷〷㔱慣㍤㐴昰㐹㠰ㅥ晤挲㤳昷扢昵ㄲ㠸㐹㙣㈷㈸㜷㤰ㅥㄷ戱㜰㤷㌷搷つ搱㍥愳收戲敥慤ㅡ〱扣ㄷㄷ攷㘱〷扢㥥㘷㌴㜱愰㙤〸㠲㘷㤷㈳摤㐸晦㥣攷摡挴敦摢挷晥㠷㐲㌱攴㜲搹愱㑣㡦㝤㥣㘲㘷㈶晣㑤〹捥愱晥㝤戴扦㤰㐸㌴敡㘶㉦戶㑢㍦㕢敥㑢㤲〱㈴挹挳㔸㔶敤搳〰㤰ㄲ敡ㅦ晢㑡㤴㈹㔶㍢㈶搵扡慤㔵㝡昷㔲㑥㈶㍤晥挳㉤㜲㘴㈴㜴搶捥挲㜷攰㤷敤慡㘵户㠵挵㠸扤㘴㜸㜵昸ㄵ慣愶㔱ち㕤戲ㄴ㌵晢戲攲㐳㈲㉢㠶㠶戶㥣愵㔳㝣㙢挲㈷㍤㔲㈲㜵户愷ㄶ愶㥣挳㍢㑣㐵ㄷ㈴㠵㑡㡡㕢愸㉤㠱挸㜹慣扢㉦㘲〶㄰㌱ㄵ㉣㥣昶〸挱㜱㠲㘹㠰晣摦㐳搲散㜶攱ㄹちㅢ摥愰㍢扢㔶换ㄴ㐹〶㜱て晥戰慦戰㝡㡣慦㌹㐹昰㌳〰㍤收て㥤㡦㈹㡣㈸㈴㑦㌰㈲慤㈵捤扣㘶ㄹ户挸〳〷㑣〴㤵收㕡㝥攰摡㡣㉡㤵捤㜹昷戲ㅢ捣㕢晥㍡愲㔰ㄳ㘶㤴㜹㜲捤㜰挰㕤ㅥ㙣㥦ㅥ㥣扢扥㙥㌴㌴戳敡戶㈰摡㉥捥敦㠵㐳㌹收〷㕢㔲捥攵㔹㠵㌴搸搹ㄸ㕤㈸㌹ㄱ挳搷㑡㑦散慥㍣摦㍣昴㡤㜵㔶㜴搹ち㥡挶㠸ㄹ㙥㍡收㡢㈶㔶ㄱ㔱㠳挶戰戹扣收ㄹ挶㝣搹㍣敦㔹㡤愶攵ㄸ㈴〶㙣㑣〶敡ㄶ㡣㔵㐴〸㤶㕣挶晦㕣愷㙣㉥㝢扡攳慦敢っ㈶㙥ㅥ散㝡㤲㤰㐸摥㥣戵ㅣㅦ慦ㄱ㉡㌲㍦㘶㔶搷摣㕢㠸搶戶㙣攷扣扥敥敦〹慡㤰改挳㈴愴㔱㔹㤵捤慡㘲戶㌸㈸㝤㜸㈰捦㘴㑥攰㤷㈳㄰㕡㘵昲昴㤷愷㘸㙦摡昵㔱㝣㠶㜶㍡挷㌴㡡挸㔱ㅢ㌹㤴㉡㠵戹㔳戵挷搹收ㄴ挰ㄷ捥㕦扤搸㠹捡扤愷㜸㜵㥥ㅥ晥ㄴㄹ㉦㙣搱づ㠲搰㍦㜷㈰㘴ㄵ攲挸㌹搸㠱愰㌸㥦㝡搹慦㘴㑡ㅤ㜲摦㠱㑥昶ㅣ愲㐸愳收㠲扥㘲㌴ㄱ㡢戶昵攰㐰昸㐰㌳搶搶㥢㝥㔴㌶攷摡戶㑥搶㈲㕢㔶敢㍡㌹㜸愶ㄵ戸㤷㉣㐷㌳〱㠴晦㈲㤴㝥ㅢ㈸晤戶愰㐶捤㉢っぢ㑡㥥㝤戹慢扡㘷〵㙢戶㔵㉦昲㠱愱扢㍤挱㤳搸攴㤴扣㜱㡡㘵挶㘴㡦㌵㝦ㄵ㈶㥢㕦〱戹㉢㤰愳㕣㍡㤲ㅦ㥣㥢㔵〵晣㔱〳㍡㤶㈰㘰挴㑢慡㝤づ扤攵攵㘶〴㐴㡥愴㍢昱晤㡢㍢捦〳ㄳ晡攵㐸昵ㄴㄶ㠱㐷㌰㈱攴改摥㉥㤸㔷ㅤ㉢〰昵㐸戱㜳㔶㌰敦㠳攴〰挸捡昱昶㕥愱㙡愲搱㔴㕢㉢㝣㙣㙢㔱㤷㥡戸㝦㙢㜹㔲㙦㍣戸㑤㜱愸㔱ㄲ㡡㘴愷㑡愲㔹戶ㄹ攳㕥㔲㌵㑡ㄴ㜷慣㙤㔴㥡摢戴戳敥㤴㈲敦㐱㌱〹捦㘴戴搳挲㈸〸昲㤲㍢愰愳攸慦㑦㘷㡦㐴戴㠶㌶㐰㠹㝡㉡挴㤵愳㜰攰㐵㕣㌹㘹ㄸ愵攸〹晢晢㐰㤴㕤㙣〵㕤㈵晡敤㠹愸㘴愶搹㕣㜴㘰㈵搴㜵慦戱㐷戶㌴收ㄶ㙡ㄸ搹㥤㠳㙡晦㜰㜹ㄳㅢ㌱摡㠶っ㠹愴昸㠱戱つ戱戹ㄲ搱㔴㕡㘷㘵㉥㜵ㅢ㕤攴搳㈵㐳㜷㠴〲搵愰㌱㙦㙣㠸ㄹ搶戱攴㈷愴㐱晢戴㈸㜲㔴㌳㘷㔶㝣愸昴㠰㜲㍣捡挹〶搷捣㉢㜴㑢攱〲〳挴㙥㤴㕢慡〷〸敢戶㍢攰挹㘰敦㔰〷㉢ㄲ㠶㑤㘸㥤㔱㠲ㄶ㔲ㄸ户㝢ㄲ摣㍢〳㔲ㄴ㠲搴㤴昴㕦㘷搴换㉦㌱晤晥㤹㑣㥣㠹㌶ㄱ㐳㕤㈹搶〳㠸㥢㡣㑡㜲ㄷ㑤挴挱昲㔰戲㠹搰ㅡ㡤㜱㌴㌱捡㌴昹扣〰㌷㜸ㄸ挷ㅡ攳戶㘹攲㡥㕢㘰㐱㥢㌶㌷て㤸ㄷ㥤㝡戳搵㌰㐴ㄵ挷戲㕡㌴昲㥥愰㤷㕣晦ぢ㜷㔳捡扡㐴㡢㜲ㄱ㐷㈹㑥㤹㐴ㅡ摣敥搶㝥づ捤㐵挸愱㡦㔰戶㌱昸㤸攲㤶㤳㘰搸㤶㍢ち戴てて㜶㉥㉦挸挵㌹㠸戴㉤㈸捡戲〵摣挵㙢㐷㤰㘵户㈵慡㉤戸ぢ㉥㙤昶〴敡㠲ㄵ愲昶〴㡤㌰捦㔰攰ㄵち㌰㐶〶摣ㅤ散㈴㜳㈷㡡散摥㜹㕥ㅥ㌳㜷捥㐴挶㠷㘲㝣㤷愷愰㑣攱昳〰挳㑦戴昴㈶㉥㈶㠲捣愱〵㥥敤㔸攰㡡㔱㘰㕡攱摡っ㠰㘲㌸㤸挶㉤㙡㠶挶捥ㅣ昲愹挶㡥㌶㡦ㅡ搴㘸っ㑥愶㐴㑢㤳㠱㔵挶㉣㈷攰挰〷ㄱ戱扢㜸戰㕥㜶愱㤴㠲㐳㜲㐹㉣扥愷㌸㘵攳㐸攴㝡㠷㝢㤰㑢㝡㠰慢㌰捥搱ㅥ昴㑣愳㐱昳ㄷ晥扡㍤㐱㘵㕣攳〸捤搳㐳㍤ㄷ戴㘴㑥戴昷ㅥ攸㈹㠸㉥づ㥥㤸慦㕣搰㠳晡㕡㌵搸っ㉦㜱つ捡㈲昹扦㠴㝦㘲摢户搳㠶捥㌹扣㤴扡挱戵㉦摤㜰摣㕢㡥㡣㉢敦昳〶㈰戸〴搷㈹㠷㌹挸㔲收ㅤ晣㤱㤴捤攴晦〲㍤敥㘶搸散愰攳㌰㘱㍦㤲㐲改㌰㠹㝣ち㥦挰㤶㙦摦㈰㈰㥦ㅣ敡攱ㄳㄱっ晢㡣攲慣扥㙦㡣愲扥て戲㤲㔹挲㈳㍡搶晣つ㙣㝦昵㍤㘰㐸㜰㍣㐷㘲㈵晦㜱攴㔲㐸㈷㠲㍤扡敥挱换㈱晦㝦愸ㄴ敦收㙤户搳晦挲㘶㔶㝦摥㑢愲晢㐹愲㌷户㤲㠸㠱搹㜷ㄵ〲攷攸昷㡦㥥ㅦ昸㌵摦晦挳愳攷〲㈸捣㈴搶ㄹ㠲㙣て㈲㉦挶〱昶扢捡㡡㑢㉥㘹㄰㍣㠴㘲㌱〸㉥戱つ攳昷愱㐱㄰㜹㍦ㄶ㠱㐸㌵〸攴㜸换愸㕥㡡〹㤸〸戲㈶ㅣㅡ㍣㝢ㅤ戶改ㄹ扢㠰敢戶㠶㡦㐸㍥搴㤳㍦〷㕦搴㤱慤攸㈵摤搳敤愳㠲㍦敦ㄹ㔰㕢摥㌲敥㙦㑢ㄳ戶戸㜷摢ㄲ㘹戴㡤㤷㈲昶慦敦㝢㔲㜶㜷㙢ㅤ㤴ち㔳攸戸㔷㐵㔵㜸て㍥ㄲ挵ㄳ㐳收搹㐳㝦㜸晥㕦㥥㜹昱っ敦愹㐵扣㥡㘷㘰㜸㤰㘰㍤㉤〷㠴㜳ㄳ㔷㐴敥收攷㌸㤷昰㘱㤲戵摥㌴㘶㜵㑦散ㅤ㕦戳攳㙣挸㜸〹挶っ㤹㙦㉦ㄸ㤳戸昱㄰ㅡ㤳㤵ㅥ㐷愷㝣捥㈴捥挱㑡㘲攰攲捤㡢〳㠶慡慦捡ㅡ搰慥捣晦㌱㤴捥扢ㅣ㐸户㍤挸昳㈶㤳㔲㝦搴慢搵㑥㔲慢㠹㤹愸ㄸ昰㡦愵ㄴ㈲て攴㤰愴㤴攲㔵〰㤱㔲㔷㤰挹㔷〰㔲㘲㙡扤挱㕤㝡〲昶㠵㠰搱扥敥㌷攰愷㉢㔸㐵㔰㌱昶挲て㝡㤶愵搵ㄹ慢愶㐷㤸挷㑦慢〲挸㌱㠵〸㐶㙤〵扢㡣㑣㥣昲搳挸敤摡ㄱ挵㤷㤴敤㌰攴ㄶ㙥散扣㑤㉦㕢挹㍥敢戴㜰攷〳㝡愶㈰ち挳㌹㐸㌴㡥㥥ㄲ㥤ぢ慢㤶㐲ㄴ攱㔸㤸㙤㌷ㅡ㠹㡡愰戳㥣愳㌸㝦㈲散挷敦㠳㔸㍥搵改晡敥摥ㄲ敡㌸㘷ㄸㄳ攴て昶搷晤㈹ㅢㅢ㙦攵㡥㠱㠴摤㔵慤㘲㜸㈹晣㉡㥡㠸㍤慦戴㑥㤶敦㔲㡡搱改㜸㘷つ㙤搵晦㈷㔱㉣㍢敢ㅡ㙢㌳㠰摤愵晦㥦〲㘲㐷晤慦ㄸ㜵ㄳ㤲㝤㈹捡昰㈱捦挸挹㡥挱ㅡ慥〸㝣摡〸摢挸ㄱ㔸㤳㉣㠳摤㘱慥㡡㑦㔶挳㘲㤱攰昰㜸攵㝡㉦㐵戴摢搲戶ㅤ改㉢〰㑦㜱㐸㙦㐰〴昵㙤捦㐱㙦㍤挷ㄶ扥っ昴愱㑢㔶摤㜳㝤搷っ㈶慢〸昷㑥昲㡢㌳ㄳ㌶捦㡣晡㙥慦㔰㝢〰㉢㌱晡ㄵ戴戹扣〸㠱㝤搹〸摥慦㈸㈴㘳ち扢㡢㘱昰敢愳昱㐴㘰㠹摡挱扦换㡣晣㐲㡢昰㜲〶㐴敤〹㘵ㄷ晡㥡㝢敦㘶㜰改㜰㍢敢㡢昰晣ㄸ捤ち挲㘲㌲㠵㉦㝦㠵敢摡扢〶摤㜵愳戹昹慣㌹㤸户慤㤴㝦ㅤ㌴摤摤㕢扡㔹㠶敦攴㜷挸㈵慤㐶〸㉦ㄹ扤愵扢㜷捤戲户〹昰㜹昴ㄹ㌷㕤㕥㔳㑤㌸捡㜶㡥㝢㤷搴っ摡戲扤㜶㍤捡㠸㥦㤷晥㍣㙥㐳昵ㅤ㑣㠹捣㡦㝣愶戰〲搰㥦愳㕦㐵戵㉥晦〰㌹㕡捤戳ㄷ晣戴〶㝢㠸㝥㡡㠷つ昲㘵㐹晤㈶㕡㜱摤挲昹㘳㙦㜰晥㑡づㄵ挸㙢慢〰㜱㔲㍣㔴挸愸扥㡤〶敤㔱㔹挰昶ㅦ搵户戶ㅤㄵ捤〱ㄹ搵㡤戸㜳晣㍢ㅥ慢ㄳ慤㠹㈷捤㈶㜰〸㕣ㄶ挶㕡㘵㡣㠲㤲搲愷㄰㠶ㄹ扥㝦〶㜹愴㝦㠸晥㝤晢捣て摦㘲晡捦㌳㑡㐴㈳㡡戴㜵愹ㄱ〲㐵搱㈸戳昸昵攴㉣㍣㘰晢捦攲搷戶㥢挵㌸愵㈶㉦愷㘸〱㐰㜹㑣㤱㝢㘴㔶慤㈸挳㠷昱敢〴昸㘹ㅢ〰攵戱㜱ㄲ㐲㥥㙦ㄱ㜹㥢㘰㤳攰ㄹ㠲㘷〹㥥〳㈸㤷ㄴ㠹㈱摤㝤㌵捡㐸㜷愴〸㥢㤷挷挷戹㜸㘱㌶捦ㄵ㑢昹ㅡ㐸㑣㉢摥㥥愴挳愷㄰㝡㙣ぢ愱㐲㉤摡㤱慢㜶㑦㠸㤵挸改摥㔷ㅢㄴ〶扣ㄶ愰㝥㌱愶攰㠵ぢ昱愷㔶搹㈸㔰〵づち㡤㔹㜲ㅣㄷ㔲晤㐲㕣昹㑦摥散昸㔵㔱㠰〴㌶ぢ㉢㤳㌳愵昲ぢ㜱攵ㄳ昸㡣㑢敡㘴㜸敤㠰改敤戸㌲㌹㔸㉡㍦ㅦ㔷晥㡦ㄳ㐷摢㤵㘳㠶つ㝢ㅥ㕦㐷攵㠸慣㘴慣ㄴ㡢㔹捥㄰㠹慦扢挷㔰㍤㙦㔲ぢ㡦㤸㈱㥡昲㔷㐲捦㑤搱挳愳戸㑣攲攱晢敡〵摣㡤挲ㄵㄲ㠸敡昰扦㔹戸㠸㍢㔳昳㝡愰攳昳改つ〴慢㍤㑤㥥搸戸㘰㉥㝡㐰っ㥢ㄷ㝤㥣捣ㅡ㝢㡡㕢㘰㔴攴挲愵摥挱㠹㥦㘲㠰㜶搶㈳づ戲㘵㜹〷㘵㌰ㄵ㈴挱㤸㥣晡㙡㑣攴捣ぢㅤ昶搱㕥〴㜱㈰㕡〱㤹搱扥〶ㄸ〶㙦づㄱ㌱㑥㤹㐱戱愶晤ㄲ㐰㜹㐸㔱㕡㤰晣㠵㕦〶ㄸ㡢晦㙦㡢挹つ㜱戶㘴搵慤昸ㅤ㐹㐶搲扥捥〶扦〲㌰〴㉦㉦扣㐶㐸戸换愰晤㉡晥㑤扣㉢㑦挹昳戹晥挶㉣捦慡昱昷昶㠸㐲㜶㝤㔸㝦ㄶㅦ捡㙦戲攳㈱晣㍦㈱㜹戱扣㜳搹㥦ㅤ慣㉦昲ㄷ搵㥤晣㍣㑣攸㍤昴挳㜵敤ㄸ㠱散㔱㌴㥡愲㝣攵㜴搵㑤昴捦㜷搰愶㉥㈹㑡㕣㐱慦㐷攸挳㠲愶っㄶ戴ㅢ愱㡦〸㥡㔲㔹搰㑥㠴愶攳慣愴㈸愷〵㙤㐷㘸晡㐱㑡攳ㄴ搷㐲挹㙦㈲㔳ㅥ捡㤳昰扢收㐰捥㘳㌰㕢㐲晢つ㌴㔵㘴㉢昶愱㝤㉢捡昰㐱㤱愷㘴愴㔶㌴㔲㉡㑢敤摢㉣㈲换㜰㠴摡㑢㝣㈲愷㐸昳㤷㤱愱戲攰㑦㜱㈲搲摣㐸㌶㝦㠵㐵昲㔲㘴戴㔷〱攲㌴捥㤷换ㄲ晣ㄶ㌲攵愱㌱扥改㐹晣戲户㔵晤㝡攳晡昵㥦㡣攵㈶敦捤㍤昵昹搱㤷摥晥扢ㅦ㝦攳㐷㍦㝦晡摦㝦晡捡㉢㍦晡搷㙦扣昵搳扦㕡㌹晤㌷慦扦晥㠳㉦㝣攷慤ㅦㅦ㌴㕦换扥昹㤳㠵搷㥥㥢扥昱摣㑤昳敡㘷捥㍦昷愵愷㥦㤸㕥扡㙢㙡㘸㘸㜸昸㔳ㄳ㝦㝢捦挳攳㉦摣晣㥥晡敢㝦㍡攲㈸ㄹ㍣㕥搰㍤っ㑥㠲㤲㔴㝢㡤攰户〹㕥㈷昸ㅤ㠲敦ㄲ晣㉥挱ㅢ〴扦〷㔰㉥㡥㜱㔲ㅦ攴㐸挷攳㜵㔲㕣ㅡ㔹搴愷愲㐵㥤〵愲〸㤳敤戵戸攰挹愸㐰愶昰〷挰㉡㑥㐱摡㕣㡤㡡㐲㈶攷愴〴扤ㅣ愱㐳㈶攷㌴〵㕤㡤搰㈱㤳㜳攲㠲扥ㄲ愱㡦〰㔱㔲㕣ち㐱㍦ㄱ愱㐳㈶攷攲〸㝡㈹㐲ぢ㤳㉢㉥㤷愰ㄷ㈳㜴㍣㝡㡥昳㐵晣戴㍦〵㔰〲昸昴㘷〰㑣㌹晣挶昹㄰㙡戸㤱晦〱㤳㈹ぢ㈵</t>
    <phoneticPr fontId="10" type="noConversion"/>
  </si>
  <si>
    <t>㜸〱攵㔸㙢㙣㈳㔷ㄵ昶昸㌱昶㜵㕥戳㠵攵愱㈲挸㐲ㄶ㔱㤲㜵敤挴㡥㤳戰愱敢㌸搹㑤㜶㌷㜱㌶挹㙥ㄷ㠴㌴㍢㘳㕦㈷㑥㘶㍣改捣㌸㑡㑡㤶㉥㉣敡〳㈱㔵愸㉦㡡挴㥦㉤㘲㕢㈴㔰㠵㤰愰㐲ㄵ㈰愱ㄵ㈰㈱挴ㅦ〴㍦昸㠷㐰㤵摡ㅦ㔵㠵挴㉦捡昹慥㘷ㅣ挷㜱扣㙤ㄵ㠱㉡㐶昲昱戹攷㥣㌹昷捣㜹摤㐷㐰ち〴〲㙦搳㠳㝦㍣㘱㈰ㅦ㕢摥㜱㕣㙥㈶昲㤶㘱昰愲㕢戱慡㑥㈲㘷摢摡捥挵㡡攳㠶㐸㐰㔶㉢挴㜷㈲慡㔳㜹㤸挷搴㉤㙥㍢㈴ㄴ〹〴㘲㌱ㄶ㈴㍥㘴昰㔳晣〱挳㠸㠵〱㐸㉡搰㉤ㄳ㔸挹㑦ㄵ昴㜵搲扦散㕡㌶ㅦ敡扦㔲搷㌲㤹㑡㈵㔲㠹攱㤱昱㔴㈲㌹搴㥦慦ㄹ㙥捤收㤳㔵㕥㜳㙤捤ㄸ敡㕦慣改㐶愵㜸㠱敦慣㔸ㅢ扣㍡挹昵攴㠸慥愵挷㔲改㑣愶㍣㍥㍥搶ㅤ㈵捤ぢ㠵晣㔴㘲㠱扢㐷愴㌳〲攳㔳搳扣㔸挱㔷㜲㙥㔷慡慢〹㥡㘱㥦晤㠹挲愶㥢㈸㉣㉦昱㠷㙡ㄵ㥢㥢扣敡挲㤲㙥㜵搱收㘵㙥昳㙡㤱㍢扤敡捣㜶㤱ㅢ㜹㙥ㄸ㑢扣散㜴愹攷㙣慢戶㌹㔷㉤昱敤戰㝡㐵戳㘳敡戹㕡愵㌴慦㙤昶㤸㤷ㅤ扥愴㔵㔷昹㠲㘶昲㠸〹㜲㌰ㅣ〸㠷〲愱扢㥡㤱㥦捡㈶昶㑤〳㔷挷晡㕢慣㠷㠳挸攰ぢ摣慥㜲㈳㐱㐶挳搸㜶㘱㥦搵㥣㌵㔷搳つ㉥㜵㜹㐹〱㘳愰㌳捥㘲〴昱㌰〶㄰㈷㈰㠵晦㐹戹搴㉣搹㐵搴愰慡〵㔵㍤愸ㄶ㠳㙡㈹愸昲愰㕡づ慡慢㐱㜵㉤愸㔶㠲敡㝡㔰摤㈰ㄹ晦㠹㐵愳㐱敦昹㔵晡㤱㙦昶扦㜶攷挲㑢㉦晥收收搴㑦㙥て㐵㤰㍥昷户㝣挸㈱㘱愸㈷㔶㘵㡢扦㝦㠲㐰㈶扦㤷㈰㜴㝢㥥㘳㍤㠴戰㕥〲㤲昴㈶〵〱㠱㈸㑦㥤昸晡攸捦扥㌳晢摣搵㝦㍦昶搶㙢㉦㘹ㄲ㙡て挹ㅣ㘷ち㐱㍣散ㄸ挰㍤〴㈴改つ敦戵昵扥㍢㍦㔷敦昹换昹㥢㑦㝣昴收㑦㜷㙥扤ㅡ㐱愰摦㝤攲愱昶㤹挸㕤慡㔶㈷㘲㥥戵㙣㈷ㄴ敡㤸㘴ㅤ㤹㐸㍡昶㐱㠰攳〴㈲㐸扡扢愶昵㠷㐸㐸搲㈴㍤㙡㔲戶捦慦摡ㄱ戳㕥㔱搳摣㈹㌲㤳㙡㑥㔴㥦㑣㤸㔱攳摤㘶摥慡扡㝣摢㥤搶㕣㉤㙡㉥㙡㔴戶㙥㉦扤㐸㜲㠳㥥㠲㙥㝦〸㍤㡤〱搴㈹㍥挷搷摡戳㐷㈰攵ㅦ昰㐷㑤㜳㌴㜴搷愷㘲㘲ㅥ㈸慥㘳搰摡㈳㘸扥捡戸㌷㈲㝤㡡㐰㥢㤴㜵〹㐲㕤ㄳ晡㌸㌵昲㔰搸晢慢て㘴昹㔳㉤搵戳扦つ㤰㠵攴㈲㈴㘱㑣敥ㄸ㠹㠱㜶㙡㡡晡㘵户㘲㌸〹㌲㐳昴㌵攸昹㙦捦㜷㔴㜶挳昶晡昳慦户晤晦戸㡣㘴㔲昶戵昸㠹昴㠴晣㘱〸㔰攵㜸㠲㤴㥥ㅦ㈱㐲㍣捥㈰捥挰㍤挸散挴ぢ愳㤱㜶㜴㍦慣㡢㕦戴戴搲㔹慤㐸㑢㘷搴㕢㌸㘳㜹换摣愴㥣戵ㄵ㌴敤扣㔵攲㡢戶戵㔵㈹㜱㍢〶挲㌲㉤搵㘱㔴愲㉣㤲摤愱昴〸〵㈲㤱慥㔸扢戹收㝣㕤〳㙤戶〲㜳〷昴扦㝥㘹散㠱㍥㔸ㄵ㐷扦㘷㥦〰攸㈷㈰愱㍢愱㝢戰ㄳ〰㥦㈴㄰㐱㥦敡㕣户搴〹晦㑦敢㌶散ㄷ散扥扡扤慦㕤戹㌵ㄶ敦挶㔲㜷戶㔶㐵㘶っ扥㌳改㤵㥤㑤敥晣㉦㙡昴晤摣ㄳ攲㤱扦㔲㌱扦ㅢて㘳㍢ㅤ摤挲敡愲慡㠱ㄸ晣㡤㘵㌱㉥て㄰散㉤㉣㌷㠲㌷㌱㍣㜱戰㔷㝣ㅡ愲㜱〶搹㐳㤸㥤㜸ㄲ㌶〳㘸㈶㉤搵㜹ち敡ㄲ〴㈴㙣〲㐴㜵摥て㔲ㄲ㈴戱ㅤ㈰愴晥㌴㜷扦ㄴ㤱㕡扡㕦㍢㥢㐷㐸㡣㙣㠶昴㐱㥢〵戳ㄳ㑦挲㑥挴户ㄹ㥤挲敢㈸ㄳ㔰昷㌹〲ㄲ㌶〰扥〰㥣敢〹㥣㠶挰㈴〴戰㌹㘸㈳昰㜹〸㍣〰〱搱㥥〹㠱㕢㔶㈰㕣㙦㕡㘷〸㘵㌹〲ち摡ㄷ㔴挷攰㥢㠰搲㑦〰㐳㌶〵攴〴㠱㌶敡昳㄰㤸㠶〰㥡㕣ㅢ㠱ㄹ〸㥣㠵㠰㠸㉡㈱㤸晦ㅡ晤㝢昳㥦㈳㤴捤ㄲ㔰㄰愰愶昹㐵愸挰㥣〳ㅤ愱㙡愳晥㍣〴㉥㐰〰㘱㙣㈳㜰ㄱ〲昳㄰㄰㐱㈰〴昳㘳㔲㙦晥〵〸ㄴ〸㈸㜰㜶搳晣挲敤㘰㉥㠲〹㐷㠳㈹㕦㈲㜰㌲㍦㤵㕦㔲搳攵㜱扤㤴攵攵攱㜲㈶㥢㑥て㘷挶搲挹㔴愶㍣愶㡤敡愹㔴㉡愹㡤㈸㈲㉥㈴捥㤶〸㈸㠸〴㌴戰㘵㡣㐴㐸㌰ㄲ扣㌳㠴㘱㤳㉡㕦㈶㜰㉣㍦愵搶ぢ㘴慥㐴㍢戱㡡扢㈳㕦㈱㜲㉦挸㥢敥㌲㥤戴㜰慣㤲ㅦ㈴㕡㑦㥤㤶㉢㙤㉤扢㥡㉢㕦㈵㔲㔴㥤㜹㠸ㄶ挰㑤昹ぢ㝢㝣㍡ㄸㄹ戵ㄲ㔷㜲㐴挲㌴散㡢〴敡㘱ㄶ挹㉡㝦㠹挶㑢挹搳㤳㕦摥㕤戲㉣㜷㤷戶慣扣愸㌹慥戳㡢昵搰㜲㉡㌸ぢ昷捦㙣㙢收愶挱㑦㕤慡㘹〶ㄹ㜵㡡㡣昹摢㉦㝥昴昷愷㕦挹㈶戶つ㘷㝢㜷㥥㤶㕥㘳㜷㌲㤷ㄹ㑤捣攷慥㕥㍦㍤㤹㡣㐹㠱㈸戲㐷㝣㌷ㅡ㐰愸昹㡣㈴扤㐰㑤〵晢㜵㙢㜴攸㜷挷㜷晥戱昰攲㥦㕦㕤晦挳㥢㥦摤㤶㙥㜹㡣ㅦ捦㜶㕤㝡昹昷㑦㥤㜹昹搴㥦愶〷㝦戸愶㉡㐸㌷ㄱ〵㤵㤰㝡ㄴ戴攴㜰㌹㤹ㅣ攱改ㄴ㑦愷㐷㈸ち㥡挶昵搲㜸㤲愷换㝡㘶㉣㕢㔶㐴㜶㤲㌸扢㐶㐰㐱㍥㡡㈸㘸ㄸ㠹挴㈴愴捥㐳㔶〸昷㈰ちっ㍥㘷㜰㌲㠳㕢ㄹ摣愹㈰㑦㠵挴ㅡ㈱捤づ㕣愷戱㜶〴摥㉢搰㥤㠲㘶ㄸ晤攷㉣捤㐸㉣捥㉣攵㘷ㄶ㔶收㉥捥㝣㈶㤹ㄸ捦摣㜷ㅤ晥㐴㌵ㅣ攲捦㘷㍣户㙤晣昱㤵㥥㤳㤵搹㠵摢户㝥昰换扥㠹敦㔷愵愷て昳攷㜹㑦㤷㙣ㄲ攲昹㌳㑢慥捣敡挹㙣㌶㤵㐹愷㌲㈹㝤㡣㡦㡥っ㘷挷㐶㜸㑡搷㑢㝡㔶ㄱ搵㐶攲慣㑡㐰㐱㝤〹㝦㕡ㄸ㠹㐲㙢昰㔰㕡㥤晤㠹扡ㄳㄲ㕢㠴挴攸昳㐸㉤戶㡥昲㌶㠱㈳㑢挸搱㘴㜳㐲愲㥣て㜱攰㘳㥥㥦摥戸㤱戸昳攴敡ぢ㠵攷摦扡㥤㍣㌶晡昱㜱改搱㐳ㅣㄸ㐱昵㈶㕢㜶ㅥ〷捥收慤㜷ㄳ㌲扤㜴摣㥣㜳攸㌶㠴敥㝥㔶慣㕣攳捥攳㤸搸愳ㄲ㝤搰㍦㐰㥥摣愳攴㜴挷㌲㙡㉥昷㕦㉢搸㡤昷攸戸㐴㑢慤㜸㡦㙡昷昸摥愸改愰㜴敦ㅥ㜵慥敡㜰摢攵㈵㕦愳㐳愷攰㜰㌰㈴㘵敥昶㈵㔴昲㜴搹㐳㄰㠷㉥晦㐲〷㥦㜳㙦㥢晤昲㔴挵ㄵ户㘷攰㑢っ㝤㔳摥㈵挰㈶〷㜲〳愹㘴㌲㌹ㅡ戹㐹㙥㝤㙦㜳㈲㔳昶昶ㄷ㤸〱㑦㥣㝤㠵愰㠴〶ぢ搵㈰㜵㍦㐲㠰捥㝢搳㤶愹㔵慡㐷㜵㌳㠶晥搹扡ㅤㄲ㘱慦㑦搳戸㈲昳ㅢ㌸㜲扣摢㉣ㄴ昵ㄵ㥢㡢换慤㤸ㄸ搰㕥戴挷㝣搰戲㌷㜴换摡挰〱戸㔷㡣㥣㌵捥㕤摣㌷㜵㤹昵㜵〰戸㈴㐹愱㝤敤戳戹㤵攲㈳攵ㅢ〴㝡㜲搴㍣㝣㡤㡥晣㔵㈲㠵攸㥡㑢晥ㅡ㈱㠳敦愸㤹㘷㐴㌳㤷慥㝢ㄹ㙦㍥昵散㙦㑦晦晡攱挲攳搷㕥摦昹敥昷昲㈵㘹搷㘳戴㕥㔳㐹搷㘸ち㤴㠳挴搰㥣攵㐷〹㌴㐲㥤㤱㜶攸㌵㍦㈶㜱昶㌸攴㌴〲㍥㐹㐲㐳㠵㔷搹つ〲昲㌷〸㠴攸摢ㄹ散㤶摣挳㙣㜱㍣挶㠱ぢㅦ戴愶扡㉤㘸㙣昲㤳〴ㅡ戶っ㑢㥢晢㙣昹ㄶ愶㐰昷㙡搸㠲㘶搴戰㠵挱㠷㜵㍢㌶づ戳㘳摤㘳戴摥㈰㠵㤱㡥㥤㑡〳㤷㔲㔱㔳搵㜰挹ㅣ㌳㔵㠳㔷㔷摤戵挶挵㌲㙤㥢㘳㜴戳晣ㅣ〹〵改㠷㐷㠲攷愰㤵㝤㥢㐰㠳㡡㙦㄰搴攷㥢愸㝤㜸ㄱ㠵ㄲ愳㕦愰て㉦散㡤㈰搸ㄸ㜵晤〷㕡攴㙣搷</t>
  </si>
  <si>
    <t>CB_Block_7.0.0.0:5</t>
    <phoneticPr fontId="10" type="noConversion"/>
  </si>
  <si>
    <t>㜸〱敤㕣ぢ㜴㕣挵㜹摥㔹敤㕥敤慣戴搲㌵〶昳㌰ㄸㄹ摢挱て㄰㝡㍦㡣㡤慤㤷㙤ㄱ攳㠷㘴㥢㔰愰捡摤摤扢搶攲㝤㠸摤㤵㉤㈵愴㜱摡㈶㐰ㄲ挲㈳㘹ㅥ〴戰㠱〰攱㑤摡㜳㈸㐹㈱〱ㄲ㑡摡㥡搳㐰㌸㍤愵捤㘹㠱㘰ㅣ〲㈱捥愳㈹㘹㤳搰敦㥢㝢敦敥摤㠷㠴㙣㉢慤㝢㑥㐶摡㝦㘷晥昹㘷敥捣㍦晦晣昳捦㍦㜳搷㈳㍣ㅥ捦扢〸晣㘶昰㌱㜲晡昰㘴㌶㘷㈶ㅢ晢搲㠹㠴ㄹ挹挵搳愹㙣㘳㑦㈶㘳㑣㙥㡣㘷㜳㔵㈰搰㐶攲挸捦晡㐷戲昱て㤹㠱㤱摤㘶㈶ぢ㈲扦挷ㄳ〸㐸㉦昲〳昶㐷㜷ㄲ㤲愵愴㡦〰㔴ㅥ愹ㄱ㔴ㄳ㤰㔴㑡㠲㈰㐰㙤つ挰戶扥摥捤攱㉢昰攰攱㕣㍡㘳㥥搳戰挳慡㝥㜵㜳㜳㘳㜳㘳㑢㙢㜷㜳㘳搳㌹つ㝤攳㠹摣㜸挶㕣㥤㌲挷㜳ㄹ㈳㜱㑥挳㤶昱㜰㈲ㅥ㜹扦㌹戹㉤扤换㑣慤㌶挳㑤慤㘱愳慤慢戹慤扤㍤搶摤摤㔵㕢㡢㥡㌷昵昵㙥挹㤸戱散㙣搵ㄹ㘲㥤㥢晢㝡ㅢ㌷㤹戹搹慡戳づ㜵愲捡晥㜴搲㠸愷㘶愹㔲㍦搹摦摣㙦㐶攲ㅣ㈷搳捣挴㔳㍢ㅢ搱散㈲㐶㈳搵搹〸㥡ㅤ㐶愶捦㑣㈴㠶捣ㄸ挷愶㉥戹㍤㙢昶㡤㘷㜳改攴㈶㈳㘹搶㈶挹㐰㌳㘳愶㈲㘶戶㉥㌹㌰ㄱ㌱ㄳ㌶㜵㌶㤰㐴㔱ㄲ昹ㄸ愹㑦㕡㠳㌸ㄸ㌵㔳戹㜸㙥㌲挴㡡㠶㡣搴㑥㤳㈴晥攴晡昱㜸搴攳昳〹㥦捦㔳㈵㤶㔴㙡㥢ㅡ㉡扢㐵㉡捥㈱㥣㔱㉦㡡㥡㐵㤱㕡㔴㔲㍦挷㙣昳㔸敥晤㘶㈶㘵㈶散㐷㜰㌰㔷㤴搰㈹ㅥ㔹㐳㤱㘷㤶搳㈱づ㤴愸戱愷ち㝢挳〷〹㔹て㈸㜵〰㙤づ㐰㑤捦戶ㄱ愷㑥㜹〲戳收〲〸摦㕢㤸㜳愵㘵扤㈳㠶㜷㈴散ㅤ㠹㜸㐷愲摥ㄱ搳㍢ㄲ昳㡥散昴㡥㡣㝡㐷攲摥㤱㉢扣㈳扢㔰搲〹㠱敡㙡慦ㅤ昴て㝣㘵挱㌷攷㍦㌸㜸挳搵慤晢㥦㕣昵捡㤷〴愷ㄹ〷㕣挸㤳〰攵㍣〰敤㘴㠰㥡愱晥㐲㕢㑥㘱搶愹〰㐲扣㡥戶戰㍤慦摣㕦㝦攰挵戱㉦慣晦敡㜷捥昸捦㕤ㅦ㕥晥㝤㍦愷㙡扢搳晡改愴愶㈷㥢ㅤ㑦㡥㔱㔱戸㈴㐷㈶晢戳戹㉤㐶㈶㤹㥤㕤愱㠱挴㈸愱㌹扢㔲换㉣㤹改挹㈶晢㐶㡤㑣敥ㄸ愵愶愱攴〹㤴㥡攱㜸搲㤶ㅡ㍣㘴㔶㐴㐶㥢て㌶捦摢㤴捥㈴愱挶㉥㌲㡤搴敡戶㜳㠶㜳搱㝥㜳昷敡㘶㜹㍡㠷改っ〰㙤〱㐰㕤㌶㥥ㅣ㑦ㄸ㘴昴捡收愶㤵昲㑣收㌶〰〸昱敦昶㈰㕥㙣㍥㝡戲愷㉢㌹昰挵㍦㌹扦晢敡㙢㤷㍣㈲愸㙡㉤㘹㌸㡢搴㡢〰戴挵〰愱扥㜴搴㉣挸挳ㄲ㘶扥て㐰㠸㤷散慡ㅥ㍢敦搳攷㍤昱愱㤳搷㍦㕣晢昴挳捦㝣㜹昲㌳㠲ち㥢㌲愱㉤〵㔸㕡搴攲㜶愷挹慤㡤慤挵愱㕤㉥〳戵㕣捥㜲㉢〰㐲慥㍥戴慥㤴攷㌰昳㕣〰㈱㕥戰㥦㝢攲攴㥤愷㍣㜹晦ㄷ㌶摦昶搸昳㔷㉦敥晥㔳扦㥦㝡愸戵㘴㉣㉡㙡慦㜵㔸㉦㈲㐶㌶㘷㑢㈱摢㍢扢戲昷摥愲户㉥ㄳ昹晤㡢ㅥㅥ㌲㉢愲㈷捦㈳昷㥢〰戴㘶昲㙡㌳㔶㜲㈳㤱㘸㔸㥦㌶ㄲ戲㠵㜹慤〰㐲ㅣ戰㐷㘶搷昳㕦て㉤㠹㙦搸㜴捦ㅤ昷㍤㔹扦昲敥㤴攰挲慤㈴愲ㅤ㤱攵㙥㠹㘸㙡捣㑢㜱㔳㘳㔳㝢㔳㔱㘸㤶ㅤ慣扣ㄳ㐰敢〲㈸㤲敢㤶㤵戲㥢戹㉢〱㠴㜸挶㝥昴摥愱㈷捣摤晡愱つ晢ㅢ戲敤㕦っ㉥晣㕢㐱㜳挱㤲敢㔵愴㕥つ愰㕤〰㔰㌳散搲戸㙢㤸戵ㄶ㐰㠸㙦搹ㄵ摤晡捥㠱ㄷ㝥昵㤳㐳敢ㅥち㍦昵摤扤〷㥦㝢搷㑦㠵㍤戳昵㠷㔳愹愱㙦㌴㥤㌵㔳㑡戳慣㐸㙥㠹㐷㜶㤹㤹㘱㤳㘶㤲ㄹㅤ捥ㄹ㌹昳㈴㘶搹ぢ攴㡡捤㈹〸〳㤶扣攸㔹㙥㙣㙣㘰㈲㘷愶愲㘶㜴㑢㈶㍤㘶㘶㜲㤳摢㡣㜰挲㥣㔷㐴搲〳扢㙢户㠹㡣㔳㡢搰敢搲㤱昱㙣㕦㍡㤵换愴ㄳ挵㌹㍤搱摤〶ㄶ攵攸㐵㤸搶㥥慡㉡㈱㍣摥戹昶攲㌴戰ㅢ㑢昰〶㈳ㄵ㑤㤸㤹㘹㙤㍢挱ㄵ戶㍡㠸攰昱㜳〹㍢昲挵㤶〶㥦㔴㙢㍢㉣戱慣㍦㠹ㄹ㤹慤慡慡昴搰つ㐶㜶㌴挷㝥㑦㥢挹㌵㔵昶ㄲ昴〱昸戹㠲捥㘴㉤㔷ぢ㥢㈱挲㈲㈲愲挲慣㑥㘲慤扦㘸㘷挶慦㑣ㄸ㝦戲摦捣㐶㈴㙤㤴㐱っ挲㠴㠶㔸㘲ㅣ㤶つ搹㙡㑥攴晡㡤㥣㔱㥤挴挲〵愶搵愱㈰攸㔶搸ㄵ搴㍡㐹㘵ち㌹〹㔶愷㍢〹愷搶㔰〱㠱捡攷㍡㈹搷㌳昲㜵㕢㡦㤲敡㌹慣搸㡡戱搶㤰挲㌹㔵〶敤ㄴ敡搳㔵搴㔵㔹㡤㐲㔸㌵㠱㐷㌴攴㘱挹㔷㐱㕦愹㉦ぢ㙡っ搳戳て敤〴愳愸㕣〲摡戴〳戳戸㐴ㅦ㉢㡢㉡ㄲ摥㥥㡢㈷戲㡤㘸捣晡㑣㝡㝣㡣昵晣㙦㍦㙦戶摡捤戶㕢攱㌰戵〸㐲㘰慤晡捡㝦㍢㜸捦摡愰搶㡦㉣户慤愷つ㔸戴〵㈸搷㈱ㅥっ㑡㔲捡搲㕣㉢㜳扡㍣㍦敤挶㈳㌱㑦愹㤶㙢㤳㥢㈳攱㙤ㄹ㔳㤹摣〱㤵㤸ㅣ㌳㐳挹㡢搳㤹㕤攱㜴㝡ㄷ愵慤㑥愵戲愳愶㤹㔳㐶慣㙤戶㌳㉥㠴愸慡㉡戲㔲㕤搶㉥捤㕦敤㈲㠰㔰て㔶っ愷挶慣戶㠹㜸〸〷㘴㐰摢㡣昸㈵ぢ户っっ㙤ㅢㄹ㤸㌰㤲㘳〹昳摣慤攳㐶〲扢㠱㜳㈱㘸〳搹㠶摤㑤㙤つ㑢㕢摡㥢摡㕡㥡捣散戲㠳て㝤敡㐷㝢㍦㜶昰戱㙢づ㕥㝦攳ㅢ㝢㍦㜶攸㠱〷㕥㝢㙣敦愱㙢慦㜹㝤摦つ〷ㅦ㝡昴攰挷ㅦ㌸昸昸昵慦㍦晥戹㐳㕦昹㐶攳㐴㈲㍢㈱ㅥ戱㔵晡㕦㙥愸搹晡挸㜳㥦㕤晢挸戹晦搴扦攲挱搱ㄱ昱戰㥤㔱㘶ㅡ搳㈰愶扥户㜴㥣愰㘹㑣㍤㈷㠷〸㠶〱〴敤㘲㙡ㄹ㉢㌸㐳㍣搵搰扦晣慤愰愴㘹慤〶ㄴて㝤搷㈹㈸㜷㈰㠶搱㥥㈶㜳扡㍣㐱〵挶ㄱ㤷攴戰㈴㑦㈵㤹㈹昶㑦搵攵㝤㜶㐶愹ㄱ㕦ㅢ㐶戱慤昶戸昵㘷㡣㍤搸晡ㄵ㜶㤵㉤㡤㔸㥣㘷戲㥤挶㙥㍡搶ㅥ敢㡣㌵㌷㐷摢㥢㡣㔶挳㑦挳㜴愶ㄶ㌸㔹㕣ㅢ扢㌸㥥㡡愶昷㜰㌵换㥥摥㙢㘰㔳㤹户搰㔷搸㜹扤改昱㔴㌴㍢扦㜲愶㕡㕣㑦㉢捤㉢㔴㔲㔶㙣ㄸ摢㕣㌳慢㥥户愰戴㤸搲昸㍤ㄳ㜱㉢晢㡣㤲㙣散㜱搳攱愹㜳搷㘵捣㉢昳戹㘵㉤戲ㄶ㙥收㤷昵搲捡戲摡昵晦挲㡥挰摥摣挷攰ㄱ㤶㐵戱扣㐴改㉢㈳㕣㜱戸㔱つ㠴㙢㠸㘹㐹㥣㔲㉣㜶㡤㐳戰㤲㘰つ㈵㑣捡愴户㜴〵㈹慤㑣搵换㙡㤶㑤晤㔴搲搸戶ㄶ㝤㔳愴㕥㍡㌵戵㙡㘳㝥攴㝥扦挴摥愳戴扥㘴〴㝤昰摦㠲搹㍣㈵昷戸扦ㄷㄳ㘲搲扦㈷ㅥ捤㡤㙡愳㘶㝣攷㘸づ㌸㜸摦〲〱戲戶㉣㐸ㄳ㈸ㄹ㈳搸〹〰昳㑥㈹㉣㉤㈸攳㔶㔲㜰㡢愹㌴攱ㄵ㈴愲愷挱捦捤攵㝢敥㠰愹㑣㝤摣攸㠷㘰㔵挵っ㌸攵搴搴ㄲ挶㤱摢㕡戳㘷〰㐱㙡摤㘶捦昴㥤㘰摢搱〹慤㔴捡㡡㌷晢㜰㕣㐵搷㥢愹㙤㔸㍥戳㈴㥦㉤㉢㘳戶敡㘱㥢㘴〲挰〹晥捦㐲㠴㘶摥㈷扡㝤慢㜷搳づㅥㄹ昱〴㔸ㅢ㌱㕡ち愰㘸㜳〶愷〳㙤ㄷ搴㕤㔸敡挶㠰〸㑡㤲㑥㤱㈷ㅡ㤰㤷㕦捤戴㜱愴慡攰㍤戱㔶戴㙢㔱ㄵ扤㑦㘵㡢昸㌵㜶㐶㤹㐷攳㉣㤴㜷㉤攲昴㘸㈸搱㥤㐴㐴㝥〸㐰㉣〱㈸㕦挴摦戱㥢慣慦㐵㌶㐲㘱㜱て㙡ㅦ㐶扡挴㈳挲㝥扡㠳晣〸㔲㔸搲㐹慡㍡㕡㥥㌹㕤㥥愰㜳㈵捦〴搷㤲㍥㌹ㄵ〳㈶散㡣㌲㍦っㅤ㉡捡㌱㜴㉤㈲㘲㌷挸愸㉦摣捤㔱㜱昹㈹㝣挹㑦ㄳ㕣〷攰㥡昵搷㕢㐹戱ㅣ摦㡡㜵㌷㤰攸㐶〰㜱づ〰㘷扥扣〹挰〹㈲㠹晡㈹㔰㑡㈸㍥〷㜴㠹ㄷ愷㑣㈶㍥て㥡愰㈴㘵戹㑣愸㍣㜱㉥昲ち散愰㑣㔸昲㄰挱㘳㉡捡㐳搸捥㈸㜳て㥤㠷戲搳㤸㈲㐵ㅥ㤹ㄳ㐱㕢㘴㡡搴挶搶挵ㄳ㌹㌳愳㔶㥢晡ㄸ扥㉣㈷戹㑡㠷戸㔳捦ㄸㄱ换㤱㜸㘲慣て㥢㜵㜸攵㜳㤳〵戳愳㙣㤱户搶挰㍦㤸㌲挷㤹㑢㐴搹㌱㈵收捣㌴愶〲㠴愶挴㤸㤹㥥搸㈵㐴戴㉢㉡㙥搴㤴㐸㌵愲收㘲㈱㈳㝤愹愲㜶搹㐲愰㜷ぢ㈱愹㥢愶㌶㜱㈸散攵㐲捡㐲㔳㥡ㄳ㝦㌰挶㉡ㅤ㜳㉡㔷㤸摣〷挶挹晤〴户ㄳ摣㐱㜰㈷㠰戸っ捡㠸㑡㤷戶㔸〳㍥㌷㔷㜹㍣昷㝡㤱㈱敦㐲㑡摥㑤㜰て㠰㑢改摥㡢愴㜶ㅦ㐰扤攳愶㙥戰㐴㉣㈸㐴ㄳ搰㑡ㄱ摦㡦㠸㝣〰愰昶㐱㠰㑤ㅢ捣〴ㅣ㠴戳㜵㕥改㙦㐱㥤搳㕢㐳㤰ㅦ㉥㥣昳㤲挳㤳愹挸㘸㈶㥤挲〱㉦ㅤ㘲㍤ㄱ㥣昷㘵㠵愱㈵㌷愶晢挶㜳㕡㜲㐳ㅣ㕦戵挹㈱㜳捣㌴㜲㝤搸戸挱〲摣〸搷扢㌲晦〶愳ㄳ晦㤷昶㥦㠷愳〲㤷㉦ㅤ㘰㌶㉣㥤扤㤶㥦捡㘶㙦㘳㝦ㅡ㠷挷愶㍡攲㈶摢㌵つ㠶昴㉣戹扦㘶慢㥥㄰扢㈴ㅦ〲搸昷戳晢捥㕦㜲敢挳敦摡摦ㅦ㠵ㄴ慡愰㍤㡣捣㘲ㄷ㝥搹戲晣㌵㤰〴㈵〹换㤷㘵㤵㈷㕡㤱㤷㕦㤶戵㐷㤱慡㠲㑣㔸㑢昳〶㍣愷攲搲扣摥捥㈸㍢ㅦ攸㐰㜹㘵愹㝣〳ㄱ㌱〰戲捡㤶捡攳挸㤶㑦㄰㝣ㄳ挰㌵㘹㥥戴㤲㠲㐷〵㙡㠲㍣㠵㠸㝣ㅡ㐰昰㤰㐰㔹㉡摦㐶挴〹㘲ㄵ㥥㤱户㔴㥥〱扡挸㝣挵搹㐲ㄹ㑦㥥〵㔱㔰㤲㜴㡡㍣挱㤳㠸㍣㑦㘴挱㔴㘹㤹㡡ㅦ捤㜶㐶搹愱挵㉡搴㔴㡦㡦敤㝦攲愱㠵敡搵昷㄰㤱捦〳㠸㌵〰㥣㠱㔶㜰㑣㔴攷摢昱㐳㌹㘹扡ㅥ㕦〰㘹搱愱〷㝢攸づ昲㐵愴㘰戸㤲㔰㜵戱㍣㜳扡㍣戱ㄶ昴㠵敥ㄷ㝣㔱㘷㑤搵晤㠵㜶㐶改㔱㡢慦ㄷ㌵㑤敢㔵收㠹㕤㜰㘳摡㠸慥㠳搱㤵捥㔴摢㔷㍦〲㝤改攴ㄸㅣ昲ㄹ㥤愷〶㍣戸㠴㠷㘶㜷㍣㙡㘶〲㐴っ㐳㐹昹㜸摥愰㈹敤㤳㠵捣㔶㜹晣晥㥡㐰愵㘷つ㍡㜵㉤戶扤ㄳ敥㕢㉥㠳㘵昵扦戵戵㡢㐳〲晥愹愳㠸㤷ㄱ㤵慦〰㠸㍥〰昶愷㠴攰㔵ㄲ晣㤰〴昴昷㍡〴户㐱ㄷ〵㠳捡ㄹ昸ㅡ〹づ㤲㘰挸㐵㠰愸昳㠸搷ㄱ㤵㠷〰挴㌰㠰㔳〳愲づ挱㡦㄰㤵㙦〰㠸ㅤ〰づ挱㔶㐵愰ㅥ昱㘳ㄲ扣〹攰㡦〰ㅣ㠱搳㐶㜵㌱戶㈳㙥敥攱㐶户㉥㔶㜴昵㈳ㄴ敢㑦㙦㑡攷晡攳搹戱㠴㌱㌹㌷㘶㐷㉥ㅥ㌵㔳昰捤㘵㜰晥㔵㠲㑢㡦㡤㤹㔱ㄹㅢ㑥㡦㘷㈲收㘰晦㜱㜱㌰〶㝥㜸攰搴挶慡攰㠵㜷㕢ㅣ摤〹ㄹ㤶ㄶ㠱挱㔰挷㘴㈶㉡㥣㤱㈷㡢昳扣扥挰搱㙤昱㕣挲慣㠹愹㡤㠴㡡〷㘲攰㈲㑥ㄳ愳搵戱㙤愳㜰搹昷㠷㘲敢㌳昱㘸㈲㥥㌲㌹ㄸ搸㝣搰㕦扡搱摣㠹㤳挳㉤改㙣㥣㤷〰㐲戱㙤ㄹ㈳㤵攵搴㐸㐵㈶㑦㈸㑡愹愹攰㡦昵挶㔳㔹㍣㐶㕤攰㘱扣㍥㌶㍣㥡摥〳㤹ㅦ㑦愶搶ㅢ㘳搹攳㘲㔴㌰㍢散愰㠶㐶㜸㠵搷㉢〲摥挰搱㡥㡦昶ㄶ慡㥢㙢ㅤ㐷㌷㐰㑥㜳㤹㜸㜸㥣っ㔳㑦㘹〱昴ㄱ愸㌱昴昸㘳㠸㑤㘳㠰搳㙣㜷昹ㄸ搹搶愲㑢〵ㄵ㑦㌷昳搷攵㘸㝡换㥦戰捣摢〰ㄷ慥摦㍥㔸昰扥ㅦ搳㠵㌶晦㑥搴㔷㙡搶戸昶つ挵捥㑥ㅥ㝣搴㔹㈲㐴〷㈸㈵ち㌳ㄳ㤲挰㔴愹㔸〶㘳㡡㠶ㄲ㕡㔷㠸慥挳昱㘸㙤㙣愳ㄱ㌶ㄳ㌰㘰㤳㐶慥捥㑡㜰㌳㠲慢㉢㔹㍢て敡㌵㘹㔰攴㈸慥挳ㄱ㈳㘱〶㘲㍤攳戹昴㐵昱㤴㡣〱㈸戹戴㔱挶〴㔰挶㠴㐲搵挶㠶攸晥户㌴㌸敡㑡敦㌴㌲昱摣㘸㌲ㅥ〹㌰㐱ㄷ晤㜱㈱慢搰ㅦ捡扣〴㐳ㄹㅣ㕤㔲㙡㔶㕢〶㈶㠶扢ㄱ㐶㍥㔹挷攱㠷㐴㝢㠵㠶㍦㜱㤴摥㘱㘸ㅥ戵㠲换挳愸捤敦〵愰㉡㔲攱戰㜳㠷昳昰㐷搵㘲〳㈳㑡挴㐹㠰㡦晣㤹ㅤ㘱㐲㕣〱攰慣ㅡ换ㄱ户㤷戶㥦㈳㉡㝦㐱㠲㕤㤵〹㝥㐹㠲晦〰昰㈷〰㑡㍢㕣散㉦㠵㔷㔵㠲挸挷ㄳ㐶ㅦ㡦戲〳㌸て㔴挷敤㝥㌵挲㌵慥戳㙢捤㍡戶づ愰っ㘲挹慣㌶っ搱㌱愳㐱㑢㘹㜱昷挱㍥㝡扤㍥昰㑦㉢㜵昴㤴㍤㤶㔵っ㥢捡愷㉢㘸㌴㙢扦〲㤸㐷〹㐴晤戸戰㕡㜴㠱㡡愶ㄲ㡣㤵㜷昱愵〲慣愴㜷ㄸ〹㡡㌱㐰㠷㐹ㅢ㠹戱搶晦㕦㈳㉡晦ぢ㐰搰摢攸㄰㈰敡㄰晣㌷愲昲㌷〰㠲㥥挸ち〴扦㈵挱敦㐸㐰㝦愲㐳㜰㠲㤷㌵愸搵㥢㡤㤱ㅣ㌶㜱㉤㘲㕣挱㕤敢㡤昸ㄴ㤲㕣㜳㍣㄰愲㤹敢㌸昱㘹㤴愰㥥㤳㕥㔶㝣ㅤ㘲㔴ㅦ㜹㜱攲戵摦昷ㄶ愷敢㔹〲ㅦ改㘷㈵㜶㐲摣㠰㠸搳つ㤷㌸㘹㈰㤰搵㈴扣戱㌲㐱㠰〴㤲〴㌷㠱㠰㈲愵〵㤱㍡愹挲㔰攱㥥㔸㠵㤱慡〵㌵㐶敡昳慥敡㕤㈳ㄵ㘲昵㜵〰晥㝤㈰㤸㐶㔱㘲㝢攳㜲昵搴戱ㅤ戱敤愹㜸づ㍡㡣㑤㔹ㄷ捦㐱㜰㙡㘳〰㠸㉡ㅦ捥㘹㑡户戹ち慤挸摢㑣㘷㤶㘷ㄵㄹ㔱ぢ捡昳摤㔶搵攲ち搹㤶扤攵㌲戳摥㡢㐸搹㕤ㄵ摡㜸㍣ㄹ㘲挲摡愳摢戶搸戴昷㝦ぢ㝣慦挵搸ㅣ㠳搹㘶敤㝤愴㑥戱ㄱ昸挳㘴㥦㠳㌸ㄴ愵㝦㍦㔰搳㡢㠸换挱㐷㉢㌹㐸㑢捥挲㠵㙣て昲㘰㉡㡢ㅤ㐹搰㑥㘱愵慢戳愳㥢挷㜳㐵㌹挶挴㕣㍢〷㌷㈷㌶愷㘰㥦㐴㡣㑣昴㌸㔹摣搰㌷换〶㔳敢搴㔱摡挷愸㠴挱戵㈴㠱换攴昳敤挰ㅥ㠹㙦㤴㝢攵㄰㔹㥤㜷㤹〶㤸攲㉤㔹㌵〲搶㍤㔹戵㔱搹㘲㘲㤷㠱㥢收〹㜳慥㉡㤰㑦慡昵㐶挶㝡挲㔹ㄸ扤㌹㕡㌴㜶㑣㑤㜲ㄹㅢ㌲㜹愳㜶户〹〳挴㡥㙤㠹攴㜰ㄲ㤰慦㠰㌷て㡥㥦搱〱㐷㝣昶〸〹㌵㐶摡㌴㠲㕢摣〹捥㥦愳ㅣ㔱捣㤳㤸ち㙦慦ㄱ㌷㝦㠹攱摥㌵ㅥ㈷挲戱挵攰摥㠱敡愷戱愳愱㘷摤㡥㙣捥愲戹捥昹㡡愵摤㤴攲慡㜵㜰㍣搰て㜱㔳㤴挹攱捥ち慦昴搶㜳摡㈴攰ㄳ挸挵㘱㔷㈶㈶敢㘲㠳愹㐸㘲㍣㙡㉡愳搴搱搷捡㌶㍤㉥挶㑢扤㑣㘳㡤搵㌴㝣戱㤹㌲㠸㌷㙡㥣㍢っ㐷扦㌳㤵㈷㘰愴㤴愲㐳ㅤ㐱㜹愲慤摦敥〴戳㡦昸搴㈰㠸㐲㈷ㄴ捥扣搴扢ㅢ㔰㙢㘵㈸敡㌳扡㝥昳〷て㙡挶戹挸㌶愶㌷愶戹戳㜵愱㌶挴㉤搴㜱㌱㑥攸愷愵昴㜰㍤昲㘸㝤〲㥦㜸攵㠵㌷㉦戹㙢㜱㑦捦㐳㍦扣愴敡改攵㍤昹搹㘲㘹㍥㜱ㄷ㥥愱散㌶攵㝤攵〲攴攱ㄶ搴㕢搸㠷㡡扢㤱㔶㌶摡㍣㘴㡡㝢㤰戲㙣㌴㙢㍣攵㈹挰㑥㙢愳挹㔳慤搱ㄶ昷愲㈸愲ㅥ㜹ㅡ㡢㈰挲㡦戸ㅦ挰戱搳㄰㐵扢㌸〵攵㝣搰挸搳〱挴〳㤵〹捥㈰挱〲搶昴㄰〸㑡㤵捤㤴㡥昴㉡㄰攳慡㉤慣昷㐰㤲づ㍡㑣㔵つ㔷㙣㜱㔰㔰つぢ慢㈶昰㈰ㅦ㝥㈶慡㝤敥挰〱晡㐱㍤攲㙢〰㑥〳㕤㠶㕣〳㥦扦㄰㐰搰㠹㕣㙡て搳㜳慣昸慡㥤〵㤲㤹敥昹挵ㄳ㈸愶㜸扤㠸ㄵ搳改㕣㘴て㉦〱㜶㕡㕥㔳攱㠹㈷㔱っ㠴㜸㙦㠲㤵搸〹昱ㄴ㈲㑥㌷㕣昶昰搹㈰㤰㑢㐹昸㜴㘵㠲㘵㈴㔸㑥㠲㙦㠳㈰㠱㡦戶〲愹㡡㕢㤷ち㝥㙣㔸㌳攷㠲ㅣ〶昱戳慥晡㕤㝣㙣㘴晤攷戱晥敦戹〸㄰㜵㈴愱㠹〴捤㈴㜸扥㌲㐱ぢ〹㕡㐹㐰㡦戲搳挷㥦〳㘱㙦㕤摡㐸搰づ愰扦っ〲〶晤ㄵ敢摢愳扦敡㐴㝥攸㐴攸〹㠵㉣㜸戴づ㤶攸敢ㅤ㈹戲㤴戵㑥㘰㐳㈳搶㈶搰昲ち㘸㕤㐰搵㠱搰攵㤲搱扡㐹〶ㅣ昶㤷㍤搱㘸〶愷㔴摡㑡愰收〰㔵晣〲㥡㜶㍥搰戵㡡ㄲ搷㕣㠶㜰つ㔱㕢〵㑣つ摦㠱㐱㘱扡㐴昴㠳㜶㤳〲㔴㥥㌴㍥戴ぢ㐰㜲挱搹㤷㉥愴搷搸昶扡㔵扥换㝡攸㙦晥散戵慦敦㙦㌱戳㉤敡㜲敡攵扣㠷㥦㌸㝢攱戶戶㑥戹〶㜵愸㔷挲〲摣昳㜸昴搷〱ㄸ昴㐳搶户㐷愷㑢㤷㐱㝦挳晡昶攸㍦㐶㐴㌱愷〷㐵捡㤹搳ぢ㙣〹㜳晡㠰㉡㘵㑥㍦挹㡡㤹㌳〰㔴〵收慣〳扡㤸㌹敢㠱㈹㘲捥㥢㜶㤳ㄴ㜳攸㔰搲〶㐱戲晡㔸㤸搳㈲㉦㐴ㄵ敡ㄵ㌵㡢㌷㠲慥㌲愰㍣㜲㈳㈰㈳晣昸改敥㈸㜵㌸㤴㜹㔸攸㤶㠱昹つ㕦换㜰㙥㌲〱晦ㄶ愳敡㐲扤㠵㠴ㄲ戲戲攱晤㑣㘷戰㌸晢㑡捦挴昳㘵挳愸慡收挴㤲敢㡢慡ㄸ㜳攸捡昱晦搵敦捡慦攸攵换戳搱㠵敢㔴㉣挳愰㙤〲晥挴㡢攲㤱㑣㍡㥢㡥攵ㅡ㠶攱扢㙤攰㜵㔰㘸愲愶ㅥ晦搷㔰㘳挵㘷戲㘳扥ㄴ摦㥡摣捤ㅢ㕡挱㕤愹昴㥥㤴㙡㡤㍦换㔷㑥昸㌴㔹㕤捤挷㜰捤㔶㘱ㄱㄸ愷搳敤愳攳㈳户㠰㈴㔴慦搳挵攳挵㐷摢㡡昴㤲扥摥扥愱㤱㜰㙢㑢㜷㝢〷㙥昷㜶㜵㥡㙤摤㤱㤶敥敥㔶戳扤换㌰扡挳ㅤ摤摤敤㘶戳㌶㤴㈷㙤づ㠷捤愶戶收收戶㡥敥搶戶㡥愶㡥慥敥慥㡥㘸㕢㙢搴㙣㌳㈳㕤慤㉤㠶㑥攷ㄱ慢㤷挳㈸㈳户〱攸昴ㄹ㈹搴㜶愲㜶㄰㐵て㔲㌱㤵㥦㍥㤷㤹㍡㜶挸っ攷挵づ㕦㜵㜵搹搶戱捣㈱挴㠹慤敥散㘹ㅡ晤㐱晥㝢挰收搲昷㝤㉡ㄷ㐲㙢㕤愳挸挲㕣搴攴ㅦ戱㉢㤷〲〴㜵扡㠳㠸搳㉥㐳戲挲慣扡ㅣ攸攲㔹昵挷挰㤴捣㔲㥤晥㈴㔵昳〸㌲搵摢㝥敡扤㍦㥤扥㈴〶㥤晥㈴〶㥤捥㈳〶㥤づ㈴〶㥤摥㈲敡〹㐹㈵㉡愹㌳㈵戵愴愴㕡㤴㔴㠴㤲㙡㑦㔲搳改㥣㑢愴㔵ㄳ昸㉣㐴戴㉢㠰㌹㈶敤搶搲㈲㜷戱晥㐵慣㔶㘹㌷㜸㌸敤ㄹ㥣戴㈳昸㠲捦ㄴ㤰戳㔸摣〴昶㜳敥㈰㡥㡢敤捣㠳散㡢ㅢ㠰愱晣ㄷ换㉦晤㑣㑡㝥慦㐴〴昲㑢㥦ㄲ㐵㐷换㈰㘲挹㙦㑢㕢㔳㙢㐷㐷㜳㙢㙢㉣摣摤搶搱ㄵ〹挷捣搶㜰扢ㄹつ㌷㌷挷捣慥愶づ㉤㥢㈷敤㘸㙦㡤戵㤸㙤戱㡥愶㔸戸慤扢愳换攸㡣㐰昲扢㥡㍢挲㙤㉤㤱㐸㑢愷㑥㙦㤵㤲捣ㅣ㈲㜲ㅣ㐰㘷㤷ㄴ慡㈰扦㜴㔹ㄵ㔳〹㝡愲㈸挳攲ㄳ攸〲攵㑢㡤收㠷㠱㤵㔷〱〴㜵㍡愳ㄴ㡥㜲㈲㈹ㄵ㤲㠲愰搳㍦愵昰㝢㠹愲戵愰摥㤶昴搳㐷㔱㉡愳㉥摦扥换ㄷ挵昱搴㕤㡥㉡㈵敤㜳㘲昶㙢ㄶ㥢戱㘳捡ㄱ㜵㍣搸搹㍥㙢摦晡㥥ㄳ㕤㜵攱搲换㌹摦㑡㜹㔰㍣㑦敤扥愹挹㝤㜴晢摡愰晦㈳ㄸ慤㤹㍤〵㐳㔲㐱ㅢ〴攵㥦㈳㠳搶㈰㝤㐹愴㤱ㅦ㈷戴㠳晦〴㈴㘶扥昹㘳挹戹搰散昶捦㉥昰搰㘳㐵㠲㍦扡㔰改㈴扢昸㡣改ㄳ㈸㉢戸摦㘳ㅤ昲㙡㐰ち㈹㍦㐲敤㈷㠸扤挶捥愶挸〹敥㈷搴㡣摣〳ㄶ㌸㌳㔲晢㈴戰㔳㉥㔱㘲ㅣ愴㘵搳㔴㜰摦㠱㝦摣㌵〵搴㄰攱㐷攷收㐳㑤摥敢㄰㤱㥦㈱戸㥥攰〶㠲ㅢ〱㐲㌵晡㝣㝣㌱攸愷㍢ㄱ敥㌶ㄴ㠶㍢づ㠶㝡敥ㄱ愸ㄶ㔸改慣〶扤〱㌵㔷㥡㤵摣㙣㈸晣㕦㈰愲㕥㡦㔵㉦捡ち戵㔷㐰ㄳ攴ㄷ㠱挷扦昵㔹㠲㤸攲攳㑥㌷ㅦ㙦〶㜶㙡㍥㥡㤵昸愸㜳ㅢ愱㌸㜶ぢ㈲㔰㜷摣㌲㜰〰戵㕢ㄱ戱搴㕤愴戳㈹ㄲ㡢戶㜶户㌶㜵㜷戶戵㜴㥡摤攱捥敥㐸㐷㘷㔳㠷ㄱ㡢㌶ㅢ㌱㐳扢㉤㑦摡ㅥ㌱㍢㕢挳㉤㑤慤㕤捤搰㡣㔸搱㈳㐶㠷搹㘶ㄸㅤ摤㘶㌸搲搵搴愹㉦戵慢㤷晢㄰㤱晢〱㜴敥㐱㤴㙥扢㥤愸㍢㠸攲㡥㐴愱昲㔴㠲晢っ愵敥㉥㐵㌷昲敡敥㙥ㄶ戹〷㈰愸㌷〲㔶㘲㉣㜷ㅦち㝦㍦㘹㍢挹㑡摥㄰搲戹昳㘰搰㥢㥤㐸㡢ㄳ攱㜶㐳㘵㜱㙦㌱搳㠵慥摤愶㔵ぢㅤ敦摣㘸㡦〲㜳㑣ぢ㕤㕢㡢晣㙢搴愱摥㌳戶ㄷ扡㌵㐸捦㐵攵愵敦㘸昵㠳㉢ㄵ慦㐹昵搹ㄹ㘵慦愵搱〸慥㔴搳㥡愹㙡扡挰捥㈸㝤摢㑢愷搵慣㐴攸摢㠸㠴敡晤㌴晣捥㥦晡扡愸㙢㈳戵〲㝥愸愲㤷㤲〷昰㤲昱㈴㐷扥ち㔷㙢慣㔳㍢㥦㜷攵搱搵㐵㤵㕥㡢慡昸昱慦㐲攳㡦愱ㅥ昴挸愵㠷㔹攳㤹昸挸㘷㠰昷搳昰慣攸攷㜲晤愰っ㝥挸愳戳搱晤ぢ㈱㔴㉣㈷㈵〷戳搸ㄲ攲慥攵戶㜴㑦晥㔷㑡收愸㝤㈷昰㉢㥣㔷㥡㤷ㄴ㌰㡥ㅢ搹㈹戶㌹㤳㉦㠷昷㜶慤㉤收ち扥〰㝤㔲㈱攵㍡昵㥣㕦挰攲攴〰㍥㑤㌳敡搴㤸挵戹㥣捦㕢㈵㑡㝤㉤捡〲戰㝦㡤㠴挷㥣慣つ敦㠱て㐶㜹㘸㌵扦挲㜵愶摥㜸㑥㉤ㄲ㜴昴〸戹ㄵ捣搱㥥㈵㥢㔶㉦摥戱戸摢摦㠵㜱㤸昱㈳㔰捣挵㜵㍥㤰ㄳ㌹㈸晦づㄹ㠲愶㍥㔹㉦㈴㜷ぢ摡㍦〰攰ㄹ〳㡢扢㐵ㅢ㥥挱攷㔰㡥㠲昲㌹搲搰㤲㈲㡡攵〵㜷〴㑥㝥㍤つ㙢扡慡㑡㌴㝤攱戲ㅢ昲㄰〲㙢搵㤷㐷㕦㕢㑦㉢㕣㤵戸㕣㉣扣愹挷晦昲㐷㑢㉦㐷㍡㤴搶昷攱㌵㘲〴㈵ち㔳㙤ㅣ㜸敢㙥攳㜹㘸㔱挵㐹摢㘸㘷㤴扤㠶㐲扢户㔰搳愶㝣㑤换愷慡㘹㤹㥤㔱晡㍥㠷㥥㐴㑤㙡搲晥㌳㈲愱㝡㜱㈵扥㌸㜱挵搹㈸挱搹愲〴晣㕦㠸愱㘵㙡㜱㥡㈶戰昶〳〰㌵㥡敤㘲ㄱ攸ㅣ戶〶攵扦㤱㜸㍣㑦㥣㈵昱换ㄶ昱挰攲㜶㜱愶㑤㙣つ换慢挸愸愷戵㝡㘴捣扦捡㈹㌱㉤昳昷慥㕢㝢晦㝤っ挱戵㘲㉦㑡ㄴ㔸㔶㘰晥㘹㘸㑥㐵收㥦㙡㘷㤴扥昳㈱㘸㜴攱摦㈳㝦㘴㐷㤸搰ㅤ换㑢㈸㘳㠸搹㙦㄰㡦愰戲㘹ㄴ㈹㍥晦ㄸㄱ昹㈶㐰愸㑥愷㑤愴㤰㙦㌱㕤慦搳㠶㔱改㥦㈰㈲摦㈶昸㈹挱㘱㠲㥦ㄱ晣ㅣ㈰ㄴㄴ搷攱㑢㡤㔲〸㡤攴㈸㉤挰㜳戰攲〸㥡㍡㉡愳搶捥攰㙣〹搸㐲晤捥扢㠲㔶㤰捡慦戱昳改㘸㜲攵摦攰攴〷敤晣昹挵昹㌷㍡昹搲捥㔷攲昱づ戰㠲〶㑢㠱挱㡦愲㥣㈵摤㍥㔰㔶㘴㜰㤵㥤㔱㝡㜳㔷愷㠹愳搸昰㍢㐴㈰㤳㌴㐹㔴愳㠵晢愱戴っ〴つ〳㑢㈶㘹愷㘸㕥攰㌴㙡㤸收㈶昱摢摦扡㠵搲㐷敡晤㜹㙡㥡㉡㥡㘶㔱て㤰晡搷㌶㌵㔰㔰ㄶ〱㔲搳づ㜱愴㕡搰ㅥ挹㉢ぢ㥡ㅢ㐷㈶慦戴㑤愶㔵ㄶ搶㜹搶㑢㙢扥㙣ㅦ㜰〹㥡㈹〵㜶ㄶ攴昵㤷㘸㘸㐵㜶晥挲捥㈸扢昸㑢摢愱㔰㔳㐱㔹晣㜴慡㥡摥戶㌳㑡敦搰晡戹戰扦搷㤵㑥搷慢捦㤴㉤㝦㡣㕥戰㥡㤸㠵收㕡慣㑥愹ㄳ捡㠵㔴㡢ㅢ㔸ㄹ晣㠸挹㐶㕣㌴挴ㅤ㉥晣扥㤱敤㌶挵〵㐴㝡敦㥤㥢戶㔲愵㔸㔸㡢㙤捥攰敡㙤㜵㙣㌰ぢ㡦㙤㌴㠰摦捡挸攱つ慡搴昱戰挷㠴㔳㡦㔲㠶愰捥摤扣ㄵ晤㘹㘱㘴㔷㕣昸搴敤㡥挶〲㍦㥣昳㌸㉦㉦㙥ㅤ摤づ㔳㥢㡢收㌸挷ㄲ㔱搷㔵㐴㥦㜸ぢ㐳㙣㙤愶昶㝡㤴㍢㠴㠶戶㍣〹昴摡㍣㠰㉡扣㈲愹昴ㄶ〰㝥㐸〰ㄸ敢敡搷〰㝢攷愷戹㔳摡㌹ㅥ戳慣〳㥤愷攴捤攰㥡㥡㌰换搸挱挷㈵㝢㍡㙢㠱ぢ㜳㜵㜲挴攰㉦晥〵㤲㈳〹㌳戵㌳㌷㥡晦㤵㍦搸攰㜸㍢㐲㥥㡡攷昰㔱晣〸慥敢慣㔵㥥收挶㜲㌵愳戴㙡昳㠱慤捣㠲搷㉡戲攰っ搰㙢ぢ〰㡡㔹㜰㈶㌰㉥ㄶ〸㉥㠸㘴㠳ㄳ〴ㄷ㍤搵㡣㠵愰挴扦搵㌸慥㙥ち㝢㤶ぢ慢㜳摤愰㉢㔱㉥〲㌶㔴愵扦㠱㌴昵㕤㐸ㄷ㕣ㅤ㤴慡晢〱㕡㐷挵㍥て昸〰㙥㡣㜰挵㔰ㄹ晦㙡㘷昰扥㔶㈰挰ぢ㘴㠲慢㠷敡散晢㔰㕦攱つ㥦摤㌴〴戳㕥昱㤲搳搱㌷㕢㑥㉤㡣昵㔲搰㙡换〰昸㡥㠵挰㌷㜸㠹戱㕥㡥㤸扢愳㕣㠹搴㜳㕦戴㥦慢㑣㉦挱戵㐹愱扦㙦愳攷愰㝣㔰㜰戵㔲攸ㄷ㙣㌴㥢ㅦㄴ㠷ㅤ昴昳㌶㥡㡤てち慥㘸㡡晡㝢㌶㥡扦敤ㄵㄴ㕣攳ㄴ晡ㅦ㙤昴㌲㠵收㈲㐳㤶摦扢收㡤戵㝦戲昶㤳㍤㠲慢㠳敡㜶ぢ摡㕣㜹㡣㥦㐳つ攵㘲摥〶㝡慤ㅤ愰㜸㡣㍢㑡扡捥㈱㉣ㅡ㘳捥㙥㌵㥡㕤㠸攰摦ㅡ㘳慥ㄵち摢敤挲晡㌹㤵㘶㍣捦搱㤱愳㜵扤慣挴㜳〴㈷㈸敢㤰攷扢㥡㔰捦㘹㐲㙣㠰㐳㔶捦改㤱㑦〹㡡㌹㥢㈸㔷ㄱ㑤改㔶攵㔷㈳㠲㝦昵愹愷㈴攷㑢搴㔳㠲昳㈹㐱挹㔵㘳昴戴㍤㐶㙢昸昸㌵愴愱㘰愹慡搷㌲㐵㜹㔲㔵昷㈰挲ㅦ㔳攳㐷㜰〴ㄴ㑤㉦戳挹㜸㐵搳㠷〸晥慤挷㤳挹昹〷搶㤳戹昹㤴㔰扤收ㄳ晢㐹㙥〷㥤扤㔷㜶挳〰㈲㤲摡㈸㔴㈷㔴〷㐱㈱搷扢㐹搹㔱㐵扡㠱愴㠳㡡戴㥥捤扦ㄸ愴摥〹ㄱ昹㘰昴㠳ㅦ㝣愷摥搷㜰㥡敦〳㙢㙢扦昴昲摦扦㝡搳㡢㤷慤㍥昴㥢㕢㙥㜹昱戵㥢づ晣收昱昰敡㘷敦戸攳㍢ㄷ敥㍢昰敡〹戱晤摥㐷摦搹戸晦慡收㕤㔷㕤ㄹ摢扥㝣晤㔵㤷㕣戱戵㜹换㥣ㄵ㔵㔵搵搵㘷捦晤敥㈹㑢昵扤㔷㍥㈶㥥㝡改攴㤴㔰ㅣ㘱㕢㉥挴㤳ㄸ㜶攰愳㤳㌳慡㉤敦㐷㐴㙥㈴戸㠸㘰ㄳ挱㘶㠲㉤〴㕢〹㠶〰㐲〱愱搸㠶戲㜲ㄸ㘹㈷攸㘴㥦慡㘸ㅢ㐹户㤳戴㑥㈷㠷㠸㠴㜲㈱㕢搴愰摤㘷て㥡㈲扥ㄸ㔸㐱㘶愹慣慦摡㔹扤㈸〲扤愳㤳㙢㜶㜱戲㑡搱摣㔳㔶㥣っ㔴㔹㜷㤷ㄴ㘷㐷敤攲散㥤愲戹换㕤晣㌲㘰〵晢慣戲敥戴戳㉣㈵㐳㉥㈸昴ㅤ㌶摡㔲㌲攴㡢㐲摦㙥愳㉤㈵㐳㑥㈹昴㝥ㅢ㙤㈹ㄹ昲㑥愱昷搹㘸㑢挹㤰㥢ち㝤㥢㡤戶㤴っ昹慢搰户摡攸㕥㥢て㘴戴摤ㄱ㜲㔷搱摣㘲搳㈸㌶㥡挰ち昲㕣㘵摤㕣㕣㕣㤰挹ㄴ昸愰㘰㠷㤵攸敦㐴㐴戰㤴㠵㔷㐹㍣㑣㡥〲攵〴㥤〹敢戱㌵晦〳㈳戱ぢ㥡</t>
    <phoneticPr fontId="10" type="noConversion"/>
  </si>
  <si>
    <t>Decisioneering:7.0.0.0</t>
    <phoneticPr fontId="10" type="noConversion"/>
  </si>
  <si>
    <t>CB_Block_7.0.0.0:4</t>
    <phoneticPr fontId="10" type="noConversion"/>
  </si>
  <si>
    <t>㜸〱敤扤〹㥣ㄴ挵ㄵ㍦扥戵散㌶摢〳换戶㈲摥ち㈸ち㠸攲㥣㍢戳㉡㜲ㅦ㉢㈰㈸㜸ㅦ敢ㅣ㍤戰戲〷敥㉥㤷ㅡ㤵㜸〴愳挶㌳㈲昱扥敦㜸挶攰ㄹ慦愸㌱㕥昱㑡㌴㌱㈶㐶㐵㡤㘷㡣昱搶晦昷晢扡扡愷㘷愶㘷〱㘳晥㍦㝦㥦捦慦搹㜹㜴扤昷慤㔷搵慦慡㕥㔷㜷扤敥慥㔲㔵㔵㔵摦㘲攳晦摣㙡戸戳攵㥣㘵摤㍤㜶晢攸㠹㥤㙤㙤㜶戶愷戵戳愳㝢昴昸慥慥昴戲ㄹ慤摤㍤㝤〰㌰㕡㕡㈱敦慥㙤改㙥㍤搲慥㙢㔹㙣㜷㜵〳㔴㕢㔵㔵㔷㘷㔶㐳扥㤹晥㔹㙥挲㘴㉥戳㠶〴愸㉡搳㈰改㑢㔲㐷㘲㤲㠴㐸晡㤱昴㈷愹㈷ㄹ㐰搲㐰㘲㤱㙣㐰戲㈱挹㐰㤲㡤㐸〶㤱㙣㑣戲〹挹愶㈴㉣摦摣㥣㘴ぢ㤰晥㕢㠲捣㥤㌸㘱㔶收㜰ㅣ捤㥣㥥捥㉥㝢挷㈱晢㍡㜵ㅥㄳ㠹㡣㡥㡣㡥挶㥡㈲愳挳㍢づ㤹戸愸慤㘷㔱㤷㍤愶挳㕥搴搳㤵㙥摢㜱挸散㐵㤹戶搶散㜴㝢搹摣捥〵㜶挷ㄸ㍢ㄳ㡥㘵搲昱㔴㈴㥥㐸攴㥢㥡㔲晤户㠲收㍤㈷㑥㤸摤㘵攷扢扦㉦㥤㕢㔳攷慣㠹ㄳ㐶敦㘹昷㝣㕦㍡〷㐳㈷㔴㑥敡㙣㑦户㜶㝣㑦㑡㙢搹愶戱㐹㜶戶㤵㡤㙦摢㕤慤ㅤ昳㐶愳摡㐵㠶㐶㉡㌹㝡ち㉣㥥㑤㜷昷㑣戴摢摡昶戶昳㙣昷晥敤戴㤹摤㘵㜷㘴敤敥〱敤㤳㤷㘶敤㌶㉤敥慥㙢摦㌷摤戵㘷扡摤慥攱㑥㐳扢搳㙥捤㌹扢愳愷戵㘷㔹㝤晢㍥摤昶摥改㡥㜹㌶㈱戵敤㔳ㄷ戵收㙡㙡㔴㑤㑤㔵㥦攱㐱㤵㤱戶ㄹ㍤愵㉢㍢㜱㝥扡慢㐷㔲㙣戵㐸㄰搶搷㐳愴攲㐵搵㘲㉦ㅡ㔲㤲㡢捤㌴愷戵㝤扡摤搵㘱户戱㄰㌶摥愸ㄲ㤰搸挴㌱扤㘷ㅣ昷㘸搸㌰慡㥦ㅥ㙦㍣ㄴ㤶㘲づ㈱ㄹち㘲㙣〳㔲㌳㘶㝣愲搱摣㤶扣㘱㈰慡收捦ㄸ戰晥㍣ㅣ㌴搵㉤改敡㤶㑣㜵㑢戶扡㈵㔷摤㘲㔷户攴慢㕢收㔵户捣慦㙥㘹慤㙥㌹扣扡㘵〱㌰敥㔶搷户㙦戵摥㍡ㅢ㜷㝣㝣搰戲㌵㝢㕥昳愷㝢て㝦晡愳ㅤ㤶㉡㡥㔱ㄹ慣摢㘳挷ㅣづ㘲㡣〰㘱ㅤ㔲收㐸昲㜶〰㔱敡〵搴㠱昵搸㌴昱㐰昴摥㜹晤㘷摣昴昲㠴昷慦扤搴㕣㔶换昱㥤〸戲㐰愹㜱挷㜷㜷㉦㙡㕦㐸敦愲ㅢ㕥㕣㐱晢愴敥㥥搹改慥昶敥敦户㠷愰㝦慣慤㡢㡣敦㙥晦摦㜷ㄱㄴ昲扤㜴ㄱ㘳㐷㤸㜹搴㥥㥤㕤敤㜰㔳㌳敤㜴挷㤸昰攸㘴㘲挷㌹㍤戹㐹昶㘲散㠷㈳㡤㐵㕢捡摣㠹㙤㌷ㅡ挴搸ㄹ㘴㐰㜷㙢晢愲戶㌴慤扦㑢㉡戲㡢ㄹ愶㌴〲愲搴㔳扡㘵㉦昸㘰慦ㅦ敦昴昶㤷㝢㕣扥㔵扦㈳摦摤晡㜷㙦㉢㍡㙤戶慥ㄱ〳ㄹ㌵户慢ㄵ㠳㄰㍡扡㜶㥣搹摡㌱㈶ㄶて㠷㜷㥣搱扡挰㙥㙢戵扢㝢挶㈰ㄵ摥㜱㘶㝡改㤸㜸㘳㌸㙣挶㤱挱㑣㌰㙢㈳㐸捤昸㘹㤱戰㤹㈴㉦〵愲搴愳扡挴搳慥㝢晡昰扦挴慡㥢捦戹㝥捤搷戵㉤挳户㔷昴ㄴ㔲攲㉥搸ㄹ攱㍦摡㤸㜷慣戱搱戱攲㉤㘱敥㑡搵扢㠱ㄸ㘳㐰晣㠷ㅡ㐹散㘲敥㑥改㔸㄰愵敥搷〵㝦扣攷〵㕤㡤㥦㍤㍥攳㘷㔳㤶㡦ㅢ晤愳〷㥦㔵散㡡㔲昰㜸散散攸㉦㌸㍣扡㔰㜴戹㤹㤳㌱㜳〲搵㑦〴㌱㈶㠱昸ぢ㡦愷㜶㌱㈷㔳㍡〵㐴愹㍢㜵攱挷㝤昴挵㤰散慦㉦㤸㜸挳昰攵㍦㝦㘸搳㤷愶㈸㥥つ愵昰㘹搸㈹㍡敡㘸搸㙤攱挸攸愲收㙤㙣㑣㥡捤㔴扤〷㠸㌱ㅤ愴愸攰昰㉥收っ㑡㘷㠲㈸㜵慢㉥㜸昷愳晡づ扤㜵慦㘳愷慣㝥昷昴㌵敦晥戱昱愹㕡㥥㠱搷挹㉦㘲㜸挳㌳晢㠶敤〰㍡攵㠹㡢扡㝢㍡摢改㤵扦摦戱㕢愵挷慥摡㉥挸慤㌸晥摤愹搱㝦改摤户㉤搱㑦敦㍥㙢㘱㡦昶敥㑥ㄱ摦换攸㔵收㉣㌶挷㙣㄰㘳㉦㤰㝥ㄳ昷㙥㜱换㌶昷愶㘸づ㠸㔲㌷攸㤶㝡㙣收㕤户愷㉥晢㜶搶敡㥤㥡㐶搶㍣㜷敥搹㡡ㅥ㕦扡挸㍥搸㔹慦愱戸㉦戵敦〷㘲散て㠲愱ㄸ㡤㥢〷㤰㜷㈰㠸㔲㔷敡ㄲ挷㝦㘳敥摤昹搵搸㘹换㈷晦㜸攳户㌶晥㜲㔷挵㌹㤹㤴㜸㌰㜶㐶晡㐷㐴〴㈳㕤晢㥤㠰戱㜸〸㜵ㅦち㘲戴㠰昸㝢㘵ㄴ㘳昱㌰㑡搳㈰㑡㕤愴㑢摥㝦挱散愳户っ㉤㥥昶慢㈱㉦㕦戴摦昱㐷㥣慣㌸ㄱ㘴捦㔴㘶㤶攸ㅣ㠸㘱㠳㌴㑣戲扢㕢攷㜵ㄴっ㤷愷㜸ㅥ㠸㔲攷㘹㘵㌷敤昵捤㤶㥦晦昹㍦ㄳ捥ㅢ㜲搱㤶搳㌶扢敢㘱挵〹愵ㅣ㐶㉢㜶㌶昳ㅦ㐶慣㜰ㄸ㠹戰㜹㌸㜵昱㥣㘹戴㠱昸慢ㅤ㘹摡挵㙣愷戴〳㐴愹㌳㜵㐹㜷㕦戰㙡户挵㤹㉢愶㕤戲敤搴慡㥦慦㍣㝣㍢挵㔹慢㥣㐸ㄷㄲ㝣〴㠸搱〵㔲㍦愵搵㙥换㘱ㅥ㤱挷㕣戴摢散愶戰〷㐴愹㔳戴愶晢㜳捦㉥㍣㙣攲〷㔳㔶摥扡㘲敢㠱㤹捦㝥愱㌸昵㤵㍡㉦挶捥挸ㄲ扦㥢㉣㜲扢㈹敤㜵搱㈶㘱㜳〹㜵㉦〵㌱㤶㠱搰敢㌶㥡㐷㤲㜷ㄴ㠸㔲㈷攸昲㜶挹ㅢ㤱㙤慦㤸㌰攵㠴挸昰晤㤶㍤㜶扣㔲㥣㘵㑢㜹㍦挲捥㝡㤴㜷っ㜵ㅦぢ㘲ㅣ〷搲㘷晣戴戸戹㥣慣ㅦ㠳㈸昵㈳㕤摣㜳㠳㑦愹摡慢㔶㑤戸收㡤〷㙥摡昲㤹扢敥㔵㥣捦㑢㜱㈷㘰㘷ㄳ㝦㤳㐴扣㡥ㄵ㌱㑦愴愶㤳㐰㡣㥦㠰搴晢㑥㕦挹㕤捣ㄵㄴ㥥っ愲搴㘲㕤捣㔵攷㙤㌳昲捡搵昷㌵㥦昲摥ㄷ㙦ㅥ晥攴〹扦㔱扣㘲㤰㘲㑥挱㑥㠹㑢㑦㜸㘷㤳㜲㤷摥ㄸ㌳㑦愵晡搳㐰㡣㥦㠱昸㍢㐳㍣扡㡢㜹㍡愵㘷㠰㈸搵愹ぢ㕦㌱敦㤱㕦㍦昰昹愵㝢慣ㅡ戱敢㈵㠳ㅥ㝥㙢㝢挵㉢ㄵ㈹晣㉣散ㄴ戹昴挲搹㈴㘰昰㥣㑤搵攷㠰ㄸ㍦〷〹ㄵづ摡㍣㤷㤲㤵㈰㑡捤搷㠵づ攸㑣㡥㕦㌱㌴戶攷㉤㙦㕥㜲攱㘶ㅦ扣昶㡡攲㤵㤱ㄴ扡ち㍢㐵㐳㌶㥡㈸㔸戶戱攴㑣㤲㌲㝦㐱摤攷㠳ㄸㄷ㠰昸て㌷㡡㤹挲㠵㤴㕥〴愲㔴㕡㤷扣挵挶㠷敦昸昹挶㌳挶慦晡昵㘶㐷晦晤㤸愷敥㔱ㅢ㐳散っ搹㑢㠸扥ㄴ挴戸っ愴摦㍥㜳ぢ挳昵㜲㡡慥〰㔱敡㈰慤攸敤慥愵て扦户㜲戳㠹㌷晥敢换戱戱收攷㥢搴㈶㄰㍢㡡慥㈲晡㙡㄰攳ㅡ㤰㝥㤳㝣づ昳㕡㡡慥〳㔱㙡ㅦ慤攸搱㍢摡㑥摡戴昱昶㈹㜷㕦戶晡戳㑦捦ㅢ戱㑡昱戲㔰㐶攳つ〴摦〸㘲晣ㄲ〴搳摡挶戰㜹ㄳ㜹㌷㠳㈸㌵㑢㉢㜸敦戸搱㡦㥣㍥敦昲㔹慢㍥扥㍡扣㐱攳搶㑤㡡㤷㤴㘲捣㕢戱㔳搴㠲㜱慦昳〴戴攰㙤㔴㝤㍢㠸昱㉢㄰㝦户㡤敦㘲摥㐱攱慦㐱㤴㥡愶换㍤㘶㡢㔵ㅦ晦㝢搵㔹㤳㔷㍥戴㑤㘸搸㡡㉢㙦㔴㥢㐳㉣攵摥㠹㥤㤲〹㕦㉡攵㍡摥昲㙥㥢㌲敦愲昶扢㐱㡣㝢㐰晣捤ㄸ㡢敤㘲摥㑢改㝤㈰㑡㡤搷㘵捦敥㝦㜹昸㜷㝤〶敥㜱挲戶昳昲㌷㝤晢㤳㤵㙡ぢ㠸ㅤ敢摦㑦昴〳㈰挶㠳㈰晤昶昶㔹晦㈱㡡ㅥ〶㔱㙡㔷慤攸搴ㄷ晢㕤愵挲ㅦ捤扡昸敡㤱摢敤㝥搲㠰慦晡㍦〲昱㕥晡㈲㘷㔲㔷㝡〹慥ㄴぢㄷ愱搱搱愸晤扡㕣㝤攳攲㍢㥦挸㈷昳㤱㐸㉥ㄱ㑥挷搲戵㐳愰㜶㕤慦昹㌸〲晢攷昷㙢敤挸㜵㉥㤱㘹㐲晦晣㤴搶戶ㅥ扢㑢ㄲつ㜹晣攷㕣挸㑡扡㍥㍦㜹㈹敥〰㘴㥤敢挵㡤昲ㄳ敤慥ㅥ㕣㌹昷㉣㉢㕣㈱㙣㌹㈱㡤㈹㡦㜷㑤㌹㑡敢㥥搰戹愸㈳搷扤㐵戰㜰㑥㑦扡挷摥扣㔴㔶㔰㔲㤶㙤づ慥慡敤㙥愹搲搶愵搹昶㑤户㉤戲挷㉦㙤㜵挴㕢㤵㠸㜱㝤摤㤹愹㉣㥤搲㘵ㅦ攱㐹换㙡㌴ㅥ㌷㝤ㄶ㡢敥戲愳㜴㐴㑥扤㠶㑣㥣摦搹㙤㜷㐸昵㐶戵捦㙥捤㉥戰扢收搸扣㘵㘴攷攴㔰〷㔱愴㉦昲㐷捤敡挰㠱攲戲㍤户㡤㥦㑢㐳摢ㅤ㌹㍢㠷晡㉥㠴㤵㤷捤㑤㘷摡散㡤㡢㈰㑥㤹㄰㙣㔶挴㥥搲㤹㕤搴㍤戱戳愳愷慢戳慤㔸㌲㍥户㌸㡤ㅢぢ戹㤹㥤㌹扢㐶㌶捣㈱戱㔵愹慡㍥㝤㤴慡ㅡ攱㑥戶晣㜷㉤愸扢㥢搷昰扥㑥戲ㄵ㝡㑤敦㘰㕦㈷㈲㌸昰摡摦搳㡣ㅤ㕦㈷㈳㝥㘴慦㌵昱㜷㐲愲挳扤愲〳㍡㈹㌳㙤㕡㍣昰㐶敦㡤昶㐱㍢戴搹ㅣ㤵搵挳㉡慢㉣昴换戵搴搴搷㉡扣㐳㐸㜴㉦㐶ㄳ戵㕥摦晢摦㠲慢慢〷敡愳㥦扣ㄸ户㡦愶愵㍢㜲㙤㜶㔷慦昷㌷ㄵ㙢㘴㍥㑡昲ㄸ挹敦㐸ㅥ㈷昹㍤㐸㙤ㅣ㍥慥愲㐵㙢㠰㔰㑢搵戲摡㈵慤戹㥥昹挶㝣扢㜵摥晣ㅥ昰㜰㕦戴慥㡥收愶㈷攷戶㈱㤰㡢慡戱㘳㍥㐹昲ㄴ挹搳㈰愱㔰㤵昱っ晥慦㌲㐲收ㅦ昸摦戳㈰つ敥晤戳㈱㑥捦っ愹摡愱㘰慦搳㤵㕡搱ㅤ㉣㈹㔰㙥㤸攱㡥㘶㜷㙤㍢昴㜶昷改ㄳ㘴㡤㘹改敥昹㍤ㅣ㠸扤ぢ㔱ぢ昳㌹㤲攷㐱晡扦〰戲攷㌴扢つ挳昸晢扡ㄹ㕡扢㉤㜴慥昵愶ㅢ㘷㤰ㅢ户捦㔹搶㤱㥤摦搵搹㠱㕢搲㤳搲㍤改昱㔹摣㔹散㔶㘹愳㝤㐶攷挴㐵㍤㐶晢戴㔶晣搷扦㝤㙦㝢愱㥤敥㤹〸㌷摤㔳摦㍥〳㜷㈵挵㡦㌶攷㤶搶捡愵㙢㙤㍢㉥㉢戲㈶敦㍣㌶挳㉤㉤㌵戰〷㍦摢扦㥤㡥挶㕥摡㐳搵㝤摢㜱㠷ち摤挹〴㘸㤴攴㜲昶㤸戳㕥㜸㙥敥㤰㑥㐱㠳㈵扢㍥㉤晤㠴攱㘸慡㘲捦挱ㄹㄴ㤳㤴ㅡ㑤㑢㐷搰㍥㍤慤㙤摤愳戵㜹㐷㑦敡挴㥤㘹㕢㙥捡搳散㠶㠱づ㘶昴摡㔸愵〳㕤㉥㙥戳ㄹ㐷㉤慡㌲戵慢㜳搱挲慤愱敢晢搲㐳㕤㔵收㡢㈰ㄷ㝦㜴摤慥摢㕤㜸搳户晡晦㘳㌱㠴㘴㌳户㈱㠲晤㥤㐹晣㈷㥢昹ㄲ晥ぢ昵㈶慢ㅤ〶㐴愰愷慤㜰㤷㤵挳慥㝦晢慣㙣㘶㙥㤷㉤户㡤敢㈴戱㙣愱㕤摦扥㕦㘷搷㠲㑣㘷攷〲摥户ㄸ㈰愹敥昹戶摤挳㝢戱晤昴慤㘷敥㉢愵晡昴㈹扡改敡扢㘹㍢ㄸ晡㡤㔷㐰敡挷户戵つ㜱㌵㜶ㅢ㝦〵慢て捥㈸挶慢搸㌹㘰攸散挹㝢捦㙤㤹扣㌴摤扥戰捤摥㘹慦㐵改㌶摣捥摥〹㌷ㄸ㈶㜷て㔹ㅣ㡥てㄹ㠱㘹㜹㍣ㅡ戶扢㐷扥昱换㔳摥㍡㙥昹ㅢ慢㔷扣㜱晡㤹㙦ㅦ户㝣捤つ㌷扣扥晡戸㌵㈷慦㜸昳攲㌳摥昸攵ㅤ㙦㥣㜸挳ㅢ昷㥣晥收㍤攷慣戹攲慥搱㑢摢扡㤷慡㈱㌰ㅦ㙦挶摥㍡慤摦㕥㌷㍦㜹昶戸㥢㜷㝡㜱搲愸ㅢ攷户愸挱㕡㔰㜶㥢㜷㝢㔴㘸〸㝥收㙢㈴晦㈰㜹㥤攴つ㤲㌷㐱搴㘶挸㑡㘷㠷晤攲捤㝣ぢ㘹昳㙤㤲㜷㐰攰戲愴〹攱戱摥㈵㡦ㅥ㉢愴搴㜰晣㐷㉦㘵扥㑦昲〱㠸ㅡ〹挲昱㕣㘵㝥〸㔲戱㔳㡣㈰愲慣㔳㝣っ㙥挸散㐵愶㜶〰㠲ㅤ挳㘴㐳㤸㌴扤㐹戳㉢㐳摢愰捣㌸戵㕡㔰㜶ぢ㝢㈷㘴敢㘵㕥㔹㜴愳搸〲戶㘸㕥㔹㌶㘳㜲㥣昶晦㥢ㄷ晥攰收㠵挵㜳挲ㅤ搶㌲ㄱ㉡㤹ㄵ㔶㥣〳晣扦㔹㔵搰慡戱㌳慢晡㡡攳戱㑦㐵挷昲つ挴㈶ㅤ㡥㠹㠹扡摦戱㔴㍢㐹㌵ㅡ㌲㜱㉡㝤挰㌰戹㔶㕤ㅢ〶慢昷〹〲㠶㙢〳㐰㌵㕣㔹慡挷搹㍤㥦挶㉡慦㥣搴㔵晡晦攴㌹扦〶㡢敤㌸〲昷㠴摦晢㐱愰敥㍣㥦ㅡ愵搷ぢ挵ぢ㤰㔸ㄶ捤㑤戵㍢收攲挴搶㑤昸昷㜵㉡晦扥昴戰㑥㘶㉤づ摡摤㙡扦昸收摢㙦搷晤㤸㤸戳敦㘲捥挷㕡㕡慡敡愸㡤ㅣ愳㉦愸晦晥〶ㄷ戴捡㑥㈰㈶㐰㈱㤳搰ち㌲ㄵ㠱㉥敦〴㘲っ〰戲て晡㡥㜳ㄲ昹㄰昵っ㍣挳㝥愰〵㘵慢㘵㜱㘸攳㠹挴摣㄰㡡搴㝢㠰〵㥦㑤㌷㘲㡤〶㤱㙣っ攲㍢㥢㙥敡㈴㔵〲㑡㠶㔲搱㘶〴㙤づ愲㤲㐸戲攳㥢㕢㈰攵㙥敡㜵㤴㐱㝢㤲㘷㌶㤲㤴ㄹ㘱㌰㘴愱摥㘴㉡㠵㝣㥥ㄱ㑣ㅡ挱㌱挰换晡㌸换捥愲㉦㘹㐱搹攲摤慥搰㈴〶ㄸ〱㈵敡㡦㠰〵ㅢ㘰〷㤶㌱㡡㘴㐷㄰㥦〱㐶㍢㐹戵ㅢㄴつ攵攱散㑣㔰ㄸ㐴敤㡥愴ㄸ㈰㠲㤴扢愹愷㔰㠶㙢〰㈳〶㠹扦㔳㜰改慦捣ㅥ〹㠰㐲㈶愱ㄵ㘴㙡㉣戴〷搹攳攱㑡昶㜸㐸ぢ捡搶ㄴ㈷㐰㤳搸㘳㜷ㄴ愷ㅥ愸㘸㡦㜱慣捤㜸㤲〹㈰㍥㝢㑣㜲㤲㙡㈲ㄴつ挵捦㥣㑣搰ㄴ㄰㌵ㄹ㐹戱挷㔴愴摣㑤慤昶摢愳ㄹㄲ扦㍤戸ㅡ㔹㘶㡦改〰㠵㑣㐲㉢挸搴ㄴ㘸て戲挷㉦㉢搹攳㐶㉤㈸㕢收㙣㠶㈶戱挷㕣ㄴ愷慥慦㘸㡦㝤㔹㥢晤㐸昶〷昱搹攳㐰㈷愹昶㠰愲愱昸㤹〷ㄱ㜴㌰㠸㥡㠱愴搸攳㄰愴摣㑤㕤收户㐷ぢ㈴㐵昶挰㈲㘹㤹㍤搲〰㠵㑣㐲㉢挸搴㑣㘸て戲挷㜹㤵散戱㔲ぢ捡㔶㕦㘷㐱搳扡慤㜰ㅡ㐰晥㕦㜱敦捤戹摢昶ㅤ敦挱ㄸ㈱㙣㔵㙡㌶づ㜶㈸㝥收攱㙣㠵〵㈰戵㝢㈳戹㉥㙢戵扣㘷慦搲㉡愳戲㉡愷散扥敤戸搴㥡㌹慦㙢晤捦昹〳㤰㔱㉥搶ㅤ〵晤摤愴㉣㜵扢〹㕥晣㕢㙥〲㘸戹㝢㔰㕦㘰攰愴㌵搰㑤昹敥〲㜸扡扦昷㕢ち㌸㜸㜷㠶㔱㌴搱㌰戸昵㙥㍥搴ㄳ㠶晡㍥㘷㄰晦㝦㤷昷㝤捥㔸㘸挸慡慡て㜹㈶昰晤㕦㌵㑥㤲ㅥ扦㙥㕣挸㘸㐳敦㉣㕡换愷㐳昱㙦㘶〷㄰愱㤰㐹愰㜸㤴㜲㘱㙦㌲㌵〷㜸捦摢ㄸ㡢愱挵挰㘵ぢ㝡㥢㜳㤲㕥㔱挹改晣㐴ぢ捡〲〹昶㠵㐲㜱挲㐷㐲㤷㍡ㄱ戰攰㤳昴搱慣昰㡦㐸㡥〱昱㌹攱攳㥣愴摡て㡡㠶攲㘷㉥㈷攸挷㈰敡〰㈴挵〹ㅦ㡦㤴扢愹愳㔱㠶㜷㤲㍥ㄱㄲ挶㈰㠴换摤敢㑦㈰ち㤹〴㔴㤰愹〳愱搳㌳㠶㙦慡搲㔵挹ち㐷㘸㐱㔹㜰挳㈱搰㈴㔶㌸〳挵愹捥㡡㔶㌸㡢戵㌹㥢攴ㅣ㄰㥦ㄵ捥㜵㤲敡㔰㈸ㅡ㡡㥦戹㤲愰昳㐰搴㘱㐸㡡ㄵ㔶㈱攵㙥㉡敦户挲昹㤰昸㑦㐵㡣㡣㘰捦挱㠵ㄲ慦㠶㘴㌳㉦〴㈸㘴ㄲ㕡㐱愶搲〰〶搹攳攰㑡昶㌸㐸ぢ捡㐲㉥戲搰挴搳㔱㕦挷〵攷戰㍢ㄴ㍦昳㉡㤶㝥㌵㠸捡㈳㐹㌷散㙣敥搸昸捣慤敥戸㘲晥摦㝥ㄳ㌲㙤戰捡㙢㝥ㅤ㤴㘱㍣昴㈲散㑤愶收㐱㘹攱㤰㌹ㅥ㥣㠱㌰愳搲㈱㑦搷㠲戲挰㤰挳愱㐹扡挰ㅤ㍣扣㘶挰㠲〷挲㙡㤶㜱㈷挹㕤㈰扥㉥㜰㡦㤳㔴っㅡㄹ捡㘳扤㤷愰晢㐰㔴㍢㤲搲〵㝥㠳㤴扢愹㜱㈸挳ㅢ〸て㐰攲敦〲㡣㌲㈹敢〲て〱ㄴ㌲〹慤㈰㔳ㅤ搰㕥戰㐷㘱昶摥㔸挹ㅥ〹㉤㈸ぢ㕦㔹〸㑤㐳昰㌳㥦㘰㜱㑦㤲㍣㐵昲㌴挹㌳㈰㙡㘷㙤愳㕡愰㌸㠰ㄶ昵愹慡㙡慢㘶㤶㘷㠹㜹㡥攴㜹㄰㥦㡤㕥㐴搲昸㈳㐸昹㤲㠶㘲㠴捣㔰收晥ㄳ攴收㑢㈰慡ㅢ㐹攷㠶攱换㐸㔶扣㘱搸挵㕣㘵挶㝡〵㔹㐲㘶㉦㌲挵㤵㤹㠲戱晥㑡㉤慦㠲愸㉤㉢ㄹ㙢ぢ㉤㈸㡢搰㔹㠲㙣搲㜹摥㘴戵㌷搳㠶〱戳㜸㌳摦㠲搸㝣㥢攴ㅤ搶捥㜷攷搴㐹㉡㐶敢っ挵捦㝣㡦愰昷㐱搴㤱㐸㑡攷昹〰㈹㜷㔳ㄶ捡昰㍡捦㐷㤰㌰扣㈷㕥㙥㠵㡦㈱ち㤹〴㔴㤰愹愳愰戳㘰㠵㐲㤷㌱㉡㔹愱㔶ぢ捡攲㠶㡥㠱㈶戱挲㔷㈸㑥昵愹㘸㠵㙦㔸㥢㙦㐹慡搰㕤㝣㔶愸㜶㤲敡㔸㈸ㅡ㡡㥦搹〷っ戳〶㐴㉤㐷㔲慣㔰㡢㤴扢愹㉦扥昶㔹愱㉦㈴ㄲ㜴㔴搶ㄵ昸㑣〲㉥晤㐱换㡤㈰㌲昵㘳愸っ㌲挲㠷㈸㈰昸戲㕦ぢ捡愲㤹㑥㠴㈶㌱挲㠶㈸㑥扤〷㔸戰ㅦ搹㠸戵ㄹ㐴戲㌱㠸捦〸㥢㍡㐹㜵ㄲㄴ㠹ㄱ㌶㈳㘸㜳㄰戵〲㉣㌱挲ㄶ㐸戹㥢㝡摤㙦㠴慤㈰昱㐷㤹㈰㌸慡捣ㅣ㠳㠱〹㤹㐴㔶㤰愹㤳愱㍣挸ㅣ㉦㔷㌲挷㑢㕡㔰ㄶ㜵挵搰㈹㌱挷〸ㄴ愷晥㔸搱ㅣ㍢戰㌶愳㐸㜶〴昱㤹㘳戴㤳㔴愷㐱㤱㤸㘳㘷㠲挲㈰敡㜴戰挴ㅣㄱ愴摣㑤㍤攵㌷㐷っㄲ扦㕢㘵扣㔶㤹㍤ㄲ〰攱㈶〰㘸〵㤹㍡〳摡㠳散昱㜰㈵㝢㍣愴〵㘵㠱㘰㘷㐳㤳搸㘳㜷ㄴ愷ㅥ愸㘸㡦㜱慣捤㜸㤲〹㈰㍥㝢㑣㜲㤲敡ㅣ㈸ㄲ㝢㑣㈶㘸ち㠸㍡ㄷ㉣戱挷㔴愴摣㑤慤昶摢愳㤹戹㝤㘱㘴㘵戶㤸㑥㠰㐹㔸戹㉤㐴愶㔶㐲㜳㤰㉤㝥㔹挹ㄶ㌷㙡㐱㔹㝣摡㉦愰㐹㙣㌱ㄷ挵愹敢㉢摡㘲㕦搶㘶㍦㤲晤㐱㝣戶㌸搰㐹慡昳愱㐸㙣㜱㄰㐱〷㠳愸ぢ挱ㄲ㕢ㅣ㠲㤴扢愹换晣戶㘸㠱挴摦㌷ㄸ摣㔶㘶㡦㌴㐰戸〱〰㕡㐱愶㉥㠲昶㈰㝢㥣㔷挹ㅥ㉢戵愰㉣㙡敥ㄲ㘸昲捤扡㉥㐵㔲㡥敡㜰㤶扥〰㐴㕤づ㔶昹慣慢㙡ㅣ搸搸敡挶挹㝦摥ㄵ〹㘷㕤㤷㠱㔵㕥昳づ㈸挳慣慢ㄷ㘱㙦㌲㜵〵㤴ㄶづ戹㌰敢㕡㔱改㤰㝦愲〵㘵昱㝤㔷㐱ㄳて㔹㕦敢㌳扥㑦づ昹㐸㔴搰㍣ち㐴㕤ぢ㔶攱㤰摤㐳戴挶㠱㡤捤晤摦㥤㠰昲㈲散㘸㘴㉢㡡て㘴愳晡㌷昳ㄸ㈰㜰昸〴㡡㙤捡㠵扤挹搴㜵挰〷ㅤ晥搲㑡㠷扦㐴ぢ捡愲ㄲㄹ㡣㌸〴㍦昳愷慣捡㈹㈴愷㤲㥣㐶昲㌳㄰㜵〴戲昲〴挲㐹ㄶ㌷㌷㜰㐴㤹㘷㄰㜳㈶挹㔹㈰扥㔱㜱づ㤲挶捦㐱〲㈶㔹㌷㐲㠵ㄸ昸㕣㘶㕣〹愲㙥〲换㤹㘴㥤㠷㘴挵㐹搶㉦〱㉢敦㐸攷㈳㑢挸散㐵愶㙥㐶扥㠲戱ち㤳慣㐳㉢ㄹ敢㄰㉤㈸㡢挰扣つ㥡挴㕤㕣挱㙡ㅦ愴つ〳㘶昱㘶㕥〵戱㜹㌵挹㌵慣㕤㘱㤲㜵㥤㤳㔴户㈳㠳ㄸ攱㝡㠲㙥〰㔱㜷㠰㈵敥攲㐶愴摣㑤敤㡤㌲扣㐹搶㑤㤰昸捦慣㠸摦㉣昳ㄶ户〰ㄳ㌲㠹慣㈰㔳扦㠶昲㠲㌹ち戳慤㘹㤵捣㌱㔵ぢ捡〲㐳ㄹ摥㈹收戸ぢ挵愹挹ㄵ捤㜱て㙢㜳㉦挹㝤㈰㍥㜳摣敦㈴搵摤㔰㈴收㜸㠰愰〷㐱搴扤㘰㠹㌹ㅥ㐲捡摤搴㙥㝥㜳晣ㄶㄲ扦昷㘴㑣㘹㤹㍤ㅥ〵㈸㘴ㄲ㕡㐱愶敥㠳昶㈰㝢㐴㉢搹㈳愲〵㘵挱慡昷㐳㤳捦㤵㍣㠰愴ㅣ搵㌳㉣晤て㈰敡㈱戰搶捦㤵㍣㡢㙣㐵挱慥㍣㐲晦㘶㍥て〴㕣〹㠱㜲㠸攵挲摥㘴敡㘱攰ぢ㠷㕦昰愴摢㔴㍡晣愱㕡㔰ㅡ㘲㕢换㠰戵搲㤰㈱㜹昰搰ぢ㍥昴㉤㘰て〰搸挸敦搳搱摡搳摤㉦㍦㝥㔱㑦攷㤴搶ㅥ慣㌰昶捦㠳㘰㔷戲㙣㉥㜱㝡扥㑣愳昲晢戶摡㑢戸戶㌸戸㕣㔴昴昸捦搶攵昲㐹㥤㝢㜶昶㑣㙡敤㕥搸㤶㕥㌶㉣㐰散㐸昶㥢㙦㜷㈰㜰戴ぢ昱愳㙢〳㜵㉥㕣㘸攷〲敡㌸愷㜳㔱㔷搶㙥㥥昴㐳〸㍤㔵㑥㔸ㄷ慥㠵ㄸ㜴摡敢攳㑢〵扢㙦㠵戶愹㐶戴㤱晡㡥㤱㡢搲㐵捤扦愳㐳㔶㐱〹㍢攷㙢搲㐷慢㙡ㅦ㕢㙢ㄷ昱〵戳昶〳㌸㤴㐷戳㍡扣㝡ㅤ㉤摤摣搱摤㥡戳㐳㍡㠵〷晦〶攸摤㔹㡢㝡㡡㈴改愵〳戵〴㈱㔱戳㍡搰昴搹㜴㔷敥㠷搰㉡㌸㌰㙣㑥㤳㈸〳晦扥㥢愱ㅤ㌵戸㉦捣㉢㔹㙥ㅦㅥぢ㘳挳扦搶晥づ㠹挰攸㌴㙦㈸㘲挷ㄷ〷摣〰㝣㍤㑤敤戱敢㤸攲㔳㥤搲〲捥挳㔵〳〴㘱愳㜳攳㌱攸㌶㝢㘰㜱㔲攲ㄹ捣晣昸㑣㜷㘷摢愲ㅥ㝢㠰户㈷㠳摣捣敦㙤昳㘱捦挵㜶㝦㙦㙦㜶戶〷㔱敦㥥㍥挶㙢晦㜰㕡〷ㄶ愹搱㉤愴愴㡤㡣㕥㝣㕢昱㐱㜰晣㝣挷ㄶ㐵㐳收㘵㝢㝦慣晡挵㉡㙥搷㡥慤㜲㜷搸戶㘸摣挷愱扥㌴㘰愱搸捦晡㠳戶㌹㡡〶扡捦ㄲ㌸摥㑤ㅣ㔷㝦㤷挷㜸改晡扣昸㍣㍣ㄴ挱㈷㉡ㅢ㌸㙣摡昰㝡㠲㥥搶㙣扡慤㙤搹㠰㝣㜳㐷戶㙤㔱捥㥥㤱捥搸㙤慥扦收㠳扦㍦㡣昶㤲㌷㐶㌸㙤搵㡢㕤戴㔱㥡昱摡〸㌷㐴晣㍢扢㌸挴㉢扡愷㕢攸〸㤹㙦㘸晦挶昸散昵㡥㤰て㈱搳㠶㠵攷㍢攴挵〲㜰㙢㘵㉣晡㌳㐶ぢ㝢㐱昶㌲攲㝣戰ㄹ㥤㌳㍡昱〰㐴捥挷㥡搶敡戰㝥㌰攳㑡㥡〹慢㝦摦昵攴〲㕢㘱晢㔰摦攵㠷挳㜳搲㘳㌹〷攲攰㜸ㄲ改搲㌸㘳摦攰㤰昳扥㌸㐱ぢ挰〶㝡㌰攷㤹攱戹慤㍤㙤㜶扦扣挸㘵扦㡥㐳㠲搶散㥢㥦㍢ㅦ㌱扢㤳敡昳㔳扢㕡㜳㙤慤ㅤ㌶㈷㈰㜸㈰㠷て摥捣戰攷攱搱㤱搹㥤摤慤㝣㡥扤㍥㍦户㉢摤搱扤㤰愱搹搹㘵ㅢㄶ愵愴戱㙡昳ㄳ㕡㍢㌰㠰㥣㌲戹摦㤰㥦㌳扦㜳〹㕥㜳戲愸扤㘳㙡㝡㘱昷て愲愱昴改〴ㄶ㜲㐶㔵戵慡慥㔶㜵搵㜵摦昵㍣㘵扣㠹昱㘱捣㥤㍣㘷㙥ㄸㄱ㑥搰ㅥ㠵敡㙡ㄲ摤㙡㑦㘱慦㤷愱换〶搳捦昰㜰攸戲㝡㐵捦㜷〷㍥㐰攰扤㉥㠶敥搸㕣㠳ㅡ昴㝦ぢ㘴㡦愹晢㌴ㄷ㥥晣晡慦摥扤㔲晢㌴㌴昷㜲㔶㤰ㅥ攲㍤㘶㌲〸攰〱㑥慦㈱㡦㥤挸㤴挶㘷慡戴㈷㠶昲㠲㘱愷挴㠹㤴㜰敥㑥挱〳〰晤攱〳攰㠵昱攰〴摣敦〰㈷挱戸㔱扣㠵愱㕢换㈶㜶戶户愷搹换搸㐳攷挰㠵摢㜵㌲挵㠶㔳㌱昳㈰搲ㄵ㌵㉢扤ㄴ慣昴㔲㘱攱捣捣㐷挷㘴㥦扡㍡攷愵扢㕡㝢收户户㘶敢㤸攰攳㕤㍦㠸敥㠹㉥㔴〳㘳扡㥢昴㔱捣㔷㑢挳ㄷ㥤攷ち搰摣愳㜱〹㐱搳戱昹搱㠹慢攵㜴慥扥㘳㑣〸扡慦㕣㘶㤹敦㐰㕢㉤㝥㌲挷㤵扡昸收㘱攸愲㈱昳㥦㤰挲㈷㈹㍥㐶挳㍥㙢扥换㉣搸攱慦收㌹㤰㕥ㅦ㤷攸ぢ㐰㘸㐶㘷㍡㌷〵㑦〱㜶㜶昵搵敦ぢ慡㐳昳搲挳㜴㔹㝣㐴㘶㈲㥥㉦挳㜳㙢㡢㌱㈵敥慡㈳㘳づㅥ㍥愹攱挳㌵㠶搳㡥ㅣ挳㔵戵戵晤敡㠲捡㙡㜶㜵つ搳㡦ㄲ昸摦户搴㕣愶晦摤扤㔲㘳㌷㘴慤㐲㥣㔵㤸敦攱㜰捣昷㐱搴昳㐸昲㜸㑡〰ㅦ㄰昰㈱て晡㐵〸㑢㐷㑡挵挷㐹晡〰㡣㠷㘰昰㤸㑢㕤㍢て〷戳て〳て扦攰㜱ㄹ㤸挴攸㔷挷挷㑤捣㡦愰昶挹㈷㥥ㄸ㠳晤㉡挵攷㌵摣昲ㄹ㜸愵㉢昸㉦㤶晦㌱㠸㝡つ㑣㕥㥦㍡㔷挸收㈷攰改㙢ㄳ㥥㌵搴㍦㤰攴戵㠹扢昹㕡搲昱㔰敡㜵㠸㌸慢㘶㐳慥㙤㠶愶摥〰㡥戳戴㉡昳㍦慣〱慦㠷㘴㥡昰ㄹ㔲㉣敥㑤㌰㌸㔵㜰戶㡡㈷㌳昵ㄶ〰㍣愱㔵ㄹ㥦㈳㘷㕦晤扣㠶搴愱挴㠳慡户㠱愲ㄷ㌵扦〰㔲扤㠳㍤㍡愷昵攸慣㕦敢扡扤㉢戹愰攸ㅢ㌰㌸捣昸㔳敦㠳戸〶昶昵㠰㙦㠱㌱昹㔴戳晡㈰ㄸ愰㈰㌳慢〹昸㄰〰昶〲ㄳ摤戱搰㜰ㅦ晢戲昹ㅡ慥㠶搹昸㜶愷㕡挶㙢慦㐷㕣扣昴㑢敦㉥㠱㕣戰ㄴ摥〹㔲㥦昷摦〳ㄸ㤸搷㌷〳㝣㤷晣㈵㍣㤹㈸挳㐹晦㠰㉥攸㘱づㄸ搳㜵㜹摦㜹ㄶ攵㕣㤷㑢摦晦〶ち㥤㑥㘶挰攰〳㥤户ㅦっ㠱㙤㝡扡㕡㌳㡢㌸慤㤱㌲搹攱㙡㐸昴㠰攰っ㑣㍡㕣㕦攴挲慤〵户挳㈹挷㍢昲㜵㙢扤㝡㐷㈹㥢㔱昵攲ㄹ㐳愲挴㐹㈸㠶搶扢㥤㙤〷㈹㔰㥡戵ㅦ㌰㘶㝦〲㌹攱て〰搴ㄳ㌰〰愴戶ㄶ㠰搲搳㐱㜱㥣㍡㙥㌳㤹㔰㕤挳〰扡ㅡ〶捥搵戹〱㜳戵攲㌷晢昹〲攴っ㈷㌰慥づ㜹戰搷摥㙤捣挱㠹搵捥㠵㥣㥥㐵㍦㠵扢ㅣ㔵搵搵㌵㌸扢ㄸ愵㑦敤㤴ㄵ㑢ㄵ㜳㙣㠹愵㔷㕢愳ち㐶〳㙡扣㌱㙦㠱㐱㍦㕥㘷㔷昴㔲㈴扡づ㝦っづ敥愵㙣〰㌸ㅥ㙦㘲㌰戹㙢〳摦挸搹㤰㌶ㄸ〸愲ㄸ昴捤搱㠳㕤摥㠳ㄱ㝢㙦〴㥥搳搶ㅢ〱戲㐹攱㐵ㅥ㙢㙦㙦挶㠷㑢㝢て愲昲㡤㤱㜲ㅣ㡣㙥敦㑤挰㕤㝢㝢㙦㡡㙣昸挳㍢昲愸㠴㔵攳㡦㔱攵敥愱㠴挱搰摥㝢㌳㘰捣捤〹摣㍣ㄸ戰〵〱㕢ㄲ挰㈰㜴戶戹戱ㄵ㔲晤㕤㕢㈲ㅥ㈱㉡扤戱挴㠲㠳〱㠲〵〷晢戴晡㉣㌸㠴㕡㠷㔲㉢愳挶挵㠲扥搱挲㔰㜱挷㠲摢〰戲捥愳㠵挱攵㘲扤㙤愹㤸㔱收㐵搶摢づ摣戵㕢㙦㌴戲攱慦捡摣㥥㑡㘸㌹晥ㄸ㤲敥㕡捦㌷㕡㠶〳㘳㡥㈰㤰攱敡〱㠰㤱〴散㐰〰㈳搸挵㝡愳㤰ち敡㠹㐱㠱敢攸㠹㍢〱づ㍢㌲㠲摤搵敦戳攳㘸敡摦㤹晡ㄹ㙤㕥㙡挷㜱攰㌹㜶っ〳戲捥㜶ㅣ㡦㙣㘲挷〸ㄵ㌳㍡扤挸㡥㌱㜰搷㙥㐷㐶戱攳慦捡㡣㔳㠹㙢挷挹搸㜳て挳㘷挷〴㌰㘶㈳㠱っ㜳て〰㈴〹㐸ㄱ挰挸㜷戱㘳ㄳ㔲㐱㜶っち㜸㠷ㅤ㜷〵ㅣ㜶㘴攴扢慢摦㘷挷摤愸㝦っ昵捦〵愰搴㡥晢㠲攷搸㜱㜷㐰搶搹㡥っ㘶ㄷ㍢㡥愵攲晤㤱㉡戲攳㜸㜰搷㙥挷〳㤱つ㝦〸㄰愰ㄲ搷㡥っ㠱㜷て挳㘷挷㠹挰㤸㤳〸㘴㜸㝣〰㘰㌲〱㔳〸㌸〴〰戱攳㔴愴〲敤ㄸ㄰㈸て㍢㌶〳づ㍢愶㝤晡㝤㜶摣㠳晡愷㔳㍦挳戸摤ち㈰㠷敢㙦㘶㄰㌰㤳〰㠶㜸〷〰昶㈴㘰ㄶ〱ㅤ㍥挰㈸㤹㌸㙤〲㍤收㙣〲昶㈲攰㐸〰㑡㥤㉦〳㔸㥤愶摡ㅢ㤰昵㜲扥㍦㐲㔶㘹慥㌹㔴捥昸搷愲收摡〷摣戵㌷搷㜱挸㠶扦㉡㜳㕦㉡挱㡥晣㤶㠳扡挷敡㜳扥晢〱㘳敥㑦㈰〳㘹〳〰〷㄰㜰㈰〱㡣慤㤵收㍡〸㈹㥦昳挵㙢扤〲㑥㕦㠷〰㠴㐶㘲㙣慤慢搵搷㐸㠷㔲㙢ぢ戵㌲づ戶戴戳㌳昸搵戱攰㘱㠰慣㜳㘷㘷戸慣㔸㉦㑤挵攷㈰㔵㘴扤㉣戸㙢户摥戹挸㠶㍦扣晤㡢㑡㕣敢㌱挸搶㍤っ㕦㘷户㠱㌱昳〴㥥ㄷっ㤸㐷挰㝣〲ㄸ㤳㉢搶㙢㐵㉡愸戳〷㠵攲愲戳㉦〰ㅣ㜶扣搰愷摦㘷挷㌶敡㙦愷㝥〶捣扡㌵㐴づ户戳㜷㄰搰㐹〰㠳㘹〳〰ぢ〹㌸㠲〰〶挸扡〰昶敢㔰㐸㍡㝢ㄷ〱摤〴摣〱㘶㘹㔳慤〶㑦㥡捡㘴㔳挹㔶㍡㠳㘴〸慢㌴ぢ挳㌶搵㕤㐸ㄵ㌵换ㄲ㜰搷摥㉣㡣㜹挵ㅦ摥㌲㐶㈵搸㤱摦扤愰㙥㤵㝤捤戲っㄸ昳㐸〲ㄹㄴㅢ〰㌸㡡㠰愳〹㘰㥣慣㌴换㡦㤰ち㙡㤶愰昰㔸㌴换戱㠰愳㔹ㄸ㈷敢敡昷㌵换㜱搴扦㥣晡ㄹ搳敡扢㈰㍤㥥搹㌸㡢㠶㡡ㄳ戰捦慢㐴㐶扣㔶扣㈸㌵㑦搴愸愷㠰㕡攷ぢ㔳㠶捥㍥㡥㤲慡捣㤳㤰扤㜰㘱扡㐲㉢㘳㔴㉤㉦㑣㈳〷捥扣㘰昷ㄱ㉢挷㕥昲昹戹摢晥㘸攰㡤㘳摤㉢㕥㔶㡣㔵㘳㜸慤搳扡㕤搴㐶愳戳㜵㝤户昴ㄴ㠳㙦愵㜵㝦ち摤敡㜹愴㥣搶搵㜷㑦㑥〵户搷搶㌵㑦搳㜵㝡ㄱ㔹昱㠷㘸ㄴ㉡㜲ち慢㔲㝦挲㥥㙢㘰昰㔰㉦戹㐶㌸ㅤㄸ昳っ〲ㄹ扥ㅢ〰㌸㤳㠰戳〸㜸ㄹ〰戹㈰㍤ㅢ㈹敦㑥挲㉢扥㙣扥㥥㜳づ戳晤㥣搹ㄸ㕦㕢敡搹ㄹ㔴敢昸愵㜳〱㔹㉦捦捥㔰㕣㌱搳㑡㉡㘷㑣㙥搱㈰㔸〵㙥慦㘶㤲收㜸ㄷ搹昰㔷㘵晥㠲㑡㕣ㄳ㌱㠰搷戵㠰捦戳㥦て㡣㜹〱㠱敦〷〳㉥㈴攰㈲〲ㄸ敦㉢㠳攰㘲愴㝣㥥ㅤ㙦昱ぢ昰散㤷〲㠴慥捦㜸㕦户㔸㕦搷扦㡣㕡㉦愷㔶挶收㤶㕡㤰〱戹㡥〵慦〰㘴扤㉣挸挵㑦戱攰㤵㔴捥㜸摥㈲ぢ㕥つ敥摡㉤挸戸㕦攸㐱挰㡥㈸㜱ㄲ㡡挱扦敥愱っ攳挱㌹㥤散㕡㘰捣敢〸㘴㘰㜰〰攰㝡〲㙥㈰㠰㈵㡢〵㙦㐴慡㕦攱挲㈴昰搴㜸ㄳ㌰㌰㈰攳㠱㕤愵㍥〳摥㑣愵户㔰改㠶〰㤴晡㕢〶昳㍡〶扣ㄵ㤰㜵㍥㌵㌲晣㔷㡣㜷ㅢㄵ㌳づ戸挸㜸扦〲㜷敤挶㘳扣戰ㄸ敦づ㉡挱㌱挸㡦㐱挳敥㘱昸㐶搲慦㠱㌱㔷ㄳ戸㜹㌰攰㑥〲敥㈲㠰㌱挶㘲扣扢㤱ㅡ攴ㅡ捦㜷㠵ㅣ㄰㕡っ晦㜹㉦搰㌰㈳㘳㡣摤昲㝤㘶扣㡦敡㝦㐳昵㡣〷㉥㌵攳づ攰㌹㡥㉤㑣㉤摣㑡㑦㕢㥣敦㠹挹ㅥ愰㤲ㅤ㤱㉡㌲搹㐳攰慥摤㘴㡣㈹ㄶ㤳㍤㑣㈵㈸㐵㝥っ㉣㜶慢散㌳搹㙦㠱㌱ㅦ㈱㤰㐱挷〱㠰㐷〹㜸㡣㠰〸〰㘲戲摦㈱ㄵ㜴摡ちち㍦㠶捤㝥て㌸㙣挶㌸㘴㔷扦捦㘶㑦㔰晦㤳搴捦㤸攱㔲㥢㌱㔰搸改㝡㑦〱戲捥㕤㡦愱挵㘲挷愷愹㤸㌱挶㐵㜶晣〳戸㙢户㈳㘳㤱挵㡥捦㔲㠹㙢挷挹攰扡㠷攱戳攳㜳挰㤸捦ㄳ挸㘰攵〰挰ぢ〴扣㐸〰攳㤷挵㡥㝦㐴㙡挳昲慥ㄷ攴晦㕥〲ㄴ㌶㥣敥搳敤戳攱换搴晤㘷敡㘶慣㜱愹つㄹ㘰散昴扢㡡搳㈵㠶ㅦ㡢扤㕥愱ㄲ挶㈱ㄷ搹敢㔵㜰搷㙥慦〳㤱㑤散昵㌷㉡㜱敤挵愰攵〰㜳晣ㅤㄸ昳㌵〲ㄹ搰ㅣ〰昸〷〱慦ㄳ挰ㄸ㘷戱搷ㅢ㐸〵昵扢愰搰㘶昴扢㌵㠰挳㘶㡣㜱㜶昵晢㙣昶ㄶ昵扦㑤晤㠷晢〰挸攱㝡攲㜷〸昸㈷〱ぢ㠲〱敦ㄲ昰ㅥ〱っ㌸㜶㡢㤸㠷㈳搷戳搸昷〹昸㠰㠰㈳㝤〰㕦ㄱㅦㄲ昰ㄱ〱っ〶㜶㌵昸〰晦㈲攰㘳〲ㄸ搴敢〲攸ㄳ㜵ㄱ晦㈶攰ㄳ〲㝥ち愶㙦搲昷㈹㜸㝡ㄵ挲晣っ晢㥣㔹㥤〲㐸挵㐹㥦㥣散ㄹ㥥扢捥ㄳ㍥㠶昱㍥捥捡㥡㥦戳ㄶ㍣㙢换㑡挴㤷扡㌸㐶昸㜲挲攷㙣㤵㔷㈲ㄸ敡敢㡣昱慦㤰搳㔹捡㡤㐱㔷昹扣敦㑣㈰愵㥢㝥つ愰㍡ぢ㈹愷㥢敡㜹摦户攰昶摡㑤㑤㉥㌸搰ㄲっ㈲㤶慥捡挵㍥㜷搵㑣㌱㙡搸戵昱㠶愸戵㍥㈵攳摥㉢㔶ㄶ㐰ㄴ㈳㡡〳〰㜸昳㈲㔶ㄴ〸㌸て〰㤹昷ㄹ㐸㜹昳㍥㠶ㄱ扢搹㝣㍤戰㉦戳搵㌱ㅢ㐳㝥㑢㐷㉤攳㝣ㅤ慢昰挳㈲敢散昹ㄸㄹ㉣㈶ち㔱㌱㐳㠴㡢㐶㜲㝦㜰㝢㌵㤱㜴㠳敢㤰㑤捣㔳㑦㈵戰㠴晣慥〷搷㍤っ㥦攷ㅢ〰㡣搹㐰㈰㘳㡤〳〰ㄶ〱ㅢ㄰挰昰㘳ㄹ挹㡣昳づ㍡改〶㐴ㅤ㘳㈰㙦〴㌴〶昲㉤㍥昵㍥㌳づ愲晡㡤愹晥㉥〰㑡捤挸昸攰戵㌸㍦㐶て㡢挹㌶愵ㄲ㠶ㄱㄷ㤹㙣㜳㜰搷㙥㌲㠶ㅢ㡢挹戶愰ㄲ搷㘴㡣㌹づ戰挸㤶挰㤸㕢ㄱ挸㜸攴〰挰搶〴っ㈶㠰㈱捡㘲戲㈱㐸〵㌹扦愰挸㘴搸㙣ㅢ挰㘱㌳㠶㈸扢晡㝤㌶摢㤶晡㠷㔱㍦攳㠷㕤〰㜲戸㝤㝥㍢〲戶㈷攰て挱㠰攱〴㡣㈰㠰㌱挲慥〶㑥㌲戴㘷ㅡ㐹挰づ㈰戵っ搶散敤捤て㠵攰㔰㉣挱㔶㔹扥㠸㕤㜹搳捦〶㜹扤㌶㌹ぢ愱㘳㍤㘴晤㄰〲〵㙡㥣〰扥戵慥挸挸㈱ㅣ㜴〸ㄷ㘳㑡㙤㔰扣㝡愳㡦㑤㕥㙣昴摤〲晣㐲戵㉦㝣昹敤户敢㔶ち㝢㘸昱慢㠶攰㍢ㄱ㔶戰㈳ㅡ㡣づ㤲㐱戵搲㥤㜷〲挳摤㙡ㄹ㤸搶㑢㈸㑤㐹ㄴㅣ昳て㉣㉣晡㌳挴㘳㔴ㅢ㤶晥搶㈱愲㘶㌴㑡㔵㙦戸㜵搸ㄹ㈹散换㑦㌱搸㐶㙡ㄶ㈶〶㕣㔶扣昶ㅤ㜰㑢ㄷ攵捡㘲㌴㜸㈸㠸敤㐵戴挶㥣㥥㘵㙤㠸㤰攱㉥ㄷ改㥣㍤㠶〳㌸㘲㔴扡戳ぢぢ㠱㌵愵慦㐱昳昲㍥〲㔵晤㌶㉡㜹昵慣㘴愳㠴挱㈰戵㑦愳㌱㉡收㘷挵ぢ昶㘷ㅥ㙥㐶ㄴ㔵摣㘸㘶㙢戶慢戳扢㌳摦㌳㘴づ〲扥㠶昰㘵挴㜹㠴晥㡤慦㝤ㄲㅡ〳换攴㠱搵㜴攰㐰㙡ㄷ昳敤㔱愱〵ㅤ㥤㑢㍡愴㌶戵摤㝣㈷戳搸慢㙦㕦ㄶㄳ㘲㌹摣戶㠵昱搴㍦㕤㘳挶愱挲〰㤷㍦㡢愱㈴ㄶ㜶捣〴戸㘶㈳㐹㤲㈴㐵搲〴㔲摦捦㘲㝣〶搵ㅡ扢㈰扤摤挴〹昸挴㐳㌸ㅦ㡤攵㘳挹㐴㈴ㄶ㡢挶愳㤱㜴㈶ㅥ㡥㈶搳㑤搱㜸㍣㤹挸㠶ㅢㄳ㤶㠴㜳㔰敦慥挸㘳㌱㠰㐳㉡戶ㅢ㔳㡣攴㤰ㄴ㘵つㅦ㈱挵㥡戲㍡摦敢㘶㌱㙣㠳㍤挶搸ㅤ攵㙣㌰㜱㐲㑢昱攷㤷㡣戱㘰昷〷㕢ㄶ㙡昷挶㉢㤳㡤㜱攰っ〰挷ㄷ㈸㘶㌱敥㠳㕡捣昱㄰㥡㐳戹㌷〴㐴㌱昶㠳敥㉥愴敥㐱㕢㜱㌸㍡挳㙡㌲㘰ㅣ㔶っ搹㤰攸捥㈹㘰愸捦㤰㤲㘳㥥㡡ㄴ昶㥤づ晥㠵换㥤㐶っ戸㔴愱ㄸ㐲㈱搸㘶㜰扤㤶㘲ㅣ㠵戴搴ㅥ攰㥡搳㐹㘶㤰捣〴愹敦㙦㌱㠴㠲㤹㡣㍤㤱㜶ㅡ㈹㥦つ摢攱㜰摥㑥挴挳㑤昱㘸㍥㤵㡥愶搲㠹㜴㌶㤶㑢㘷㌳㑤改㜰愳挵攲愴愰㔹挸㘳㈹㌷㌵㥢愹㙡㌷㐵㔹㐳ㅦ愴晥㌷㡤㔴〳捤昸慢㌲搹㐸㈶㥢挴㘴㉢㔸戵㉥㝦ㅦ戲㠶ㄳ戱㍤㡤搳ㄷ㝣愹昳晥攰㜳㐷㝥㈶戸昴ぢ敡㙡戴〳㐷㈳〴㔵挶㠱㠰㔴ㅣ㘲敡㑡挰㌸捣㡡㠶㠹ㄵ㠲㈶㌱昳挱挸㕣摦㘰昵㐳ㅡ㡡慢㡣㐳㤰搶㥤㍦ㄳ㠹收ㄲ㤹㐸扡㈹㤹㠹㈷㥡ㄲ愹㘸㈲㤹㡦攷愳㑤㤹㐴っ㕦〷㑢ㅢ㠷㝡㔰㡣㠶㙣㉥㘷㐷昲昱㙣㈴㥥㐹攷㥡挲㑤戱㜰㉡ㄷ换㘵搳㡤戹㐸㌶㙣昵搷敡捤ㄶ攴㌱て〳戱敡㕤㔶㥡慣っ㔹〳㕣ㄶ〱〲慤摤〰慣戵㥥㤱㜴㡣〰㌲㔵戹敦づ慡改摢户散昱㡤攲戳ㄳ挲〷攴㑣㈶㐱〵〶㘹敤昹㌰㔳敦㈷ㅢ㌷ㄳ㕢愳攰散㤸ㄹ昵挴ㅡ〶敢㍤て㈴㘴㙤〸〶㜹挶㝣㈴〳㐶㘵㉢搸挵愳昲㜰㜰㑡㐷攵㐰慤挵㕣〰愱㝣っ㑡㍥ぢ愵〶㠱㉦摤愳〳㝣慦㝢㙣〲慥㜴㡦㌳㜱㈰㕥昷㔸〸㐸攵敥㜱㝡㘰昷搸ㄴ㥡愴㝢㜴㈱㌳扡挷㘶扡ㅥ㐶㌷搲㑥昷戰昳㡤挹㐴㉥㥥㡤㘶挳搱㜸㌲ㄳ㘹㑡㠵戳改愴㙤㠷戱㤳捥愶㘳㐶㡦〷捤㘵搰㜷挲㤱㔸㍣摦〸㌷㥡㐸愶昳㠹㜸〶㍤㈸ㅢ㑦㐶戲戱愶㤴戱挸㠳挶㌲愹㐸㌴ㄲ㙤㡣㌴㈵散㜸㌸㥥㑦㌵㠶㔱㑥㌶㤱㘸㡡㈵㙤っ㙣㙢㜳㕤ㄳ㜳㌱昲㤸㑢㐸㤶㠲㔸㕢戸晣㘵㘴ㅤ㐹㜲ㄴ昹㕢扡㝣愲ち㤹搴㘰昰搹戹搴㜲ㄸ㠰つ捦摥㙦ㅥ㐷搰㜲㤰㤰㌵挴捤㔸㌲㘲㠷扡晣ㄳ㠹攵扢晥攴㙢㔹㙡㕢㉡㘳㙡〵昸㕥㤳㙣〷慥㌴挹ㄲ㝦㤳晣ㄴ㤰捡㑤戲㈸戰㐹戶㠷㈶㘹㤲㔳㤱ㄹ㑤㌲ㅣ㘹ㄹ戱愷㈱敤㌴㐹㘳搸㑥㌵搹愹挶愶㙣戶㌱ㅥ㑦愵㌳㑤戱㝣捥づ攷戳㤱㔴㍥ㄶ㙢㑡ㅡ㍦昳愰㜱戸㑡㍢㥡㙤捡㘱愴挶挳挹㑣㍡搲㤴㡤㈴昳攱挶㙣㈴㠲㉦㌶㠴慤ㄱ㕡扤㜹㍡昲㤸㘷㠰㔸㈳㕤搶㤹㘴㥤㐵搶づ㉥㡢〰㠱慡㥤挰ㄲ挳㉥搰㠶㐵扡捡㍣㤷昲㤵㈰㈱㙢㌴ㄸ攴ㄹ攷㈱ㄹ㌰㌲㔶㠱㕤㍣㌲㝥〱㑥改挸搸㔹㙢㌱捦㠷㔰扥ㅤ㈶㕦ㄱ㔳ㄱ昰愵ㄹ㉥〲摦㙢㠶ㄸ戸搲っ㘹㝦㌳㕣〲㐸攵㘶㘸〹㙣〶〶㐱㐸㌳㕣㠶捣㘸㠶〴搲搲っ㤷㈳敤㌴㐳㉣㥥挳昷㉥㤲㤹㝣㉡ㄵ㡦㘷㌲㤹㔴㈶㥡ち摢挹㔸㉥ㄳ㠹挷㈰㌰慥昰愰㌹㥣戰搲㠹㕣㌲㤹戳㔳昱㝣摡㑥攷ㄲ搱㜰㍣㡢㉦㈱㐴㌳㜹㝣戲搲㙡搴敡捤㉢㤱挷扣ち挴㑡扡慣慢挹扡㠶慣㤴换㈲㐰愰㙡㔷戰愴ㄹ昶昱㌷挳つ㤴摦〸ㄲ戲㜶〳〰㝦㜸改ㄱ㜹㌴扡㐹㍢㕢㘳㕣晥㉤㘴㑤㈴㘲〲㠸ㅡぢ扥ㄸ昶㜶昰㍤挳㡥〷㔷っ㍢摤㙦搸㍢〰愹㙣搸收㐰挳㌲㉡㐲っ扢ㅡ㤹㘱搸㠹㐸㡢㘱敦㐴摡㌱㙣㈶㥡て挷㌳挹㘴㍡ㅤ㑢挶敤㘸㈶㘵挳搱挴㔳㌸㈹挵攱㌶㜲㔹攳㉥てㅡ㑢㘶㤲㌹㝣㜲〴㍥㉡ㅡ㡦㌴㌵愶ㅡ㘱晤ㄸ㘶〷攱㙣挶捥㘷㔲搶㈴慤摥扣ㅢ㜹捣㝢㐰慣挹㉥敢㕥戲敥㈳㙢㡡换昲㔰慡ㄹ㉣㌱散㔸扦㘱ㅦ㘴㤶㠷㐰㐲搶ㅥ〰攰慦散㔴㍦摤攵㍦㑡散ㅥ㐴㌴㠳㔸㌳〸收捥㑣㜷㘷㑦㜷㘷㤶扢㌳ㅢ㍢扣㤴㌴ㅥ㘷慤㌰㜵昳㥥挴攰㘴摦昸㍤戸昵㉤㑥㠰㥤ㄳ挷㙣㍣〱㔶挹㤸㌱㥥㈴㑣㘶㠲㕤攳㜳戹㉥扣㙤摦㜸ち慣㠰㌱昸㌴搸挵㘳昰ㄹ㜰晡昱㕢㐰〸晣攳㜹搳摡㑢㔷愹㡥㑦昴捣㘲摤㥥〵㘴昷攱〷つ㘵㤴戴㝥挴㈳昸攵改㙢敥㍥晥昵㍢㉦㠹摡摤㔱㜹ㅢ晡㈱晣敡㐷摢昰愱㜳愳㐹昳㌹攸㤰捦慣搵搵㐹ㅦ㥢㠳㔲愴搷扤〰㠱搷敢昶〱㔷㝡摤づ扥㕥㘷昲㐴挷慢ち㌵㈲戰㠳敤㡢㑣搲挱㕥〲づㅤ㙣㍦愴昱㔷㘵扣㡣戴搳挱愲㤱挶㈸收㍣㤱㐶㑣㜱攲攸㌸ㄹ㥣㠰戲散㐲㤱ㄴ晣㘵㉥㙡晣搹㠳收攳㤱㙣㈶㤳换收搰㈵攳㤱㝣扡愹戱㈹摤ㄴ挶ㄴ㈸㤶㑤㘵敤㜴挶昸㡢〷戵搱攱挲㑤搱㔸㈶㘶㌷挶㌳搱㙣㍡㤳㑢㈶ㄲ㤹㠴㥤捡挶㌲攱㘸挲摡㕦搷挴㝣〵㜹捣扦㤲扣ち㘲ㅤ攰昲㤷㤱㜵㈴挹㔱攴ㅦ攸昲〵㑦愸㘴㔲㠷㠰㉦㕤㜳㜳摤㌵㌹㝥捣㌵㤴扦〵ㄲ戲ㄸ㉦㠲扦戲慥搹攲昲摦㈵㜶㍦㈲昶〵㔱㘹昰挵晡ㅦ㠰敦㔹㍦ぢ慥㔸摦昲㕢㥦㘳㕥慣㍦㈰搰晡㌹㘴ㄲ敢㝦っㅣ慣㙦㈳㉤挳晢摦㐸㍢搶㑦收昲戹㜰㈲搹㤸捤㘶㜱㑥㡡挰㠸㑤搹㘸㈲㥢㙦挲㉣〳㜳㠵愸昱㠹〷㡤攵昲戸〰㑢㈵ㄳ昹っ㠶㜷戲ㄱ收㑦愱挱搲挹㠸ㅤつ㌷收㔲㔶㕥慢㌷晦㠳㍣收愷㈰搶㍣㤷昵ㄹ㔹㥦㤳㌵摦㘵ㄱ㈰㔰戵〰㉣戱㘱㡤戶㈱搲㔵收搷㤴㝦〳ㄲ戲摡挰㄰摥敥攴ㄵ㘶昲敤㉥扦ㅡ㜷㕦攵〳㝡收㈱挸㙡㜵㄰捣㥤㑥㜷㘷愱扢㜳㠴扢搳㠵ㅤㄹ摥晣ㄸ㙢昹昰㌶挰㉤ㄹ摥㝤挱㉡ㅤ摥㜵㠴ㄵて㙦㝥扣㌹㘰㜸㠷挰㉥ㅥ摥晤挰㈹ㅡ摥摤扡㑡㌲扣戳愸扦㔱て挸㝦㌵扣ㄱ㕥㍡〰㍡捣ㅣ戴改攱扤〸愵㐸〷戳㈰昰㍡搸ㄲ㜰愵㠳㝤昰㐵㘱ㅥ㙢㝡ㅤ散㍤㜰换慦㘸㤶㈲㤳㜴戰㡤愰ちㅤ㙣ㄹ搲搲挱〶㈱敤㜴戰㈶摢㡥攷㌲攱㝣㈴ㅥ㑦挴㈳㌹㥣㍤戲挹愶㝣㌶㤷戱愳㡤㔱㕣㌰ㅡㅢ㝢搰㐸摥㡥挴ㅢ㤳改㈸攷㐷戱㝣㘳㍡㤳㙡捣㘷㘳攸㡣搹㔴ㅥ戳㔶敢㐸慤摥摣〴㜹捣㑤㐱慣愳㕣㔶愱㠳ㅤ敤戲〸㄰愸㍡ㄶ㉣改㘰晦挰㘱㜰攲㠹㜴㤵戹㌵攵㠳㐱㐲搶㜱㘰〸慦愴㠳㉤㜷昹摢ㄲ扢㠰戹づ〷㔱挷㠳敦㕣愱扦っ㡤㠵㉢昴攱搴㠶㉢昴ㄳ㈰ㄷㅢ㡦〰挳摤搴㠹㠱摣㤳挰㤵慢昹㤱挰慡ㄵ㠱㤸㥦扡摣㔱挴㐰㈱搲㔵敡㔴㔰㘹戳攷㝤㙤㘶散〴㐸攵㠹挰戳㐱つ愹㑥㜳昵敦㡣捣摥㝤㠱㥦㠱㡢〱㠷㌷㐹㠱㕢摦挷㍡㥤愵㘲戳捥㜰㜷捥㜴㜷捥搲㍢つ㘷㘳攷㝦㜳㌹捦〰ㄷ㤶㘲㐴㔰㥢㠰〱ㄶ〵扢㜸㠰挵挰㈹ㄹ戰搶捦戵ㄶ㌳づ愱㝣㜱搲㕣〸愵㙡㈵昸搲㘲㐹昰扤㔱戱ち㕣戱昰㘳㝥ぢ㌷〱㔲搹挲㡦〴㔹搸晡〵㌴挹㔰搹ㄵ㤹㌱㔴捥搷昵㌰㜶㐳摡ㄹ㉡㤸㤲愶㔳昱㔴㔳㈲㤷㡡挵ㅢ㈳戱㡣㥤捡攱㈲㍦㘵㐷㈳ㄱ摣晥㙡㌲挶㜸搰㔴㌲㤵㑢㘶㜲㠹㜸㉡搳ㄸ㑦挵ㅡ㔳戸昴㑦㈷戳戸㉣捣㐷㙣㍢ㄶ㌶㜶昷愰ㄸ㜵㜶㉣㠱ぢ㡤挶㐴㌶ㅥ㡥㐵㥢㤲戱㜰㍥ㅦ挱㕤㠲挶㙣慣㌱ㅤ戳㉥搰㌵㌱挷㈲㡦㌹㡥㘴㍣㠸㜵愱换㥦㐰搶㐴㤲㐹攴㌳敥〶㝦づ捡挱㌳愷扡ㄴ㑣ㄹ㘴慢㘱〰敦敡慥㤹昹昶〰〹㔹㡣慦㘱㐶㘳㍡㤲〱つ㌸〳散攲〶㥣〹㑥㘹〳㕥慥戵㤸㝢㐲㈸㕦敥㤴㙦㜸慡㉢挱㤷〶摣ぢ㝣㙦㠸㕣つ慥㌴攰㉦晤つ㌸〷㤰捡つ㜸㐳㘰〳㕥〳㑤搲㠰晢㈰㌳ㅡ昰㕡㕤て㘳㕦愴㥤〶捣㐷㤳㐹摣扤㡣攵散愶㜴㍣㡢㘹㜳㍣㤷㐰ぢ攲㍣ㅡ㑢愵㘲㤱戸戱㥦〷㑤㌵攵ㄳ㔱㑣㤶㌳㤸㕢挷㔳戸挸戶愳戸㍣㑣愴㥡㜲改㈸㉥扥㈳挶晥ㅥ㌴ㄶ㡢㐷㌲戹㉣㙥〸搹攱㌸㑥挲㑤搹㑣㌸ㅥ〹㈷戳㤱㈸扤㘹捥扡㑥搷挴㍣〰㜹捣〳㐹づ〲戱慥㜷昹〷㤳㜵〸挹愱攴摦攰昲〵㉡㤹㠸㔷㌷㠱㉦つ㜸㤱扦〱戳捣㤷〳〹㔹㌷扢ㄹ㑢扣攴㉤㉥㝦㍥戱㝣攰搹㍣㠶㘳敡㌶昰愵㐹ㄶ㔰㍤㌹晣晤ち㕣㘹㤲㜳㝣㑤㘲昲昲㕣愶㌲㘷〵㕡㥦㜱㍢㘲晤㑥愸㠲昵㝦㡤戴㥣㘹ㄶ㈲敤㔸㍦搶㤸㡢挷散㕣扡㈹㤳㙢㡡攷搲戹㑣㌶㥢捦愵ㄲ戸昴挰敤攳㔴㌶㙣ㅣ攱㐱㜱㌵㠳摢㈱㡤扣㘹ㄲ㡦攷㈲㐹散㐴敤㐸ㄸ㤶㡤㘳㡡搸ㄸ戵㔶㙢昵㘶ㄷ昲㤸摤㈰搶㥤㉥慢㠷慣㐵㘴摤攵戲㍣㤴扡ㄷ㉣戱攱ち㙤㐳愴慢捣㘵捣㜲㈴㐸挸㘲㜰㡦昰㑡㉥〱㝦攳昲㡦㈱昶㈴收㍡ㄱ㐴㍤〰扥搸㜰㌹昸㥥つㅦ〲㔷㙣㜸㡣摦㠶扣戶ㄶㅢㅥㅤ㘸挳㠷㤱㐹㙣㜸㈲㔴挱㠶扦㐵㕡㙣㜸ㄲ搲㡥つ㤳搹㑣㘳づ㌷搹搳昱ㄸㅣづ扡㘳扥㈹㥦㑢㌴挶昳㌶㑣搴㘴挷㡣㥦㜸搰㡣ㅤ戶搳㜹㍢㤶㡦挷搲昱㘴㉣〲㐷㤴戴搳㔱㥣敢㙤㑣㈳㘳㔱敢ㄱ慤摥㕣㠱㍣收挹㈰搶愳㉥慢㜰ㄹ晤㤸换㈲㐰愰敡昷㘰㠹つ扢晣㌶㍣㥤昲㌳㐰㐲搶ㄳ〰攰慦散㌲晡㐹㤷㝦づ戱愷ㄱ㜱㉡㠸㝡ㅡ㝣戱攱㑡昰㍤ㅢ晥〱㕣戱攱㝣㥦つ㡤㔵㠰㔴㜶つ昹㐰挳㍥ぢ㑤㘲搸昳㤱ㄹ㠶㝤づ㘹㌱散〵㐸㙢挳收㜰ㅦ㤷㌷摦ㄲ㡤戸㕢㥢㡣愶㘳愹㈶摣㈱捡㘷㌳㜹㉣㜵挴㜳挶㠵ㅥ㌴摢㠸昹㔱㌶ㄳ挵搷㠹㜱㤵つ摦㤰挹收ㄲ改㜴㘳㌴㥦㡣㘵㌲改愸挵昸㈰慡㌷㉦㐲ㅥ昳㘲㄰敢〵㤷㜵〹㔹㤷㤲挵㈰愱㘲㤴㝡〹㉣㌱散挱㝥挳㕥挹㉣㔷㠱㠴慣㤷〱挰㕦㤵㜱㌵㤲〱ㅥ晡ㅡ戰㡢㍤昴戵攰㤴㝡攸㍦㙢㉤收㜵㄰捡㤷㜹捤戳搹っ慦㠰㉦捤㜰㈳昸㕥㌳扣ち慥㌴挳摥扥㘶㈸㑣㍣㘷〷㕡晣㙦挸㈴ㄶ扦〵慡㘰昱扦㈳㉤ㄶ扦ㄵ㘹㙤昱㔸㈶搲ㄸ挳㡣搳㙥捣挶昳昹㔴㈶搹㠸摢攳愹㈶㍣㥡ㅥ㡥愶㤲㑤挶㙤ㅥ㌴㥣捣攱㘶㔱㈶㠵㍢愶愹㜸㈶ㅦ挹㠴㜱搷㈸搷㤸捥攷攲改㘴㈲㙥㕢㡣㌰ㄲ㕢摥㡥㍣收慦㐰慣㝦戸慣挲挴昳㜵㤷攵愱搴ㅡ戰挴攲㔳晣ㄶ扦㥢㕡敥〱〹㔹㙦〱㠰扦戲慢挳户㕤晥晤挴昲摤㡤昲挵㘱敢ㅤ㠲戱㔹晦㜴㜷摥㜵㜷摥㜳㜷摥挷づ慦㙣㑣㕥搹㤸扣㤰㌱㜹改㘲搶㤱㤸㈴扣ㄶ㌱㜹昹㘱㝤愰戱㜲挹㜱〹㌲ㄹ扦〷晢扦扡攴㠸㐵捤㈷愸晦㔲㘸㜳㉥㌹慣て摤慡㝤攴敥晣换摤昹搸摤㘱っ㤲搴㥡户㕢㑣摥㕤㌱㜹㍦挵攴つㄴ㤳户㑣㑣摥㈰㌱㜹㑦挴晡㐴㘳愵搶㔷戱搶㉦晥户戵㡥㈴捤㍦戲搶㔷㝢戵㔶㥦愲ㄴ㘷㤲㍦ㅣ慤㔷㤸攴扦っㅣ㈷昹㥦㐱㉥晤㜹㈷搴挹摤搴攷攰捡㜴晥㉦㠰愹㉦㕤捣㉢㐸戱ぢ昱愷扥㜶戹㝦㈵〶ㅣ愴慢ㄴ慦㑡㘴㈴っ昵㡤〴攳㙦㠰㔴㜶㐸㠳㠳㠶㠷扣㔲㑢㙡昶ㅡ㌲㝢搳㜹㐶㈹挹愰昹〷戸收敢㈴㙦㤰扣㐹戲〶〴ぢ戲搵挰㌰愷昱ㄶ搲捥㐰ち㘷敤㐸㌲㤷挰㍤搳㌰敦愵㘶㌲㡤㤸㍤㐶㈳㤹㘴㉡㤳㡦㈵攰攸㈵愸〹㜹捣户㤱挷㘲ㄸ㤳㤴晤づ㔳戵㙥㡡戲〶〳愹晦捤挵㐱㕦㘸愶ㄱ㑢敦慣搶戹晣て㔰扥㝣搲摡扣㠱戶づ戹昵晡ㄷ昸慣慥晣晡㠳㉢㉤㔰敦㙦㠱㝦〳㔲戹〵晡〵戵㠰㔵て㑤㘲敢晦㈰㌳ㅣ搴〰愴挵㐱㝤㡡戴㘳搷㜸愶〹㤳昵㔴慥㈹㤵戴戱㙦㌷㌵㈵戰っ搰㤸捦㘳㘶ㅦ挷摤㘸攳戳〲㌴㤹挳㥤戰㘴戸㈹㤲挴挴㌲㘲㌷㈵敤㔴㈴摢㠸㔵㔷㥣㤶昳㘸㠲〶慤摥晣ㅣ㜹捣㉦㐰㉣换㘵㝤㐹搶㔷㘴㌱㝡㑡摣㤸㠷㔲ㅢ㠱㈵づ㑡攱㌰扣㉢㘳昶ㄹ㔳㠱㠴慣㐱〰㠸㘱㑢收㝣ㅢ扢晣㕡㘲昹戶㐸昳㌶㥡㜱㔳昰愵昹敢挰昷っ扢㌹戸㘲搸㑦㍦て扡扢昰〹戸攵㜷ㄷ戶㐰㈶戱㘱㝦愸㠲つ户㐴㕡㙣㔸㡦戴㘳㐳捥㠶㈳㡤㘹慣愵㈴㜱㠳〱㥤㌳㙥攷㌰晢㑢㌴攱扡㈸摡㤸㑢ㄸ〳㍣㈸㔶扦㜸昷ㅡ㥤户〹户㈲㈲㌶敥〲摡昱㈶㉣㄰㘰昱ぢ换㘷㐹㙢㉢慤摥㙣㐰ㅥ搳〲戱戶㜶㔹〵㈷㍦搸㘵ㄱ㈰㔰戵つ㔸㘲挳㝦攲㌰㍣ㅢ㙥㑣昹㈶㈰㈱㡢㜱㔲㐱㌶㘴攸㤴昰户㈰㤶慦㤸㤴敦㤱㕢摢㠱捦捤摡摥摤ㄹ敥敥㡣㜰㜷ㄸㄸ戵慥敥㜲〷㡤ㄵ㜷㜹㍦ㄴㅢ摢愳挰㌱晦捤㙤攳愴㌹㥣㜵㝥〰捡昴㙤愵ㅤ㔱㠸㌴晣㐸〸摣㠶户㕣搷愸㐶扢攲ㅤ㈰收㐶㠸戵㌳戸搲挴愳愸㙤㐷㤰晡〱㔶搸㘵敥挴㜴㠳ㄵ㜷搳愳〹摡㤹㈴㑣ㄲ㈱㠹㤲挴㐰敡㐳戵〹〰㜷慤晣㠵㐲㕦攸挵㈸〴ㄹㄵ㝤㔰㝢㌲㍥㤰扤㡣㥤慢て㕥㑣攲㍣㕦㕦㔳扤换㜷搳挵㕢昵㝣愳て㝦戵㑦愰㑦晣ㄷ㝡㘸愵挲愲㌷㌵㜲攱ㅢつ愹ㅡ㜱戰㍣㘰昵㝢㤴挰㔲〶㔰〰㐳㜰晢散㕢㤵㜴攵㡦㙢㜹〳昸㍥㜹捡㤵晦㑥换户㈸㤶㌷戹昲挷戴㝣㌰攴㘶ㄳち愸摤ㄵ愲挰㜷㠸㌹㔱㌰㜳昰㉡ㄸ㝢昴挴〹挹搱晥て㉢戳㘶㠳摡㥢扢ㄱつ㠳㑦ㅦ捦敤ㅣ㉦㙦ㄱ攳㔲捡〶㙥㤴捣㈸昷戳换摢ㄵ㌸敥换晡摣㙣戳扡扣㝣昸㡡㌰挲㤴㈰ㄸ挵㡦㌴て㉡愴㝣㉦㐶搸愲挰挵㕢ㄹ昱扥㌸㍢攷㙡散㐶㥣㜱㑤㜵ㅦㄵ昸敥づ晤㡤㕣㝣㤶搶㔵㌰戹㘳㔱㍢㑤戰㐵挰㝢㘸㈶戴昶挸扢㥣戶㠴㕣㤹扢挰㍣挶慥㌸㕥㘳捣戰昱挳ㄲ㡤戵て挳㠲敢㔱㑡㜱㥢戳㑣㙥㈱㜳っ㔴慡摤愰㥣晡挸㔲㡣ㅢㅡ㠶㥤搲慦戹晥〶㠰㍦攳㤵〲㘵摦愱扢㑦ぢ捡㍥㜵㍢ㄹ㥡㔸慥㌹㤱㠵㔰㌷㝦㔳㕣敥㈴戶ㅥ㌹昸㔹㔳挱㤵㐱㍢ㄹ㕣㜳ち〸〶敤㌴㤷㌹㤵改〶㡢〱㐶〲㥡㐶㔰㌳挹ㅥ㈴搳㐹㘶㤰捣〴愹て愹㍤〰㤴㝥㝣㉢敡挶㝥散㜶㜰挶㈱㠹攰ㄶ㉤㈸改攰㌳㕣昹捤㕡㕥搲挱㘷扡昲㥢戴扣愴㠳捦㠲㥣㍤㔹㤹㝢㠲ㅡ㜳㔰ㅤ愷挱㔲敡〶攴㜰㡤ㅣ㌲昷㠱㐴捤〶挶㘵愹㝤㤰ㄸ〶㔳㤴摡晤㙡攴ぢ戴晢㔵㕡戰㘹攲㠱攸扤昳晡捦戸改攵〹敦㕦㝢愹戹捣摡ㅦ㥡挴㑣〷搱ㅡつ敡㘰愴攵愰慦搰㤵㤶㔱㜷〸㙢搰〲㤱㔳摦㐳戰㘷戴㌸昵㥤㌹㉣ㅥ慥扤〴攰搲㜷ㄷ挹㉢攵㜴㌷㘶戰づ〷㐵㔷㘷㕢㜳㡥㙤㔸㜰㈹搴㑦扦ㄷ㌲搳㉣攴㌰慦㤰㐳㔹㐸搶㈹攴㐰ㄴ愲㉥㐰㈱㉣㠸㘷㉣㝣㡣㠶攸㌴㌰㉥㑢㘵㜴㠲摡ㅡ昲㐸㘰捡㈱㤳㑦晣攷㙥敥㉢挸慢挶㌹㥣㍡晤扦㌵慥㘱㥥㥢攳㄰㌵昴慣昱戵㝦㍢戶昴㉤摢㑥㡥户挶づ摡㠰摢㤹㘳ㄵ攳㜳㠶㠱敢戴挲〰ㅣ㤷昳㘹㤲㤵愸㘴㘰㉢㥣慢〵愵㥦愱戴㍡愰㐹㕡㘱〱㡥ち慤挰〸ㅣ㘹㠵㜳㤰㠳㝤㔲㕡愱㥤㠷扣ㄸ㈲愷ㄵㄸ㤶㘳㜴㠲搷ㄷ挳㝣晡戰㐸㔸㥤〱愴㙢㡥㤰㜹〴攱㑢㍣㜸て攱摤ㅡ扥〷攱愷㙡戸㘳晥㐵㠴㉦昵攰㡢〸㕦愲攱㌳〸㕦愱攱㄰挰晥换〸攷ㅡ㈵ぢ㈴㑢㜱慤搲㉤㕤ㅤ愵ㄳ搲ㄸ挷㈱〱昸扡㌷〶戰搸㌶ㅡ搷戰摣捤搹㙢愳㥣㜱摤㌸挹㌰敥㈶攷晦捦㙥ㄹ愷㑥㐴捥㘱攰㤶㌶捥昱愸㙥㘰攳晣㔸ぢ㑡㍦㤱㘹慤㠰㈶㘹㥣㘳㜱っ㘸㥣㔳㤱㤶挶㌹づ㌹扣挶㔹㑥㝢㥣づ㤱搳㌸愷㘱捦㌸ㅥ㍣っ改挹挳㈲〹㜵㌴挰戴㡥㘳散ㄳ㠹㍥挳㐳晦㡣攸㥦㌸攸㝤㠹㕥慡搱㑥㕦㍦㤹㘸〶攰㜸收㘵㈰㡥慢慤攱㕣㈴搶慦慦慦㜴㜳昴㙡搶攳挶㡦扢晥㍡㙥愱㜱敡㝣攴ㄸㄶ㘰捥㙥㔴㌴搰㥣㕤㕡㔰晡㠵㑤敢㈲㘸ㄲ㜳㥥㡥愳㠲㌹㉦㐳㕡捣戹㄰㌹㍣㜳㥥挹㐳扥ㄲ㈲挷㥣っ戴㌱捥㜶っ搴㍣㉣ㄶ㔶㙤摡㐰㡥㌹㝦㑥昴㔵ㅥ㥡戱㌶挶㑡〷扤㍦搱昳㌵摡㌱攷㉡愲慦〶挶㌳攷㌵㍡㈱扤昵〶㈴搶捦㥣㌷扡㌹㉡㤹搳㜹㌸晣挵戱〳㕤搷挱㌸㥢㘱〱收捣㙡慢㤵㥤㌸㌳㕡㔰晡㠱㑥敢㜶㘸ㄲ㜳㕥㡣愳㠲㌹㔷㈳㉤收㍣っ㌹㍣㜳㕥捡㐳扥ㅢ㈲挷㥣㜷㘲捦戸摣㌵㔰愴㐹ㅤ㕣㘴愰㉢㠹扥挷㐳摦㐵昴搵づ扡㜹ㄸ搰晢㙢戴㘳晣㙢㠹扥ㄷㄸ捦㥣昷改㠴㤸昳㐱㈴搶捦㥣っ愹㤱ㅣ㤵捣〹挳㘱㡢敢摥昹挵㔸昵㈸㜲っ〳慢㜴戰捦搱㔶㉢㌳攷摥㕡㔰晡㝤㑦挵㔸㤴㠲愶挵㥥㑦摦戳㤲愶㤹㕡㔰晡搱㍥敢〵㘸㤲㠶戹ㅤ昶㐱挳扣㠴戴㌴捣㜴攴昰ㅡ收づㅡ敦ㄵ㠸㥣㠶㜹ㄹ㝢挶㙡昰攸搳㘷っ㡢㠶搵㔴愰㘹㔸〸攰㜵敦㈲晣慦ㅥ晣捦㠴摦愳攱㝢㄰㍥㔱挳㥤愶戹㡦昰㔷㍤昸㕦〸扦㕦挳愷ㄳ㍥㔶挳㥤㠱昱㈰㐴つ㙢〸㐲㘱晣昹戶捡㘷㑥〷〴㘷晤㤶㥢戳搷㜶ぢ㜲搶敦㈲攷㌰攸㈹㙤扦㕤㔰扤㐰敦搲愴〵愵ㅦ〹戴㍥㠰㈶戱晡㘳愸㍦慣捥挸ㄳ戱㝡ㄲ㌹㍣慢㍦づ愱晡て㐴㡥搵晦㡤㍤攳〹昰挴㔹挷攲㉡愶捤攲㔸昱㈹愲ㄹ㉤攲愰㍦㈱晡ㄹ〷扤敦㌰愰㜷搶㘸挷㠸捦ㄲ晤ㄹ㌰摥㜰昸㕣㈷㘴㌸㝣㡤挴晡つ㠷㙦摣ㅣ扤㥡戵敡㠰㠲戳㘶㌴捡戰〰㜳敥愰慤㔶㌶ㅣ㐶㙡㐱搹㌷〶ㄹ扢㔱搰㔴ㄸづ摢㔵搲㌴㑣ぢ㑡㍦摤㘷㌱搸㐳ㅡ收ㄵ搸〷つ戳ㄱ搲搲㌰摢㈰㠷搷㌰慦搲㜸㥢㐰攴㤸㥡㘱ㅣ挶摦ㅤ㔳㑦ㅥㄶ㡤慢慤〱愶㕤㥤㠶昹〷搱㡣戲㜰搰㡣攴㌰摥㜰搰晢ㄲ扤戹㐶㍢つ戳〶㤲㠶慤㠱挱摦扡昷敥〶〶㘸㐸㡥㕥捤㝦㝦搷㌸㘸挵搶㍣㑥㌱㔶愳㘰戴挲扣㜰㄰慡ㄳ搸㥢㌷搲㠲戲敦晢つ㠷㈶㑥㤷捤昷㜸愴搸攱捦ㅡ挱敡㘰㔳㈳㕤戱挷〱搷ㅡ〵㉥扡っ㥥搹㐵㈶㐴㑤㌰愴愲㡥改て㤱㌶㍦㈲昹ㄷ挹挷㈴晦㈶昹〴愴扥㕡㌱捡㐲㥡㈴㠴晡㜸㑤昲㈹㠴㉡づ㔱攱㤰晥㑡㙤慦㠲愸摡㑡㠷㔴愳〵愵㕦攱戳㤲搰㈴晤攰㙢ㄶ摡愰㜶㜵ぢ慤昶ㄷ晡㉤ぢ攵慡扥搳戲扢㘱捦㔰戸摤㐴户㠸戹㙢㕣㝤昳㤹扦㈳昴㠱㐸㡤昳攰㡣㔳㌰㙡㌵ㅣ㌳攳戸晡㐲挳㥤㥥搰㤷㜰挶ㄸ㌸摡㜷㈷摣搴㜰㑣㜵攳敡㍦ㅡ㑥㌳㠶捣㝥㠴㌳〸挱昵挳㡡挱〸摥昰㘶㔰㠲摢㈷ㅢ㥡愹ぢ戹昸昳㙤敢攰㍤ㄹ愳㈰㌹㝢敤㘷㝦㍢㜱㥣愳昶㘴攷晦㜱愷㡦㔳っ㐴㈸㌴㑥愱扦㝤㠴愳〸散㙦ㅦ㙡㐱改挷〱㉤㠶㉥㐸攳㙣㠰㐳㐶攳㌰搴㐰㝡挴晢挸攱昵㠸㠱戴挷〱㄰㌹收㘳晣㠱㌱〸㍣㕥扤㑥ㅦㄶ㔷敦㘸敢㌹挶摥㠴㘸慥昴㍢攸晤㠸摥㑣愳㘷〰晤愶㐶㍢戶摥㠲攸㠳㍣㌴愳㄰㡣慤㌴㝡て愰㕦搳㘸挷〱っ㈶晡㘰㘰扣㤶㘱㤴㠱搷㌲㠷敡㠴㌸㕥挶ㄱ㝣户㤶㘱昰挱㜷㙢㤹昹挸ㄹ搴㌲慦攰㈸〲㕢收㉦㕡㔰晡挵㐲㡢ㄱっ搲㌲摢攱㤰搱㌲っ㐳㤰㤶㜹ㄹ㌹扣㤶ㄹ㑥㝢㌰ㄸ挰戱㌵㘳ㄳ㡣㤱攰搵㡥ㄹ戶晦戰㈶昵愲㌶㥥搳㌰愳〸㘶㘸㠱〳㘶㜴㠲戱㤳〳㙥〶昸㔹つ㜶㉣扤㌳挱㍤㠰㜸挶㘵〴㠲搷敤㤷㈱㠱扦㜵敦昶つ㡣㐶㤰ㅣ扤㜶昷慡㘱扡扢㝦㌸㔶ㅤ〳㜸㤰㌱㥦搴㌶㉢㍢慢㍤愱〵愵摦㍢戴ㄸ捡㈰挶㑣攰愸㘰㑣挶㈳㠸㌱ㅦ㐷づ捦㤸㐹ㅥ昲ち㠸ㅣ晢㌰㐸挱㘸〲て摤扣㤹㜳愷㐷㡡っ戴㉢搱㈷㝢攸㥦㄰㍤挶㐱敦㑦昴㠳ㅡ敤搸㝥㉣㈴つ㡣㈸挰摦㝡ㄸ㡤攱〷㤲愳㤲搱㥣敦㘰晣㝤慣攵㕥㘸㥣〳㜸㤰搱敥搵戶㈹㌳摡㍤㕡㔰晡㔱㐴㙢㈵㌴㠹搱㈶愳敥㌰摡昹㐸㡢搱敥㐲づ捦㘸㔳㘹㠶㡢㈰㜲㡣㜶〱昶㡣㘶昰搰〳昷挵昰扤愳挸ち搳〹㘶晣㠰〳㘶〸㠲㌱搳〱㑦〶昸㔶つ㜶㝡攰㉣㠲㉦〱挴敢㠱っ㌳昰㝡㈰愳〸昰户ㅥ挶㘴挸㠱攴愸㘴㑣㘸慢慡昲㕦〴㌳㥥㈰挸㤸㌷㙡㥢㤵ㄹ昳〶㉤㈸晤慡愲挵〸〴㌱收㍥㌸㉡ㄸ㤳㘱〴㘲捣敢㤰挳㌳收㝥㍣攴摢㈱㜲散挳搸〲攳〰昰搰〳㌱扦㐹愸慢戴㠱㥣㍥㜵㄰搱㡣つ㜰搰っ㉦㌰づ㜱搰㤸㍢㈵搴㘵ㅡ敤㤸戳〵㤲㠶扢㠱挱摦㝡ㄸ敤ㅥ㌷㐷慦㐶ㅢ搷愹㈷愳攱㜱敡㝥攴〸㌲摡㠵摡㌶㘵㐶扢㐰ぢ捡㍥扤挸㔵晤㠲愶挲㘴昴扣㑡㥡㔶㙡㐱搹ㄷつ晦㔸㐱搳搹㤵㌴㥤愵〵㘵ㅦ〷攴㕡扣捣搰㍡㘹㝤㤸㔲㝥㝦㜱戹ぢ挱攵㈶昳㌶㉥挱㑢愳ㅦ〱慥搹〵㠲晢搶㝦㜵㤹摤㑣㌷㔸㕣㌱ㄷ㄰摦攴㙥㉥㈲㔹㑣戲㠴㘴㈹挹㌲㄰摣户收㈲扡㜴㤹㤳㔰㌷㜶ㄹ昷扥㌵ㄷ搶㐵㜰愲ㄶ㤴摣户收㥡扢挸㑦搰昲㤲晢搶㕣㡥ㄷ昹昱㕡㕥㜲摦㥡㉢昵㈲晦戱㤶换捤挹㘳㔱㉢挵㐵㜶愷昷扤㠵㍤㘳㌹㜸㥣ㄴっ㙢っ慢㘳〰㜶敦㕦㠷捣攳㠹收〲扤换㔲㕣ㅦ㉦㌴㙥㘱㠶戹っ昹〲㑦㤵㑢戵愰昴ㄳ㠴ㄶ㔷搴挵㠲㈷搳㔰つ㡡㉢攰㔲摦挵晥晡㥥挲ㅡ㜰ㅤ摡愹敦愷搸㌳㑥〳㑦㑥㤵㜱搵〵慣敢㘸㐲收改〴㜳㔵摢〱㜳㘱摣㌸搳〱㌷挳㔱㜵㘸戰㌳戲捥㈶昸㑢㐰摣晣敡㉢㥤愰扣㠱㠳つ改昵ㄸ㜳捡捤搱敢㤸㍢㙥㑡攱〲戰ㄶ㌹ち挶㉣捣〸㕢戵捤捡挶摣㝣㉤㈸晤㠰愱挵〵㍢㌱收㉡ㅣㄵ㡣挹愵㜰㌱㘶ㅥ㌹㍣㐷㜵㍥て戹〱㈲挷㍥昵搸㌳㉥〴て㡤て㐷㥥㔰㤹㈲〳㕤㑣㌴㤷慦ㅤ㌴㤷挸㡤㑢ㅤ㌴捥ㄱ〹㜵愸㐶㍢㙥敤㜲㐸ㅡ戸㤸扤㝥㐶攳捡户攴愸㘴戴㤱〷㥦晥攰㈷㈳摥㉤摣捥攷㈲㜸㤰搱づ搰戶㈹㌳摡晥㕡㔰昶㤵挳攱㐵㥡ち㡥㙡㙥㈵㑤㜳戴愰昴㠳㠱ㄶ搷戲㙢搰㔹捣㕦挲ち戸㤶攳攲㌵㥢愳摥㔲㕣戱㤶㤶搸ぢ㤹搹ㄲㅢ㠳㡦〷愸ㄴ㔷戱㐵㌰㕢ぢ昸㉥搲扡㍡扥攱扢㜶㈷挸〲㔷〲攵㠳㍦愳㈷捡攷㔰昰愶〶扢㕢ㄸ昴っ戵㜹慥㤱昶换昳〵づ戶㝣㤳㐵㍥㉣搷㈶㉦㘶攸㡦㉦愳㜴㉤戰扢㘶攰㥢㍦昸ㅥ捡㥣搶㜶晤㈲〲㝣ぢ㠸㙦㝤㜷扦扢㘱㑡㡡ぢ搳㐶㝥㔶ㄷ㍥挴搱㌷摦摣㡤攷搹㜲㜵敤戳搳㍤㍤㜶㔷挷て攱㙤㈸㠸㕢攲敢ち戱㌹㕦て〸㝣㑢挵㈳㄰〷慥㜵㌹㈶㉣搸挳晤㠴㔶㌵㍦愸昲摤摥㠵㘲摣挲捥㡦挵㘵㍣㝢摦摤㌳㘴㌱搷㥢扢慢搵㥥㘸㔸〹㔷昹㘷㜴戳㙦愵扥㔸㐲㌳㙦攳㄰扡ㅤ愴て㔶㡤㤵ㅣ〷㕥㤶㙡晥ちㅣ㜹慢㤵㤰㉡挵㈰〶改ㅥ捤扡㝢挸㌰㔳㍢扢散㘹㥡扤〱ㄴ㠷ㄴ〳ㅤ〴㍤㔵戳搹换㐲㡡愱て挲㥥愲搹散㘳㈱挵㘰〸㘱㑦搶散ㄱ挲㡥戹散㐹㥡㍤㤲散㕡慥攵㤷㥡㤸㙦㉦攱慢攷慡㙡㤷戴收㝡收ㅢ昳敤搶㜹昳㝢昰㥣㔲扦㐷挰扣㜶散摢攳㡥ㄹ昷搳昱㌵㕣㡡敥㙤㈱㥣挷搴户扤㈵摤搵㤵㕥㔶搷摥搲㘶㜷捣敢㤹㕦搷戲ㄸ㉢晦昸㕡〳㉣㔲㔷㔷㘷摥㡢晦㔹ㄴ㝦搶㐴㘸㤴㤱㜶ㅦ戸ㄸ㘹㕣㜱搶㈳㙤㌲㜶攵愸挶晢㙣挰㤱挶愵㘷ㄱ㡣昳㔹挱ㄹ㘹㙡㉡㘴ㅣ㙤挶〳搰㔷摥㠴扢㈳㐷㜹ㄳ㍥〴慣昱㌰㐸愱〹㘱㈸昳户攰昸㥢㤰㑢摡㔲㙥㤳㉥搷㘹㐲㉥㜲ぢ㍢愵搹㑥ㄳ㜲搹㕢搸㐹捤㜶㥡㤰ぢ攱挲㙥搴㙣愷〹戹㌴㉥散㠴㘶㍢㑤㌸搳㘵挷㌵㕢㥡㔰㜱㘹㥡㙤㘱㍥㠹㉡扡戶㔴㕣㑢㤶㘳㝦ち㕣昷㥤㕦㌹摦攷㌲㙡㔴〴㙡㥣㠸慢攳慡ち㕤昸ㄹ攰㡤㍦㠰昴ㄹ摦摤㉥㤳㈶㄰㝣戸ㄵㅣ晦昱ㅦ〲晤散㍣敥愶搲㐸㐸㌵㥥〷搲慢㠶敤㜲㕦昰㜳戹挴㉡㤵㝢ㄱ㕣晦㙢㔴㡢㉢㌸㌲戰㠲㝦㐲ㅥ攳㈵㤰攲ち扥っ㡥扦㠲敤㈸愳愸㠲㕣㡢㤵ち晥〵㐸慦㠲㕣㜲ㄵ敥㉢㝥敥㌲㤷晢㔷㍦㤷㡢㡦㔲敤㔷挱つ戶改㤰挰㉡晦ㅤ㜸攳㌵㤰攲㉡晦〳ㅣ㝦㤵㤷㐳㝦㔱㤵㑦㜴慢昱〶㤰㕥㤵戹ㄴ㈹㔵㝥搳捦攵㔲㥥㔴㙥つ戸挱㤵摢㌴戰㜲㙦〳㙦扣〳㔲㕣戹㝦㠲攳慦ㅣ㔷〳㡢㉡挷〵㍦愹挶㝢㐰㝡㤵㕢攵㜲摦昷㜳戹㌰㈶㤵晢〰摣攰捡㔹㠱㤵晢〸㜸攳㕦㈰挵㤵晢ㄸㅣ㝦攵㉥㉤慤摣㤵㙥㌵㍥〱搲慢ㅣ㤷挹愴捡晦昱㜳戹㌸㈴㤵晢ㄴ摣捡扤戱㉥戰㠲㥦㈳㡦昱〵㐸㜱〵扦〴挷㕦㐱慥㌱ㄵ㔹㡦慢㐸㔲㤵慦㠱昴㉡挸挵㈲攱㝥攳攷㜲㑤㐸戸摦晡戹㕣㕤㤱㙡昳捥㜲戰㑤扦晤㌴㘸㠴㔷〳㙦昴〱㈹慥㜲つ㌸晥㉡㜳㠱愶愸捡㕣㠳㤱㙡ㄸ㐰㝡㔵收㕡㡢㜰晢晡戹慦攸捡㤹慣㕣㡤晡㌴戰㈲㈱㤶挸㡡ㄴ摣㑣㝦戲㥥〱㐷〸ㄶ捥㑡㉢挱昵〶㈹㙥〰㤰㕥㈵戸慥㈰摣〶ㅦ搷㝡て㕣㌹㥦㔸攰搶昷㔱扣ㄹ㑦㡢㤹㍣愵㔷慢昷摤㑡ㄵ㥤挲〷戲〶㍣㠵ㄷ㑥摦㠳挸昲㔵㡡㌷昱挵㍦扦つつ㥣昶㌹扥㥦户昵㠵晤㤶㘶㍢扥㥦㌷晡㠵扤㐶戳ㅤ摦捦㕢晦挲㝥㔳戳ㅤ摦捦挵〰㘱扦愱搹㈳㘰㡣㤰攲昲㠰戰㕦搷㙣挷昷㜳㘱㠰㙤攴㥥㤴搵搷㐸㐸愷搸ち㜵慥摣㤷㕦㠳㤶㜲搷㍦ㄸ㜹㡣㈱㈰挵ㅤ㘳㈸㌸晥挳攷挲㐰㔱挷攸〳㙢㠹昵户〵搲㙢ㄳ摥攱ㄷ敥㌰㍦户㥦换摤捥捦摤〰㕣愹昶昶攰㔶慥昶㑢㠱搵ㅥ㠱㍣挶㐸㤰攲㙡敦〰㡥扦摡〳㔱㐶㔱戵㌷㜱慢戲㈳㤰㕥戵户㜰戹㍢昹戹㠳㕤敥㘸㍦㤷㌷㠲愵摡㍢㠳ㅢ㍣〴㥦〹慣㜲〴㜸㈳ち㔲㕣攵ㄸ㌸晥㉡昳㕥㜲㔱㤵㐷戹搵㐸〰改㔵㜹㘷㤷摢攸攷㈶㜴攵㑣㥥㄰㙡搴㘳㠱ㄵ㘹㘲㠹㜴晥㠵㈱戸㙢㐹㈵㤲㤰ㄶ㔵㘲㔷㌰愴㘱挷昸㡢ㅢ敢㜲㜷昷㜳㜹愳㔲㉣㌴ㄶ摣㘰ぢ摤ㅦ㔸戱昱挰ㅢㄳ㐰㡡㉤㌴ㄱㅣ扦㠵愶㤶㔶㙥扡㕢㡤挹㐰㝡ㄶ㥡攵㜲愷昸戹晢攸捡㘹㈷戵㍡戰㈲捤㉣戱搸㐹㑤㉦愹挴㝥愵㤵㌸挸㉤㙥愶扦戸ㄶ㤷扢愷㡦㙢㜵㠲㉢㑥㙡ㄶ戸㤸昴昲㜶㤵㥥昴ㅥ㠱㕤ㄹ昴㌷愳㘶晥换㑢摥户ㄲ挱㑤㕡㔰戸扣㔴摤㤰搱攲摡挹摤攸ㅥ㔴㤱㤳㥢换㈳㈸㜶㜲晢㤲攵㜳㜲㍤㙥ㄹ搷攸㌲ㅣ㈷户挸㘵㕦慤搹㡥㤳攳晤㌱愹搱㔵㥡敤㌸戹㈵㉥晢㑡捤㜶㥣ㅣ敦愱〹晡ち捤ㅥ㈱㑥㡥㜷搵㠴㝤戹㘶㍢㑥敥㔸戰搹〱㍤㈷㜷㍣ㄸ搲〱て㐵㥤扤㌶收慤㈶改㙡㉤攰〶㜷戵㑢愰户摣敤愵㠱㌷㌲㈰挵㕤㉤ぢ㡥摦㈰愷攸㙡愰慡戲愹搳摤㙡搸㐰㝡搵㌸摢攵收晤㕣摥扡㤱㔶㜱捥㠷攷〵㔶愴㤵㈵ㄶ㜷戵〵㈵㤵㌸扦戴ㄲㄷ扢挵戵晢㡢扢摣攵㜶昸戹扣㠱㈱昶㍤㔳摢㜷㉣づ挴㕣〸㐸敤㙤㄰慤昳ㄵ㌵敦愴㝥挷搷㜱ㅥ㠱挲搴慦㔰ㄸ㜵㤸㕤扥摡㌵昰㔲㤰摣㍡㜶㌴挵㑢㐰愹敢㘹晥扡昶㌰晢㐳㄰戱扥收㈲愶㜸㘱㈶捡ㄶ晢㤵昱㕡愸愰㡣搷㌴㤲㘳〹㜳昰㔲㐶㜲㉣昵攷攰㘵㡢㤷愳攱〵㝦㑡昱㤲㐳昲㉦㘳㝥㕥㘹㐸晥㈳晤昹㜹㔵㔱挸捦慢㠹㐲㡡㔷ㄱ㕥㑡昱㙡㐰戴ㅤ㐵㙤晦搰㌲昳㘸扦㌶㑥昸扤ㅣつ㥣攸㝢㈹挵〹扢攴晦ㄱ昳晦搳捤㝦㡣㍦㍦攷攴㕥㡥〶捥挵扤㤴攲㥣㕡昲ㅦ换晣ㅦ扢昹㡦昳攷晦挴㥦愳㠱搳攵㐲㝥㑥㜹㈵晦㜲收晦搲捤晦㘳㝦㝥捥㙡扤ㅣつ㥣捤ㄶ㔲摦晡㔳㡡戳㔱搱㜶㍣戵㜱ㄲ㑡愴㜹㠲㕦ㅢ㈷㥣㠵晣㥣㘸㝡㈹挵㐹愴攴㍦㤱㙣捥ㅦ㈵晦㐹搸㜱挷㘴〳攷㡡㕥㡥〶捥ㄱ扤㤴攲摣㔰㍡摡㌲㝦㐷㕢㐱っ愷㠲愲晡㘴愶㌸ぢㄴ搵㍦挵づ晥攴愷㌸㘷ㄲ捣㈹ㄴ㜳慡㈴㤸㔳戱攳ㄵ扦慤收㑡捦㙥攰㜴挸㉢扥㠱搳㈰㉦愵㌸㤵ㄱ㙤愷㤱捤ㄹ㡣㘸晢㤹摥㘱愲㠱戳ㄵ㉦㐷〳㘷㈹㠵搴㘸㝦㑡㜱㤶㈱摡㑥㈷㥢㤳ぢ搱㜶〶㜶扣扡㜱㈲㔱挸捦〹㠴㤷㔲㥣ㅣ㐸晥㌳挹收扣㐰昲㥦㠵ㅤ㉦㍦攷〰㕥㡥〶㥥晢扤㤴攲㌹㕣昲㥦㑤昶㐴㉤㌳捦挱㡥㤷㥦愷㘹㉦㐷〳㑦捦㕥㑡昱搴㉢昹㝦㑥㌶捦扡㤴㤹攷㘲挷换捦㌳慣㤷愳㘱㑦㝦㑡昱㡣㉡㑤摢敡㙦摡昳㠸攱〹㔰㔴慦㘲㡡攷㍥㔱晤ぢ散㜸慡㜹㜶昱㔴㉢㥥㈵㈴挷昹㘴㘷戵捣扣〰㍢㕥づ㥥〸扣ㅣつ㍣〱㜸㈹㐵攷㉥昹㉦㈴㥢㝥㕤㑡扣〸㍢㕥㝥晡㜰㉦㐷㐳㐷㔱㡡㙥㝡㍦ㅣ㝥昵㔲㤵㍤㉣㜷搸㘱㥦㌵搴っ搹扣㘶晦㜱晤㔷晤敤昱搷捥㝡晥攰㌱㙢扥扡攰㠲攷㕦㍦敢㠹慦敥挹㡣㜹昴戲换ㅥ摥攳攲㈷㕥摢㌰㝦㐹昵ㅤ㥦捤戸攴攸挸㠲愳㡦挸敦戳挳搴愳て㌸㝣慦挸散つ㐶昵改搳户敦昰㠱㡦㙤㍡挲㍡敥㠸搵敡㠱㤷㌶改㔰攲㥡㘹摦㡢㔱ㄲ㌷捥㑡㉣扡㘸㤹㥥㕣㠲ㅤ昳㔲㤰晡敡〶扡攱晦㘹㕤挴戳愳㜸昳㌲㤴挴㑤敡㐲て㉦㜵戹ㅣ㍢收ㄵ㈰㠸㤸ㄲ㤷づ㠴㜹愵㠶ㄲ㙥搱戵㜳ㄶ㘵㕥㐵攸搵㠴づ㔰攲扤挹扣挶て愵ㄷㄷ攸戵㠴㕥攷㐰挵㌵ㄳ㝡扤ㅦ㑡ㄷ㉤搰ㅢ〸扤搱㠱㡡ㄷ㉥㠳搲ㅢぢ昴㈶㐲㙦㜶愰攲㜰〹扤〵㘹㜷戳攸㜸〵㝡㉢愱户㌹搰攵昸㑦㍡㐸ㄱ㤴㍥㔶愰扦㈲昴づ〷㝡㝣㈰㤴づ㔴愰慢〹扤搳㠱㥥ㄸ〸愵慦ㄴ攸摤㠴摥㈳搰〶㝡挰晦㘹ㅢ㡢㔳愵㌱敥㐵㐹摣挲昸㔹慥㜳㌵敦㘳㕤㝥㐳㜲㍦挹〳㈴て㤲㍣㐴昲㌰挹㙦㐱㤴昸㕤攴㌴ㅦ㐱捡摤㉣晡㕦㌹愴㐷〹㝣っ〴敤㝦ㅡ晥ㄳ㥢晥づ㍢敥㘶搱戹㑡慦㝡㥣愸㍥㑡㥣㈵愴收敦晤㈸㍡㑤㔱昸〴㜶捣㈷〹ㅤ愰挴㉦ㄲ㕡搴㑢攸ㅦ〵晡㌴愱捦㌸㔰㜱㠱㠴晥〱㘹㜷戳攸ち〵晡㉣愱捦㌹㔰昱㜶㠴ㄶ㌵㍤扤㥥㐰㕦㈰昴㐵㠱㌶搰㤷晤㑦ㅢ㐹摣㈳敢昲㐷㤴挴㑤〶㈲摤愴㤸散㑦搸㌱㕦〲挱㐰ㄴ扦〸㠴昹戲㠶ㄲ㙥搱㍦㑡戵晦㑣攸㕦〸ㅤ愰挴〵ㄲ㕡㜴㠴㜴㠵〲晤㉢愱慦ち搴愲㌳㘲㔱昵㌵㡡ㅥ㐸摣昹㄰敤捥㈷㠰捦㌵〰㝡㈵ㄱっ搶〲搱昲ㅡ戸ㄶ晤㠷捥㑥愷㈱愸慤㑡戲搳㤱㠸㘰㑢㝦昶㌷㤸摤昵㈹㡡㙥㐴㌰㥢晢㌱㙢挰㔵㜴㉥㈲摡戴㔸慦㐵㉦挳㥡㘰愱㤰慥㐵㌰㥢昸戳扦挳散㜴㌸㈲ㅡ㔴㤲摤敤㔳㡡捥㐶㄰ㅢ昹㌳扦挷捣㜴㐱㈲摡戰㌸戳愲搷ㄱ挱〶晥㍣ㅦ㌲て㝤㤱㠸ㅡ㡡昳㔸㙥㘳㈸晡㈱㐱っ昰㘷晥㤸㤹改㥤㐴搴扦㌸戳愲㐳ㄲ㐱㍦㝦ㅥ㌹㐲扡㈹ㄱ㤹㈵㜹攸㤹㐴㔰攷捦昳㌹戸㡡晥㑡㐴㐶㐹ㅥ扡㈸ㄱ搴㤶攵愱攳ㄲ㔱㑤㜱ㅥ㡢づ㐶㜷〲㝡ㄵ挱昴昱㘷晦〶㕣㐵㕦㈳㈲愵㐵捥〵㉦扤㡦戰慢㌴摢戹攰愵㍦ㄲ昶户晦㈹㕣㥢㠷ㄴ㍤㤴戰扦搱散㑤搰〱昰愱㐵㤷晤戵㘶㡦㄰㌶扤㤸愰扦搲㙣攷㠲㤷㝥㑤搸㕦㙡戶敥攸㤶敢攲ㄴ扤㥡㈰扥搰〸改昱㝤㑤ㅣ〶㝤㥤㠸㍥㉢挹㑣愷愷扢㈳㍤㥤㘰㍥㉤挱搰攵㘹っ晤㥣㘰晥攳㉦愲ㅦ㡢愰昷ㄳ搱扦㡢戳㉢㍡㍣ㄱ㝣散捦㈳扤㡥㙥㔰㐴ㅦㄵ攷戱㕣㝦愸攸〲〵昱愱㍦昳〶㉣㤰㡥㔱㐴敦ㄷ㘷㔶昴㠵㈲㜸捦㥦㐷㝡㄰㍤愴㠸晥㔹㥣挷愲㈷搳扤㠱敥㑢㌰敦ㄴ㘳ㄴ㕤㥡〸摥昶敢摤ㄴ㜵戱攸摤戴㠹攸搲〴戵挶㡦摡㥣㌵愶愳ㄳ搱ㅢ㈵㥡改摢㐴昰扡㍦㡦搴㤸ㅥ㑦㐴慦㤵攴愱㈷㤳愹攳㘰慡愶㘳㤲搴㄰愶攸㠲㤸ち㈹㡥㌵㘷㡦慥挱搹愳改㥤㍤㡥㕥㘷㡦㘵㌹㝢散昶摣㌳㠷㔲ㄳ㝢㡦挳㘷㈳㍢㝢戴扥戳挷㘳ㄷ散㌶搸㔱㍣㐶㠷㉦㔵㐲㘷㌶户〵换摤㤴㔴慤㡣㉢挵㤰㍢㑣㘳搹っ㑡ㄴ㤶㘲㉤㔷㥤㐵慣㘳敦㝥晦ㅦ㠵㜱㔶㐵</t>
    <phoneticPr fontId="10" type="noConversion"/>
  </si>
  <si>
    <t>CB_Block_7.0.0.0:3</t>
    <phoneticPr fontId="10" type="noConversion"/>
  </si>
  <si>
    <t>㜸〱敤㝤㜷㥣ㅣ挵戵昵搶㙡户戵㍤ち㍢㈲〹ㄱ㈵戴㐲〸㐹换攴㈰㤰愵㔵ㄶ捡ㄹ㐴㔸㑤攸㤱ㄶ㙤㄰扢慢㐴㤲挸㌹ㄸㄳっ挶㘴㙣㤳㤳㐹〶ㄳっㄸ㑣戴㌱〶っ搸㐴搹昸㠱〹て㘳㌰昸㤹敦㥣摢㘱㙢㘶㝡ㄴ昸㜸扦㡦㍦扥搶捥㔵搷慤㜳㙦㔵㥦慡慥慡敥扥搳㔳愵慡慡慡扥挶挶晦戹搵㜰㘷户〵敢扢扡慤戶挶㠹ㅤ慤慤㔶慥扢愵愳扤慢戱愹戳㌳戳㝥㘶㑢㔷㜷㉦〰㡣收ㄶ攴㜷搵㌶㜷戵ㅣ㘵搵㌵慦戱㍡扢〰慡慤慡慡慢㌳慢㤱㍦挸昹〴摤㠴㐹㉢戳㠶〲愸㉡搳愰攸㑤㔱㐷㘱㔲〴㈸晡㔰昴愵攸㐷搱㥦愲㥥㈲㐸㌱㠰㘲㍢㡡敤㈹㜶愰搸㤱㘲㈷㡡㠱ㄴ㍢㔳戰㝣㜳ㄷ㡡㕤㈱晡敥〶戱㜰攲㠴㌹搹㈳㜰㌴ぢ扡㍢㍡慤㔱㠳ㄷ摢㜵ㅥㅢづ㌷㠶ㅢ㈳搱㜴戸㌱㌴㙡昰挴搵慤摤慢㍢慤戱敤搶敡敥捥㑣敢愸挱㜳㔷㘷㕢㕢㜲㌳慣昵ぢ㍢㔶㕡敤㘳慤㙣㈸㥡捤挴㔲攱㔸㍣㕥㐸愷㔳㝤㜷㠷攷搹ㄳ㈷捣敤戴ち㕤摦㤶捦㍤攸㜳捥挴〹㡤戳慤敥㙦换攷㥥昰〹㤷㤳㍡摡㌲㉤敤摦㤲搳㕡戶㘹㜴㤲㤵㙢㘱攳㕢㔶㘷㑢晢昲㐶㔴扢㠸㘸愴㤲㡤㔳挰㜸㉥搳搵㍤搱㙡㙤㥤㙦ㄵ搸敥㝤摢挸㤹搵㘹戵攷慣慥晥㙤㤳搷攵慣㔶㈷扢慢慥㙤㜱愶㜳㜶愶捤慡攱㑥㝤㥢摤㙥搳昳㔶㝢㜷㑢昷晡㝥㙤㡢扡慣昹㤹昶攵ㄶ㈱戵㙤㔳㔷户攴㙢㙡㔴㑤㑤㔵慦攱㝥㤵㤱戶㘹㥣搲㤹㥢戸㈲搳搹㉤㈹戶㕡搸て慢昵㄰愹㜸㔱戵搸㡢〶㤷㔸戱㤹ㄶ戴戴捤戰㍡摢慤㔶ㄶ挲挶ㅢ㔹〲ㄲ㑥㙣敡㍤㜲摣愳㘱挳愸㍥捥昹挶㐳㘱㈹收㘰㡡㈱㄰挶㕥㄰扤攷慤捥戴攲挸捤愱㔴㌷㐰愸㥡搷㜰捥敡㘶㍣㙦慡㥢㌳搵捤搹敡收㕣㜵㜳扥扡搹慡㙥㉥㔴㌷㉦慦㙥㕥㔱摤摣㔲摤㝣㐴㜵昳㑡㘰摣慤慥㜷敦㙡㘷晢捦昲攷慣㘷㍥扤㝦昶㑦摥摣扢攵㡡㥢ㅦㅤ㔶换搳㌴敥㜷っ愵昴㌴㜵㜵慤㙥㕢挵昱挱㘹㍡㌹㤹摢㈶㜵㜵捦捤㜴戶㜵㝤扢㙤㡣ㄶ摥㔲㈳㌷㜵戵晤敦㌷㌲ち昹㔶ㅡ搹搸ㅢ㌴て㥣摤搱搹㠶㠱㘶㤶㤵㘹ㅦㅢつ㡤㕡搰㥤㥦㘴慤ㄹㅢ㌶㠷㈳搳摣〷挲ㄸ〱搱慦慢愵㙤㜵㙢㠶㑣㡦㐹㡣㌱昷㘵收㐸〸愵㕥㐴㍦㘰㕦㜸㝤挶〱〷捣㌵敡㈶摤昶晣㡢愷慥㍤㙦敤敦ㄵ㠷㔹㌶愴㌱ㅡ㘲ㅦ扤㤸㠴㔷㑣戴㌱㕡扣挵捤㐶愰捤晤㘸ㄷ㠲攸慦㤵ㅢ㡥㡥㌱挳捣㡤㐰㈸昵慣㔳昰㤳㍢扣昸摣㘹敢ㅥ㥥㜴挲愵晤慥摦户敤晣〵㡡㐳扢ㄴㅣ挳捥㐸扤攰㔰㘳挲㍤挰㔰㘳㈸㥣㈸摥愲㘶㥣摥ㄳ㄰㐶ㄲ㐲㉦㍢ㅥㅢ㘳愶㤸㥢㠶㔰敡搷㑥搹㕤㔷㙣ㅣ摡㝡挲捦㈷㕦㜲晢㝥㝤挷慣㘹ㅡ愴㌸戲㐸搹晢㘳㘷戸㕥㜶㈴㤶㜴换㑥㘱戸搷戶㤸㜹〰㍤㡦㠵㌰扥〷愱㤷ㅢ挳㌱㡦㘳敥㜸〸愵ㅥ㜲捡摤攱㤱㍦㝤昰㥦㥤てㅤ㝦昱㜵㉦㙣㙣㔸摤扦㕤戱摦㑢戹ㄳ戰㌳㕡㉦㌷搴㤸㑥扢〵攳愰㑢㡦㍡ㄵ㌶㈷挲挴㥣〴㘱㑣㠶搰㑢㑦㈵挷㤸㔳㤸㍢ㄵ㐲愹㝢㥤搲㉦ㅦ搷㜷挱敥㥦㍣㌴攱攲攷ち敢㝥㜵㔶攸〹挵搹㔳㑡㥦㡥㥤ㄱ㝡改攱戴搷搶㠹㤲戶㑥挵捣〳改㝢〶㠴㌱ㄳ㐲㉦㌹ㄶㅦ㘳捥㘲敥㙣〸愵㙥㜷㑡㑥㔶捦晡昵愱㤱㠳㥡㑥ㅡ戶摦攴昸戱户敦慡㌸㘵㑢挹㜳戱㔳搲搶㜱敤戰㌵扡戹ㅢ㐹㤸昳攸㝤㍥㠴戱〰㐲㉦㍢㠲愳㕥挸摣㐵㄰㑡摤攰㤴㍤昹挹㕥昷散㜱挸㥥〷㙥㙣㙡㕣摣戴愴捦挹慡て戲愵散㈵搸ㄹ愵ㅦ㜵愸㌱慥ㄷ㕥摥搱づ愲晢㠳㈱㡣愵㄰晡挹㤵ㅥ㘳ㅥ挲捣㐳㈱㤴扡挶㈹㝢搱㌵愳㜷扤攵搹搹戳㑦ㅣ㜳昷㈹㝢扣㌵散ㄵ挵〵㡡㤴㝤㌸㜶㐶㉣散㙣挱㜴㠴昳戳㜳搴慣㤶昶戱挹㔰㘸搴捣㤶㤵㔶㙢㡢搵搵㍤㌶㠵搴慣捣扡戱攱㔰㈸㘴㌶搳昷㌲〸㈳〳㔱搳㌴㉤ㄲ㌱戳搴攵㈰㤴扡捣㈹㙦户摤晥搶晣㑣昸慤昱愷晣晤ㄹ敢戵愵敢晢㉢慥㠵愴㍣ぢ㍢㐵㈷㜳挴㙢攰㜰㘳昱昹㤴㐸㥡〵扡㕥づ㘱慣㠰搰㐹㡥攲㐰㕢㤸㝢〴㠴㔲ㄷ㍡〵㍦晡㥢㜳㍡㥦㍡敤㤵〳㉦㍥昲㠷挷㍥㝦挴㠷㌱挵昵㤷ㄴ摣㡡㥤攲慥ㄵ昷㑡昶ㄹ㐶摡攸扢ㅤ挲攸㠰搰㑢㑥㐵挶㤸慢㤸㝢㈴㠴㔲攷㌸㈵晦㘴挰戸晢㡥扦收晥㐹㔷㍦晢挰㡤㔳㍦晤晣㈱挵㐵㥦㤴摣㠵㥤㤲收つ愷戴扥㔵摡扣〹戳㥢敥㔷㐳ㄸ㙢㈰昴挲㈳ㄸ㐷搶㌲㜷ㅤ㠴㔲愷㍡㠵㉦ㅤ扡晢攷㝦㝡攳收搹扦戸㘹搵㠸てづ㝦攰㔴挵挵愶ㄴ㝥ㄴ㜶㑡ち㑦㙤扥㙦ㅤ㑤昷挷㐰ㄸ挷㐲攸㠵愷㔰昸㜱捣摤〰愱搴㐶愷昰戳摦㥡㜹捡㝤㜷㥣㍦昵㠲㍦捥㕢㍢㜶愷㔱㌷㈸㉥㜲愵昰攳戱㔳搴搸攱㠸㝢摣㤱㤲戳㌹ㅡ㌷㑦愰敢ㄳ㈱㡣㤳㈰昴㠲㈳愰晣㘴收㥥〲愱搴㝡愷攰〳晡㥥㌶攰昵㉦ㄲ㌳敦散扢摤ぢ挷㥣㌷昹ぢ挵㠵㜵㉦攲㑥愳㌸ㅤ挲㌸㠳㘲㜲愱搰搱搹㙤㥥㐹敤㔹㄰㑡㜵㌹㉥ち㔳㉥摡㜸昰㈹て㑦㍢㘱昶㤱挱搱㈷㕣户㔶㜱㔹㉥㜵㍦〷㍢㠳昴㤳㌲愶㡤晤㜱昳㕣晡㍡て挲昸㍥㠴㕥搹㜴㜸㡣㜹㍥㜳㝦〰愱㔴慢㔳搲㍤㤳摥晢攱攵て㌶捥晥改慦て昸昴戳户㍦戸㕥㜱敤㉦㈵㕤㠸㥤㐶扤㈴づ戳㝡ㅢ㤵㡥戹㠹㤴㜹ㄱぢ戸ㄸ挲昸㈱㠴㕥㝣㈴㌵挶扣㠴戹㤷㐲㈸㘵㌹挵搷摦搲昱晤㌳㌶摤㌹攳㥥㥦㥣ㄵㅥ戴扣慦愹㜶㐴戶ㄴ㝦ㄹ㜶昶㉤㉥㍥收戶ㄲ㙡ㄲ挷㘹慦㙤㘱昳挷㜴㝥㌹㠴㜱〵㠴㕥㜴ㄸ㐵㕦挹摣慢㈰㤴㍡摣攵㌸㜶攷晣㠳㠶捥㥦㜸晤昸搹㥦㥦㍡戰晥〲挵㙢ㅤ㈹晡ㅡ散ㄴ昷㡦戰㜷㑥㈶㑡㐶㠳愴㜹㉤㕤㕦〷㘱晣〴㐲㉦㌸㠹晥昱㔳收晥っ㐲愹㈵㑥挱㔳づ㝥昱挶ㄹ㤷扤㌰昱昲ぢㅥ㍣收㤰㜹慦㍤愲〶㈲㕢ち扥〱㍢㐵〵㐷㍤扥㝤挶㠲ㅢ改晡㈶〸攳㘶㠸愲㠲㌱扤摥挲摣㕢㈱㤴㥡敢ㄴ㝣攷㠸改㑦㜷扣㝥敢㤴㝢㕦扣㙣散㤵㐶摦摥㙡㘷㘴㑢挱户㘳愷愸攰捤づ㝦㜷搰昵㥤㄰挶捦㈱昴㠲愳㌸ㄵ敦㘲敥摤㄰㑡㑤㜷ち㝥㈵昶㙥摦搱㘷㍤㍦敤搴晦晥捤㠶㐳摥㡦㝣愹㜸ㅤ㈹〵摦㡢㥤㙤ㄸ攷敦愳敦㕦㐰ㄸ昷搳㐳搳戴㜰挸㝣㠰扡㕦㐲㈸㌵挱㈹㙦愷愵㥦㉦㝢晣捤戹㑤㜷扤㍡昲愴㘹昵㉤㑦慢㕤㠸挶挷㜸〸愲攸㐰㌷㍢摡㍥っ戴昹〸敤㝥〵愱ㅦ㘸ㅣ㑤晢㈸㜳ㅦ㠳㔰㙡㝦愷攰つ㜳㕦㌳捣攳ぢ戳㝥昹搹昴搱攱ㄷ㥡㜶㔱扢㈲㕢ち晥㌵㜶㡡ち㑥㜹㕤捡㘷㠲㜹㠲慥㥦㠴㌰㝥〳愱ㄷㅣ挵㘹晣ㄴ㜳㥦㠶㔰㉡收ㄴㅣ㝣攲愵㕤扦㜸愴㜵昶慤搳ㅦ摡晥搸搹㉤攷昷㝤ㄶ搹昳㥣换㥦㐹㥤㤹戵戸㠶散戹㍣㡤㌴攲っ摡㥡敢㜲㕣㤶ㄷ攲㠵㘴㈱ㅣ捥挷㐳㤹㘸愶㜶㌰摣㙥敤搵㈰㐷㤲扥㠵㈵㉤敤昹㡥戵㜲㜹搸户㌰愵愵戵摢敡㤴㐴㝤〱晦搹㤷戸㤲敥㔷㤸扣づ昷〶㜲昶㤵攴づ㠵㠹㔶㘷㌷慥愹扢搷昷㕣㜹散㌶㈱搳㘵昵㈴㐷㍡扥㈷㜴慣㙥捦㜷敤敡㥦戹愰㍢搳㙤敤㔲㥡搷攳愴捣㙣〱慥户慤㉥愹搲ㅥ愵㘶㡢㌳慤慢慤愶㜵㉤㜶昶敥㈵搹戸昲敥挸㔶捥㥤搲㘹ㅤ改攵㤶搵愸〹户㠳搶㠸敦戲愳戴戳散㝡つ㥥戸愲愳换㙡㤷敡㡤㙣㥢摢㤲㕢㘹㜵㉥戰㜸㌳挹捡换愱敥挸㉣攷昲㝦攴㥣㜶ㅣ㈸㉥攸昳㝢改㕡ㄲ㙤戵攷慤㍣敡扢ち㉣慦㕦㤸挹戶㕡㍢ㄵ㐱散㌲㤱㌱愸㐸㍤愵㈳户扡㙢㘲㐷㝢㜷㘷㐷㙢㜱㑥㔳㝥㑤〶户ㅣ昲戳㍡昲㔶㡤㙣㔵戶㔴㔵扤㝡㈹㔵戵㡦摦㜵㉦㝤㜷昱敡㕥敢㈴扢愳搷㙣ㅥ慣㜵㈲㠲㝤敦ち㜸㥥戱愳㜵㌲攲㐷㙣戶㈶㝡㈷㈴㍡戴㔹戴㑦㈷愵搱捥挵㈷㕥攳㝣戴て摡愱搵攲㔹㔹摤㔰搹㘵㑦扦摣㐲㑤戵㔶攱扤㐳愲㌷㐳㥡戸昵晡摥晦㉥戸扡㝡㝢攷攸㈷慦挱㡤愵㘹㤹昶㝣慢搵戹搹㍢㥦㡡㌵㌲㥦愳㜸㥥攲户ㄴ扦愳㜸〱愲㜶㌴挶戸㡡㡣㜲㜰㔵敢搴晡摡戵㉤昹敥ㄵ挶ち慢㘵昹ち慥㔳㜱挷戴慥㡥㜴㜳㤶攴搵㘳ㄲ㉢戰㔴㌵㜶捣ㄷ㈹晥㐰昱ㄲ㐴㈰㔰㘵扣㡣晦慢㡣㠰昹ち晦晢㈳㤵挲搸攰㠵敢㔷㔹〱㔵㍢〴㥡㙤扦慤㈵㘵挹㕤㌴摣收散慡㙤挳捤扡慥㕥扤晣㠸㤸㤶改㕡搱捤㜳㜰昳㤹愸㠵昹㉡挵㙢㄰㝤㕦㠷㤸㍤捤㙡挵ㄹ晣㙤摤㈱慤ㅤち㥦㕢扣ㄳ挷搵散㑥㙤ぢ搶户攷㔶㜴㜶戴攳㍥昵愴㑣㜷愶㈹㠷摢㡤㕤㉡㘳戴捤散㤸戸扡摢㘸㥢搶㠲晦晡戶捤户㔶㔹㤹敥㠹ㄸ愱扢晢戵捤挴慤㑡ㄹ㐲愷攷搷搵戶搹㜷ㄹ㈷㔹㕤㌹㤳户㈳愷㘳㐴㕡㘷㘰て㐳㙣摦㌶㡥㌱搶扡㙥扡敥摤㠶㥢㕥攸㐹㈶㐰㈳挵捡摥愳㘵㍦搱戹搶〱㈷〵て㐱搹搵扣昴ㄱ㠵敤㐹㘶㘴㑣㥥㔸㤵搷㌸戲昴攴㔹搴摤搲摡搵攸搰摢㌸愹〳户慢㉤戹㔳㑦摡つ〳㝤换搸㙣㘳㤵㥥攳扣㥦㌹㈷㤷戵摤愲㉡㔳㍢㍢㔶慦摡〳扥扥㉤㍦昴㔵㘵晥〹攲㡡㑦㙥搸㝦搸㡦㙦晤摡昹㝦〳捥ㅥ搹㡣㍦㈳搳扢攵挹㉥㑦㌵晥㤳捤㝣ㄳ晦〵㑣㘲㑣晦扣摡〶攴昹づ戶ㄵ㙥挱搶〲摦户つ㐷扤戰搳㤲㝢捡㜵㤲挰㌹搵慦㙤㐹㐷攷捡㙣㐷挷㑡㜶㠲晥㤲敡㕡㘱㔹摤扣㔱摢挷戹㉦捤㝤愵㔴慦㕥㐵户㘳戵㍢扡㝢挲扦昱㉥㐴扦愶搶搶挱慥挷㉥㘳ㄳ㔴扤㌰愹ㄸ㝦挱捥挱㐳收㑥㥥扦戰㜹昲扡㑣摢慡㔶㙢戴㜳挷㜷昴㥣㔵摤㤳扢〶慦〹挵〶敦ㄳ㠹㠷㘲㤱㤰搵㌵㘲搳㉤㘷扥户昱昸㑤昷㥥戶改摣敦晦㙤攳昱㝦扤改愶㜷敦摤昸搷搳㑦晢换ㄵ攷㙤扡攵敥㑤㈷摦戴改㠱㜳晦昲挰〵㝦扤昶ㄷ㡤敢㕡扢搶愹㐱愰㡦户〸敦㤸搶㘷摥㙤捦晥㘰晣㙤愳㕦㥡㌴昲收ㄵ捤㙡㘷㈷愳散〶昰㜰㔴㘸㌳慢愷愲摢慣扣㔴㉥㕡㍤㤵慤ぢ散㐹昳晦慦㝥扥㜳慢㥦攲㤵捦扥㕢㤸敥㑢搶㍥ㄵ㘷扡晦扦㜶昰㝢㙡㙡慦ㅤ晥㠶㤳㐵敤㠴搳㡥㙢〵散ㄷ㙦收晢㐸㥢ㅦ㔰晣ㅤ〲㌳扥っ㜱㤸昰㍦戲㤳㙡ㅦ晣捦㔹摥晣㤸攲ㄳ㠸摡㝤㈱㌶㍦ㄷ攲㜴慤〷愸㠶捦㘵晡戵㑤戲ちㄹ㍣攵㤴昹㑢㘵晥㕦㑥㙦㌵㜸搸慣捤㙤㥢㍦〸搴㥤㔳㠷㔱扡㉡㉥㝥〰㠷挷㠲昹愹㔶㍢搷㐳㕤㠴㝦㕢戳搶户攵㠷㜵㌲晦ㅢ挲摤㙡晢愱㈳㙣晤㌱㠱慥慡摥㙢戸昴㘸㙥慥慡愳㌷㙡㡣㝦㐰攸㜷戱昱㠸愸㙣㙥晣㈷㌰〱㤳挸ち㜹㙡㈴昲㌸㜷㥡㥣慢㡣慦㈰㝡愱敢㤸㥣㥤㔴㉦㘷慡㈸㥢㐳慡㥤㡣戲攷㑦㡤㌰攳㍣㘲戲㥦㉢捥攱晥㝤㥥㕤挰慣愶攸〵愱昵昹㕡㍢愹昶㠳晤㄰㍡㌲〸敡つ愱挲㐸戲摦㥢㜵㐸戹㥢晡晣㍦㕦㝦㑤㍡愹㌳〲㤰晡晤〸㍥扤㉡攳愴㉦㐰〱㤳搰ち㜹㉡〲㕦ㅥ㈷㈶㌹戱昹昸㍢捡昲㥤㔳㍦㜰㌲捡ㅥ㡢挵㘱㉢㝣散㠸攲搴㝦〱收捦挷㐰搶㘶㘷㡡㐱㄰ㅡㅦ扢摡㐹㤵㠰愳㈱慣挸㙥〴敤づ愱㔲㐸ちㅦ㝢㈰攵㙥敡㉤㥤㡦挱挸搱昹攰ㄳ戵㌲㍥昶〲㈸㘰ㄲ㕡㈱㑦愵攱摤㡦㡦㤷㉢昱昱㤲㤳㔱昶愸敥〰㜸ㄲ㍥㐶愲㌸昵㘲㐵㍥㐶戳㌶㡤ㄴ晢㐱㘸㝣㠴敤愴ㅡぢ㐷㐳昰㌱㈳〴㐵㈱搴㌸㈴㠵㡦ㄸ㔲敥愶㥥搶昹㐸㈰㐷攷㠳㑦晡捡昸㐸〱ㄴ㌰〹慤㤰愷挶挳扢ㅦㅦ㡦㔴攲攳㘱㈷愳散ㄱ攲㐴㜸ㄲ㍥㥡㔰㥣㝡戰㈲ㅦㄳ㔹㥢㐹ㄴ㤳㈱㌴㍥愶摡㐹㌵〹㡥㠶攰㘳㑥㈳㘸㍡㠴㥡㠲愴昰㜱㈰㔲敥愶敥搲昹㤸㠹ㅣ㥤て㍥㝢㉣攳㘳㌶㐰〱㤳搰ち㜹㙡㉡扣晢昱㜱㘳㈵㍥㙥㜰㌲捡ㅥ㙡ㅥ〸㑦挲挷ㄲㄴ愷㝥㔶㤱㡦㠳㔹㥢愵ㄴ㠷㐰㘸㝣ㅣ㘶㈷搵っ㌸ㅡ㠲㡦㜹㌸㐱捤㄰㙡ㄶ㤲挲挷㌲愴摣㑤㕤愱昳㤱㐵㡥捥〷㥦㠸㤶昱㤱〷㈸㘰ㄲ㕡㈱㑦捤㠶㜷㍦㍥㉥慣挴挷〵㑥㐶搹愳搶㜹昰㈴㝣戴愱㌸㜵㝥㐵㍥㍡㔸㥢㔵ㄴ㐷㐲㘸㝣㜴搹㐹㌵ㅦ㡥㠶攰㘳㜶ㄳ戴ㅡ㐲㉤㐴㔲昸㔸㠳㤴扢愹搳㜵㍥搶㈱㐷攷㠳㑦㘹换昸㌸ち愰㠰㐹㘸㠵㍣戵〸摥晤昸搸㔰㠹㡦攳㥣㡣戲挷扦〷挱㤳昰㜱㈲㡡㔳挷㔴攴攳㘴搶收ㄴ㡡㔳㈱㌴㍥㑥户㤳敡㘰㌸ㅡ㠲㡦㜹〶㐱㘷㐲愸㐳㤰ㄴ㍥捥㐲捡摤㔴㤷捥挷㌹挸搱愷㕣㍣㑦㉤愳攳㍣㘰〲㈶㤱ㄵ昲搴愱㜰敥㐷㐷㑢㈵㍡㔶㌸ㄹ㘵㑦愴㥢攱㐹攸戸〴挵愹㐲㐵㍡㝥挴摡㕣㐶昱㘳〸㡤㡥㉢散愴㕡〶㐷㐳昰㌱慦㈴攸㉡〸㤵㐵㔲攸戸ㅡ㈹㜷㔳㠷改㜴㕣㡢ㅣ㍥收㐸㤷ㅦ改㑦㤰ㄵ㌰〹愸㤰愷㜲昰改挷挲㠲㑡㉣捣㜷㌲捡㥥㤳ㄷ攰㐹㔸戸ㄵ挵愹戹ㄵ㔹戸㥤戵戹㠳攲㑥〸㡤㠵扢散愴㕡づ㐷㐳昰㌱敦㈶攸ㅥ〸挵挷攵挲挲扤㐸戹㥢㥡慡戳昰ぢ攴攸㈷〹㥦戲㤷昵㡡〷〰ち㤸㠴㔶挸㔳㐷挰扢ㅦㅦ㘳㉢昱㜱㠰㤳㔱昶昸扥つ㥥㠴㡦挷㔱㥣ㅡ㔳㤱㡦㈷㔸㥢㈷㈹㝥〳愱昱昱戴㥤㔴敤㜰㌴〴ㅦ昳ㄹ㠲㥥㠵㔰慢㤰ㄴ㍥㥥㐳捡摤㔴㔸攷攳户挸搱昹攰戳晦㌲㍥㕥〰㈸㘰ㄲ㕡㈱㑦ㅤ〹敦㝥㝣っ慦挴挷摥㑥㐶㔹㔰㐱㌷㍣〹ㅦ慦愱㌸搵㔰㤱㡦㍦戱㌶㝦愶㜸〳㐲攳攳㉤㍢愹㔶挳搱㄰㝣捣户〹㝡〷㐲慤㐵㔲昸㜸ㄷ㈹㜷㔳扢敡㝣晣〵㌹㍡ㅦっ㐷㈸攳攳㍤㠰〲㈶愱ㄵ昲搴㍡㜸昷攳㘳㐰㈵㍥㠲㑥㐶㔹㥣挳搱昰㈴㝣㝣㠲攲㔴晦㡡㝣㝣捡摡晣㠳攲㌳〸㡤㡦捦敤愴㍡〶㡥㠶攰㘳㝥㐱搰扦㈰搴㜱㐸ちㅦ㕦㈲攵㙥慡㔶攷攳摦挸搱昹㘰㠴㐴ㄹㅦ晦〱㈸㘰ㄲ㕡㈱㑦㙤㠰㜷㍦㍥扥晡㥦ち㡢昴㉦㥤㡣戲搰㡢ㄳ攰㐹昸攸㡤扢攲敡ぢ挰晣ㄷ改っ㜲㌶〳ㄴ㝤㈰㌴㍥晡搹㐹㜵㈲ㅣつ挱挷散㑦㔰㍤㠴㘲〴㠶昰㈱㐱搱㐸㜰㔳ㅦ愱っ敦愲㘵㍢攰㜴㍥ㄸ戸㔱挶挷づ㉣挲㈴戴㐲㥥㍡〵㡥晤昸搸㔴㠹㡦㜷㥤㡣戲㠸㄰〶㠲っ挶挷摣㥤挵敤㐱戱㈷挵㘰㡡㈱㄰敡捦づ㐷㕣ㄴづ〲昲㔶㈸搹㠳慢捣愱挴㌴㔰っ㠳搰㌸ㅡ㡥愴戱て㐴扤ㅢㄷ㍣搸扥户ㄴ㔰㡡㐱㈷挲摢〸ㅡ敥ぢ愱捥㠴㙡㈸㍥㠸㜸㐴戲攲㕤攳㔱挸㜴㈳㔵捡㌸㙢㐴㘶挰㈴愴㥣㌳挹㔳㡣㙢改攱㡣户㘶敤ぢ扤愷㉢㜱昶㤴㤳㔱ㄶ〲㜳㉥㙣愵て㈵㔱㥣㝡搲攱〷捡攲捤㑣戳㌶㘳㈸昶㠷搰昸ㄹ㙢㈷搵㜹㌰㄰㉥扥㐷搰㌸〸㜵㍥㔴搲㠷挶㈳攵㙥敡㈱㤴攱昵愱〹挸搱晢㄰攳㘹捡昸㤸〴㔰挰㈴戴㐲㥥㘲昴㑤てㅦ㍤ㄷ扥㜷㔵攲攳攷㑥㐶㔹愰捥㐵昰㈴㝣捣㐲㜱敡㡥㡡㝣捣㘱㙤收㔲捣㠳搰昸㔸㘰㈷搵挵㜰㈴㝣㉣㈴㘸ㄱ㠴扡〴㉡攱㘳㌱㔲敥愶慥搷昹㌸〸㌹㍡ㅦっ昰㈹攳㘳㈹㐰〱㤳搰ち㜹㡡攱㐰㝥㝣㕣㔱㠹㡦换㥤㡣晡搲挸愱ㅦ挳㤳昰㤱㐳㜱敡戲㡡㝣㔸慣㑤㠱㘲㌹㠴挶㐷㡢㥤㔴㤷挳㤱昰㜱〴㐱㉢㈱搴㤵㔰〹ㅦ慤㐸戹㥢晡㠱捥㐷㍢㜲㜴㍥ㄸ㜵㔴挶挷㉡㠰〲㈶愱ㄵ昲搴㔵昰敥挷挷改㤵昸㌸捤挹㈸㤴㠶㌳㕤ぢ㑦挲挷㝡ㄴ愷㑥愹挸挷搱慣捤㌱ㄴ挷㐲㘸㝣㙣戰㤳敡㍡㌸ㄲ㍥㌶ㄲ㜴㍣㠴晡㈹㔴挲挷〹㐸戹㥢㍡㔶攷攳㈴攴攸㝣㌰ㄸ慡㡣㡦㔳〰ち㤸㠴㔶挸㔳っ㥤昲攳愳慢ㄲㅦ㥤㑥㐶㔹㤴搵㡤昰㈴㝣㥣㡢攲搴慡㡡㝣㝣㥦戵㌹㥦攲〷㄰ㅡㅦㄷ摡㐹挵㤰㉢攱攳㈲㠲㉥㠶㔰户㐰㈵㝣晣㄰㈹㜷㔳换㜵㍥㉥㐵㑥ㄱㅦ㝥㌷㐶㉥〳㈸㘰ㄲ㕡捥㠷攴愹㕢攱摤㡦㡦挳㉡昱㜱愸㤳㔱ㄶ晣㜵〷㍣〹ㅦ搷愱㌸戵戴㈲ㅦ㍦㘵㙤㝥㐶㜱㍤㠴挶挷㡤㜶㔲㌱ㄲ㑣昸戸㠹愰㥢㈱搴㕤㔰〹ㅦ户㈰攵㙥㙡㥥捥挷㙤挸搱昹㘰攸㔸㔹晦戸〳愰㠰㐹㘸㠵㍣㜵㌷扣晢昱㌱戵ㄲㅦ㔳㥣㡣戲㤸戴晢攰㐹昸戸ㅦ挵愹㐹ㄵ昹昸㈵㙢昳㈰挵㐳㄰ㅡㅦ㡦㈰㘹晣㡡挲㤹㜶慢ㄴ㐳搵㠴㥡㐷㠹㝦っ㐲㍤〰㤵㔰昳㌸㔲敥愶挶攸搴㍣㠱㥣㕥㑤搳㝣慥昹㝥㠳㥣㠰挹晣㜲㍥㈴㑦晤ㄲ㉥晤昸〸㔵攲㘳㍦㈷愳㉣㘶敥㘱㜸ㄲ㍥㕥㐰㜱㙡㜴㐵㍥㕥㘴㙤晥㐰昱ㄲ㠴挶挷㉢㜶㔲㍤〲㐷㐲挲ㅦ〹㝡ㄵ㐲㍤ち㤵㤰昰ㅡ㔲敥愶ㅡ㜴ㄲ晥㠴ㅣ扤㝦㌰攲慥慣㝦扣〱㔰挰㈴戴㐲㥥㝡っ摥晤昸搸愵ㄲㅦ㠳㥣㡣戲㔰扥㈷攰㐹昸㜸て挵愹㠱ㄵ昹昸㉦搶收㝤㡡て㈰㌴㍥㍥戴㤳㡡㜱㝤挲挷㐷〴㝤っ愱㥥㠲㑡昸昸〴㈹㜷㔳晤㜵㍥㍥㐵㡥捥〷〳〱换昸昸っ愰㠰㐹㘸㠵㍣昵㌴扣晢昱㔱㔳㠹㡦㕥㑥㐶㘹㠴㘱敤㜳昰㔴ㅡ㌶㈱摦挸昲㘲慦戴㈷㥢晤〱㌶ち㡢摡㕢扡扢晡ㄴ㥡㔶㜷㜷㑣㘹改挶愳愷扥〵〸散㡡挹㉥ㄲ㜴愳ㄹ㡤㉣㉣㙥戱搶昲愱搳㥥攵㔹昸戲摡挴搵㕤摤ㅤㄲㄱ戲㐷㜹晥愴㡥搹ㅤ摤㤳㕡扡㔶戵㘶搶㌷昸㘴摢㌹㑢㔶㔸敤㠸㥢敢㐴昸摣㤶㐰ㅤ慢㔶㔹㜹㥦㍡㉥攸㔸摤㤹戳愶㑦晡㉥㐴摥㈹㍢戴〵捦㤵ㄸ㜳愷㠶㔵㝥昴慣昱扥㍢摡愶ㅡ㤱ㄶ敡ㅢ〶㙥戱ㄷ攲㜱ㄴ㝢㉥捡㐴㡦㌷ㄹ敤㡥㡥㕦晢㍣㔴㥢敦㈲㕡㉣㕦ㅦ㠰〳〵㌴慢慤敢攷〴㡢㑥㙦敦㙡挹㕢〱㈷㠵敦㠱昴㜷㜶攷慣敥㉥捡挹慣摢摥挹㐱㌸挸㥣㜶㌴㝤㉥搳㤹晦㉥戴ちづっ㥢摤㈴捡挰扦㙦㐶戴敤愶慡敡㘳㜹ㄲ㠷搴挷ㅢ挰㌲㜹晥㉤ㄲ扥㤱㌹摥愹㠸ㅤ㉤っ戲ㅥ昸㝥愴摡㔳搷㌱挵㉦换㐹ぢ搸摦㤶敢㉦〸ぢ㥤ㅢ摦て㙤戵戶㉦㑥捡㠳㙥戳搰㤴敤敡㘸㕤摤㙤昵昷昶攴㈴㌷ぢ昳㉤㝥慦㙥㡤搵搷摢㥢㥢敢㐶搰慦攷㡦攱慡摦㥤搶〱㈳㌵㑥ぢ㈹㘹㈳㘳㌳ㅤ户昸㈰㜸晥㝣挳ㄶ㔵㔵㔵〵搹㍥ㅣ愷㉥扤㠴摢昵攳慡摣ㅤ戶㉤ㅡ昷㜷㜰㕦晡㈴扢㜸㥣搵㘳㔶㜹ㄶ㙤敦㠶㔲摢愳㥢っ㕣㝤㕤ㅤ挳㐵晢ㄵ㘴捣㐳㑣㌸扦㕦㕡捦搳愶ㄵ摦摢敥㙥挹㘵㕡㕢搷昷㉦㑣㙦捦戵慥捥㕢㌳㌳㔹慢搵ㅤ慦昹㝤捡敦㐶㝢搵㠰㌵攷㙣摡っ㉦づ㈹搳昱㝤㝡㌷㐲昶ㅢて㜱㔵愶挲㠸㈶㔳㉡㝣〴捣㕥捥昸昶〲㉡戲捤〱挲〱ㄸ㙤搷ㄳ摥㉥摦戸挶戰㔶愶攲㜸挶㠸㐹㉦挶㔸捥㌸つ㌶戳㘳㘶〷攲扦昳㥡㙡㕡㡢慤晡捥㥣㔷㜲㑡ㄹ㠶昱㑤㈷㤷㌳㝥㜹捣㤵搳愳摢㌵㍤晢挴昰㈷摦㡡っ㙣㜲捦ㄶ捥㉦㍣㌹㕥〴㤹愵戱㤶摡挹㈱昳扥っ㠲㐱〰敢㌹㠲搹㡢㠶㠵㉤摤慤㔶㥦㠲攴换㝥ㅤ㑦〹戲搹扢戰㜰〵攲ㄵ㈷昵㉢㑣敤㙣挹户戶戴㕢㕣㠰攰晢〸晣㤶晢㑣㙢㌹㈲攷攷㜶㜴戵昰㉢挳晤ちぢ㍢㌳敤㕤慢ㄸ㥥㥡㕢扦㕤㔱㑡ㅡ慢戶㌰愱愵ㅤ㈷㤰㕤㈶昷敢ぢぢ㔶㜴慣挵晢ㅦ㔶户戵㑦捤慣敡晡㑥㌴ㄴ捦㈷㝢戳㐷挰㙡㔵㕤慤敡慡敢扥改㍣㈵㔱愴㕣っ㔴㐵攰戶㥡挲㘹慥㍦㘰㙦㌳攷㉣㕢捡昹敥〲捦㔹搶慢攸扢敥扥搱搳摥ぢ㌴㌸づ㥢㝣㜹㐲㕦〳攲挰愹㡢愶昷㝣攳攵晦敡㙤ㄴ戵㉦挱昳㘶愶〳改ㅡ㕥㜸晤㡥〰昷户扢ぢ㜵散㍤愶戴㍡㔳愵㕤㌰㔰㄰っ㝢㈳㘶㔰挲戹㍢〵搱捦㝤㜱昲㘳昸挵慤㕣㡣扢晤敤〴㤷㜳昸㔶㝢㤷㤳㌷戱愳慤㉤挳敥挵慥戹〰㘳户㔵㈷㙢㙢㡣㈶㘶〱㐲晡愰愳捡慣㠳㉡戳㑥㔴㤸㤲昹㤵ㄹ搹愷慦㡥攵㤹捥㤶敥ㄵ㙤㉤戹㍡㈶昸戵㤶敦㐴扦㐴ㄷ慡〱㤹敥㈶㥤ㄳぢ搵搲㠰㌶㍢愸ㅡ捤摤㠸㙢〷㔲挷收㐷敦慤㤶㜹㕣㝤挳敦㈳愰晢捡㠰㙦搶挱㕢慤㉣㙥戱愴㤶㑤㕢㠰㐱㈳〳㤱攲㔷〷㤸㙤昲㡤㉣戵搸攱愷㠶攱晡㥢㡤ㄳ敦つ㐰㘰㘶㐷㈶㍦〵摦㝣敡攸散敤扣㍤愵づ㑤换㘱愵㌳挸敦〶㑣挴㜷㙡昰㕤㥤㌵㔸〷㜷搶㔱戱〰㔱昷㌵晣㔶㠱㘱户㈱愷挳慡摡摡㍥㜵㝥㘵㑤㜷㝤㌵㌸戱搳晡摢㘷愶㤷昹晦㘰㕥㡡㘱㍥㌸㉣㉥㈵捣〰づ挷散〳愱㕥㐳㤲挷㔳〲攸㑢㐰㍦ㅥ昴㥦㤰㔹㝡㤶㔴㡣愳㠷㐱㔵㙤ㅢ攳晢敢摡㜸㌸㔸㜲ㄸ㠸晡挷昷〴㐰㠹搱愷敥㜵攴㥢晤㠱㝡昶㤹㘷挶㘲扦㑡扤〹攱㤶㍦ㄳ晢㑥〵敢㔹㝥㤰攵㌳〸㜴ㅢ㠲㙤攵昰扣㉢㑣㔹散昶㕣㔰昶㉢攸搷㡦摢ㄷ㥣ぢ㐹敤㜲戱㐴㈷㡢㉣㥣攷摦愱㡢㐱搰〱摡摣戳收㥢捥挰㔵㔸昱㐸ㅦて㔴愹昷攱㤰㌳㙥㤵㌱〰㠴㙦㙦㝦㍢㜷㌰戸改敥㙣挹慥收㤴挸㑣ㄹ昵㙢㝡㐶㝤挵挸㕢㡥晣收㜶戰㔲っ挱攵㠰ち挷昶〹戶〳ㅢ㙦㡢㈷搸㐷戴挰挷摣㤱㑥㥣㠴晡ㄸ㍢㙥愷攰つㄴ愷㔳散〴㡣㌹㤰挰㑦晣〱㍢ㄳ㌰〸愲昶扦〱㈸ㅤ㔱㡡㠳㕦㜱愹㙣〲㔴㈳㙦捥攱户㑥敡昰〵づ昹扡㑡慤㥣㝥㝤戴慦㤹ㄸ昶㌷㑣敡㘰㠳扤戶㉥㘳〱挶㘶㉢ㅦ戰㝢ㄶ扢㍢〷㤱敡敡ㅡっ㔰㐶改㔷〱捡㡡愵㡢〵㤶〴攸㉡〶愵ㅡ扢愰挶㍢昲昶〹晣攳ㅤ㔱晡扢㑢㑡敦〵攱㌲㝣㌷愰慢〲敡㥦㤰㉥㐷摡㠹戳㍢㈹搸〳㐲㝤つ〰㑦ㅥ扤愹㔹㑤扢愹昷〴㘴慢㥢扡ㅡ㘶搲搴㠳改㤸㤱愷㐵㑤扤ㄷ戴㕢㙥㙡㐶愸攲て㡦㍡改㠴昵攲挷㠰㜴て㐳㙢敡〶㘰捣㘱〴昶昶〷散㑤挰㜰〲敡〰㘰㜳ㅢ晢㈰戵㤳て㡤㝥挱慣攰㜱㕦挰挱㘳㕦捤扦挶攳㐸晡ㅦ㐵晦㡣㐰㉤攵㤱㘱愷㌶㡦愳〱搹㙡ㅥ㜷㠶㤹昰搸㐸挷㡣㔸㉤攲㌱〴敤㤶㜹㘴㘴㉢晥慡捣㌰㥤㤰㐳㝥㜶㠳昴攱㌱〲㡣ㄹ㈵㤰愱慦㍥㠰ㄸ〱㜱〲ㄸつ㉢㍣㈶㤰昲攳搱㉦〸ㄶ㍣愶〰〷㡦㝢㘹晥㌵ㅥ搳昴㍦㠶晥ㄹ戹㕡捡㈳挳㔵㙤ㅥ昷〷㘴慢㜹㙣㠴㤹昰㜸〰ㅤ㌳搲戵㠸挷敦㐱扢㘵ㅥㄹㄱ㡢㍦㍣㉢愶ㄳ㤷㐷㠶挵晡搰㌴ㅥㄸ戳㠹㐰㠶捣晡〰㈶㄰㌰㤱〰㐶搱ち㡦㤳㤰昲攳搱㉦㜸ㄶ㍣㑥〱ㅣ㍣愶㌴晦ㅡ㡦㔳改㝦ㅡ晤㌷〱㔰捡㈳挳㕣㙤ㅥ愷〳戲搵㍣㑥㠲㤹昰㜸㈰ㅤ㌳㐲戶㠸挷㤹搰㙥㤹挷愹㌰挳㕦㤵㌹㡢㑥㕣ㅥ愷㘱捦㠷愶搹挰㤸㜳〸㘴愸慤て㘰㉥〱昳〸㘰昴慤昰㌸ㅦ㈹㍦ㅥ晤㠲㙥挱攳㐲挰挱攳㙣捤扦挶攳㈲晡㕦㑣晦㡣㤴㉤攵㤱攱戱挲愳挹晥㈸㕢〴㔲㥦昶㤶〲㈲㥣ㅤ㐴㈷㡣愲㉤攲㙣㈹戴㕢收㡣搱戶昸㐳ㄴ㉥㥤㘰㐷㍥っ戹昵愱攴㔰㘰捣挳〸㘴㌸慥て攰㜰〲㥡〹㔸〶㠰㜰戶っ㈹㍦捥晣〲㜳挱㔹ㄶ㜰㜰㤶搷晣㙢㥣攵攸㍦㑦晦㡣愶㉤攵㡣㈱戴㜶摦戳〰搹敡扥挷愰㕢攱戱㐰挷㡣扥㉤攲㜱〵戴㕢收㤱㔱扡昸慢㌲㕢攸挴攵㤱㤷㤸㍥㌴ㅤ〱㡣戹㤲㐰㠶昱晡〰㕡〹㘸㈳㠰㤱扤挲㘳㍢㔲㝥㍣晡〵昴㠲挷㔵㠰㠳挷愳㌴晦ㅡ㡦㐷搲㝦㈷晤㌳ち户㤴㐷㠶摥摡㍣㜶〱戲搵㍣㥥〲㌳攱㤱慦㥡㔴愷㈲㔵挴攳ㅡ㘸户捣㈳愳㝢昱㔷㘵慥愵ㄳ㤷㐷㠶昸晡搰戴づㄸ㜳㍤㠱っ晦昵〱ㅣ㐵挰搱〴㌰㈲㔸㜸㍣〶㈹扦㈵㡥㑦挸㈷㘸㍣づ㘸搰挸㠸㘰搷扤㐶攳〶扡摦㐸昷㡣摥ㄵㅡ戱挶㜱㔷戳っ搹戵㘹㍣ㅥ㤰㠱㍤㙦㥢摡昲㡡昶㌲㤸ち㤵㈷搰㌹㈳㝥㡢愸㍣〹摡㉤㔳挹挸㘰晣㔵㤹㈷搳㠹㑢攵㤵搸㜳て㈵挴㠳戳慦挳㑥〱挶㍣㤵挰慢晣〱愷ㄱ㜰㍡〱㡣㈶ㄶ㉡捦㐰慡慦扢捣㤱㜷㘲昹㉣ㄲ捦〲〸っ晥㐴昳慡㌱㜸㌶扤㥥㐳慦㡣晣㉤敤㠸っ昷戵ㄹ㍣ㄷ㤰慤敥㠸っ㄰ㄶ昶捥愳㘳㐶ちㄷ戱㜷㍥戴㕢㘶㡦ㄱ挵昸慢㌲㝦㐰㈷㉥㝢っ㉢㜶搹搳ㄶ㠹ㄷ〰㘳㕥㐸㈰㐳㡥㝤〰ㄷㄱ㜰㌱〱㡣㐲ㄶ昶㝥㠸㤴摦〹敤ㄷ㝣㡣㥥㜸㈹攰攰昱〱捤扦挶攳㡦攸晦㌲晡㘷挴㜰㈹㡦㑦㐰㈷㍣㥡㥣㤴㘵㡢㐰敡㤳挹㤳㠰〸㘷㤷搳〹愳㠹㡢㌸扢ㄲ摡㉤㜳挶愸㘳晣㈱晣㥣㑥戰㈳ㅦ㠶ㅥ晢㔰㜲㌵㌰收㌵〴㌲㉣搹〷㜰㉤〱搷ㄱ挰㐸㘵攱散㈷㐸昹㜱收ㄷ愰っ捥㝥〶㌸㌸㘳愴戲敢㕦攳散㝡晡扦㠱晥ㄹ㔵㕣捡ㄹ㐳㠹敤扥㜷㈳㈰㕢摤昷ㄸ㝣㉣㍣摥㐴挷㡣㐲㉥攲昱ㄶ㘸户捣攳㕢㌰挳ㅦ摥慦㐴㈷㉥㡦っ㔹㜶て㐳敢㝢户〱㘳摥㑥㈰挳㤹㝤〰㜷㄰㜰㈷〱敦〲㈰㍣晥ㅣ㈹㍦ㅥ晤〲㥢挱攳摤㠰㠳㐷挶㠷扡晥㌵ㅥ敦愱晦㝢改㥦搱挸愵㍣㌲〴搹收昱㍥㐰戶㥡㐷〶㉤ぢ㡦扦愰㘳㐶㉦ㄷ昱昸〰戴㕢收㤱㔱捥昸挳敢㥢攸挴攵㤱愱捥敥㘱㘸㍣㍥〸㡣昹㄰㠱っ㠳昶〱㍣㑣挰㈳〴㌰㌲㕡㜸晣ㄵ㔲㝥㍣晡〵㐴㠳挷挷〰〷㡦㡣㡣㜶晤㙢㍣㍥㑥晦扦愶晦摥戸㕢㔱捡愳〹㥤㝤づ㜳㜱㈳㕢改㌹捣挰㘶攱散㐹㍡改㠳㔴ㄱ㘷㑦㐱扢㘵捥ㄸ〹㡤晡攱〵㔰㜴㠲ㅤ昹昴㠷搶慤戲挶搹㌳挰㤸捦ㄲ㔸敦て㜸㡥㠰攷〹〸〲㈰㥣晤ㄶ㈹㍦捥晣㠲愶挱搹ぢ㠰㠳㌳㐶㑦扢ㄵ搰㌸晢㍤晤扦㐸晦扢〳挰㤰ㄱ戹攷㠳㔸㈱㥡㌹攱〲㉦㘳ㅦて㜳ㄴ攳愰ㄹ㌲攰㙥摡㝤㔶㤹戳慢搴㥥㐰昰㘱㌷て摡㝤ㄴ㔴改挱愹㘲㌰㌵ㅦ㥥㔶㤹慦戰ㄶ㥣晢攴改摤慢㑥㜱㡣戳㝥㠱昹捥㌶敡敤慦ㅥ㍤昸㑦㠳扤㘷㑣昶㐲愱㑡㌱攰摡㙥㔹〶㍡㑢搹㙣㔹敤戹㠶㙡㐰㠶戴散敢昰慤㠶㈱㘵户慣㜳ぢ昹捦搰㙥戶㘵捤㌷㥣㍡つ㠷愹戴敥㥢㌴㐱㈹晣愸ㄱ搰扡攴㈲敤慥〹摥〲挶㝣ㅢ㐲㌱愰摢〷昰づ〱敦ㄲ㌰ㄲ〰摥㥦㌵㌷㈱攵摤㔲㙤搴捣戴㐶晢ぢ捤晥㑡㌳㠶㕡㤷㜶㜴挶㔷摢〳挶㝢㠰㙣昵㠰㌱〶㘶㐲搱摦攸㤸愱搹㐵㥤晦㝤㘸㌷㑢ㄱㅦ昷愹戱㌰ㄳ㝡㍥愰ㄳ㔲挳て攳戸摤愳搷㍡晦摦㠱㌱㍦㈴㜰㥣㍦攰㈳〲㍥㈶㠰㘱摦搲昹㍦㐱捡慦昳晢㐵㝢愳昳㝦ち㌸㍡晦㈴捤扦挶攳㍦攸晦㌳晡㘷㠸㜶㈹㡦㡣换戶㜹晣㈷㈰㕢捤攳㕣㤸〹㡦㥦搳㌱㐳扡㡢㜸晣ㄷ戴㕢收㤱愱摦挲攳㤷㜴攲昲挸昸㙦ㅦㅥ扦〲挶晣㌷㠱㡣つ昷〱晣て〱晦㈱㠰攱攲挲攳搷㐸昹昱攸ㄷ㈵づㅥ攵㌹㑦㐰㉤搵晣㙢㍣攲㙥㈹扥挵づ愱ㄸ摡㕤捡愳〵㥤㝤㝡㜲㈱㈰ㅢ㑦㑦㝤昱挴㘸㙦攱㡣慦攰㔶换㤱㉡攲慣㌷戴㕢收慣〵㘶挲㔹ㅤ㥤愰〴昹㌰㐶摣㠷ㄲ扥㤲摦っ㄰戸搲ㅦ搰㠷㠰扥〴㌰愴㕣㌸敢㠷㤴ㅦ㘷㝥㤱攴攰慣ㅥ㜰昴扤㔵㥡㝦㡤戳㈰晤て愰㝦㠶㝦㤷㜲挶㤸㙦㥢㌳㑥晡戲㤵㜲挶㠸㜰攱㙣㝢㍡㌹ㄶ愹㈲捥㜶㠴㜶换㥣㙤㠰㤹㜰戶ㄳ㥤愰ㅣ昹㌰㡥摣㠷戳㠱挰㤸㍢ㄳ挸ㄸ㜳ㅦ挰㈰〲㜶㈱㠰㘱攷挲搹慥㐸昹㜱收ㄷ㙤づ捥㜶〷ㅣ㥣㌱散摣昵慦㜱戶〷晤敦㐹晦っㄱ㉦攵㡣㜱攱昶昹㍡ㄸ㤰慤㍥㕦ㄹ㐹㉥㍣づ愱㘳㠶㤴ㄷ昱㌸ㄴ摡㉤昳挸搰㜳攱戱㠱㑥㕣ㅥㄹ㝦敥ㅥ㠶㌶敥つ〳挶摣㥢㐰挶愶晢〰㠶ㄳ戰て〱っ㔷ㄷㅥ㐷㈰攵换愳㑦㤴㍡㜸ㅣ〹㌸㜸㘴㐸扡敢㕦攳㜱ㄴ晤㡦愶晦敢〰㈸攵昱愷搰搹㝤慦攲㐲㠹搱收挲搹㝥㜴㜲㍤㔲㐵㥣㠵愱摤㌲㘷㌷挲㑣㌸㡢搰㠹换ㄹ㘳搴摤㉡㙢㥣㐵㠱㌱㘳〴㌲㝥摤〷㄰㈷㈰㐱〰㐳摡㠵戳㈴㔲㝥㥣昹㐵戲㠳戳㌴攰攰㡣㈱敤慥㝦㡤戳㌱昴扦㍦晤㌳晣㕣㌸搳㙥㔵晣ㄲ㍡扢敦ㅤ〰挸㌶摤慡㘰愴扡㜰㌹㤶捥ㅦ㐲慡㠸换㜱搰㙥㤹㑢㠶戶ぢ㤷攳改挴攵㤲㐱敤敥愱㘸户㉡㥡㠰㌱㈷㄰挸㠰㜷ㅦ挰㐴〲㈶ㄱ昰㌸〰挲攵㘴愴戴㕢ㄵ㜸慤慢捦慤㡡愹〰㠱挱摦㘸㕥㌵〶愷搱敢㜴㝡㘵挰㝡㘹慦㘳㤴扡捤攰㠱㠰㙣昵搹换戸㜶㘱㙦〶ㅤ㌳挰扤㠸扤㔹搰㙥㤹㍤〶挲ぢ㝢戳改挴㘵㡦搱昰㉥㌹㕡㑦㥣〳㡣㌹㤷㐰㐶捡晢〰收ㄱ㌰㥦〰〶捦ぢ㝢ぢ㤰昲敢㠹㝥㌱昳攸㠹㡢〰〷㡦㙦㘸晥㌵ㅥㄷ搳晦ㄲ晡㘷愰㝢㈹㡦㡣㙥摦挲搹晢㍥㈰挲搹挱㜴挲㈰昸㈲捥づ㠱㜶换㥣㌱㔸㕥㌸㍢㤴㑥㕣捥ㄸ㌱敦㐳挹㘱挰㤸㠷ㄳ挸㘸㝡ㅦ㐰㌳〱换〸㘰㠰扤㜰㤶㐱捡㡦㌳扦戸㝡㜰㤶〳ㅣ㥣㌱挰摥昵慦㜱㤶愷㝦ぢ愲昶㙢〰戶㉥散㥡愱ㅦ㐱㉤ㄶ㕥㕥慥㌴愰攰扣愱㙥づ㠲㌲扢愹晡㉥㐴攲搴搸愱戱㕢㝣㕥㉤㠷㜰挸㘱㝣㔴㕤捡㐱昱戳㙤攷搸攴㕤㔲摦㉣㜴㌶㔰㝢改㔷㕦㝦扤㜵愵戰晢ㄴ扦摤㠹㡢㥥㠰戹ㅣつ挶慢㡡㉡㈴愵慦慤㘰㈳㍢㕢慤㠲㜶㌳戱㙡㈵昱愵戴摦扥㈷戲㠶㌱㔴㈳㕢ㄱㄸ戱ㄵ㈱㙢㉤㈸ㄵ㘱ㅡ㑥ㅤ㡥㐰ち㝤㐸㍥慡搶搵慥㈴〶摡㍡㝣㙡敢愰㉤つ㔹㈸ぢ㠲攲愱㈰㙡ㅥ攱㔰ぢ扡搷户㈲〴㡤扢っ㘱戰昷ㄸ㜳㘳㘷愳搲ㅤ㥤㠸愹慤㈹㝤昳㥣㘷晢㉣㕣昵搹愱攴㥤戶㘲挶ㅣ〳戵愹扤〰㡤㔱搱扥㤸㝦摡㜰㌳摡㔰挵ㅤ㘶戵攴㍡㍢扡㍡ち摤㠳ㄷ㈰㤴㜲㌰摦㜲㡣㤷㑤㠴㥡㙡捦㠷㐷摦㌲㜹㘰㌵敤晣㠹愲㌵㝣㘱㔷㘰㘵㝢挷摡㜶愹㑤㙤ㄷ㕦昶㉣㉤搹扢㌷㡢〹戰ㅣ㙥㐳㐱㕥搰㐴㐵㠳㐸㤸ㅤ㜰㘱慥愲㌸㤲愲㤳愲ぢ愲㕦㥦㘰〰ㄸ㙥挱㍥敥㑥㕦㜷愷㥦戳㔳摦ㅦ㍢昴㙣〸昲㕢ㄴ挱㝡㜸㘶㈹㐶㌷㙡㌳㘰攲㠴收攲㕦㘸㌲㔶㐳摤ㄷ㙡〹㍢㤹㡦㜷㈷ㅢ㙢愰改て㡤ㄶ㌹ㄹっ㍡㕥捣戵挸㌴㠷挰㥦㌹ㄸ㐲㙤〷扤㤰㜳ㄴ昴摣㤱捦づ搰戲㐳愹㤳㐱㌸㥢ㄱㄹ㔵挶㌱㠰㔴㙣ㅢ㜵㈲㘰㙣㥦㘲㝥㜷㠴ㄷ攱昷㌸ㄸ昷慢て敥㠴㌴㝢戲戱〱改㘱ㄳ㈷㑣㥣摦ㅣち㈵愲攱㕣㈴㥣づ攷愲戱㘴㈲㥤捡㘵愳改㜸㌲㘵攵㘲改㔰㌸㥢㌷㌶㝡搰㝣㉡㤲㡡㈷㘲戱㐴㍡ㄲ㡡攵戲㠹㔴㈱㥢㡤攴㈲㔶㍡㤷㡦㘷ㄳ搹㙣㜰愰攳摥㍣ㅥ㌶收〹㄰挱㥤㕤搵㠹㔴㥤㐴搵㈰㔷㐵㠰㐰㙢㜷㠳㙡㡢㐳㤹ㄳ㝡〳㈳扣愷㐵攵昰挰搳慡改摤扢散ㅢ㌵挵挳ㅡ愲㜲㘴〸㤴㔸ㅤ㠳戲㜶㍤㘸摡晣㈸攵ㅡ戱㌵捡㐷㈹昳㌴搶晢㜴㠸㐰㤰ㄱ㍢昸挳慦㐷㈰改搳㍤捥㠴扡戸㝢㥣〵㑤㘹昷搸挳昱㘲㥥㡤㑣昹㈹㈴昹㔱㈴㌵ㄸ㝡改ㅥ攷㐱敦㜵㡦扤愰㤵敥搱㠱〳昱扡挷昹㠰㔴敥ㅥ㙤扥摤㘳㈸㍣㐹昷戸〰挶攸ㅥつ㐸㑢昷戸㄰㘹扢㝢挴ㄳ搹㔴㌴㔴挸㐵挳戱㘸㉣㤵戶搲攱㐸〸晦㐵挳搹㔰㉥㤲㑦ㄵ㡣㡢㍣㘸㈲ㅢ㑡㈷愲昱㐸㈸㤳㑥挴㤲昱㔸㌶ㅦ㡥㈵昹ㅥ搷㕣㉣ㅣ㡦㐷ㄳ挱㘱㡥㝢昳㘲搸㤸㍦㠴〸敥敤慡㉥愱敡㔲慡ㄸㄷ挴㑡昴愰搴扥㔰戱㡢愸ㅣづ㠳捤㠷㝤晣戲〴㑤慥㠰〸〴㐷㐲㐱㥤㜱㈵㤲㍥捤㜰ㄵ搴挵捤㜰㌵㌴愵捤㌰捡昱㘲㕥㠳㑣昹㘵㈸昹㡤㈸搵〸扤㌴挳㑦愰昷㥡㈱〴慤㌴挳挱㝡㌳晣っ㤰捡捤戰挴户ㄹ挲昰㈴捤㜰〳㡣搱っㄱ愴愵ㄹ㙥㐴摡㙥㠶㜴㈲㤹挹愵㔲㘰㌷㐱㘲慤㙣㈴ㄱつ愵㈲愱㐸㍣ㄳ㡤㐰㘱摣攴㐱昳愱㠲ㄵ戵㔲戱㔸㍥㕢㠸㠵搳搹㜴㍣ㅦ㡦㐵㈳㠵㔴㉥ㅥ㡥攴搱っ㔱挷扤㜹㌳㙣捣㕢㈰㠲㌱㔷㜵㉢㔵户㔱ㄵ㜷㔵〴〸㔴愵愰㤲㘶㤸愵㌷挳捦㤹㝦ㄷ㐴㈰㤸〶〰㝦㔵挶摤㐸晡㌴挳㍤㔰ㄷ㌷挳扤搰㤴㌶挳ㄸ挷㡢㜹ㅦ㌲攵㐷戲攴攷戲搴〱搰㑢㌳㍣〰扤搷っ摦㠳㔶㥡㘱愲摥って〲㔲戹ㄹ㥡㝣㥢㘱ㅣ㍣㐹㌳㍣っ㘳㌴挳㜸愴愵ㄹㅥ㐱摡㙥〶㡣㠹搹㜰㍡㘶㐵戳〵㉢㔶挸挴戲〹㉢㥥㡢㐵㈲挹㝣㍡㥡㑣㕡㜹攳㔷ㅥㄴ㜴㐷㜲戹㘴㈶ㄱち㠷㘳戹㐴㈱㥢㡢㠶ㄲ愹㜸㍣㥤㑥㘳散捣愷㠲㑤㡥㝢昳㔱搸㤸㡦㐱〴㈷戸慡挷愹晡㌵㔵ㄳ㕤ㄵ〱〲㔵㔳愰㤲㘶㐸敡捤昰ㄴ昳㥦㠶〸〴ㄹ㙥㠴㍦扣收㡢㍡づ㐱㈶㐷㥤攰㌴㔷晦㍣㔵っ攱㤵摦〳㔳〷㐲㉦挴扥〰扤㐷散㑣㘸㠵搸搱㍡戱㉦〲㔲㤹搸㤱扥挴捥㠲㈷㈱昶㈵ㄸ㠳搸搹㐸ぢ戱㉦㈳㙤ㄳ㥢〹愵㐲昱㘴㈶ㅡ㡦ㄶ㐲㌱搰㤵㑤㈵慣㘴㈴㤱つ㈷㜳㔶㈶ㄶ㑡ㅡ慦㜸搰ㅣ㠶㤲㘴㉡㥣捡㈷㐲搱㔸㍡ㅥ捥愴戳㜱ㄸ㘴昲㔹㉢㘵㘱㜰ち捥㜱摣㥢㝦㠴㡤昹㉡㐴㜰慥慢㝡㡤慡搷愹㥡攷慡〸㄰愸㕡〸㤵㄰㍢㐴㈷昶㑤收扦〵ㄱ〸㉥〲〰㝦㔵挶摢㐸晡昴敦㜷愰㉥敥摦敦㐲㔳摡扦ㄷ㍢㕥捣㑤挸㌴㈷戱ㄹ㈶㐲愸㠳愰㤷㘶㜸て㝡慦ㄹ㤶㐲㉢捤㌰㔰㙢〶㤳晤㥢㙢㌲戵愳㉦攳㡣㑣ㄲ挶㍦〰づ㡣ㅦ㡡戴㌰晥㜷愴㥤㠱㍤ㅡ捦㠷㜳㤹㌴攸㡥挶㜲挹㐲㉡㤴挹㕢㤹㐲㤴㥦㘸㌴㥤㌷㍥昴愰攸挳昱㑣㍣ㄷ戲攲搱㕣㉣㤷づ㜳㙤㤰挰愴㥦㑢攵搲㔶㍣㤴て㌲扥㠹敥捤㡦㘰㘳㝥っㄱ㍣摣㔵昵㜴攵㘶㔷攵愱㔴ㄶ㉡㘱扣㡦捥昸㍦改攵㜳㠸㐰㌰〷〰晥捡扡㜲摥搵㝦㐵散っ㈲づ㠴㔰〵攸㠵挳晦㐰敦㜱戸〲㕡攱㔰㘹ㅣㅡ㝣㤰㔳戹㉢㝦晤愵摦㠲慡〵㥥㠴搸㙡ㄸ㠳搸㈳㤰ㄶ㘲㝢㈱敤㡣ㄱ昱㐸㍡ㅦ㡢愶挲㘱㉢ㅢぢ㔹攱㑣㌲㤱㡤㐷慤㐴㈱ㄱ挲ㄸ㤰㑤ㅢ㌵㍤搰㙣㈲ㄲ㐹㜰ㅤㄵ㡦挵㔲ㄹ㉣戸㘲㠹㔴㈴㥤戰ち戹㑣慡㄰捥〵㔷㍡敥捤㕡搸㤸〶㐴戰搵㔵昵愶慡㡥慡㌶㔷㐵㠰㐰搵㉡愸㠴搸捦㜰ㄸ摥㡣搹㤷昹晤㈰〲挱㈳〱挰㕦ㄹ戱㥤慥㝥〰戱昳㠹㤸㐷㘲扢愱ㄷ㘲㜷㠰摥㈳㜶つ戴㐲散晢㈸挶㕢㡡散〴㐸㘵㘲晦收㑢散㕡㜸ㄲ㘲㜷㠶㌱㠸㕤㠷戴㄰㍢〸㘹㥢搸㐲㌴ㄴ㡥㐶搰昵㤲昹㔸㉣㠳㐱㌴㔹㈸㠴㔳㤱㘸㈶㙥攵㜲改㝣挱搸挵㠳㐶攲㔶㌲㤱捡㐶慣ㄴ搶㈱㠵㔸㌶㤳换㠵㤳搱㕣㌶㥢㈹挴昳㤹㜰㈲戸摥㜱㙦敥ちㅢ㜳㌷㠸攰㔱慥㙡㜷慡昶愰㡡㘱㔰搲慦〹㄰愸㍡づ㉡㈱昶つ㥤搸扤㤸㍦ㄴ㈲㄰摣〰〰晥捡㠸摤攸敡㠷ㄳ换㌷㌱㥡㝣慦愳㍡〱㝡㈱㜶㕦攸㍤㘲㑦㠲㔶㠸晤㠳㑥散㈸㐰㉡ㄳ晢㝢㕦㘲㑦㠶㈷㈱戶ㄱ挶㈰昶ㄴ愷ㅥ挶㝥㐸摢挴㠶ちㄱ晣㥥㄰挶搹㘴㍥ㄴ㑢㠶愳ㄹ㑣㜰愹㜸㈱㤲㐹㈶㈳㤹㙣㌸㙥㠴㍣㘸㈱㥢て攵㤳昱㐲㈱㔳挸挵㐲改㘴㌶ㄵ㑦收戳昱㝣㍡㥣挸㔹挹㜴捡〸㝢搰㔴㌶ㅡ㐹㈶搰扤㜳戹㉣愶挸㜸㉡㠱愵㑢㈸㤴㑢愶㌲㐹捣㠵㤹㈰㐳愷昰㠷户搹挲挶㡣㔲挴㈰㠲愷戹晡㌸㔵〹㡡㈴昵愷扢㝡愲㙣㍣㉤搵㔹搰㑢㤳㍣敥㌴㠹㌴搹〱〴㡤㠵〸〴捦㜶つ戹㍡㌴戹ㄶ㌴戹晣ぢ㥥攳敡㥢㠸㕤挶慡㌴戳㐹捥㠳㕥㥡㘴ㄲ摤㔳挳捦昹搰㑡㤳摣慦㌵㠹㈹㑦㠳㌹㄰摦攷换晥て㘰㈴散㑦㠳㉢戰㝦〱搲搲慤愷㈳㙤戳㥦戶㤲㔸ㅣ㈴㘳攱㄰晡㜶㍡㥦捥ㄶ㔲㘱㉣慦攳㔶㍣㤶捦㐷㈲㈹攳挰ㅥ㘸㍡㠲昱㌶㤵捦㕢改㙣㉣㤳㡡愷㌳攱㑣㈱ㄲ挷㜲㌰㤵ぢ㐵㌳㤹攰㠵㡥㝢㜳〶㙣捣㤹㄰挱㡢㕣搵㉣慡㘶㔳㜵戱慢㈲㐰愰敡㔲愸㠴挳㕢ㅤづ㤱挶改捦晣〵㄰㠱㈰愳愵㐴㔷戲愶戸捣搵㉦㈱㜶㌹慤㜰戳愰㑡㕤づ扤㜰戸ㄴ㝡㡦挳㉢愱ㄵづ慦搳㌹攴㥡㐲㈶戳㙢㝣㌹扣ち㐶挲攱攱㜰〵づ慦㐶㕡㌸㙣㐶摡攱㌰㤵㑢㐴㜲㈹㕣㤲攲㡡〳ㄷ㈶㔸昵㘶㜲改㔰〶㈳㘹㈲㡣㑢㕡㘳㤹〷つ㘵㘲〹㡣〰愱㑣㈶㘵挵㔲戹㔸㈶づ愶㤳㈰ㄴ敤㄰㡦㔸搹攰㌵㡥㝢㌳〳ㅢ㌳ぢㄱ扣搶㔵昵㉣ㅦ慥㜳㔵ㅥ㑡晤っ㉡攱昰ㄲ㥤挳ㄵ昴搲〲ㄱ〸㕥て〰晥㄰㈰挰㉥挸挵㠲挹昵㐱昰〶㔷摦㐶㉣扦戰㘳戶㐱愸㥢愰ㄷづ㔷㐱敦㜱㜸ぢ戴挲攱戹ㅡ㠷㐶㈷㈰㤵㠷㠶戳㝤㠹扤ㄵ㥥㠴搸㙥ㄸ㠳搸摢㤰ㄶ㘲㔷㈳㙤ㄳ㥢戳搲昹㘸㍡㤶㤱扢〳昹㝣㉥ㅤ㠹㈶搳ㄹ昴戶㜴挱捡㠴㐳ㄹ㘳㡤〷捤收戲㔶㈲㠳㙢㤲㕣㈸㡥攵〱㔶捡昱㉣ㄶ挹㠵㐲㍡ㄷ捥㠴昳攱攰敤㡥㝢㜳㉤㙣捣㜵㄰挱㍢㕣搵㝡慡㡥愲敡㑥㔷㐵㠰㐰搵摤㔰〹戱㈷敡挴ㅥ挷晣つ㄰㠱攰㍤〰攰慦㙣捣扤搷搵㥦㐸散㙡㈲扡㐹散㉦愰ㄷ㘲㑦㠱摥㈳昶〱㘸㠵搸昵㍡戱愷〱㔲㤹搸戵扥挴㌲㜶㑡㠸㍤〳挶㈰昶㐱愴㠵搸㌳㤱㜶㠸捤挵㜱愵㥣㡡㔸㐹㉢ㄹ㑢愶㌰㠰㐶ㄲ㤹㐸㈱ㄴ㑡㠶㈲愹㘴㉥㙢㥣攵㐱昳改㜸㈶㤷挰㙤㥡㑣㈱ㅦ戳挲搱㔴㌲㥢挸㈵㌲昱㘸㈶ㄵ捥攱㈷㐱㠳て㌹敥捤戳㘱㘳㥥〳ㄱ㝣搸㔵㥤㑢搵㜹㔴㍤攲慡㍣㤴㝡っ㉡㈱戶㑤㈷昶〲㥡㕣〸ㄱ〸㍥づ〰晥㐰ㅢ㍢㉢敦㜵㤹㙢搸㘳㝦敤敡㉦㈱㤶㙦挴㌴昹㝥㑤昵㈴昴㐲散㘵搰㝢挴㍥〵慤㄰㥢搳㠸敤ㄹ㌹㌳扥ㅣ㍥つ㈳攱昰㑡戸〲㠷捦㈰㉤ㅣ㕥㠵戴捤㘱ち㈳愴㤵捤㘲晣㡣攰敥㐴㉡㤵挲愲ㄴ㌷ㅥ戰㠲㑡㘱晤㤴㑣ㄹ㔷㝢搰㐴㌴㠷㉢ちっ〷ㄱ㉣㘱㌱挰攲㘷敤ㄳ〵㡣愴㠹㐲㌴ㅦ挵昵㜱昰㔹挷扤㜹つ㙣捣㙢㈱㠲捦戹慡㥥㤵搶昳慥㡡〰㠱慡ㄷ愰ㄲづ㤷攸ㅣ摥挰晣ㅢ㈱〲挱摦〳㠰扦戲捥昹愲慢扦㤵搸ㄳ㠹㌸㠱ㅣ扥〴㍤ㅦ㔹攰㕢㄰昰挸㕢敡戴づ㤸㜷搲ㅢ㙥㡤扦㡣愴㜰慣摦ㅡ㔷慦㔰㡢㡦㜹ㄷ㘰敡㔵ㄷ㜳㌷㔲㘴㡤ㅦ昵扡慢扤㠷ㄸ㘸㤰挶㙢㉤㈱愵㜵愶改慤挳㍢挱㌲㈶㑦昱㙢ㅤ昵㠶敢敡㝥戸攲㕤㔷㝥㠲㙦㐲㉢㙤昶〰戴收㉦㈹ㅥ愴㜸㠸攲㘱〸摣捥㝤㡢㠵ㄲ晣戶扢昳㡥扢昳慥戳㔳扦〹㍢晦㍢户㜳晦〲捦㉣愵戴㐳㌳戴㑡昴㡦戱慡愷ㄳ㜱ㅡ㠴晡ㅢ㤴㐲昶ㄳ搰㝢ㅤ晡㝤㘸㠵戲㤴㐶㤹昱ㅢ㐰㉡㡦ㄴ〹㍦ㅥ㠳ㅦ挰㤳㌰昶㌴搹愹て晥ㅤ㘹戶㤵昱っ搲㜶㉦㡦㘵昲㤸攴愳㠵㔴慡㤰㠸㐵挳愹㔴扥㄰挵愵㕡挲捡挴挳戸挵ㄳ㌲㥥昵愰㤱㙣㠱搳ㅡ㔶挳㘱㑣㙣搱㝣㈶ㄴ㑦愴挳㠵㌴㤶㙢戱㔴㌸㤹〸㝥攸戸㌷㥦㠳㡤昹㍣㐴昰㈳㔷昵㕢慡㝥㐷搵挷慥㡡〰㠱慡㑦愱㤲㕥㍥ち㠷攱㕤㑦晣㠱昹㉦㐱〴㠲晦〰〰㝦㘵挴㝥收敡㕦㈵昶㍣㈲捥㈵戱㥦㐳㉦挴晥〹㝡㡦搸㝦㐱㉢挴敥愵ㄱ㙢㜲㙥㤳扥㌸搸㤷挳㉦㘱㈴ㅣ扥〵ㅣ㌸㘴㜰㤴㜰昸㌶搲㌶㠷戸〹㤶㠸愵㉤ぢ户㘰㉣㉣㥣㈲㤹㍣㙥㠷攱愶㘶㉣㔴㠸㈷昰捦㜸挷㠳收㤲昱㘸㉣㤳挱敦愶㠷ㄲ戱㌸㐶摢ㄴ敥㙦㘷愲〵㕣㜶㐴戱戲㠸〵晦敤戸㌷摦㠵㡤戹〹㈲挸㘸㉢㤶㘸昶㑣㘳晦㜱㔵〴〸㔴㈹㥣㔲挲攱㑥㍡㠷敦㌳晦〳㠸㐰戰ㅡ〰㤸㤵㡤ㄴ扤㕣晤挷挴㕥㑣挴㐵㄰慡ㄶ㝡攱昰㔳攸㍤づㄹ㍡㈵ㅣ昶昵攵㌰攰换㘱ㅤ㡣㠴挳捦攱ちㅣ㥡㐸ぢ㠷㕦㈰敤捣㔸㠵㑣㈸ㄹ㑢㐷攳戸攵ㄸ㑢㘱㠵㡡㐵㝣㍡㠱ㄵ㉡愶㉥ぢ戳㤷昱㉦て㥡〲㈲㠶攵㉣㔷㔶戱㕣㌸㠲㘵㙢㉥㤷㉤㈴㈲㔸攵㈶ち㠵㘴㌰攰戸㌷扦㠴㡤昹ㄵ㐴戰㡦慢敡攱戰慦慢㈲㐰愰慡ㅥ㉡攱戰㑡攷㔰㘱昴㌱慢㈱〲挱㈰〰㝥ㅣ㌲敥㑡昴〶戱㤷㤳挳ㅦ㤳㐳〹愵㘲捡㠴摥攳㜰㐷愰㠵挳㝦晥慢攷扡搶攴㔲㐰晡攱㍦愰㉤㝦搸戲ㄳ㡣㠴挳㝥㜰〵づ〷㈲㉤ㅣ昶㐷摡收戰㔰〸愵㜳搱㜴〱昳㝥っ㜷㙤搳搹㐴㈲て㉥㜱敦ぢ㝤㌳ㅢ戳㡣㝡て㡡扢〷搱㐸㌴换搹〹㔸㕣敤攲㍥つ敥收收㌲戰㡦挷㤳改㈰挳戲愴搳〵㘱㘳づ㠰〸づ㜲㔵㍤戳晥㉥慥㡡〰㤳㔰挵㠸㉢攱昰扦㜰ㄸ摥戹㍣㤰昹㍢㐳〴㠲㝢〰㈰㕣㤵捣晡㝢扡晡摤㠸扤㡥慣㕤ぢ愱㠶㐰㉦晤㜰㑦扡愷㠶㥦愱搰ち㠷㙦㙡ㅣㅡ㐳〰愹㍣㐸晥搹㤷搸〶㜸ㄲ㘲㠷挲ㄸ挴づ㐳㕡㠸㙤㐰摡㈶㌶ㅥ㑢ㄷ戲㈱摣昴づ㘷㔳戱㔰搸㑡㠷愲㤸摡戳昱㜴ㅣ户愸慣㕣搸ㄸ收㐱搳㐹摣㌹㑣㠴昳挹㐴㈶ㅢ换㈷㜱㜹㄰㑥愴㜸户㌶㙣挵搰㌴搹㈰攳戴㠴搸扤㘱㘳づ㠷〸㌲㍣㑢㔴晢㔰㌵㠲慡㝤㕣ㄵ〱㈶愱㙡㈴㔴㐲散㡢㍡戱愳㤹摦〸ㄱ〸㡥〲挰㡦搸搱慥㍥㐲散㑤㈴昶㐶㔲戸ㅦ昴㐲㙣㥣敥㕤㘲ㄹ㙢㈵挴㍥愵ㄱ摢戳㥣㝡搲㤷挳〸㡣㠴挳㌴㕣㠱㐳㐶㔷〹㠷㘳㤰㜶〶㐹ぢ㑦ㄳ攲㈹摥㕥㑤挷㤲㈱㜰㤷戶㘲㜸扡㠷㑢㈴摣㠵㡤挶㡤晤㍤㈸慥㔳㘳愱っ㝥㠵㌸㤴㠹挷㈲㜸㌶㤱㑦ㄷ㘲戹㐸㉥ㄱ㑦㐶㤳㤸㜶㠲㌱挷扤㜹〰㙣捣戱㄰挱戸慢敡㔹㑥㈵㕣㤵㠷㔲㘹愸㠴挳〷㜵づ㈷搲换㈴㠸㐰㜰っ〰㝥㈷昸晥慥㝥ㅡ戱㝣〱慡㜹〷ㄹ㤳ㄸ㉢愶㘶㐰敦㜱㌸づ㘸攱昰攷ㅡ㠷挶㉣㐰㉡㜷捥㍢㝣㠹ㅤて㑦㐲散ㅣㄸ㠳搸㈶愷ㅥ挶㕣愴㙤㘲挳愱㜸㍣㠵㥢㉣㘰ちて㙦搲㜸ち㘰昱㘱㑣っ攳㈹收昳㐴搸㤸攷㐱戳㘹摣㡢戱ㄲ搹〲ㅥ㤸挵ㄲ〹㍥㐹挳挵慣ㄵ捦攳ち㈱㠴昹摦㤸敦㐱搳戸㜲挸ㄶ㤲愱㐲〶㘳㠳ㄵ挹㘵慣㕣扥㤰㠸攳㜶㈳㝣㘳愶ち㑥㜰ㄹ㔹〰ㅢ㜳㈱挵㈲㠸攰㐴㔷扦㤸慡㈵ㄴ〷㔱㍦挹搵ぢ㔴㡣㠸㔷㡣昱㤲㈶戹搶㘹ㄲ㌹ㄳづ愳摤攱㄰㠱攰㌴挷搰㘸㐶搲攷戶昸㌲愸㡢㙦㡢㘷愰㈹扤㉤捥㌸㌱㘹搸㉣㌲攵ㄷ挵㑤扥晦㔵捤㠰㕥㑥〲ぢ㝡慦〱㘷㐱㉢つ㜸愹摥㠰换〱愹摣㠰㍦昴㙤㐰㐶㠰㐹〳戶挰ㄸつ㌸〷㘹㌹㌳㡥㐰摡㙥挰㝣㌴㠹愷㘹㌸て戲㘸挰㘸ㄴ昷㘸㘳㘰ㅣ挳㌰㠸て㔹搱㠴戱搲㠳㕡ㄸ㔱ㄲ搹㘴㉣ㄵ挱㄰㡦ㅢ攷搹〸㙥搰㘴㜲昸㘰晣挶慣ㄸ㥣敢戸㌷㕢㘱㘳戶㐱〴ㄹ㍥㈶㥣戶㔳搵㐱搵㝣㔷攵愱搴㈲愸愴ㄹ捥㜱㥡㐱挸敡愲㐹㌷㐴㈰戸ㄸ〰搱㤵摣㕥㔸攲敡搷ㄱ晢〸捦㠵㠷㐹散挱搰ぢ戱㐷㐳敦ㄱ㝢〸戴㐲散㐹ㅡ戱㍤愳换〹扥ㅣ㌲㈲㑣㌸摣〰㔷攰㤰搱㕦挲攱㐶愴㥤ㄱ㍡ㄱ㑤㔹㜸㌶㤹て㐷戲戸搱ㄸ㐹㔹㔱㕣搸㘲攸㡤攱㜹㐲摡ちㄹ挷㝢搰㜰〸㡦㝥㌲愱㐸㈶㠱㝢攲愱㈴搶ㅢ攱㑣㉥㠹ㅢ扤㤹㌴收扥㔴㌸㜸戸攳摥㍣〱㌶收㠹㄰挱㘶㔷搵㌳扡㉣㜳㔵ㅥ㑡攵愰ㄲづ搷改ㅣ㥥㑥㉦㘷㐰〴㠲㜹〰晣㐶ㄷ换搵㥦㐳㉣㕦ㄷ㙢㍥㐱づㄹ慦㈴ㅣ㝥ㅦ㝡㤷挳愰㝢㘵愶㈴㡥㠸攰昳㤱捤㡤㤰攰ㄱ㌰ㄲ戶㝥㐰㘷ㄷ㐰昴敢ㅦ㕣改㉡㉦㘴扡扥戶〳改晤㉢扦㉣㔴㡢㉥ㄹ㠹戸愷愲ㅦて㥦㡣ㅦ〳㘷㠸㜹㔵㉦扣㤰挸㝥㈱㑡㑤昵㤸㙦收㡢挱ㄳ扢挳ㄵ㍦戵㐷㠰戵晦ぢ㍦㍣昸㥥㜰ち㝡㘴㍣㐶ㅤ扥〱戴ち〷换〳㔶㉤㈸㠱愵昰攵戴㜵づ㘷㕦㝣慤ㄸㄴ㈴昹㉢㥣晣晡攲晣㑥㌷㝦戹㤳扦㙢㜱㍥㐳㠹挴扥攰攴敦㠹㝣昳㐷㈸㐰慤㐵㔶〳㔳敦㔲㙣愲昸ぢ㠴捡〰昹ㅡ㝥㘲慦散㘷〰㤷㌹ㄹ愵㍦㈵ㅢ㍣ち㥥愴㔹慦㤲ㄶ㔴挷㈱㉤㠵ㅥ慥ㄷ㝡つ㌲㙢㡦㐷㤶敦㕢ち敤攸愲〵㜸敦㤴搵㌸㜱㐲戲㜱昲扡㥣搵捡㌷㐲㈲戴〸㠶㔵㍢戶㑤敦挲㉥㝥㘰㝡㘱㐷㤳扣愷㤰昱㘳〳摣攸愳㤱敥㡦㕢て敢搱戸慦〳㜵捤收㜴㝡㜶昸慤㘶㠴㙢㈱㘳㈴㝦ち㝢挷㥥㤴昶晡㥣㕤㝢戴㜸敦㉢摥㐸㘹攵㕤㡦㕤〸㠷慥愹敥愵㑡摦㌰㈵㙦晢㜳㝥㠱㜸㉥摥㤷㐳㙦昸㜵晡改㜹戲扥慢捦㉢慦㈶戴㜴换㉢攳㜶㈳昱收〶㤰㘳㕣㐷㥡挶㌶㑣㙦㠸搷㉥〵㝤㕢㕤㐴㜱ㅦ㘳㠱㍣ㄱ〲收㑦攱㑦㥤〰捦愴㕥㤹ㅢ㔹挶昵㜶ㄹ〷㌵挴搵㘲㤴挱㜲㜸敥〷捣ㅢ〹㍥ㄱ㄰㔷愵㑥㜲ㄲ㜴㔶㝦ㅡㄲ扣ㄴ〰㑡摦㍥ㅥ攷愴挶摢晦搷㌹晦〷挷搷㌳㔸㐸㉣づ㔳㐳捥㙦慡㝤㜳㐳改㙦㝢搸ㄶ摦㜳㉣㍥ㅥ愷捥㠶㐵〳戴㜶户散昹㔱㡡㜹愸愴㙦户㥣敢㘴㤴晥㍡㘵昰㍣㜸㤲㙥㜹㍢敡摢慦㕥㕤㠰戴㜴换搹戰攰戹㈶攷挲㥤㍣攴㡢㤱㘵昳㜳㈱昶㡣扢愰㌳挶㌶㉣㙥〸挷搴㠱〰扡㙣〴捣㝢㠸㘶〰㡦㡤扥㠸攸晢㙣昴㘴愲愷㌸㘸㥢晢晢㠹扥〴ㄸ搷㠱扡搴㐹〸㥤㤷㈳戱㙤㜴㕥攱㕡㙣㥥捥搹攳㙦扣㠱㕢㘰扣扡〶ㄶつ㍥㜴㌶愱愲扥㜴㡥㜷㌲㑡㝦摣㌲挸ㄸ㈰愱昳ㄱㅣㄵ攸扣〱㘹愱昳㝢戰昰攸㝣㤴㠷㝣㌳戲㙣㠲㙥挴㥥昱戸㑤搰昴㠶㔸㐸㡤㈹㈲攸〹愲㙦昱搰㌷ㄱ晤ㅢㅢ㝤㄰搱〹〷㙤昷捥愷㠹扥ㄵㄸ㡦捥摢㥣㠴搰昹㜳㈴戶㡤捥扢㕣㡢㑡㜴㈲㈰〰摢㍢攳㠲〳戸㝤㝦㥣扡てㄶつ㍥㜴㠶ㅤ搶捡〶捤㤰㤳㔱晡摢㤸㐱挶昲〸㥤扦挳㔱㠱捥㠷㤱ㄶ㍡ㅢ㘱攱搱昹㝢ㅥ昲愳挸戲改㝣〴㝢挶ㅦ㙣㠲愶㌷㐴㘲㙡㕦㠷㈰扢扦扤㑣昴㘳ㅥ晡㔷㐴晦搱㐶ㅦ㐴昴摥づ摡愶昳㌵愲ㄹ愵攰搱挹挰ㅢ㈶㠴捥愷㤰搸㌶㍡㥦㜶㉤㉡搱〹攲慡慡摥㙣ㅦ㝦昴㕡㙥㠳挷慢攷㘱搱攰㐳攷㄰㔴挲户㜷づ㜶㌲㑡㝦㕡㌳挸〸ㅥ愱昳㉤ㅣㄵ攸㝣〹㘹愱㜳て㔸㜸㜴扥挳㐳晥㈳戲㙣㍡㕦挶㥥戱挹㈶㘸㔶㐳㍣愴㜶〱搸㈵㈰㘰晥㤵攸㔷㍤㌴㈳㜱㡣扦搹攸愵㐴敦攴愰㙤㍡摦㈷㥡捦挹㍣㍡ㄹ㙥攳㝡慢㝦ㄳ㠹㙤愳昳㉤搷愲ㄲ㥤户㑣㝤敢愸ㅤ㙥昹㘸摣愲㕤摦晢昹昱戳てㄹ愷㌶挱愲挱㠷捥〱づ㙢㘵扤㌳攸㘴㤴晥㌲㘷昰㍤㜸ㄲ㍡㍦挱㔱㠱捥て㤰ㄶ㍡晢挳挲愳昳㔳ㅥ昲㐷挸戲改晣㍢昶㡣捦㙣㠲搰摦攲㉡㔰㐴搰攷㐴㝦散愱㍦㈴晡㕦㌶ㅡ㝤㌹慥っ〷㙤昷攵慦㤰㔳晦㑦㘰戶㡤戴捦㕤㡢㑡愴戱ぢ㔶㍤扣㝣晣㈱㡢戸つㅡ慦扥㠲㐵㠳て㘹捡攱愶㡣戴㉡㈷愳昴攷㍢㠳晦㠱㈷㈱㑤攱晢ㄴ㈰慤ㅡ㔵ㄷ搲晥昳㠵㐶㕡㉦㘴㉡㠶戵搸愴昵挲㥥㔱ぢㅤ㈶㥣挹つ搱戸晡ㄲ㘰户搷〴捣摥㐴㌳扣挵㐶搷㄰㙤摡攸挵㐴晦搳㐱摢㝤戰て搱扣㄰昰晡㘰㥤㤳㤰㔳扡㉦ㄲ昸摢㠶昹扢㥦㙢戱㔹㍡慢摥㜴㐶挸慢挶㈹㠶捦昸搱昹〹㉡敡㝢㑡㝦散㘴㤴晥晡㘷㜰〷㜸ㄲ㍡〷攰愸㐰㈷〳㘴㠴捥て㘱攱昵挱敤㜹挸っ㘶戱〹ㅡ㠴㍤㘳㐷㥢愰改つ攱㤰晡㉦㠷㈰扢㔷つ㈴㥡㐱㉤㌶㝡ㄷ愲〷搹攸㠳㠸晥㡢㠳戶改摣㤵㘸㐶挵㜸㜴㌲㍡挶㙤㥣晡扤㤰挰摦㌶搰㌹搴戵愸㐴愷晤扥昵户㝡㈶㥣攱戰昰愳昳㉤㠷戵戲摥昹愶㤳㔱晡敢愱㐱㠶搹〸㥤㐳㜰㔴愰戳ㄱ㘹愱昳捦戰昰攸ㅣ捡㐳㘶㜴㠹㑤搰㝥搸㌳㠶㐱搷㝢㙣㐳搳㠱つ攱戴㝡搵㘱挸收㜳㌸攱㡣㘰戱攱㈱挲㐷㌸昰ㄹ㠴扦攴挰㙤㐲㐷ㄲ捥㈸ㄶㅢ捥㤸ㄹ㘳戴〳㥦㐹昸ぢづㅣ㘷ㄲ㤶愳晢ㄱㅥ〷㠸㤴㔳愵ㄸㄴ攳㌵㐶搲㐹㐸摦㘶搸ぢ㠶㡣慤㙦っ㘰戱敤㌰扥㥥戱㌲㘲㔹愹㔱〴昸收挹攳攵晦慡搳敤晦挷㥦㍢㕥㌵挱搲慦㜱㥥挵㔱昸昶昵㘷㥣㡣搲ㅦ㌵つ㑥㠲㈷㘹㥣㌸づㄹ㡤㌳つ㘹㘹㥣愷㘰攱㌵㑥㤲㝣捣㐰㤶㑤ㅦ㐳㘹㡣㌴㜴ㄸ㍡搰搷攳敡搷づ㝢㜶摢散㑦昴㑣て捤㘸ㅡ㘳慣㡤㐶㕦㡦慢㕦㌹㘸扢㘹挶ㄱ㍤ぢㄸ㡦摥搹㑥㐲攸㘵㐴っ晥戶㥥摥㝡㠶捦㠸挵㘶㘹慤㡡㌹㙢搵㉦挷愹㈵㠰晢搱昹㑢㠷戵戲扥晥㠰㤳㔱晡㥢愸挱愵昰㈴㜴㑥挶㔱㠱㑥〶搰〸㥤扦㠰㠵㐷攷㔴ㅥ㌲挳㔸㙣㍡ㄹ㔵㘳㑣户〹㕡摡㄰㡢愹扢㡢〸㥡㐱㜴搶㐳㉦㈳㝡㤶㡤㥥㐵昴ㅤづ摡㈶㝦づ㜲敡㔷〰㠳扦㙤㈰㡤昱㌲㘲戱㔹搲ㅥ捥昶㉣昰摢〰昷㈳敤㘶㠷㥢㌲搲㙥㜲㌲㑡㝦㌸㌵戸ち㥥㠴戴㐵愸㍢㐸㘳㜰㡣㤰㜶〳㉣㍣搲㤶㤰㠶戵挸戲㐹㕢㡤㍤攳㘰㥢〶㑣㕦㈱昵㤳㈲ㅡづ㈱㥡〱㉤㌶㥡㐱㌳挶㘱㌶ㅡ搳㔷㐸㕤敤愰敤㍥搸㑣㌴ㅦ㠳㜹㝤昰㈸㈷㈱㝤㤰㠱㉦昸摢〶㍡ㄹ㈵㈳ㄶ㤵攸っ扣㝣捤慡戱㠱㈷挶挹晡㥥ぢ晣ㄳ〱昷愳昳挷づ㙢㘵㜴㕥收㘴㤴晥敥㙡㤰㈱㌶㐲愷㠵愳〲㥤っ㠹ㄱ㍡㉦㠵㠵㐷攷㜲ㅥ昲搹挸戲〹㍡ㄳ㝢㐶㡢㑤㄰晡㘰㕣㕤㔴㐴搰㑡愲捦昱搰㘷ㄱ摤㘶愳搱〷攳敡㝣〷㙤昷挱づ愲昹㐴捣愳昳㍣㈷㈱㜴㌲摣〵㝦摢㐰攷㠵慥㐵㈵㍡敤敢愵昷㝢愶慦㑢㘰攱㐷攷搹づ㙢㘵㜴㥥攵㘴㤴晥㙣㙢㤰㠱㌵㐲攷㙡ㅣㄵ攸扣ㄲ㘹愱昳っ㔸㜸㜴慥攵㈱㕦㠳㉣㥢㑥㠶捣ㄸ敢㙤㠲㈶㌷㐴搲敡㤴㈲㠲㡥㈶晡㕡て㝤㌵搱挷摡攸挵㐴㥦攰愰敤摥戹〱㌹昵㡣㙦挱摦㌶㤰㜶愳㙢㔱㠹㌴㜸挳戶㡦㜳㑡㔷㡦㔷户挲挲㡦戴㘳ㅤ㙥捡㐸㍢挶挹㈸晢㙤㔷㠶捥昰挶㤰㜹㌲㡦ㄴ㍢昲戹换搵㥥〲㉤㌷㙡㠳㡣㤸ㄱ㠲㑦㠵搶㍣つ〲㌷㘷敦㜱㤵愷㌳㕤ㅦ㘴搴㡢㠰捥㈰攸㑣㡡戳㈸捥愶㌸㠷攲㕣㠸㝥㜸昷ㅣ㠰搲㍣慢㔰㌷㌶㡦㝢挷㤳挱㌱㤲搱攱㘴㤴摣昱㘴摣㡣攴户㍢昹㈵㜷㍣ㄹ㔲㈳昹㙤㑥㝥挹ㅤ捦㠷摤晣㔶㈷㕦敥昲㕣㠸㕡愹挷㤰搵挳敢㈶ㅣ戴㝤挷㜳㌹㤰扥搳㜵挱挹㈸晤晤搷攰ㄳ昰㈴㌴晣㠸㐷㕢慦㥥㜶ぢ捤敢㠵晥㤸㠵㍥㠷㉣扢㌳㍥㠳㍤攳ち攸㌰㕤捦攳㘲㘷ㄹ挰㍣㌵敤戳昵㉡愲㥦昷搰捦ㄲ㝤つ㜴㕣㜹㑤㈰晣㔰〷㙥昷挶敢〸晦㉤㐰摥挹捤㄰ㄶ搷㕤晤ㅦ㤰挰摦㌶昴㔳㠶戳㠸挵收晢改搴昱昰㡡敤捤㜱敡㔵挰㝢昸散戹㔵户挴愱慤慣㥦㉥㜶㌲㑡㝦㍦㌶挸㔸ㄸ攱昳㐶ㅣㄵ昸㘴㐰㡢㌴昲㐲㔸㜸㈷昷捤㍣攴㜷㤱㘵昳昹㌶昶㡣㕢愱戳慦㥣搲㙡慥㐳㤰捤攷敤㐴㌳〸挵㐶扦㐳昴㥤㌶ㅡ㔳㑦㕡捤㜴搰㌶㥤㜷㈱愷晥㝤㘰昰户つ愴㝤攰㕡㔴㈲敤攸ㅤ㜸㤵摥㍤㙥㡥㝢㡤晥㌱㉣晣㐸㥢敡㜰㔳㐶摡ㄴ㈷愳昴㐷㘶㠳っ㝥ㄱ搲敥㐷摤㐱摡攷㐸ぢ㘹㤳㘰攱㤱昶㑢搲昰㈵戲㙣ㅡㄸ搶㘲㍣㘴搳㠰ㄱ㌱愴挶㍢㌴搸愴㍤㐲㌴愳㑥㙣昴扦㠸㝥搴㐶㘳㐴っ愹〳ㅣ戴㑤摡攳挸愹㔷㔸㍢〳戶つ愴㌱㘰㐵㉣㉡㤱㘶㕦〵晤㜱摣㡦㉥攱㜶晤㌸挵搸ㄵ㍦搲㤲づ㌷㘵愴㈵㥣㡣搲㕦愲つ㥡昰㈴愴㍤㡤扡㠳㌴㠶慣〸㘹㌱㔸㜸愴㍤㑢ㅡㄸ㌳㘲搳搰ㅦ㝢挶昳㌶つ戳㜸慢㈲攴搰㘰㤳昶㍢愲〷㜸㘸㠶戲ㄸ扦户搱㑢㠹ㅥ攵愰㙤搲晥㠰㥣晡㠱挰㙣ㅢ㘹㡣㔰搹㉣㘹㍣㈹慢㌶ㅥ攲㑣㈳扢㡣㔷っ㔶昱㈳㙤戸挳㑤ㄹ㘹㝢㍢ㄹ愵㍦㔷ㅢ㘴㜸㡢㤰昶ㅡ敡づ搲㠶㈲㉤愴㌵挰挲㈳敤㑦愴㠱昱㈰㌶㘹㡣㔱㌱摥戰㘹〰㘹㘹㌵搸愱挱㈶敤㉤愲㠷㝢攸㘱㐴扦㘳愳㐱㕡㕡敤收愰㙤搲㌶ㄱ捤ㄸㄴ㙦戴ㅢ攱㈴攸慤㥥愱㈶摢㐶㘷愳㙢㔱愹て摡㜴㌶昵㉣戴ㄹ愲攲㐷攷㐰㠷戵㌲㍡㜷㜲㌲㑡㝦敤㌶ㄸ㠷㈷愱昳㝤ㅣㄵ攸㘴㘴㡡搰戹〳㉣㍣㍡晦捥㐳㘶㝣㠸㑤㈷挳㔵㡣㡦㙣㠲ㄶ㌷挴搲㉡㔸㐴搰㈷㐴㌳摣挴㐶敦㑦昴愷㌶㝡㌲搱㝤ㅤ戴㑤晥㘷挸愹㥦〸捣戶㤱挶㐰㤴㉤昷㐱晤㤲㡥㌱㈹㝥愴昵㜶戸㈹㈳捤㜰㌲㑡㝦ㄲ㌷㌸〳㥥㠴戴慦㔰㜷㤰挶愸ㄳ㈱慤〶ㄶㅥ㘹晦㐳ㅡㄶ㈰换愶㠱愱㈸挶搷㌶つ㑤㌳ㅡ搲慡捡愱挱敥㔵ち慦戰㔰っ晡戰搱昳㠸敥〵ㅤ㈶㤴愶㤹㐰晦晢㜳㝢㠲慥㐱㘷〸㤸戵㐴㉦昲搰っ㐸㌱㝡㍢攸〳㠱晥挲㐱摢ㄴ㥢㐴㌳搰㠴㍤㤶づ搴ㄲ㈷挱戲ㄵ〳㑦扣挹㥡㈱㈵昸摢晡㈱ㄴ㔸㙣戸㜷挱㌸ㄴ戱摣㙣㌷昶扢㜷挱㘰ㄳ扦㤶昹ㄴ㐷攱扢ㄸ晡㙦㈷愳昴挷㜹㠳ㄶ㍣㐹换搴攳㤰搱㌲㉤㐸㑢换㝣っぢ慦㘵〶㤰て〶㜵搸㕣㌳挶挴搸摥㘶敦㈰㑥挷ㅦ㌸散搹㉤戳㈳搱㡣ㄱ戱搱㉢㠹ㅥ㘸愳愷ㄳ晤㥥㠳戶戹ㅥ㐴㜴㍢㌰摥攸挰㔸ㄲ㡦摥㉥㈴戶慤愳㌳慥㘴㉢㍡晡昴㥥搱㠱㈱㈶㝥㜴扥攳戰㔶搶搱摦㜶㌲㑡㝦摢㌷㜸㌴㍣〹㥤㝢攲愸㐰㈷㈳㑢㠴捥㌷㘱攱搱㌹㠴㠷捣昸づ㥢愰㡤搸㌳㠶摡〴㘱㜴㠸愹搷ㅤ㠲㙣㍡㠷ㄱ㝤愲㠷㍥㥥攸攱㌶ㅡ愳㐳㑣扤攲愰㙤㍡㐷㈰愷晥㜴㘰戶㡤㌴〶㤲㙣〵㘹ぢㅤ搲㜰挳攷ㅣ㔸昸㤱昶㝢㠷㥢㌲搲㕥㜰㌲㑡㝦〰㌸昸㝤㜸攲㐹㘶敥㠷扡昷敢ㄵ㘴搸〹㐹散ㄷ㔴㍦挰慥昰昷㕢ㄸ㤳扦㥤愰慦挳敢㕥ㄹ㝦㈲ㄹ捦㍢ㄹ〳㤹㔱㠷搰㠷慦㙢㉦㐴摥㤶㝥扦㠹敦㠷戱扡ㄸ㡦搲挵㙢㤴摡〲㈳ㄲ晡ㄴ㙣㌵挳㐷攴㠷㘲㕢攵㜵㌰㝤昱㠳㘷㥤㉢慤捥㤹昸つ㍦晣捣搹㠲㤶㌶攷㜵㉡昸㙤㍦晥ㄲ㡦晢㤳㕡愶愴㘸㙣ㄴ收㜴攲㌷戶㝡ㄷ愶㜷攱㤷〲昳㜵㙤㜳㌳摤摤㔶㘷晢㜷攱ㅤ㑣㜸㐱㑦つ扢ち〲㙤昸摢扥搵扥敦挶攱㑢㙦㝣愳ㄷ㠴戱挶ㅥ㍥摣㥦挴慣收敦愴㝤戳㌷㌰ㄹㄱ㜶㔹㠴㜲㔸㌹晣㑡攵攰㌵㡣敥攸慡㔶捦愲㘱㈵㕣昹晤挸愰慦愵扥〸㡡㌰㘳散昸㜱㠸㕥㔳㍡㜳㑡㡥〳慦搷㌵ㄳ搰搸㍦〲挵搷扤㔵搵晥〸㕤愰昴挰昸愶愲㈹戴愸㕤摢㤲敦㕥㘱慣戰㕡㤶慦挰㌷慢晡昴攱搱㕥㍦敥㙦攳㡦ㅢ㝦㐶㤳扡ち愶散㐱㐶ち㍥摤昷扢攵戵㥦愶慡㔱㑦戸㔵慢摡㔸搵㔳戵㌱慣摡晥慣㕡㔳㔷㥢㕣㤶㐳〴捣〳㡡慢愶慥㠱㙦㔶捦摤㙡ㄸ攴戱戹昸ㄲ㡥〲扤摢㥡㌳㥤㥤㤹昵㜵㙤捤慤㔶晢昲敥ㄵ㜵捤㙢㄰㑥㠳ㅦ捡挲晣㔸㔷㔷㘷㝥て愵昰搸昸㔱㌷挲㈳扤㥡攳㜴敤敤搰挸㠱㡤㠷搶晦挰ㅥ昲㍤戰〹挰ㅢㄳ㈱㡡て㙣ㄲ㌴ㅡ攷敡㑥昸搷て㑣摤攳㔶㘳ち㤰㕥攵敥㜷戵㔳㜵敤㈳㙥攵愶㐱敢㕦戹㝢㝣㉢㜷㈰昰挶っ㠸攲捡捤㠴㐶慦摣愳愵㤵㝢挲慤挶㙣㈰扤捡㍤敤㙡攷攸摡摦戹㤵㥢ぢ慤㝦攵㙥昵慤摣㝣攰㡤〵㄰挵㤵㕢〸㡤㕥戹摦㤷㔶敥㘵户ㅡ㡢㠱昴㉡昷㥡慢㕤愲㙢摦㜲㉢㜷㄰戴晥㤵晢愹㙦攵㤶〲㙦ㅣ〲㔱㕣戹㐳愱搱㉢昷㑥㘹攵晥敡㔶攳㜰㈰扤捡扤敦㙡㥢㜵敤㈷㑥攵㑣㌲㔷愳慥昰慤㐸㤶㈵㤲愵㥥㤳㈶㑦ㄵ㑦㘵ㄱ㔵敡搳搲㑡㝣敥ㄶ㔷〰搲慢挴㔷慥㜶戹慥㔵㌸㐷愴攳慦㠰搶㥦愱㡢㝤㉢㜶〴昰挶㑡㠸㘲㠶㕡愱搱㉢搷ぢ晥㡢㍡㝥㙦㈸攴晣㙢〷搲慢㕣ㅦ㔷摢愱㙢昹㝣㔴㉡户ち㕡晦捡㥤敢㕢戹㑥攰㡤㉥㠸攲捡㜵㐳愳㔷㡥㡦㔸㡢㉡挷愷愸㔲戹㌵㐰㝡㤵摢搵搵慥搵戵㐳摣捡慤㠳㔶㝦㕢㘸昱㜸㜸慡㙦〵㡦㠲㡤㜱㌴㐴㜱〵㡦㠱㐶慦攰搰搲ちづ㜷慢㜲ㅣ㤰㕥〵㐷扡摡つ扡㜶㍦㔷扢㔱搷挶愱ㄵ㑥㡦㠷搶㥦搳攳㝣慢㝣㈲昰挶㐹㄰挵㔵㍥ㄹㅡ扤捡㝣㤴㔷挴改晥㙥㌵㑥〵搲慢昲㌸㔷㝢㥡慥㥤散㔴捥攴昹㕡愳搶昸㔶攴㑣㤶挸㜳戳攷㤴㌸㥢㉡敤㤴㤸㕡㕡㠹ㄹ㙥㜱攷〲改㔵㘲㡥慢㍤㑦搷㉥㜲㉡㘱㝣ㅦ㕡㝦㠶摡㝤㉢昶〳攰㡤ぢ㈰㡡ㄹ扡㄰ㅡ扤㜲㝣搰㔴挴搰㈱㙥㌵㉥〶搲慢㕣戳慢晤愱慥戵摣捡㕤〲慤㝦攵ち扥㤵晢ㄱ昰挶㘵㄰挵㤵晢㌱㌴㝡攵㤶㤷㔶㙥愵㕢㡤㉢㠰昴㉡搷攱㙡慦搴戵慢㥤捡㤹ㅣ㑣㙡搴攱扥ㄵ戹㠶㈵㜲攰攸㘹扥敢愸搲㥡㡦て㍢㡡ㄸ㍡摡㉤敥愷㐰㝡㤵搸攰㙡㝦愶㘹㠳㈷㐳㉢㉢收敢愱挵㡡㤹捦〲㥣ㄵ昳愹搸㤵㠵昱㘲搴㑣㕦㌱昳愱㠰㘴㉣㜲㌲〶愲㝡昶㡡㔹昱〱〱㑦ㄸ㤳㑢戱㙡戵挰㍤愸愲愵搷㉤挸㌳戹昴敡㔹㜶摤㐶㤵㜶㔰㝣戰㈰㘵捣㜶捡㤰㉢ㄸ㜵愶慢㥥攵愸〷愰攸㠰攲挳〷㐱捦㜴搴㕣摣〷ㄴㅦ㐷㠸㝡㠶愳㘶㐵〳㡡て㈸㐴㝤愰愳摥㐷搴攷扡敡改㡥㝡㠴愸㉦㠴㥡昴㝡换扡ㅦ㐱㈱㘳挲扤愸戳㝦愷㥡ちて昶ㄷ攴昴㘵摤㉦㠰㌷敥㠷㈸敥㔴て㐰愳ㅦ㍡㥦ㄷㄴ戵攷㔵㔰挸㌸晢㈰㤰㕥㝢㕥攷㙡ㅦ搲戵㌷扡㤵㝢ㄸ㕡晦捡㡤昳慤摣慦㠰㌷ㅥ㠵㈸慥摣㘳搰攸㤵攳捤昷愲捡昱晥扡㔴敥搷㐰㝡㤵扢换搵㍥愱㙢敦㜷㉡㘷㜲慣愸㔱㐹摦㡡㍣挵ㄲ㌹㉥昴昴昸㘷愸搲㍡〷㙦㘶ㄷ㔵攲ㄱ户戸攷㠰昴㉡昱戸慢㝤㕥搷㍥敤㔶㠲㘳㐲㡤摡捦户ㄲ㉦戰㐴㥥晦㍤㤵㜸㤱㉡慤ㄲ扣㌹㕣㔴〹摥晦ㄵ㈶㕥〲搲慢挴ㅦ㕣敤换扡昶㌵愷ㄲ挶㉢搰晡㌷搳㜰摦㡡扤ち扣昱ㅡ㐴㜱㌳扤づ㡤㕥㌹摥㠴㉤慡摣㕢㙥㌵晥っ愴㔷戹㑤慥昶つ㕤晢扥㔳㌹㘷㘰摡搳户㈲㙦戳挴攲㠱改摤㤲㑡昰搶㘵㔱㈵㜸㜷㔲ㄸ晡㡢㕥摣㘷慥昶慦扡昶㉢愷ㄲ挶㝢搰㔶㕥㌰っ昴慤摣㝦挱挶㜸ㅦ愲㤸愵て愰搱㔹攲㙤挲愲ち昲㑥愰㔴昰㐳散㜸㉣昱㡥㥦㘸㍦搲戵扣戳㈷摡㡦㜵㙤㍤ㄲ㌲㌸㝣㠲ㅤ晦㠶敤敦㕢攵㑦㠱㌷晥〱㔱㕣攵捦愰搱慢捣晢㘷㐵㔵摥ㄱち愹挶攷搸昱慡捣㕢㘱愲晤㐲搷敥㠹㠴っ捥昶㡣㘳昸㔶攴㉢㠰㑡ㅡ昶㝦愸搲扡㍥敦㍡ㄵ㔵㠲㌷㤶愴戸慦戱攳㔵㠲㌷㤰㐴㕢㘵㙡摡晤愰㤵搱昷敢㝦摡搳捡㌸㥣㘵㘶㌵㈰戵㌱㘴㙤昵扤〲㍥慤晥㠶慦㌷敥㠵挲ㄴ㉦昴改挳慣㐱ち晢昲㔱㘳戰挷㙡㤸戵挴ㅣ攰㘲っ愴摣攳慡晦㥥愳攵搷挴慡敡挷改㈹挵㉢㕣戱敦㑤晢㐹慥㝤㥤㙥捦㡢㔸㤶㙣摢㑦搵㔳㡡ㄷ愱㘲㙦搲㥥搷㥥㔲挷㠰㙥㍦㕢户愸㥦愳愷ㄴ慦ㄳ挵扥て敤ㄷ扡昶㝤㜵㝢㕥ち昶㤴扦㐴㑦愹愵慥㝤㍦摡ㅦ敡摡昷搷敤て搷㉤敡㥢昵㤴攲ㄵ㤸㤴㕦㑦晢扣㙢ㅦ搴敤㜹愱搵㔳晥㜲㍤愵㜸愱㈴昶〳㘸捦敢㈳㌹晥敤㜴晢㜶摤愲扥㐳㑦㈹㕥换㠸晤昶戴敦㜶敤㜷搰敤㜹戹搲㔳晥㕡㍤愵㡥㜲敤㜷愴晤㌱慥晤㑥扡晤㜱扡㐵晤㠶愲搴㐶㍤愵㜸ㄵ㈰戵ㄹ㐸㙦㕣晣换搱散慣㝢㍢㔵户愸㍦㑤㑦㈹㉥摥挵㝥㄰敤戹㙥ㄷ晢㕤㜴晢㜳㜵㡢㝡慥捤扤㘳㔳㕣㘳㡢晤慥戴攷搲㕡散㜷搳敤㉦搶㉤敡戹㝣敥戱攷㌲㔸散㜷愷㍤㔷扦㘲扦㠷㙥㝦㠵㙥㔱㝦愵㥥㔲㕣扤㡡晤㥥戴攷挲㔵散〷敢昶㍦搵㉤敡戹㌸敤㈹㥦㡢㔲ㄹ㉢摥搰挷㡡扤攸散ㄶ㘴㠹敢愱㑣㜱昹㈸慥ㅢ㤰挲扥㝤㌲晦挲挵っ㈳收〱ㄷ戳㌷㔲摥挹晣愰愳戵㑦挶㠷昴㤴攲㥡㐸捡ㄸ㑥㝢㉥㠵愴㡣㝤㜴㝢㉥㝢扣ち搷㍦愱愷ㄴ㤷㌲㘲㍦㠲昶㕣挵㠸晤扥扡晤㜳扡㐵晤昳㝡㑡㜱ㄵ㈲昶㈳㘹晦愲㙢㍦㑡户攷㘲愳愷晣㤷昵㤴㝡搵戵ㅦ㑤晢搷㕤晢㐶摤晥捦扡㐵晤ㅢ㝡㑡㜱㡥㤷昲昷愳㍤愷㜷愹㝦㐸户攷㔴摥㔳晥㕦昵㤴攲㌴㉣昶㘱摡㜳昶ㄵ晢㠸㙥晦愱㙥㔱晦㔱㔱㡡㌳慢攷㕢㜱㠶ㄴ㙦㔱㝡攳挴㈸摥㘲扡户捦㜵㡢㝡㑥㝥㍤昶㥣搸挴㍥㑥㝢捥㘹㘲㥦搰敤扦搶㉤敡㌹㙦㜹昶昵㥣愲㤶愰㙢㔵慦㔳戹㘵昹㘵换扥愸慦ㄹ扣㑢捤㐱攳晢㕥昲收㔳㙦㥦晦攲愱㘳晦晡敦换㉥㝢昱摤昳㥦昹昷〳搹戱㑦㕣㝤昵㘳〷㕥昱捣摢摢ㄵ慥慣扥晢㡢㤹㔷ㅥㄳ㕥㜹捣㤱㠵㐵晢㑥㍤收攰㈳收㠵攷づㄸ搹慢㔷敦摥挳户㝦㜲攷㝤㠲ㅢ㡦扣㔷㍤昲挷㠱敤㑡愶㈵ㄴ㘰㈶㔱ㄲ㌷㝥㐵㌴挸改㐹ㅥ〴愵戰㘳愶㈹挶㔰散㑦㜱〰挵㔸㡡敦㔱㡣㠳攸㔷愷㘴敥㠲慤㌹ㅥ㘹㜷ぢ㜲づㄳ㐷㑤㠴㑥㈰戴扦㤲㘹㡡搰㠹㍡㤴搳㤵㐰㈷ㄱ㍡搹㠶捡㡣㐴攸ㄴㅤ捡㤹㐹愰㔳〹㥤㘶㐳㘵昲㈱㜴扡づ攵㈴㈴搰〳〹㥤㘱㐳㘵㥥㈱㜴愶づ攵㝣㈳搰㔹㠴捥戶愱㌲愵㤴㜹攵搴㈲搰戹㠴捥戳愱㌲㝢㤴㐱㌹㡢〸㜴〱愱ぢ㙤愸㑣ㄴ㠴㉥㐲摡摤㠲㥣㌰〴扡㤸搰㈵㌶㔴收〴㐲㡢挸攲摣㈰搰㠳〹㕤㙡㐳㘵挰㈷戴㠸〱づ晣〲㍤㤴搰挳㙣愸㡣敤㠴ㄶ㌱挰㌱㕥愰捤㠴㉥戳愱㌲㡣㤷㜹攵㜰㉥搰㉣愱㌹ㅢ㉡㈳㌶愱㜹愴摤㉤挸㤱㕢愰ㄶ愱〵ㅢ㉡㠳㌳愱㐵㜵攵㈰㉤搰ㄵ㠴戶〸戴㥥㐳敦晦敡㌹㌰ㄴ〵挸㘹㜹〴㜶戸攱捡扢㉡挸㔱㕤敡戲ㄲ㍢㘶㉢㐵ㅢ㐵㍢㐵〷挵㉡㡡㈳㈹㍡㈱㜰づ挸㤰て摢攲攳攷搰㉦㡥扡〹㕤㑤㘸㝦㈵愳㍢愱㐵挷捦㔱㕥愰㙢〹㕤㘷㐳㐷攰㍦愹㕥ㄱ㤴〳扡㐰㡦㈲昴㘸ㅢ㉡㘳㜶㔹〵㐶戹搰㘳〹㍤捥㠶捡昰㕣〶攵㌰㉤㕥㌷ㄲ㝡扣つ㤵㤱戸慣慥ㅣ㤱〵㝡㈲愱㈷搹㔰ㄹ㜴〹㍤ㄹ㘹㜷ぢ㜲昰ㄵ攸㈹㠴㥥㙡㐳㘵㐴㈵戴愸ぢ㜲㘴ㄵ攸改㠴㥥㘱㐳㘵昰㈴戴㠸〱づ愲〲㍤㡢搰戳〵ㅡ攴㌰㐶㈵㥥扥㜲散㤲㠹扣搳㤹挸〵㝣㉥戴㡡㈳㥡㘴慤㜲戲散㍢㍤ㅣ攳㐴摤攱愸敤㍢㍤ㅣ昵㐴摤敥愸敤㍢㍤ㅣ〷㐵摤收愸〷愲摣㠰攲挸㈸敡㔶㐷扤㡦愸㌹㔶㡡㝡愵愳ㅥ㈱㙡㡥㥥愲㍥挲㔱㑦㠰ㅡ㡦㠸㠳ㅣ㐶㥤〳攱搸㈹㤸ㄶ〷㈳〷昲㐳㘸ㄵ㐷㔴挹㕡㕥㘲敥㡥ㄶ㡡愳愹㈰ち扡昱㡦㘸捣㌱㔶戲昲㈵挶敥㘰慢㌸扥ち㈲愷ㅢ㕦㑥㘳㡥扡㤲㤵㈹㌱㜶摢㐸㜱挴ㄵ挴㌲摤昸㉡ㅡ㜳ㅣ㤶慣挳㑢㡣摤扥愰㌸〶ぢ攲㌰摤昸㕡ㅡ㜳㘴㤶慣㐳㡡㡤ㄵ〷㘳挹㔸慡摢㐸㠱ㅣ愲㈵敢愰ㄲㅢ㡥捡㤲戱㐴户戹〱㕡挵戱㕡戲ㄶㄵ摢〴㌹㘸㍢㑤挳㤱㕡㌰ぢ㜵昳㥢㘹捥昱㕢戲收ㄷ㥢㉢づ搹㤲㌱㑦户戹㡤㌶ㅣ挸㈵㙢㑥㠹つ挷㙥挹㤸慤摢摣㐹ㅢ㡥攸㤲㌵戳挴㠶㠳戸㘴捣搰㙤㠴㐲づ敤㤲㌵扤挴㠶愳戹㘴㑣搳㙤敥㠳㔶㜱㡣㤷慣㈹挵㌶挱㍣㌲戸㈹㡥敦㠲㤸慣ㅢ㍦㐰㘳㡥晡㤲㌵戱搸㔸㜱愰㤷㡣〹扡㡤昰摦攲㘶㡤㉦戶〹ㅥ㠱っ㠷㝦㡥捤㘲㍥㑥㌷晦ㄵ戴慡搵捤ㅡ敢㘴搹攷㜸㥢慢㍥挰㔱摢攷㌸㐷㜵㜱戴扦愳戶捦㜱㡥昳愲ㅥ攳愸敤㜳㥣㈳扦愸搳㡥摡㍥挷㌹ㄷ㠸㍡攵愸㐷㠰㤶㠰攲散㈰敡愴愳㜶捥㜱挵〹㐱㌲ㄲ㑥㠶㥣搸㑦㐳慢㌸㑤㐸㔶慣挴㠶㌳㠳㘴㐴㜵ㅢ㘹㈱捥ㄷ㤲ㄵ㉥戱攱ㄴ㈱ㄹ愱㌲ㅢ㑥ㅣ㤲戵㕦㠹つ攷ち挹㘸搴㙤愴㌱㌹㠳㐸搶愸ㄲㅢ㑥ㅡ㤲㌱㔲户㜹〹㕡挵愹㐴戲㐶㤴搸㜰昶㤰㡣㝤㜴ㅢ改〰㈷戹㔹㝢ㄷ摢〴㌹戹㌸ㅤ㠰㌳㡡㤸て搳捤㕦㠷㔶㜱㥥㤱慣愱挵收㡡㔳㡢㘴散愵摢扣㐱㥢㌳摣慣挱㈵㌶㥣㘳挴㘶㑦摤㐶慡挹㤹㐷戲㜶㉦戱攱㔴㈳㡢晦㜷戱愳㌸㕥㌳ㄵ㔰ㅣ㝣敤㍤㡥愴昶ㅥ㐷㈹㝢㡦㈷愸扤㐷敦昶ㅥ〷ㄴ㝢㡦挳㠴扤挷㤳摦摥㘳攳摢㝢㙣ㅥ㝢㡦愷㠰扤挷敥㘴敦戱㈱散㍤昲㘳敦昱愸敤㍤愹㈴晡慢戹〹㉡㙥っ愸ち㌲㘱㔳摤攷晦〰㝣摢搶戹</t>
    <phoneticPr fontId="10" type="noConversion"/>
  </si>
  <si>
    <t>CB_Block_7.0.0.0:2</t>
    <phoneticPr fontId="10" type="noConversion"/>
  </si>
  <si>
    <t>㜸〱捤㝤〷㤸ㄴ㔵搶昶摣㘱愶㤸㙡挲戴㡡ㄱ㤵㈰㤸㐰散ㅣ㔰㘴挸㈰㐹㐹㘲ㅣ㍢㔴换挸〴㥣ㄹ㤲㘱挱ㅣ㌰㡢慢慥㜹㑤慢ㄸ㌰敢㡡扡愶摤㌵㝤收慣㙢㕡戳慥㌹慣昱㝦摦㔳㘱㙥㜷㔷ㄳ昶摢晦㜹扥愲敢㔰昷㥣昷㥣㝢敢慤㕢户搲㤹慡㉡㔵㔵㔵昵ㅢ㈶晥捦愹㠶ぢ㕢捦㕣摡搱㘹戵っㅢ搳搶摣㙣攵㍡㥢摡㕡㍢㠶㡤㙡㙦捦㉣㥤搲搴搱搹つ〰愳戱〹昶㡥摡挶㡥愶挳慤扡挶㐵㔶㝢〷㐰戵㔵㔵㜵㜵㘶㌵散㕢㍡㜳搰㉤㤸昴㌲㙢㈸㠰慡㌲つ㡡敥ㄴ㜵ㄴ㈶㐵㠰愲〷㐵㑦㡡㕥ㄴ扤㈹敡㈹㠲ㄴㅢ㔱㙣㑣戱〹㐵ㅦ㡡㑤㈹㌶愳搸㥣㘲ぢち搶㙦㙥㐵搱ㄷ愲攷搶㄰戳挶㡣㥥㥥㍤ㄴ㙢㌳戳戳慤摤ㅡ摡㝦㡥摤收ㄱ攱昰戰昰戰㐸㌴ㅤㅥㄶㅡ摡㝦捣挲收捥㠵敤搶㠸㔶㙢㘱㘷㝢愶㜹㘸晦扤ㄶ㘶㥢㥢㜲㤳慤愵戳摡收㕢慤㈳慣㙣㈸㥡捤挴㔲攱㔸㍣㕥㐸愷㔳㍤户㐱攴㘹㘳㐶敦搵㙥ㄵ㍡晥㕢㌱户㘵捣改㘳㐶て㥢㘶㜵晥户㘲昶㐳㑣㠴ㅣ摢搶㤲㘹㙡晤㉦〵慤攵㌶㡤㡦戵㜲㑤摣昸㤶搵摥搴㝡挸㌰㌴扢㠸㘸㤴㤲挳㐶㜵㜴㉣㙣㔹挰㝥㌴挶㙡㙥㥥㘱ㄵ㘴愳户㡣敤攸摣㉢搳摥搲搱戳㠵晣㔹敤㔶㙢捥敡攸摤㌲㙥㐹捥㙡㜶㠰ㅤ㜵㉤㜳㌲敤搳㌲㉤㔶つㄷ敡㕢散㙤㌸㈹㙦戵㜶㌶㜵㉥敤搵㌲扢挳㥡㤱㘹㍤挴㈲愴戶㘵挲挲愶扣慡愹挱慦慡摢づ㝥㉤㤳つ㠵昶戴㡣㤹㤷㘹敦㤴ㄲ㌷㘱搸て慢㜵ㄷ㔹㡢愲㜶戱㑢昵㉦昱攲㌶㥢搹搴㌲搹㙡㙦戵㥡㔹〹户攴㤰ㄲ㤰㄰㘴㙦〷㡦㈹㜷㜵戸㤵㔴て㘷攷攳扡戰ㄶ愳㍦挴搰㘹㙤敤㉤攸㤰㔳慤㑣敢㠸搰戰㘸㝣攸捣捥晣㔸㙢ㄱ㤶㐳攱㐴搱㤴㡣㥡〳攰㘱づ愴敦㜶㄰扤㍢㥡㕡ㄶ㌶㘷㐸晦昰㘴㝣戸㌹㠸搶挱㄰慡收㔵散昹㝡㝤摣晢慡ㅢ㌳搵㡤搹敡挶㕣㜵㘳扥扡搱慡㙥㉣㔴㌷ㅥ㔲摤㌸慦扡戱愹扡昱搰敡挶昹挰戸㔳㕤昷敥搵捥昴晣㈱㉢〷㡤晦昱搷㠶换慦㕦㜳摡㜶㘳㝦㝤㔵㜱㘷㤷戱㘲〷㉣散愴户㍦ㄲて戹捤て㈷㠶ㄵ㌵㍥㤱㌲㜷〴摣摣〹挲搸ㄹ愲愸昱㠹攱收㄰㕡㠷㐲㈸昵ㅣㅡ捦ㄵ㜸戴㜵攵㜱扦扣搷㌶敡慥㍢晢㉥㝥攴愸慦ㅥ㔵ㅣ㘱愴收㘱㔸㈸慡㌹扡搶㥡㜷㘵散㄰㠴ㄱ㠶愸搷㘸ぢ㠷㐲挳捤〸捤㔱〸愵㥥㜰慡摥㘹攸㤴㑢ㄲㄷ㙤㌵晤愲愱㑦昵昹散戴㤵搵㡡攳㥡㔴ㅤ挷挲㡥晡㑡㐷㘳摥㍡㤷慣㜲㈲㘹㈶ㄸ㍡〹㘱愴㈰昴㜵㑥㘳㥤搳戴づ㠷㔰敡ㄱ愷攲㜹㜳攳昷㡣㥦㝦晡搴㥢扦晡晣攷敤攷慦ㅥ愴㌸㤶㑡挵扢㘳愱愸攲㜰挴慤㌸㌲㉣㕡㍣挵捤ㄱっ扤〷㠴㌱ㄲ㐲慦㌸㡣㡡ㅢ㘸ㅤ〵愱搴㝤㑥挵挹㔱慦㘴晥扤㐳挳攴㔵㝤敦㥡戸摢㘹摦㥣慡戸㉢㑢挵㘳戰戰愵扥挶㘱㡤散㤰㌹㤶戱挶㐱ㄸ攳㈱昴㥡㘲改攱收〴㕡㈷㐲㈸㜵愷㔳㤳晡昲摢愷扦晣晡攵㐹㘷摦戲摤愸攱戳戶㥤慢㜸㤰㤰㥡昶挴㐲搱㉡㐶扡晡㔳㌹户㤳ㄹ㝡ち㠴㌱ㄵ愲愸㘲慣攲㌴㕡愷㐳㈸戵摡愹㜸挶戳㍢晦㘹愷㉦敥ㅥ户㝡㘱摦㍢敦摢㘸摢㍦㈹ㅥ㤸愴攲扤戱㔰㔴㜱㙣㙤ㄵ捦㘰攸㤹㄰挶㉣〸扤攲㈴搶㜸㌶慤㜳㈰㤴扡搶愹昸㠵㘹㔵㤷晤㄰搸㜷搴㡤㝦散㜹挴扢㝤敥搸㐶昵㠰㔹㉡㥥㡢㠵㈱戳摡㥢㌰搲㘱㑦㙥ㅦ㍡戵愹㜵㐴㌴ㄴちつ㥤搲㌴摦㙡㙥戲㍡㍡㐷愰㙢㠷㠶㑥捤㉣ㄹㄱ挳㠲戹㉦愳敦〷㘱散て㔱㌳㙡㘲㉣㘵ㅥ㐰摤㠱㄰㑡晤搱愹昱搷㔵换晡扣摥㙦扢愹㔷㝣㝤摡慥捦㜷㉥戳ㄴ㡦扣㔲㘳㈳ㄶ㜶㉡愹㌱㔹㔴㘱捡愹て晢㐶挸㍣ㄸ㜰㌳〳㘱㘴㈱㔰㕦㌴㘶收愸换㐳㈸㜵愱㔳摦昲㑤〶昵㍤㜳昳攵ㄳ㑥㝥攵攰慢扥扣戰摦㍣挵㠳扣搴㔷挰㐲ㄱ戵㐹㙦㠸㡢㤶㜷摢㐳ㄸ㝡ㅥ㠴搱〴愱㔳ㅢ㑤づ㌷て愵㜵㍥㠴㔲㉢㥤㡡ㅦ晥㜶收攰愹㥤㠵昱挷㥦扤晤挵㝢晦敤㡥㔹㡡㈷ㄶ㔲㜱ぢㄶ㜶搵扢㙤㝣摣㉥㈱慦敥㜰㔹㝦愲搵㙣㘵つ㙤㄰挶〲㠸愲晡㌱㔰ㅣ㐶㙢㍢㠴㔲愷㌹昵㍦㝥搷攲㔳ㅡ㉦ㄹ㌶敤㤶ㄳ㑥㠹っ㠸捣戹㑤昱㥣㐶敡敦挴挲㄰扤晥搰戰慥㔵㉦ㅦ摤㔳收㐲㐶㕦〴㘱㉣㠶㈸慡ㅢ晤㜹〹慤㑢㈱㤴㍡挱愹㍢㍢敥搵㤷户㜹㌲㌱攵愶㙢て㍤㘷昴㔷㠳㠶㈸㥥㑡㐹摤㐷㘰愱愴敥㤴㍢㔸㤴㔷㥤㠸㥡㐷㌲晡㔱㄰挶敦㈰昴扡ㄳ愸㝢ㄹ慤换㈱㤴㕡收搴摤敤戶㈷㝦晦摢㕥㤳挷慤扣扢㘹昵搷摢晣戲慦攲ㄹ㥣搴㝤っㄶ㡡㌶㜸挲摢㤷㝣㌶昸戱㐰㥢挷㐱ㄸ挷㐳攸ㄵ愷㜰㐴㍢㠱搶ㄳ㈱㤴㕡攲㔴晣搲ㄳ慢敦晡㜹挴摤ㄳ慥㐸㥦戹㝡挷㉦摢㤶㈹㥥㌵㑡挵㈷㘳愱攸愰㄰敥ㅡ㍥㝣㙡㍥㠵戱㔷㐰ㄸ愷㐲攸㌵挷㔱昳㘹戴㥥づ愱搴㘱㑥捤慢㘷摣㍦挰㝣晦搰搱㜷散㝥㐳㔳㘰㡢㤶ㄹ㡡愷慡㔲昳㤹㔸搸愵㜸㔳挷攳㕥㔷昳㈵晣㉣挶㍦ㅢ挲㌸〷愲愸㜶㜴昴㤵戴㥥ぢ愱搴愱㑥敤㍦㌵摦昳㔳挳㘷敤㔳㉦搹扤㌵㜷挵ㄱ㌷て㔰㍣㐷㤶摡捦挳挲晡ㄳ㝥㍥㐳㕦〰㘱晣〱㐲慦㌸㠱㡡㉦愴昵㈲〸愵㜲㑥挵改㐷㘷㕣㝡搸晢戳㐶ㅦ晦捣〳晢㍥晥搴㝤㜱戵㈹捣㔲昱㈵㔸搸㕣㕦敤㤴户愵攳收愵㡣㜴ㄹ㠴㜱㌹㐴㔱㍤攱攱收ㅦ㘹扤〲㐲愹〳㥣㝡㔲つ愳户ㅣ㔰扢㜴散㙤て捦晥昶搴ㅥ㔷慦㔱㍣昵㤷㝡慥挲㐲搱〱㈸㤶攸敡捣㜱昳㙡挶扡〶挲昸ㄳ㠴㕥㔳ㅡ㙢㜴㉤慤搷㐱㈸㌵摢愹㘹昴㡢て慤㜸攵㤹摢愷慦昹昳敤晤慦㜹攱昸㝤ㄵ慦㉦愴愶敢戱㔰戲摦㈴扢慡㉡㍤㈱挳㝥㜳〳愳摦〸㘱摣〴愱搷㥤㑣つ㌷㔷搳㝡㌳㠴㔲搳㥣扡摦晣昸摥敢戶㝥昸㥥㍤㑦㜹昷昱㜳㙦戹愶戱㠷摡〲㘶愹晢㔶㉣㤴㜴㕦慦ぢ愵㑡㐷捡戴㜹ㅢ㘳摦づ㘱摣〱㔱㔴㌳㐶慡㍢㘹扤ぢ㐲愹〹㑥捤攳㝥㝡扡㜱挹晣摦㌵㕣㍡敥㡥敥搳ㄶ敥㝣戲摡ㄲ㘶愹昹捦㔸㈸㌹て㡤愷搷扡摡昷㌰晣ㅡ〸攳㕥〸扤昲〴㡥㠰昷搱㝡㍦㠴㔲つ㑥攵㠵㜷慥敦㜹昳㤳ㅦ㑦扣㍢㕤㜷摡昶慢慥㍤㑥㙤〵戳㔴晥〰ㄶ㡡㝡㙦搷愱搷㘷愷㝤㤰愱ㅦ㠲㌰ㅥ㠶㈸慡㌸㌶摣㝣㠴搶扦㐲㈸㤵㜶㉡ㅥ摢㌹㜴㜸敦㐵㑦㑦扣晡㉦㉦晥晡㘸昳户㜷愹扥㌰㑢挵㝦挷㐲挹戶づ慦㘵愵ㄳ收愳㡣晥ㄸ㠴昱㌸㠴㕥㜷ㅡ㡣㍦㐱敢㤳㄰㑡㐵㥣扡㐳㉦昷慣㠹搵ㅣ㌵昶戴㘷㍥㕤㜶敥愷ㅦ扥搰昳㈹㤸昷㜶慥〲挶戶㘷ㄶ攳扡慡敢㤲㉤㌲っ〳挵晡㕣慢攲㔲戵㄰㉦㈴ぢ攱㜰㍥ㅥ捡㐴㌳戵〳㄰㜶㝤㉦㡡㜸㠸攸㔹搸愷愹㌵摦戶㔸慥㤲戶ㅥ㥤改戰扡㉥㥡㠶㌸戶搱㙤ぢ㕢昳ㅤ㝤晤㡤㌳㍢㌳㥤搶㔶愵戶慥㈰㘵㙥㌳㜱つ㘹㜵㐸㝤摢㤶扡捤挹㌴㉦戴㐶㉤㘹戲捤摢㤴㤸㜱〵搹㤶慤㙣ㅤ摦㙥ㅤ收㔹换㕡㌴ち户㌸ㄶ㐹散戲戵戴㑤㜶扢晡㡦㤹搷搶㘱戵㑡昳㠶戴散搵㤴㥢㙦戵捦戴㜸㠳挴捡换慡㙥㑡㤳㜳ㄹ㍢㘴㝡㉢㔶ㄴㄷ愶昹㠱扡戶㌰㙥㐹愷搵㥡户昲㘸敦〲慢扤㜳改慣㑣戶搹摡慣〸㘲搷〹挳㤶㐵敡昱㙤戹㠵ㅤ㘳摡㕡㍢摢摢㥡㡢㉤愳昲㡢㌲戸㜴捥㑦㙤换㕢戸昲慤攱㔴愵慡扡㜵㔳慡㙡㘷扦换㑦挶敤ㄸ㈶ㅢ㐲摢挴摢㘰㥢㙦㔱摣敤㠶捤挰摡㘱㉤㥡㉤昶挹敡㐱敢〸㈶㜱ㄹ㘶愷捡㐰㙤㥤㜸㌷㠹攸ㅤ㉢愳愵㡤摥㤶晢晦ぢ慥慥摥挴㔹晢㜱㡢㜰㝢㘱㘲愶㌵摦㙣戵慦昵㕥㤸㘲㡢捣愷㈱㙡㜷挵摥㕣㤱扤ㅡ㈰搴ㄲ戵戴㜶㜱㔳扥㜳㥥㌱捦㙡㍡㘴ㅥ㑦晣㜰扦慣慥㡥搴㤶㑤收戳㔰㤹捦㔱㍣てㄱ〸㔴ㄹ㉦㄰㘴〴捣ㄷ敤㜲敤㐰晣扦攱㌷㉥慡攱㘵捡㡤ㄲ摣搵敡愸㙤ㄹ摦搶摥搱慤㥢摦㕡㑥捣㜴捣敢㘴昷㕣扢㤱昱㕥愲㜸ㄹ愲㜶㄰挴㍡敦㡢搴〳㔴挳摢㍦扤㕡挶㕡㠵っ㙥扡挹摥慤㌲戵㉤昶㝤㥣戱㔶㐷捥攴つ㥦㐹搸㔷㤶ㄸ㔸挲捥摦戳㠵扤摦㕡搲㌹㌶搳㤹改摥㠲㕢㐷搸㑡㈶㐰㐳挴换㕥愲㘷㉦搱戹摥〱愷㠴〸㐱㔹搴愲昴㄰㠵ㅤ〹㍢づ昶㤷慡㙥㡥㕣晢㑡愰敤摢㘲㈵㡣搲㡥㕥㝣ぢ〸㜷愶昲ㄳ慣搶㔹㑢ㄷ㔸ㅤ㠴搷ㄹ㙢愵戲㜴昷㘲戰改戹散散捥愶收㡥㘱㘸改㠴昶戶㠵ぢ晥㥢㜱ㄸ换㝣〵挲㥤㙡户㐷㉦㕥晦㜵〲㕤㔵摤ㄷ㜱摢㌴㌶㔶搵㌱ㅡ㌵挶㙢㄰晡㜱㡦㌷㥤搸㜹ㄱ晢㌷晣㈷㤳昹〶晥ぢ㤸㠴㔶戰搵づ㠶㙤㐳敥㥥搵〲摦戳〵㠴捤㙡户攴㝥㘰㥤ㄴ㐰㝥慦㤶㝤摡摡攷㘷摢摡收戳㝢昵㤶㔲挷㍣换敡攴㍤戶ㅥ捥㍤㐵戹㜷愸㔴户㙥㐵㌷挴戴㥢㜱晤㄰摦㜸ㅢ愲搷愸收收晥㙥挴づ攳ㅤ愸扡攱㙥㥦昱㉥ㄶ昶ㅤ戰搷戸ㄹ戳ㅡ挷㉤挹戴㉣㘸戶㜶搹㝢㘱愶ㄹ昷㈹㜷㤹扥愰㜳㕣㐷晦㐵愱㔸晦ㅤ㜱昷㉢ㄶ〹㔹ㅤ㍢扤㜷攳㡡て㤷ㅦ晤摥㕤㈷扤㜷挶㔹ㅦ㉤㍦晡㠳敢慦晦攷㕤换㍦㌸昹愴昷㉦㍤昳扤ㅢ敦㜸敦昸敢摦㕢㜳挶晢㙢㔶㝥㜰攵㥦㠷㉤㘹敥㔸愲戶〶㝤扣摦㜵换挴ㅥ㝢慦㝥昲㥣㠶搵扢扣㌸㜶挸つ昳ㅡ㔵㕦挷㔰㜶ぢ㙥㐷㌴㘸〰㘶昳㝤〸戵㈵㘰ㅣ愵戰㕣㍣㤹ㅦ愲㙣㝥㐴昱㌱〴挶ㅡ搹㈴ㄸ㙡㍥戵㡢㙡㈷晣捦攱挶晣㡣攲㕦㄰㙡〸〴㜷㜶昳㜳〸㜷㔲㐱挴㘷ㅦ㤲㝥昰㈵搴㐵晤〰搷㠸㘵晤攰㙢㠰〲㈶愱ㄵ㙣㙡㈸㙣散ぢ㈶戹㌷挹戶㐹愶㤵㠱㝡㝣昹愸㜵っ㘵㌷〶㜷㠵㥢昰昱㌳晤扢〱收捦挷慦慣㠳㍣㤹散搰ㅡㅦ搵㜶㔱㠵㘰ㄳ㍥扡㐱㘱昲㤹㠹㡡㐰㈵㝣搴愲攴㑥敡挷㕦㌵㍥扡挳㔲㜶㔷戱㡣㄰ㄳ愸㠰㐹㙣㌹㈱㘲㔳㔱㠴昷㈳攴ぢ㔴收㑢挸攷㡥愱散㜶㘵〲㤱〶㘰㌶㌷㐶㜵敡㌳挰晣〹改挳搶㙣㑡戱ㄹ㠴㐶挸ㄶ㜶㔱㈵ㄱ㐴〸搹㤲愰慤㈰㔴ㅡ㉡㈱愴㉦㑡敥愴晥愹ㄳ戲つ㉣㝡〷攱捤捥㌲㍥晡〱ㄴ㌰〹慤㘰㔳挳ㄱ摤㡦㡦㔷㉢昱昱㡡㘳㈸扢㡢㍡〲㤱〶㘰㌶㜷㐴㜵敡愵㡡㝣散捣搶っ愱ㄸち愱昱㌱捣㉥慡㍤㄰㐴昸搸㤵愰㄰㠴㙡㠰㑡昸〸愳攴㑥敡㝦㜴㍥愲戰攸㝣昰ㅥ㙣ㄹㅦ㜱㠰〲㈶愱ㄵ㙣㙡ㄴ愲晢昱昱㜰㈵㍥ㅥ㜲っ㘵㌷㜷挷㈲搲〰捣收ㅥ愸㑥㍤㔰㤱㡦〶戶㘶ㄴ挵㘸〸㡤㡦戱㜶㔱㡤㐳㄰攱㘳ㅣ㐱攳㈱ㄴ㙦昹ちㅦㄳ㔰㜲㈷㜵㤷捥挷㈴㔸㜴㍥㜸愷戸㡣㡦挹〰〵㑣㐲㉢搸搴㐴㐴昷攳攳挶㑡㝣摣攰ㄸ捡㙥㐱㑦㐶愴〱㤸捤㔹愸㑥慤慡挸挷ㅣ戶㘶ㅦ㡡戹㄰ㅡㅦ晢搹㐵㌵〵㐱㠴㡦晤〹㍡〰㐲㑤㠳㑡昸㌸㄰㈵㜷㔲㝦搴昹㘸㠴愵㠸て扦晥㤱〱㈸㘰ㄲ㕡捥㠷搸搴㜴㐴昷攳攳晣㑡㝣㥣攷ㄸ捡敥㡣捦㐰愴〱㤸捤㐳㔱㥤㍡户㈲ㅦ捤㙣㑤ぢ㐵㉢㠴挶挷〲扢愸㘶㈲㠸昰㜱ㄸ㐱敤㄰㙡㌶㔴挲㐷〷㑡敥愴㑥搵昹㔸〸㡢捥〷敦慢㤷昵㡦挵〰〵㑣㐲㉢搸搴ㅣ㐴昷攳攳㤸㑡㝣ㅣ敤ㄸ捡㙥搸敦㡢㐸〳㌰㥢换㔱㥤㕡㔶㤱㡦㘳搸㥡㘳㈹㡥㠳搰昸㌸挱㉥慡晤㄰㐴昸㌸㤱愰㤳㈰搴〱㔰〹ㅦ㈷愳攴㑥㙡㤱捥挷ち㔸㜸慦㍦㔴扥愶愷挱ㄴ㌰〹愸㘰㔳〷㈲愶ㅦぢ捤㤵㔸㤸敦ㄸ捡ㅥ㈲ㅣ㡣㐸〳㌰㥢扦㐷㜵慡愹㈲ぢ攷戳㌵ㄷ㔰晣〱㐲㘳攱㈲扢愸㌲〸㈲㉣㕣㑣搰㈵㄰㉡〷㤵戰㜰㈹㑡敥愴づ搶㔹戸ㅣㄶ戰㄰㐹㤷慦改ㄵ㌰〵㑣〲㉡搸㔴ㅥ㌱晤㔸㤸㔳㠹㠵搹㡥愱散搱〶㥦㔱っ挰㙣㕥㡦敡搴捣㡡㉣摣挸搶摣㐴戱ㅡ㐲㘳攱ㄶ扢愸收㈱㠸戰㜰㉢㐱户㐱愸㐳愱ㄲㄶ㙥㐷挹㥤搴㥥㍡ぢ㜷挲愲敦ㅢ㝣㌰㔲戶㙦摣つ㔰挰㈴戴㠲㑤捤㐷㜴㍦㍥ㅡ㉡昱㌱搲㌱㤴㍤㜱㘹㐵愴〱㤸捤〷㔱㥤ㅡ㔱㤱㡦㠷搹㥡㐷㈸晥ち愱昱昱㜷扢愸摡㄰㐴昸㜸㤴愰挷㈰搴㘱㔰〹ㅦ㡦愳攴㑥㉡愶昳昱㈴㉣㐵㝣攰㘶㕣ㄹㅦ㑦〱ㄴ㌰〹慤㘰㔳敤㠸敥挷挷捥㤵昸搸挹㌱㤴㍤〱㕡㠸㐸〳㌰㥢㉦愳㍡戵㐳㐵㍥㕥㘵㙢㕥愳㜸ㅤ㐲攳攳ㅦ㜶㔱㉤㐲㄰攱攳㑤㠲摥㠲㔰㑢愰ㄲ㍥摥㐶挹㥤搴戶㍡ㅦ敦挲㔲挴㠷摦戱攴㍤㠰〲㈶愱攵㝣㠸㑤㉤㐵㜴㍦㍥晡㔴攲㘳ㄳ挷㔰昶㔴敡㐸㐴ㅡ㠰搹晣ㄷ慡㔳ㅢ㔵攴攳ぢ戶收㑢㡡慦㈰㌴㍥扥戱㡢敡㈸〴ㄱ㍥扥㈵攸㍢〸戵っ㉡攱攳㝢㤴摣㐹搵改㝣晣ㅢㄶ㥤て㍥搰㉡敢ㅦ㍦〱ㄴ㌰〹慤㘰㔳换ㄱ摤㡦㡦㕦㝦愹㜰㙥晥㡢㘳㈸㝢㔲㜶㉣㈲つ挰㙣搶㔴㘳つ㝥〲捣晦摣摣㠰搹散㑥㔱〷愱昱ㄱ戰㡢敡㌸〴ㄹ挸㐰㍤〸敡〹愱昸挰㑣昸攸㠵㤲㍢愹慦㔰㠷㜷昱㔶て㡢捥〷㥦戳㤵昱戱ㄱ㐰〱㤳搰ち㌶挵愷㜲㝥㝣㝣㔸㠹㡦てㅣ㐳搹〳扣㔳㄰㐹昸搸ち搵愹昷㉡昲戱㌵㕢戳つ挵戶㄰ㅡㅦ晤敤愲㕡㠱㐰〳㌱㥢〳〸ㅡ〸愱㑥㐳㔱昸搸づ㈵㜷㔲慦敢㝣っ㠶㐵攷㠳㑦晦捡昸搸〱愰㠰㐹㘸〵㥢㍡ㅤ搱晤昸㜸戶ㄲㅦ捦㌸㠶戲挷㡡㘷㈱㤲昰ㄱ㐲㜵敡愹㡡㝣㐴搸㥡㈸㐵っ㐲攳㈳㘱ㄷ搵搹〸㌴㄰戳㤹㈴㈸〵愱㔶愲㈸㝣愴㔱㜲㈷昵㔷㥤㡦摤㘰㈹攲挳敦昸㌲〲愰㠰㐹㘸㌹ㅦ㘲㔳攷㈲扡ㅦㅦ㙢㉡昱㜱㡦㘳㈸㝢搰㜹㍥㈲〹ㅦ攳㔱㥤扡扢㈲ㅦㄳ搹㥡㐹ㄴ㝢㐲㘸㝣㑣戱㡢敡〲〴ㅡ㠸搹㥣㑡搰㌴〸㜵㈱㡡挲挷㜴㤴摣㐹慤搶昹搸ㅢㄶ㥤て㍥㈶㉤敢ㅦ㌳〱ち㤸㠴㔶戰愹㡢㄰摤㡦㡦慢㉢昱㜱㤵㘳㈸㝢晥㝡㈹㈲〹ㅦ〷愰㍡㜵㐵㐵㍥づ㘲㙢ㅡ㈹づ㠶搰昸挸摡㐵㜵ㄹ〲つ挴㙣收〸捡㐳愸㍦愲㈸㝣㔸㈸戹㤳晡㠳捥挷㈱戰ㄴ昱㠱挷戹㘵㝣㌴〱ㄴ㌰〹慤㘰㔳㔷㈰扡ㅦㅦ㘷㔶攲攳っ挷㔰昶㥣㤸捦㝦㠵㡦㜶㔴愷㑥慢挸㐷㈷㕢戳㤰㘲ㄱ㠴挶挷ㄲ扢愸昸っ㜹㈰㘶㜳㈹㐱㠷㐳㈸㍥㍤ㄶ㍥㡥㐰挹㥤搴㜱㍡ㅦ㐷挱愲昳挱㠷捥㘵㝣㉣〳㈸㘰ㄲ㕡挱愶慥㐳㜴㍦㍥づ慦挴挷㔲挷㔰昶㌴晢〶㐴ㄲ㍥㑥㐲㜵㙡㜱㐵㍥㑥㘱㙢㔶㔰㥣ち愱昱㜱扡㕤㔴㌷㈲搰㐰捣收ㄹ〴㥤〹愱昸㐴㕢昸㌸ぢ㈵㜷㔲慤㍡ㅦ攷挰愲昳挱〷攱㘵㝣㥣ぢ㔰挰㈴戴㠲㑤摤㡣攸㝥㝣攴㉢昱㤱㜳っ㘵㑦搸昹愴㕣昸戸〴搵愹㑣㐵㍥㉥㘳㙢㉥愷昸㈳㠴挶挷㤵㜶㔱摤㡥㐰〳㌱㥢㔷ㄱ㜴㌵㠴攲㜳㜶攱攳ㅡ㤴摣㐹捤搵昹戸ㄶ㤶㈲㍥晣捥㑦㔷〱ㄴ㌰〹㉤攷㐳㙣㡡て昳晤昸㤸㔶㠹㡦愹㡥愱散戹晦㍤㠸㈴㝣摣㠶敡搴攴㡡㝣摣挱搶摣㐹㜱ㄷ㠴挶挷㥦敤愲㕡㠳㐰〳㌱㥢昷㄰戴〶㐲摤㠷愲昰㜱㉦㑡敥愴㐶敢㝣摣て㡢捥〷㌳〶捡晡挷〳〰〵㑣㐲㉢搸搴晤㠸敥挷㐷慡ㄲㅦ㐹挷㔰㤶㡡昰㈰㈲〹ㅦ㡦愱㍡ㄵ慦挸挷ㄳ㙣捤㤳ㄴ晦〳愱昱昱戴㕤㔴て㈱搰㐰捣收㌳〴㍤ぢ愱ㅥ㐱㔱昸㜸づ㈵㜷㔲㐳㜵㍥㕥㠰愵㠸て㈴㌲㤴昱昱ㄲ㐰〱㤳搰ち㌶挵戴〷㍦㍥〶㔶攲㘳㠰㘳㈸换㤰㘰㥥㠳昰昱ㄶ慡㔳晤㉡昲昱づ㕢昳㉥挵㍦㈱㌴㍥摥户㡢敡㌱〴ㅡ㠸搹晣㠰愰て㈱ㄴ戳㈴㠴㡦㡦㔰㜲㈷戵㤹捥挷㈷戰攸㝣㌰戹愲㡣㡦捦〰ち㤸㠴㔶戰㈹愶㘲昸昱搱戳ㄲㅦ㍤ㅣ㐳㘹搶㐶㉤㥦〲㙦挰搳昶ㅥ㠰㥢㠵㌹㑤搶㘲㍥ㅥ散㕤㐰㈲晢㤸㠵ㅤ㥤㙤昲㉣戳㔷㘱㙣摢戴戶捥戱㑤ㅤぢ㥡㌳㑢㌷㈹㌸ぢ晢捣戳㕡㤱㘹搰㡥㠴㠳ㄲ㕤摢㠲〵㔶摥㉣捣㙣㕢搸㥥戳㈶㡤晤扦㤰㠹㈰㥢つ㡦搳㤴慡慡㔶㤸晥戳㠷敢㔵昰㐴愷挱㔴㔵晢㉣㐲㤶㍥㈳㤵㜴㝡㉤㥦㐱ㄶ㠳〰搶㜷㌱㍡慢愹戳搹敡㔱㤰㕣〲㔹慥㉢㠰㐵愴㙦攴扢ㄷ㘶捤挳挳挲戱扤ちㄳ摡㥢昲捤㑤慤ㄶ㌷㐶ㅦㅢ㍡挵㍡〴愹ㅡ㝢戵㜵㌴㌱㜵扥㔷㘱㔶㝢愶戵㘳〱㥦㍡攷㤶㙥㕣㔴㤲挷搳戵㠵搱㑤慤ㅤ愸㐶戶㈲㤷敢ぢ㌳攷戵㉤挶ㅦ搱㉣㙣㘹㥤㤰㔹搰昱㝦㘲慢㈸搹㉥ㄴ戲㘹㔴戵慡慥㔶㜵搵㜵晦改昶㌱扥挳摥戵㠹㥤摥搷ㅦ晤戴戳扤㈹扢㤰㠴㐹㍤ㄱ挸ㅡち搹㠶㔵戵㑣㘸㈸㝤扥慣㙤挲㤲攴㄰戶戵攸㡦㐳㝣昳ㄴ扣扦㑣摡〶㜰昳㝢㌴愷攷て㄰㝢㑥㤸㍤愹㉢㙤敡㝦昵㘷㍥戵㑣挱㔸敦㉣㤵㑤〱敥㙤㜷㈱㘶慥戰㐷㘱捦㐴㑦㘰愹戴㕢〶ち㠲㘱て敤摤戵㌸ㅥ㠹づ㍤ぢ㔳㌲㔹慢ㄹ昹ㄹ㉤㤹捥摥㜶㠱㠹㌲昸㌳㤰づ挷㌶愶慤愵㈵挳㉥挷㍦㘶㤹㤹换㌴㕢㜵㠵㔱ぢ㍢摢㤰ㅥ㙥ㄶ㈰愴㕦㍡慡捣ㄲ愸㌲㑢散㑣㡡挲っ收㙤挹㌲㘳戵ㅤ㤲㘹㙦敡㥣搷搲㤴慢㘳㠱戹㔵晦㈷晡㉡㡥〴㌵㈰搳㥤摣戱愴㌴㌵挳㑥㤰挰收ㅥ㠶㙣㈶㔲挷捤㡦ㅥ㡤㍦挷挰㍦昵ㅦ愶昵㘰攴㤱㠳㠶昹㈳愲搵㘲㤶愱㐸摡昲挵㙦捥㕥昴挵㌲㉣挸攰愴㤸㤵㐳慤昹ㄳ愰㕣攰㕣挳挴㤸戵收㝣㜴〷㈰㌰愵㉤㤳ㅦ㥦挹攱て搳扡㍢㝦㤶㔶㠷㑤换愱愶㍤挸㉣㥣㌱㐸散㐲挲搸愲愶扣搵㕥㐷挵㑣晣搹㕤つ昳㜷っ㝢ㅢ㜲㘷慥慡慤敤㔱攷㔷搷㈴㌷搶㈰㈷㤹㐱晦戳扥㐹㘵昱㍦摤㍢㌵㜲㘷戶㉡㈰㠷愸㥦戱㍡收㉦㕣㈷收昷㜰㝤㑡〰扦ㄲ昰ㅢ㐴敤㉢㌰㤶㙥㥢攲㠴ㄸ愴捤㤸〰搵挸ㅦ㜴㌱㔵愷づ㘹㉤㤲攳㔳㉢㉢搲㐳换捤㌱散戴㥣㍡昸㘰愹愵挳㤸㠹㕥㙥攵〳昶昸捡ㅣ㈰ㅣㄹ慡慡慢㙢戰愹㡤搲扣挶戲㙡ㄹ㘲愶㈵㐹㍢㡡㠹㉡〶戳㍢㌷攳捥㠲昸昸㌳挶愲扦㤰㉡㍤㡦〸〴捣㙡挰慢〲敡つ㐸㤷〳㍥挳㜳㐸〲晢戸㑦〷愱㤸㘹挱㌳〱敤戸愵㤸㕥挱㘳㔷㤵挱㍦㤹㕢摦戱㔲㝤〴て㡥㤷愶挱挰ㅦ㘳㠹挳㤰搷㉤敢愰㕤㜷户晣㤴ㅥ㤸㑤晥〵愶摢㉤ㄵ搳㌸摣搵搰戶㜵〰ㄸ戳〷㠱晦昲〷昴㈴愰ㄷ〱捣晡攰昶㌶㝡愳攴换愳捦晤㔳昰ㄸ〴ㅣ㍣㝥慤挵搷㜸摣㠸昱㌷㘶晣㥦〱㈸攵㤱㘹ㄹ㌶㡦㥢〰戲摥㍣㌲㤱㐳㜸散挳挰㈴愱㠸挷捤愰㕤㌷㡦搵㜰ㄳㅥ㌷㤷㈰㜶㐱㜵㠳捡㠷挷㉤㠰㌱户㈴㤰愹㈱㍥㠰慤〸攸㑢㐰㉤〰挲攳搶㈸㙤敥搳ㅦ攵㑦捦㝣㍡攴戶挰㠳㐸㔳慢㐰㈳戲ㅦ㉢攸捦ち㤸搹㔱㑡㈴搳㌹㠴㐸㤳㐴捡挴㘳戴㜶愰㔶㥢〲㈲愴つ㘴㄰㘶㝤ㄴ㤱㌶〸摡㜵㤳挶散㄰晣昰搷㠶っ㠲〵㤹户㠴昴攱㘴㝢㘰捣ㅤ〸㘴晡㠸て㘰㐷〲㜶㈲㠰ㄹ㈵㐲摡捥㈸昹㜵㍥扦㐴ㄲ㜴扥愱㠰㠳戳㝥㕡㝣㡤戳㕤ㄸ㝦ㄸ攳㌳晢愳㤴㌳愶㝣搸㥤㙦㔷㐰搶扢昳つ㠱㥢昰ㄸ㘲㘰㘶㡢ㄴ昱ㄸ㠱㜶摤㍣㌲慢〴㍦摣挶㘵㄰㤷㐷愶㤶昸搰ㄴ〳挶㡣ㄳ挸戴ㄳㅦ㐰㠲㠰㈴〱捣㐴ㄱㅥ㔳㈸昹昱攸㤷㠰〲ㅥ㠷〳づㅥ攳㕡㝣㡤挷摤ㄸ㝦㜷挶㘷搶㐸㈹㡦つ搰搹㍣㡥〰㘴扤㜹ㅣ〵㌷攱㜱て〶ㅥ㡤㔲ㄱ㡦つ搰慥㥢㐷㘶愳攰㠷㔴ㄵ〶㜱㜹ㅣ㠷㈵ㅦ㥡㐶〳㘳㡥㈱㤰改㉡㍥㠰戱〴㡣㈳㠰ㄹ㉣挲攳㜸㤴晣㜸昴㑢㕣〱㡦ㄳ〱〷㡦㤳戵昸ㅡ㡦㤳ㄸ㝦㑦挶㘷戶㐹㈹㡦㑣㌱戱㜹㥣っ挸㝡昳戸て摣㠴挷㈹っ捣散㤴㈲ㅥ愷㐱扢㙥ㅥ㤹挵㠲ㅦ晥㜰㤲㐱㕣ㅥ㤹捡攲㐳搳㕥挰㤸㝢ㄳ挸㌴ㄷㅦ挰っ〲㘶ㄲ挰捣ㄷ攱㜱ㄶ㑡扥㍣晡ㅦ㔴收〰づㅥ㌳㕡㝣㡤挷㝤ㄸ㝦㉥攳㌳㑢愵㤴㐷愶愶〸㡦㈶㉦㘴㘴㡡㐰敡㘳㈱ㄳ㔷㠴戳晤ㄸ㠴ㄹ㉣㐵㥣ㅤ〰敤扡㌹㘳愶ぢ㝥昸ぢ㑣〶挱㠲捣㑣㜷昱愱攴㈰㘰捣㐶〲㤹ち攳〳㌸㤸㠰っ〱捣㡥ㄱ捥戲㈸昹㜱收㤷ㄴ㠳扥㤷〷ㅣ㥣㉤搶攲㑦愵挶㍥敢戳ㄸ扦挰昸换〱㄰捥㜰攲㈱愷扡㠱㉡㜵っ㜴㜶摦㍢〴㤰捤扢晥㑣㜴㥤ㄷ㠰敡㔸戸ち㤷昳ㄸ㥣搹㉦㐵㕣ㅥち敤扡戹㘴㤶っ㝥昸㈳㑦〶㜱戹㘴慡㡣㑢㔵愸㙢㔵㥡㠱㌱㕢〸㘴ㅡ㡤て愰㤵㠰㌶〲㤸㔹㈳㕣㉥㐰愹愷㝢㌰㤶㍦㥥昵㌹〲户〳〴〶㤹㔹攳㐶搵㝡㕤〷愳昲㘵ㄹ㡡㔹㌰愵っ㌲昵挵敥㜵㘴㔰愶搲㕥㜷〱㈰挲搴㈲〶㘱㠶㑣ㄱ㔳㑢愰㕤㌷㔳捣愴挱て捦㉡ㄸ〴ぢ㌲㌳㥤挶㙤戲挶搴攱挰㤸㐷㄰挸㔴ㅢㅦ挰㤱〴ㅣ㐵挰愵〰〸㔳扦㐳㐹㘳ち㝦昶敢挳搴㜲㠰挰搴ㄵ㕡㔴㡤愹愳ㄹ昵ㄸ㐶㘵愶㡣㌰搵㜵搳㐷㌱㍤挶敥㙢挷〲戲摥攳ㅣㄳ㙡㠴扤攳ㄸ㤸㤹㌵㐵散㥤〰敤扡搹㘳〶づ㝥昸摢㔲〶㜱搹㘳ㅡ㡥㑢㡥㜶昲㝣ㄲ㌰收挹〴㌲㐵挷〷㜰ち〱㉢〸㘰搶㡥戰㜷㉡㑡㝥晢慣㕦戲づ昶搹搳〱〷㡦㜷㙢昱㌵ㅥ捦㘰晣㌳ㄹ㥦ㄹ㌶愵㍣㌲慤挶收昱㉣㐰搶㥢挷㐷攰㈶㍣㥥捤挰捣挸㈹攲㜱㈵戴敢收㤱㤹㍢昸攱㙦㔵ㄹ挴攵㤱改㍢㍥㌴晤ㅥㄸ昳㍣〲㤹摡攳〳㌸㥦㠰ぢ〸㘰戶㡦昰昸〷㤴㝣㜹昴戹㈹っㅥ㉦〲ㅣ㍣㌲摢挷㡤慦昱㜸㌱攳㕦挲昸捣捣㈹攵㤱改㌸㌶㡦㤷〲戲摥㍣㌲㠱㐷㜸扣㡣㠱㤹挹㔳挴攳ㅦ愱㕤㌷㡦捣昸挱て㝦ㄲ换㈰㉥㡦㙦㘲挹㕤つ慤㍦㕥〹㡣㜹ㄵ㠱㙦昹〳慥㈶攰ㅡ〲摥〶㐰㜸晣ㄳ㑡扥㍣晡ㅦ㜷慦〳ㅣ㍣㌲ㄳ挸㙤㠰挶攳㉡挶扦㥥昱㤹搱㔳捡㈳搳㜸㙣ㅥ㙦〰㘴扤㜹㘴攲㡦昰㜸㈳〳㌳〳愸㠸挷搵搰慥㥢㐷㘶ち攱㠷㍦扡㘵㄰㤷㐷愶ぢ戹慢愱昱㜸ぢ㌰收慤〴㌲㤵挸〷㜰ㅢ〱户ㄳ挰散㈲攱昱づ㤴晣㜸昴㑢㉡㐲㝦扣ぢ㜰昰挸散㈲㌷晥㌴㙡散㘳昱摤㡣晦㘷挶慦挱ㄹ㑡㈹㡦㑣晦ㄱㅥ㉢㥦扦㜴〷㐴㌸㕢挳㈰捣ㄲ㉡攲散㍥㘸搷捤ㄹ戳㠹搰㍥晣挵㉥㠳戸㥣昵㠰搶㙤戲挶搹㕦㠰㌱ㅦ㈰㤰改㐶㍥㠰〷〹㜸㠸〰㘶㈰〹㘷て愳攴挷㤹㕦攲ㄱ㌸晢㉢攰攰㙣㈳㉤扥㜶晥昲㌷挶晦㍢攳㌳㕢愸㤴㌳愶〸搹㥣昱摣㔹愶〸愴㝥捥户つ㈰挲搹㘳っ挲㑣愲㈲捥㥥㠰㜶摤㥣㌱攳㐸㌸㝢㤲㐱㔰㠳捣〳愰昵愱攴㝦㠰㌱㥦㈲㤰㈹㐹㍥㠰愷〹㜸㠶〰㘶㈹〹㘷捦愲攴挷㤹㕦㜲ㄲ㌸㝢ㅥ㜰㜰戶㠳ㄶ㕦摢㕦㕦㘰晣ㄷㄹ㥦ㄹ㐵愵㥣㌱㡤㘸ㅤ㥣㐵〱ㄱ捥㕥㘶㄰㘶ㅢㄵ㜱昶㉡戴敢收㉣〱㌷攱散㌵〶㜱㌹㘳㙡㤲て㈵慦〳㘳扥㐱㘰捡ㅦ昰て〲摥㈴㠰㤹㑣挲搹㕢㈸昹㜲收㤳㤰〱捥摥〱ㅣ㥣㡤搰攲㙢㥣扤换昸晦㘴㝣㘶ㅤ㤵㜲挶㔴㈳攱捣㜸て㤰昵ㅥ攳㈶挱㑤㜸㝣㥦㠱㤹愵㔴挴攳㠷搰慥㥢㐷㘶㌳〹㡦ㅦ㌱㠸换㈳㔳㥡㝣㜸晣ㄸㄸ昳ㄳ〲㤹敥攴〳昸㤴㠰捦〸㘰〶㤴昰昸㉦㤴晣㜸昴㑢㝣〲㡦㕦〰づㅥ㘷㙡昱㌵ㅥ扦㘴晣慦ㄸ㥦搹㑡愵㍣㌲㐵挹收昱㙢㐰搶㥢挷㐶戸〹㡦摦㌰昰挱㈸ㄵ昱昸ㅤ戴敢收㤱㔹㔰挲攳昷っ攲昲挸㔴㈸ㅦ㥡㝥〰挶晣㌷㠱㜹㝦挰㡦〴晣㐴㠰〵㠰昰昸㌳㑡扥㍣晡㈴㑣㠱挷㕦〱〷㡦㑤㕡㝣㡤挷摦ㄸ扦ちて㑤ㄴ戳㥣㑡㜹㘴㙡㤳扤て㙦挲㈸㥣㈲㤸昵㜱㡦㠹㑦挲ㄹ敥慢㔷愹㐵㈸ㄵ㜱㠶㍦㉣㕦て捥㤶挰㑤㌸慢㘵㄰搴㈰㌳搳愵㝣㌸㌳㠰㌱扢ㄳ挸㔴㉡ㅦ㐰ㅤ〱㝣㜷愰㘲㜶㤵㜰ㄶ㐰挹㡦㌳扦愴㉡㜰搶ㄳ㜰㜰戶㑣㡢慦㜱搶㡢昱㝢㌳㍥㌳愱㑡㌹㘳晡㤳捤ㄹ昷㘱㤹㑡㌹㕢〱㠸㜰ㄶ㘴㄰㘶㐹ㄵ㜱戶㌱戴敢敥㘷捣愶ㄲ捥㌶㘱㄰搴㈳㌳㔳慡㝣㈸改〳㡣戹㈹㠱㑣户昲〱㙣㐶挰收〴㌰〳㑢㌸摢〲㈵㍦捥晣ㄲ慦挰搹㔶㠰㠳㌳㘶㘰戹昱㌵捥晡㌲晥搶㡣捦㙣愹㔲捥㉥㠳捥收慣攲㍤㤵换〱ㄱ捥戶㘵㄰㘶㔲ㄵ㜱搶ㅦ摡㜵㜳挶㡣㉢攱㙣〰㠳戸㥣㕤〵慤摢㘴敤㥣㘴㈰㌰收㜶〴㌲㈵换〷㌰㠸㠰挱〴㌰㑢㑢㌸摢ㅥ㈵㕦捥晣慦㉢㜶〴ㅣ㥣慤搲攲㙢攷㈴㍢㌱晥捥㡣捦㡣慡㔲捥敥㠰捥收慣戶㔲㍦㘳㤲㤵㜰㌶㤴㐱敥㐲愹㠸戳㘱搰慥㥢㌳㘶㘵〹㘷扢㌲㠸换ㄹ㔳戳㝣㈸〹〱㘳㠶〹㘴摡㤶て㈰㐲㐰㤴〰㘶㜲〹㘷㌱㤴晣㌸昳㑢攰㐲㍦㑢〰づ捥ㅥ搰攲㙢晤㉣挹昸㈹挶㘷搶㔵㈹㘷㑣戵ㄲ捥㡣㌴㈰敢㝤㕣㘰㜲㤶昰㌸㥣㠱㤹愵㔵挴攳敥搰慥㥢㐷㘶㜳〹㡦㈳ㄸ挴攵㤱㈹㕤㍥㌴敤〱㡣㌹㤲㐰愶㝢昹〰ㅡ〸ㄸ㐵〰㌳挰㠴挷搱㈸昹昲攸㤳昸〵ㅥ挷〲づㅥ㤹〱收挶搷㜸ㅣ挷昸攳ㄹ晦㉤〰㑡㜹㘴㡡㤶捤攳〴㐰搶㥢㐷㈶㜵〹㡦ㄳㄹ㤸搹㕤㐵㍣敥〹敤扡㜹㘴ㄶ㤸昰㌸㤹㐱㕣ㅥ㤹ち收慥㠶戶て㑦〱挶㥣㑡㈰搳挴㝣〰搳〸㤸㑥〰㌳挷㠴挷扤㔰昲攳搱㉦㘱っ㍣捥〰ㅣ㍣㌲㜳捣㡤慦昱㌸㤳昱㘷㌱㍥昳㑣愴摤戳㔹㜲摡㕤换㕣㠱搲㐷攰㘵改〹㔲㐳㠱㠹ち㌳㍢㤷㌶㈳㌹㠴㡢㝣㈴㙥㉦昱攱㝥㐰㜴㜸㔰摦搶㡥㐷㠸㌵愵㉦ㄶ昱㝣㥦㐲挵㍤晡㤴扣戴㐵摣㘸㘱ㅥ㐴敤㜵㍦㤵扦㤸挴昳㘷挳扢摥攰㐰ㅦ㑥挶㍥㘸㘲㥦愹㑤戹昶戶㡥戶㐲㘷晦㤹㐸㝣敡捦㤷攰ㄴ慡慡㐲愳㙡晦㠴㠸扥㜵㜲挵㙡㕡昹㈶搶㐵㝣㈹㐴㘰㝥㙢摢攲㔶㘹㑤㙤〷摦〵㈴㝣㜵敦捥㙡〲慣㠷搳㜶㈰㉦挸㥣㠹㈰ち收扥〸搱慢㍥挸愴〳晣慡㡣晤㔰ㅥ㍣㘶昴㤸ㄹ㡤搱㘴㉣㤲捥㈷㘳愱㠸㤵㠹㘵戳搹㑣慡㄰㡥愴㐲愹㕣㌸ㄲ㑢㐴㌲㘹㘳㝦て㥡挹攴昲攱㙣㉥ㄹ㑡㠶攲戱㔸㉥㥣㡥挶昰扥摥㙣㉥ㅦ捦攷愲昱㜴㈶挸㜴〶㠶㌷て㠰㡦㜹㈰㐴㤰㔹っ愲㍡㠸慡㐶慡㤸搳㔰㡣慡慤挶搰扣扥愹〶〸㔱愵戲㉡愷昲捡慡改摥㕤つ㉥㜹换㑤㔹㡡㠲昷㥡㄰挳㘰㠶㐲敤㈵愰㜹晤㥣㡡户㈲㥤㜹〸㌱㜳㕣㤵㍣㐴㈰搸つち敡っぢ挵㡤挶㡣㙥㉣㝥㡦慥㔱㠰扡㈷搴㤲㠵㠱ㄷ昴㜶ㄸ㠷㐰搳ㅢㅡ㉤㈵㉢㔸攳㐴㌱攷挱㘸づ㘴ㅤ〳㈰㤴〱扤㙣摢昹搰㜳㐱收㍡㘸戹㍦愸㤵㔸ㄱ昶㐲ㄸ慡㡣ㄶ㐰㉡㜶㉤㜵㌶㘰散㕥挵摤挳㐴㈴改ㅥ㙤㜰㐶昷〸愰捣㉤㘳㉣㐰搹敥ㅥ㤱㐸㌴㥦㐶挷㠸㈴戳改㔸㌶ㄷ㐹愷㤲戹㘴㌸㠳㠵㐲捡捡㈵搲挶㘱ㅥ㌴㤹换ㄷ愲搹㕣㌶ㅣ戶挲戱㝣㈶㥢㠹㘴愳戱㘸㈴㥡㑤㘷㜳昱㐴㌴ㄳ散攱㠴㌷摢攱㘳㜶㐰〴㝢扡慡㑥慡ㄶ㔲搵换㔵ㄱ㈰㔰ㄵ愴ち戳㍡〹慢挰捤㠷㘵摣㝡愷晤㜰㠸㐰㜰㈳㈸愸㌳㡥㐰搱㘷㌳ㅣ〹㜵昱㘶㌸ち㥡搲捤戰戱ㄳ挵晣ㅤ㡣昲慡㕣㜹㘹慥敡〳扤㙣㠶愳愱昷㌶挳㘶搰捡㘶昸ㅤㅡ攴㙤㠶㘳〱愹扣ㄹ㡥〴戴㝣㌳㙣㡥㐸戲ㄹ㡥㠷㌳㌶挳ㄶ㈸换㘶㌸〱㘵㘷㉦㑤愷ㄲ搹㔰㌸ㄵ㑡㈶戲戱㔰㈱㤴㉤攴戲改㜴㌶㠲摤㌶㤹㡣㔹㜹攳㐴て㕡戰ㄲ㠵㠲㤵捣㈴ち戱㑣慣㤰挸愷㔳㤹㔰㈱㥢㠸㈶戳㘱㉢㤴捤㈴㠳㕢㍡攱捤㤳攰㘳㥥っㄱ摣捡㔵㥤㐲搵ち慡晡扡㉡〲〴慡戶愵ち戳㙡搷㌷挳ㄹ戴㥦〹ㄱ〸昶㠳ㄱ㍦㍣散愰㡥愴㥢攴㌹搸摦搵慦愴㉡㐴挴慥㄰㙡㈰㠳戱㜴ㅥ昴ㅥ戱㠳愰ㄵ㘲攷㘹挴㥡㈴㤶愳愴㉡昸㜲㌸ㄸ㑥挲攱㠵挰㠱挳敤㔱ㄶづ㉦㐲搹收㌰㤹捡㘷㘳搱㔸扥㄰㑦挷㘳愱㝣㉣ㄳ㡡挵搳昹㐴扥㤰㐹愰挳愶戲挶挵ㅥ戴㔰〸挵㜳改㘸愴㤰挹㠰摤㤰㤵〲换㠹㙣搶挲㤸㤷㑡㕢挹㐲㜰〷㈷扣㜹〹㝣捣㑢㈱㠲㍢扡慡㉥づ㜷㜲㔵ㅥ㑡つ愵ち戳㍡㐰攷昰㉡㐶戹ㅡ㈲㄰摣〵㐶晣捡㌸ㅣ收敡慦㈳㌶㐹〴摦㌲愲㐲っ挶搲つ搰㝢ㅣ㐶愰ㄵづ㘷㘸ㅣㅡ㌷〱㔲戹㜳敥攵㑢㙣ㄴ㤱㠴搸㥢攱っ㘲㘳㈸ぢ戱户愰㙣ㄳ㥢㐸挴昳昹㐲㈱ㄷ㐲㜷㡣㈵㈳挹㑣㍡㤷㡢㠶㤳ㄱ㉢㤶㡦愳㡢㕡挶慤ㅥ㌴㤴捤攷攳㤹㐲㍣㤲ち㘷㘲挹戸㈵晣挶攳改㙣㌶ㄵ捤㐷㜳㔶㤰〹ㄶっ㙦摥〶ㅦ昳㜶㠸㘰挲㔵摤㐱搵㥤㔴㈵㕤ㄵ〱〲㔵挳愹挲慣挶敢挴摥㐳晢ㅡ㠸㐰㜰㌷ㄸ昱挳㍢ㄳ㔱昴ㄹ㈳敥㠳扡㜸㡣戸ㅦ㥡搲㌱㘲㜷㈷㡡昹ㄷㄸ攵つ捦昲慥㘷戵〷慢㘶扢ㅦ㠲摥摢っつ搰捡㘶搸㕤摦っ㡦〰㔲㜹㌳っ昷摤っ愳㄰㐹㌶挳摦攰㡣捤㌰ㅡ㘵搹っ㝦㐷搹搹っ攱㙣㍡ㄴ戲慣㔴戲㄰㡤㐵ㄲ愹㔴㈴㤷㡤ㄴ搲ㄹㅣ㥤ㄳ㘱㉢ㅢ㌷ㅥ昵愰㠵㘴㉥㠷搱㍢ㅦ〱㌶ㄶ捤㘷㌲搹㙣㌲ㄲづ愵ㄳ㠹㌰戶㑤㈴ㄳㅣ攳㠴㌷ㅦ㠳㡦昹㌸㐴㜰慣慢㝡㠲慡㈷愹ㅡ攷慡㍣㤴㥡㐸ㄵ㘶ㄵ搲㌷挳㌳㜴㜹ㄶ㈲㄰㥣〴㈳㝥㘵晤㝢㑦㔷晦㈲戱攳㠸ㄸぢ愱愶㌰ㄸ㑢慦㐰敦ㄱ㍢つ㕡㈱㜶㝢㥤搸搷〰愹㑣散㈰㕦㘲㤹㙡㈱挴扥〱㘷㄰扢ㄷ捡㐲散㍦㔰戶㠹㡤愵昳㘹戰㤲㡡愷㜲㈹㥣昶㠴搳㔶㌴㥥㡣挶㐱㌷㠶㄰っ㈳挶㥢ㅥ㌴㥦㑥愶㈳㠹㐴㍥㕣㐸㕢戱㔴㍡㥡捡㔹㠵㤰ㄵ捥攲晤㠵㜸㘳㘴㈴ㅡ摣摢〹㙦扥〵ㅦ昳㙤㠸攰っ㔷昵づ㔵敦㔲㌵搳㔵ㄱ㈰㔰㌵㠷㉡捣㙡㉢㥤搸て㘸晦㄰㈲㄰摣〷㐶晣慡㡣㡦㔰昴改摦ㅦ㐳㕤摣扦㍦㠱愶戴㝦捦㜵愲㤸㥦挲㈸慦昷㌶㈷㜳㌳散挷慡戹ㄹ㍥㠷摥摢っ〷㐰㉢㥢㈱愸㙤〶㤳㘷戹㌲㔴昷昶㘵㥣㠹ㅡ挲昸搷挰㠱昱㠳㔰ㄶ挶扦㐱搹㘶㍣ㅢ户㐲戹㔰㍣㥤㡡㔹ㄸ㍦㘲挹㜴㌸㙡愵ㄳ戱㕣㈶ㄱ㑢㠵ち㠹㤰昱慤〷㑤㐷愲ㄸ㜷ㄲ改〲戶㐹㉣㥦㡦愶㌲愹っ㜰昹ㅣ㝡㍦㌶㔴㈲搸攸㠴㌷扦㠳㡦昹㍤㐴昰㘰㔷㜵㄰㔵㜲㔲㥡㜱㔵〴〸㔴攵愹挲慣㙡㜴挶㝦愱晤㔷㠸㐰搰㠲ㄱ扦㉡㤳㈷㝦㈶㑦昵㑣㥥摤〵ぢ慥扥扡ㄶ慡㤹㐴捣㠰㔰昳ㄸ㡣愵㕡攸㍤づて㠵㔶㌸晣昱㐷敤㍣愲㍢㈰㤵扢昲て㠰㤶㥦㐷捣㐷㈴㈱㤶摦〲〱戱捤㑥㍢㡣〰捡㑥㔷㡥愷慣㐸㍥㥢戲愲攸戹㠵㐲㍥㥢户㌰㍣㈴攳㈰ぢ㐳㜸㈶㙦昴昰愰昹㘸㌲ㄳ攳㤱ㄱ㘷㜰搸〳㤲㤹㔰㌲ㅤつ㈵昲挹㐴慣㄰㠹攷㘳㐶㑦て㡡㤳晦〴㜶㡢㔸㌶㤳㐹挷搲㐹㉢ㄵ㑥㘷攳戹㈴㑥㍥㐲㠹㔰㌴㤵て戶㌸㉤㌱㝢挱挷散㑤㔱てㄱ㙣㜵昵㐱慡㌶愲搸㤸㝡㘶㡤攰㠷㥣㔸慡㍣扣㙡㠷㔲㌶挹挷㈰㠰㈷㠲㜲愸搸㥣愰㉤㈰〲挱づ搷戱㘴㤳㜴扡晡慤㠹攵㕢㘰攴㔵敥㙡ㄱ昴戲㐹晡㐱敦㙤㤲㈵搰捡㈶㜹㑢摢㈴㈶㌷㠹㜴敢㝦昸戲扦ㄴ㑥挲晥㜶挰㠱晤挳㥤㉡㡤㐱㈸摢散㈷㌳㐹㕣㌸挵搰㐵ぢ攱㔸㌴ㅡ捦愶戲戱㕣㈱㥤〸㘵搲搸ㄴ搹㠲㌱戸ぢ㙡挵搳ㄸ㍢㔲昹㐸㍡ㄲ换ㄳㄱ㡦㠵ㄳ攱㕣㉥㤷挸㠶㜳昱㥣戱扤〷つ愷㈳㤹戸ㄵ㡦㔹㌸㠸㘲て㐸愴㈲㔶ち㥢㈳ㄵ挳慥㤳ち攵㔲挱㈳㥣㤶㤸㍢挰挷摣㤱㘲㈷㠸攰㤱慥扥㠴㝤㘶愲攰愷㐱挵㔳㉤㠷㔲搸㝦㕡㘷㍦捣㜸ㄱ㠸㐰昰㘸搷戱㠴晤㘳㕣㝤㠲搸っ㐳ㅦっ愱㡥㠳㕥搸㑦㐳敦戱㝦〲戴挲晥㕦㌵昶㡤摤〰愹扣㐳㍣散扢㐹㤸㕥㈲㥢㘴〴㥣戱㐹㑥㐲㔹㐶㥡㍤㔰㜶㜶㠸㘴㍣ㅦ㡡㕢改㘴㈶㤲㡥㐵昰搲捣㔴慡㠰㜳ㄳ换ち攷㤳㤶ㄵ〹ㄹ㈳㍤㘸㈸㠹愳㘸慥㤰㡣愵挳㈱㙣㡢㜸ち㘳㑤㌲ㄹ㑥挶愳搹㘸㉥ㅦ戳㠲㈷㍢攱捤〶昸㤸愳㈰㠲愷戸慡搱㔴㡤愱㙡㠵慢㈲㐰愰敡㜴慡㌰慢㍦㍢挴㘲戹捡㥣㐰晢㐴㠸㐰㤰㈹㈸愲攳搸㙥㜲㈴㌷㌹㜸〷捦㜴昵㔳㠸攵ぢ㙤㑣扥ㅥ㐷㥤つ扤㄰㍢ㅤ㝡㡦搸㤵搰ち戱慢㌵㘲㑤ㄲ㉢摤晡㐶㕦づ㤹㕡㈲ㅣ捥〴づㅣ晥ㅥ㘵攱㜰ㄶ捡㌶㠷愹㌸㍥摤㔳㠸攴㔳昹㔸ㄸ㘷换㠹㉣づ㤵㠵㜰ㄴ㑣㠵ㄲ挹㕣㌴㘵捣昶愰攱㘸㌶ㄵ㐹ㄵ昲改㠲㤵挷㉤〴ㅣ㍣㜱摡ㄱ㡤㈷㈲愹㕣㉣㥣捡㘷㠲攷㌹攱捤㌹昰㌱昷㠱〸㥥敦慡收㔲戵㉦㔵ㄷ戸㉡て愵㉥愲ち戳扡㔲攷昰㐰扡ㅣ〴ㄱ〸㌲晤〴㍦扣㤰戱㤸挳㑢㕣㝤㤶搸㌶㈲昸㌷㔶敡㌲〶㘳挹㠲摥攳昰㡦搰ち㠷㝦昰攵昰㝣㕦づ慦㠰㤳㜰搸㠴㔰攰昰㑡㤴㠵挳㐳㔱戶㌹挴搱ぢㄷㅣ戸改㠲ㄳ攷㔸㍥㥤换㈶㌲㔱摣㘹㠹愷ち㐹㜴戳㘸挲㤸敦㐱ㄳ戸㉦㤳捤㐶㜲㈹㉢㤱㡡㠵戳攱ㄴ㑥㐵㈲愱㜰㍥ㅤ挹挱㌵㤶っ㕥攵㠴㌷㥢攱㘳戶㐰〴慦㜶㔵㕤ㅣ㌲㐳㐵㠶㑦て愵慥愳ち戳㍡㕤攷戰㠳㔱㍡㈱〲挱㔵㌰攲㔷挶攱昵慥㝥〹戱㝣㜱㡥㝣㑥㐱摤挸㘰㉣ㅤ〱扤挷攱㙡㘸㠵挳攳㌴づ㡤愳〰愹扣㠳ㅦ攳㑢散捤㠸㈴挴㉥㠳㌳㠸扤〵㘵㈱㜶㌹捡㌶戱改㑣㌸㔵㠸挵㐲昸㝡㐷㈶㤶挳㔵㥣㤵捦挷㐲戸㤹ㄱ㡢㘰㘷㉥㠴㡤愳㍤㘸㈶㥣て愷挳愰㍣ㅡ㡤㘰昰㑣攳㤲㈴㤲挴㔰㥤换㘷搳昹㕣㍣ㄵ扣搵〹㙦ㅥ〳ㅦ昳㔸㠸攰㙤慥敡㌸慡㡥愷㡡㈹㉢㐲㉣〱〲㔵㜷㔱㠵㔹㉤搱㠹㍤㤹昶㔳㈰〲挱扢㘱挴慦捡㔸㠱愲捦挹摢愹㔰ㄷ㥦扣㥤〶㑤改挹摢㥦㥤㈸收改㌰捡昷㈴攴换ㄲ㙡つ慢收㘶㌸ぢ㝡㙦㌳摣〷慤㙣㠶㔶㙤㌳㜴㥤扣㌵晢㌲㝥㍦㥣㠴昱㜳ㄱち㡣晦〵㘵㘱晣昷㈸摢㡣ㄷ㈲愱㐲〱㘷㙥戱㐴㈲ㅡ挳㌹㐵㌶㘹愵㈳昱ㄴ敥㈸攲㑣づ㈷ㄹ挶㜹ㅥ㌴㠱㌷愸攷攳搱㜰㈶㠹戳扢㔴㌲㥤㡥㠷慣〲敥㐸㘲㘰㐸攰㕥㐵㉣昸㠰ㄳ摥㍣ㅦ㍥收〵㄰挱〷㕤㔵搷挹摢㐳慥捡㐳愹扦㔲㠵㔹㘵㜵挶㉦㘵㤴换㈰〲㐱㘶戲攰㔷㜶昲昶㜷㔷㝦㈵戱挷ㄱ㜱㉣㠴㝡っ㝡攱昰ㅡ攸㍤づ㥦㠰㔶㌸㥣慢㜳挸敢㄰ㄹ㔲攷昸㜲昸㈴㥣㠴挳㔵〸〵づ晦〷㘵攱昰㝡㤴㙤づ攳昱㘴ㄸ挷㤹㙣㌲㡡扥㡢ぢち摣㤶挵㜱㍦㠹捦愹㠵㌱捣㘶ㄲ挶つㅥ㌴㤲捥ㄴ慣㔰㉣ㄷ〱㈰ㄶ㠹ㄷ㜰㉤ㄷち㘳晣戵挰㕦㉣㤹〸〷㤹晢㈲晤昱㐶昸㤸㌷㐱〴㥦㜶㔵㕤㤷ㅣ捦戸㉡〲㑣㐲搵昳㔴㘱㔶㔳㜴づ㙦愷晤づ㠸㐰㤰㤹㉤昸㤵つ〷㉦扡晡㍦ㄳ换昷〲㤹愷㐰愸㤷ㄹ㡣愵㝢ㄹ㥥ㅡ捥慦㐲㉢ㅣ㡥昶攵戰挱㤷挳搷攰㈴ㅣ㍥㠰㔰攰昰㜵㤴㠵挳〷㔱㜶晡愱ㄵ㑥攲㙥㘴㍥ㅢ〷㠷㔶㍥㥤㑤攷㈲㤱㝣㈸㕤㠸㘷攲戸㘲〸ㄹて㜹㔰㕣〳㘷搹攱挲㔶〴搷挳㘹㥣㡥㘵〱㑡收㘲ㄱ㜴搸㕣㌲ㅦ㘴㉥㡣㜰昸㌰㝣捣㐷㈰㠲晦㜰㔵㕤ㅣ扥改慡〸㌰〹㔵敦㔰㠵㔹㈵㜴づㅦ愷晤〹㠸㐰昰㕤ㄸ昱㉢攳昰㥦慥晥㘹㘲捦㈶㠲㙦㈶㔲敦㌳ㄸ㑢捦㌱㍣㌵㥣㍦㠴㔶㌸ㅣ慡㜱㘸扣〰㐸攵㈱㜵㘷㕦㘲㍦㐲㈴㈱昶㈵㌸㠳搸㡦㔱ㄶ㘲㕦㐶搹㈶㌶㤴㡤ㄵ㜲㜹摣ㄹづ攵㜳戱㙣㈱㤹挹㐴㈲㠹㜴㉡㥥戰挰愳ㄵ㠹ㅡ慦㜸搰〴㑥㘰㐳改㔰㌲㠲ㅢ挸戱㑣㉥㥤㑥㕢㤹㐸愲㤰挶敤戶愴㤵〸攵㠲㥦㌸攱捤㔷攱㘳扥〶ㄱ晣搴㔵扤㑥搵ㅢ㔴㝤收慡〸㄰愸晡㠲㉡捣慡扦㑥散摢戴扦〳ㄱ〸㝥〹㈳㝥㘵挴㝥攵敡摦㈷昶〲㈲昸㡡㈳昵つ㠳〹ㅥ㝡㡦搸敦愰ㄵ㘲㌷搳㠹晤〴㤰捡挴昶昱㈵昶㝢㐴ㄲ㘲㍦㠳㌳㠸晤〱㘵㈱昶㕦㈸摢挴收㔲㈹㕣㈰ㄴ挲挹〴㉥戲㌲挹㉣晢㘴〱〳㈲㜶㝡ㅣ㝦㜲ㄱ攳㜳てㅡ㑤攲ㄶ㝣㈸㙤㔹〹摣㜳ぢ攷㉤㥣昹㘷㤲攸扤攱㈸㡥㜰㤱㔴㌴昸㙦㈷扣昹〵㝣捣㉦㈱㠲㍦扡慡慦愸晡㥡慡㥦㕣ㄵ〱〲㔵扦㔲㠵㔹〵㜴㘲扦愷晤〷㠸㐰昰㌷ㄸ昱㉢㈳戶ち愳㥥攸㝦㈶昶㌲㈲昸慥㈴㔵つ扤㄰晢ㅢ昴ㅥ戱捣㜸ㄱ㘲慢㌴㘲扢敥昲晥晡㙦扦㉢摣㕡㌸〹㠷摤っ攱搰㐰㔹㌸慣㐱搹搹敢㈳昸㠸㈴㈸捣㘵㜰〸㑦攲ち慡㄰て攳㉣ㄴ昷〴㈲㠹㘴㈸ㅡ㌲㙡㍤㈸㡥㐸昹㘴㍥㠱㘳㔳㈱ㅢ戳㜲戹㜴〱㥦昵㐸㈷㜰㍡㡡慢愸㐸㍡ㄷ散敥㠴㌷つ昸㤸摤㈱㠲㜵慥敡ㄴ㉣搸㜷捡㑤㔷攵愱㔴㑦慡挸攱㌷㔸つ敦㠱㐵㉦㐶改つㄱ〸昶〲㐰戸㍡㠲㘱扡敥㤴㌳㕤㐶昴ㅢㄳ换㌷㈲挹昷㜵㔴㄰㝡攱㜰㔳攸㍤づ㌷㠶㔶㌸晣ㄸ搵戸㡦㈰㑣敥昵㜲昴昹搰㤷挳㑤攰㈴ㅣ㙥㠹㔰攸㠷㝤㔰ㄶづ户㐲搹收㌰㥡挷㈷挹挲戸㑦㥢挷㔵㈴㜷摢㤴ㄵ挶改㘶㉡㠷㑢愰㐸捥㑡ㄹ㝤㍤㈸㙥㈲㠶昰戸㌰㤷捥攲挱㐴ㄴ户㄰搳㌸㜱㑤攲摣ㅥ户㕥ち攱㜸㌴戸愹ㄳ摥摣ㅡ㍥收㌶㄰挱捤㕣㔵搷づ扥戹慢㈲㐰愰㡡㠹㌲挲攱㍦㜴づ户愳㝤㄰㐴㈰搸ㄷ〰攱慡攴㠴㝥㙢㔷扦㈳戱㌷㤲挳ㅢ㈰搴戶搰ぢ㠷㐳愰昷㌸散て慤㜰昸扣捥愱㜷ぢ敢㔹㕦づ〷挰㐹㌸摣ㄵ愱挰攱㐰㤴㠵挳㄰捡捥㈰㠹扢搹ㄸ昷挲㠵㄰捦㠴㈲愱㔴㈲ㅤ捤愴昳〵㍣㉣㡤愶㜱搵㙦㠴㍤㘸㈶ㄷ〶搳㌸ㄳ挲㘳戵㔸愴㄰挱㕤㠱㔴〸㐴攳㐱㕡㍣㤹㑡愷㠲摢㌹攱捤〸㝣捣㈸㐴㤰㐹㌵慣搱散㍡ぢㅡ散慡〸㄰愸摡㤱㉡昶挳扦敢ㅣ愶㘹ㅦづㄱ〸敥〴㠰㜰㔸㜲挵扥戳慢摦㠳搸摢㔹搱㙤攴㜰㈸昴挲攱㈸攸㍤づ㤹㈱㈳ㅣ摥愷㜳搸〲慤昴挳㌵扥ㅣ敥ち戳㜰㌸づ愱挰㘱〸㘵攱㜰㍣捡㌶㠷㘱㉢㠹㡢挲㘸㡡〷㤹㤸㤵㑥㘵ㄳ戹㘸ㄲ昷㔱愳昹㌰㥥㑣㘷攲挶〴て㡡㉢愶㜴㌸㠱㕢㠱㜸㐴ㄳ㐳㌷挵㠳〵摣ㄳ挹攰㔶㤴㘵挵愳愹㙣㤰搹㌶㐲搸㐴昸㤸㤳㈰㠲ㄱ㔷搵㠹〵晢攱㘳搴㔵ㄱ㘰ㄲ慡ㄲ㔴㤱挳㕢㜴づ愷搳扥ㄷ㐴㈰㤸〴㐰㌸㉣搹㤷㤹㕥㈳晡㔹挴昲㙤㑤㈶摦晤愴㈴㍢㠶愵㝤ㄸ㥥ㅡ捥扢〳㉤ㅣ晥㐹攷搰㍢㤳扣摡㤷挳ㄱ㜰ㄲづ昷㐷㈸㜰戸〷捡挲攱〱㈸摢ㅣ挶戳㜸〰㘰㘵㜱㌷ㅡ愷㐱改㕣㌴ㅢ捦㐶㈳ㄱ㍣挷戵㜲㌸㌹㑦挴㡣〳㍤㘸挸㑡攳捡〷捦つ㐲戸扤㤷㡤攳㡥㕦ㅥ昷㐲㤲昹㔰㉥ㄷ㡥攳㐶㕥㜰愴ㄳ摥㍣〸㍥㘶㈳㐴戰挱㔵ㅤ㑣㔵㠶慡㔱慥捡㐳㈹㈶搱〸㠷ㄷ改ㅣ㕡㜴㈹㐰〴㠲攳〰㄰慥㑡昶攵昱慥晥㔰㘲ㅦ㈲㙢て㤲慤㠹搰㑢㍦㙣㠱摥攳㜰㑦㘸㠵挳戳㌵づ㡤㌶㐰㉡ㅦ慣捦昴㈵㜶㌲㈲〹戱㠷挱ㄹ挴㑥㐱㔹㠸㙤㐷搹㈶戶㄰挳㘳慦ㄴ㉥搸㐳㐹㕣搷挴㐲戸愹㔷㐸㘴㐲㌹㌰㡤攷慥昹慣搱攱㐱愳愹㐸扥㄰挲㠳昳㙣㌸ㅢ㑢㈶昱ㄴ㈱㕥㐰慡〵㑥昲攳㤹ㄴ㥥㈳〴愷㍡攱捤㑥昸㤸ぢ㈱㠲捣戸㤱晥扡㠸慡挵㔴㑤㜷㔵ㅥ㑡捤愰ち挴愹ㄳ㜴㘲㡦愰换㤱㄰㠱攰㑣〰㠴搸㤲捥㌹换搵㉦㈷昶㌱ㄲ换ㄷ㑦〵㘷㐳㉦㉢㝥㉣昴扤敡㙢㤹㌸戲㕢㐹㠶㠵晦㡢㘵㠶㤴㝥㠲㘹ㅣ㍥愹挴摣搴慡㙥㜸愳㠶晤ㅥ㡡㥡敡攱晦㔹㉣收㜰昰㌵㌴㥣㙢㡦挴扡晥㉦攲戰扢㜴攵收㌰㘲㍦捣收昱㔸攱摡〳戰扡㈱扦㈶慥敤愳挵㜰慣摡戴㘵㔲〷昲㍢昰昱敢㔹㙤愳扣㉦㈷㙦攴收㝤っ㜱扦っ㌴戸㑢㌳㉡摢㠱㔷ㄸ㜵㕡慥摢昴㜶捦て㕦摡㐱㥥てっ㐳昸ㅤ愱㑤扢㑡摡㝢㍣晡㜶㘹㈷戵㜶攰㥢㔷㔶摥㡤搸㠱扦㈹慤愹敥愶㝣㕦慤攳㝣㈳㤹㉦敥㘰㌴㝣昵㙡㔲㥥〴昴昵㜹㡢挹攸愶㑥㜹ぢ搰搶戰㉢㤳㐹㐳挶㠹㔸㕢㘳挴愰晤〶㐵㐳戵㑢戰㈱搶扢㡥㘲摡㔹㈳晢㘵挰㍣ㄹ〱搵㠱〸㑤敥㤵戹㍦㉢㔹㘱㔷㌲ㄵ㤵愸㑥㔴挲㡡搸㤳〲收㘹㐴昳㤸㐷ㄵ〳㈸㍥扥㜱敤昵㌹ㄴ㜸晡〳㤴㍥㝤㌱搲㈹㌵搸晦搷㌹晦〷ㅢ敡㤹挷㈳ㅥ〷慡〱㘷㡦慡㝤㙢搹愵㕦㕥户摢攰㡢㙦晡捤昹㝦㔹㐱愶ㄷ㐷㙥戲ㄱ愷戳㐶慡㜹昰ㄸ㡣㌸收摢ㄴ敦㔰扣ぢ愱摡搰愲㔷昱敤㤳戲敦挸戴㍡㠶搲敦挸〴攷㈳㤲散㙣攷愰扤扤敡㔵ㅢ捡摣攱㔴㌳㍣搸换愵㘳㥥换㔵㙥㠷摡㈶㠸戹㌹挶㜹搰㘱㉢㠰愰㤸㥡〷愰㑢㐰挰扣㠰攸づて捤昴ㅣ攳㐲ㅢ㡤㙤ㄶ㔳㜹〷㙤㤳㝦㌱搱㍣晣㜹㜴㉥㜴ち愴扢㥥㈹㌶ㅢ㐶㈷昳㜱搶㑡㈷挲㔶㔵㌵戴㌵慣扡㡥㔳愸㐱晤づㅥ㝥㜴㌶愲愱扥㜴ㅥ攴ㄸ㑡㍦㐳ㄳ㍣ㅡ㤱㠴捥㉢戰㔶愰昳㜸㤴㠵捥〳攰攱搱㜹ㄵ㔷昹㈴㤸㙣㍡㑦挰㤲㜱㡤㑤搰摥㈴㘸慥㐳㤰摤摦慥㈵晡㘴て㝤㈲搱慢愰敢㍥㘲搰愸搱㠴捦㜲攰㌶㥦㌷㄰捥㑢〳㡦捦ㄵ㑥㐱昸㍣〳㠵つ攳㤳㠹㌵敢收昳慤㠵㕤㝣慥㠴㠷ㅦ㥦搳ㅤ摡捡扡攷㌴挷㔰晡ㄵ㥢攰㜹㠸㈴㝣摥㡡戵〲㥦ㄷ愲㉣㝣㑥㠱㠷挷攷敤㕣攵㑢㘰戲昹扣〸㑢挶㥤ㅥ㐳㤱戸㥡㔸挴搰摤㠴㕦敡挱㉦㈶晣ㅥ攸搰㥢昷ㅥ〴昴㔸〷㙤搳㝦㉦㉣昵㔷〱戳㘱慣㕤敤㝡㔴摡愹愵ㄷ㔶㡤㜲㔸晢㜱愴扡づㅥ㝥慣㡤㜴挸㈹㘳㙤て挷㔰晡慤㥢攰つ㠸㈴慣㍤㠴戶㠳㌵收捤〸㙢扢挳挳㘳敤ㄱ搲㜰ㅢ㑣㌶㙢户㘰挹昸㥢㑤挳戸㐱攱戴㑡ㄵ搱昰㈸搱户㝢攸㕢㠹㝥摣㐶捦㈱㍡收愰敤㑥昸㈴搱㜷〰攳㜵挲㍢㥤㠲㜴挲㝢㔰搸㌰㍡搷戸ㅥ㙢愷㜳㐷㠷捥敡〶昵ㄷ㜸昸搱戹慢挳㕡ㄹ㥤挳ㅣ㐳改愷㜲㠲捣愷ㄱ㍡㥦挳㕡㠱捥扦愱㉣㜴づ㠵㠷㐷攷ぢ㕣攵挷㘰戲改晣㍢㤶㡣㤷㙣㠲收㜲㉦摤戱㠸愰㔷㠸㝥摣㐳㍦㑡昴㙢㌶㝡ㄲ搱㠳ㅣ戴摤〷摦㈰晡〹㘰㍣㍡㥦㜴ち㐲㈷㜳㕢㌶㡣捥㘷㕤㡦戵搲昹㤷㙣㠳摤㑢〷㌵愸ㄷ攱攱㐷㘷㍦㠷戵㌲㍡户㜵っ愵㕦摡〹扥㠲㐸㐲攷扢㔸㉢搰昹〶捡㐲攷搶昰昰攸㝣㡦慢晣ㄶ㑣㌶㥤晦挰㤲昱㠱㑢㔰㈴慤戶㈸㈲攸㈳愲㤹愹㘲愳摦㈴晡ㄳㅢ㍤㜷㄰搰㝤ㅣ戴摤㍢㍦㈳㥡昷㑣㍤㍡㤹昲挲㠲搰昹〱ちㅢ㐶攷㠷慥挷㕡改慣㡡㜵敤散㥦挲挳㡦捥㝡㌴挲昷㤰搳摢㌱㤴㝥愸㈷昸㌹㈲〹㥤㕦㘳慤㐰攷搷㈸ぢ㥤㍤攱攱搱昹㉤㔷昹㍢㤸㙣㠲扥挱㤲昱扤㑤㄰㡥攰㘹㔵〷戰㑢〰㍥㠳㐰昴昷ㅥ晡㕢愲㝦戲搱㌸㠲愷㔵㡤㠳戶改晣〵㤶晡㕦㠰搹㌰搲㝥㜵㍤搶㑥摡搸㉥搲慡㔱㠱ㅦ㘹扦晤㔰㠱戴㕦ㅤ㐳改搷㝣㠲戵㠸㈴愴㜵挳㕢晡㐰ㅡ搳㔵㠴戴㥦攱攱㤱㔶ぢ愳敡〵㤳㑤ㅡ㜳㔸㡣敥搰昱挸㍢㘵㔰㉣愴㝥〰㥡慣㘱㑤㜰㘲㘸ㄲ摥摢㠳昷㈰扣㠷〳㥦㑣昸㌷づ摣愶慤ㄷ攱昵ㅥ扣㈷攱昵づ㝣㑦挲扦㜰攰昶ㄸ戰ㄱ攱㑣㤳㜰㉢㔴ㅢ㌹〵㠶㔳㑣㕡㜱㌷㘰晤收㡣〵㉤㘷㙤慡㝣づ㙡㠳晡㌴搴㙦攱㝡慥㜵愳㉣戸愶㐱㍣收慥戲晦㕦㜹㜳㠳㘲㕡换㘰㘸㑢捦㐹㍦挱㕡昸昶攸㡦ㅤ㐳改㐷㠶㠲晤㄰㐹㌶捥收㔸㘵㙣㥣敤㔰㤶㡤昳㈱㍣扣㡤戳㈵昹㘰㍡㠹扤㜱〶㘱挹攸敢搱㠷㝤晥㥦㐵昴㙤㐳㌸ㄳ㑦㙣昸㘰挲晢㌹昰㈹ㅣ㈲摥㜲攰昶戶ㅣ㐰㌸㔳㔴㙣㌸㔳㕤㡣敤ㅣ昸㘴挲㕦㜷攰昶戶ㅣっ㔳㝤㤸㈰㌰戰攱慣㌳㜷㐵㍣搷捡晡㕢挷摢㙣㔷㥤㙣晦摦㜰㐶㠳㑡挰㜳戰て敢㉦愱㜹扥慣扦攸ㄸ㑡㍦㙡ㄴ㘴〲㡣戰㍥〴敢〲搶㐷愰㉣慣㍦てて㡦昵㕤㘰㔴つ㌰搹扣㌰㡢挵搸ㄵ㍡㥣㍢㑤ㅡㄴ㡥愹愷ㅤ㕡散㍥ㅢ㈶㝡㤴㠷ㅥ㐹㜴搴㐶捦㈵晡〹〷㙤㤳ㄸ㈷㝡㌴㌰散挷搲愹挷㌸〵ㄹ㤶㤹㡣㠲摦晡搳㕢捦捣ㄵ昱㔸㉢慤㝦㤹攱㡣㌰㠱〶㌵〵昰挱㍥㜴晥捤㘱慤散㈸昷㔷挷㔰晡㑤愴攰㜴㐴ㄲ㍡㜷挳㕡㠱㑥收慥〸㥤て挳挳愳㜳〴㔷㤹ㄹ㈴㌶㥤㑣㘸㌱㐶摡〴捤攱㄰昰㤷㈲㠲㐶ㄱ扤㡦㠷㥥㑤昴ㄸㅢ㍤㡥攸㌵づ摡㈶㝦ㅣ搱㜳㠱昱攸㘴攲㡡㌷㐶ㅣ㠸〲㝥ㅢ㐰㈷㤳㔸挴愳ㄲ㥤扢㡣搹晡㤳㜷ㄲ㠱㤱摢ㅥ㜳敦㐵㥦㉥晤㜲て㤵〵㝣戰て㥤㜷㍡慣㤵搱㜹㠷㘳㈸晤愴㔲搰㐲㈴愱㜳㌲搶ち㜴㌲㡤㐵攸扣つㅥㅥ㥤㔳戹捡捤㌰搹㜴㌲户挵㤸㙥ㄳ㌴㘷㔰㍣愴㔶㍢〴搹晤㙤㙦愲㕢㍣昴㝣愲㘷摡攸㜱㐴㕦敦愰㙤㍡㘷挳㔲捦㐴ㄴ晣㌶㠰㌴㘶慤㠸㐷㈵搲㄰つ搳㠷㈳㌷㜵㉦敥㤷〰㍥ㄸ慡搲㠱昴ㅡ㠷㥢㌲搲慥㜶っ愵摦㕤ち㌲攵㐵㐸摢ㅦ㙤〷㘹换㔰ㄶ搲慥㠴㠷㐷摡㠱愴攱ㄸ㤸㙣搲㤶㘳挹㘸戴㘹㤸㍡㈸ㅣ㔲㤷ㄵ搱㤰㈱㥡㘹㈵㌶晡㘸愲㜳㌶㝡㍦愲㉦㜲搰㌶挵ㄶ搱挷〱攳昵挱攳㥤㠲散搲㑣㍦挱㙦〳攸㘴慥㡡㜸㔴愲昳てㄷ㜰晡㘸㘴搰愵昳㜴挰〷晢搰㜹㥥挳㕡ㄹ㥤扦㜷っ愵㥦㙤ち㥥㠵㐸㐲攷㝣慣ㄵ攸㍣ㄷ㘵愱㜳㈵㍣㍣㍡㕢戸捡攷挳㘴ㄳ挴愴ㄴ愳捤㈵㈸㤶㔶㘷ㄶㄱ㜴ㄸ搱㑣㉡戱搱攷ㄱ摤㘱愳愷づ〲晡㔴〷㙤昷挱㠵戰搴㕦ちっ㝥ㅢ㐰摡㘵慥㐷㈵搲㄰つ搳戴慥㜱昰㑡㜸っ㠶慡戴て㥥攸㜰㔳㐶摡〹㡥愱昴摢㑥㐱收慡〸㘹㐷愰敤㈰㙤ㄵ捡㐲摡㜱昰昰㐸㍢㡡㌴㌰攳挳愶攱㝡㉣ㄹ换㙣ㅡ㈶つ㡡挵搴昲㈲ㅡ㡥㈶㥡㐹㈲㌶㥡㠹㈸挶戱㌶㝡㉥搱㐷㍡㘸扢てㅥて㑢晤敤挰攰户〱愴㌱扦㐴㍣搶㑥摡㐱㕤愴㌱搵㘴戰て㘹㡢ㅤ㙥捡㐸㕢攴ㄸ㑡㍦〰ㄵ㘴㜲㡡㤰戶〲㙤〷㘹て愰㉣愴㜵挲挳㈳敤㌴搲挰ㄴて㥢㠶〷戱㘴㥣㘱搳〰搲攲㙡㠱㐳㠳摤㜷捥㈲晡ㄱて捤捣ㄳ攳ㅣㅢつ搲攲慡搹㐱摢愴㥤ぢ㑢晤攳挰攰户〱愴㍤攱㝡㔴㈲敤愱㙦㜷㍣攰㡣〷摦敥摡㍤㤹㕢㌲搸㠷戴㐳ㅣ㙥捡㐸㉢㌸㠶搲慦㐴〵㤹㡤㈲愴㕤㠸戶㠳戴㤷㔰ㄶ搲昲昰昰㐸扢㤸㌴㌰搳挳㈶敤㘵㉣ㄹ㤷摡㌴㘰戴㑢慢㠳ㅤㅡ㙣搲㉥㈷㥡ㄹㅦ㌶㥡㔹㈵挶ㄵ㌶ㅡ愳㕤㕡ㅤ攰愰㙤搲慥㈲㥡㑦㤴扤搱㡥愹㈳摥ㄱ昷㙤ㄴ昰摢〰㍡摦㜱㍤㉡搱㠹㘸㤸戴ㅤ㤷ㄹ㈵㠳愱㉡摤㜱昷㜱㔸㉢愳㜳㡥㘳㈸晤挸㔴昰㈳㐴ㄲ㍡㔷㘱慤㐰㈷㜳㐶㠴捥㔹昰昰攸扣㠱慢捣晣づ㥢㈰㈶㤲ㄸ㌷㐱㔷换㍢挳㌱戵㤷挳㡦捤收捤〴㌳捤挳〶㌳㤵挴戸搵〶敦〷昰ㄴ〷㙣㤳㜹㍢挱㑣ㄳ昱挸㘴扡㠸㐷收昷㈸攰户〱㘴晥攰㝡慣㥤捣㔹つ㠸㡡愹㑦㠳㘲ㄶ挹㘰㉣㤶㤲㌹挱攱慣㡣捣昱㡥愱昴ぢ㔵挱摦㄰㐹挸扣〷㙢〵㌲扢攱㙣㕦挸ㅣぢて㡦捣㝢戹捡㑣攱戰昹㘱㐶㠹㜱㍦㜴昶㥤㕥㕣㜴㌴ㄴ㌱昴〰攱摤㍤㜸㉤攱て㐱㘷摦挷㑣慢摤ㅤ戴㑤晥㈳戰搴昷〲〶㑤搹〰搶㤸㉣㈲ㅥ㙢㘷㙤㐲〳愲㘲㝡㙢愴㘲摥挸㘰㉣㤶戲㤶㜴挸㈹㘳㉤攱ㄸ㑡扦㘳ㄵ摣ㄴ㤱㠴戵挷搱㜶戰戶㈵捡挲㕡っㅥㅥ㙢㑦㤲〶愶㜶搸慣㌱㠷挴㜸捡愶〱户㌶攲㉡㔴㐴挳㌳㐴㙦攳愱晢ㄲ晤㥣㡤挶慤㡤戸ㅡ敡愰敤㑥昸〲㉣昵摢〱戳㘱愴㌱㍢㘴慤愴搹㑦㜴摥敦ㅡ〶㤹㈸攲㐷摡づづ㌷㘵愴㙤敦ㄸ㑡㍦㜶ㄵㅣ㠲㐸㐲摡㙢㘸㍢㐸㘳㝥㠸㤰㌶〸ㅥㅥ㘹㙦㤰〶收㜲搸愴㌱㘹挴㜸搳愶㘱敡愰㐸㑣昵㜷㘸戰晢捥摢㐴㐷㍤㌴昳㐶㡣㜷㙤昴㝥㐴㙦敤愰㙤搲摥㠳愵㍥つ捣㠶㤱挶㜴㤰戵㤲㈶ㅤ慣愱搱㌹攰昶㙦㔰捣っ昱㈳㙤㜳㠷㥢㌲搲㌶㜳っ愵㕦挴ち㌲㤷㐴㐸晢〴㙤〷㘹攳㔰ㄶ搲晡挰挳㈳敤㌳搲挰㡣っ㥢㌴㘶㠹ㄸ㥦摢㌴㠰戴㤰ち㍡㌴搸愴㝤㐹昴㈴て㍤㠱攸慦㙤㌴㐸ぢ愹㥥づ摡㈶敤㕢㔸敡㤹搲戱㘱愴㌱晦㘳慤愴扤㝤㜸㥦ㅢ㈷扣晤㑥㔷㑦㘳㉡㠸ㅦ㘹摤ㅤ㙥捡㐸㌳ㅣ㐳改㘷戳㠲晢㈰㤲㤰昶ㄳ摡づ搲昶㐷㔹㐸慢㠱㠷㐷摡㉦愴㠱㜹ㄸ㌶㘹㑣ぢ㌱㝥㠳づ㐷㠸晤〶愵㔵㔵ㄱぢ慡づ㘰㘶㜵搸攰〳〹敥〶㥤ㅣ㑥搲敡攷敦昵扢㤴戵〴ㅦっ㠸㜷㠴㘰昲㠷㜷㠴戰㔰搸㌰㌲㤹〸戲㔶㌲愵〷㔶戹㜷㈴㜱扦㠰㌹㈱㝥㘴㝥㡦㠶晡摥㝥昹捥㌱㤴㝥㜳㉢搸㠲㐸㐲㘶て慣ㄵ挸㘴搶㠷㤰昹つ㍣㍣㌲㝢㜱㤵㤹㝢㘱昳挳㔴㄰愳ㅥ㍡晢〸㠱换慦㉦ㅣ㠶散㑥戵ㄱ攱ぢ㍤㜸〷攱㥢㐰㈷㐷〸愰㍦㜵搰㜶㠷摤㤴㘸收㝡㜸㝣㉥㜶ち戴搷ㅦ㠱挲㠶昱挹晣㡦戵昲㘹㕦慣摤㍤㔲慥搵昸㘰㝢㌹㍣晣昸晣挰愱慤慣㜳扥敦ㄸ捡扥搹㜵㉣㈲慤敢㥢㕤㝣敦㠹搵㈱摦㤵慡挷ㅡ搶ㄶ昸愶㤶ㅥ〵㕢捤㝣て扣慢愵愹戹㔹㕥㜳搲ㄳ㥦搸㘹㥦㙦戵㑦挱㤷愴昰㘱㥤㤹㑤㉤捥㝢㌶昰㠵㈹㝥戱挴晤㠸㡢㈹㈵㍡ㅢ㠵改敤昸慡㑢昷挲愴づ㝣〱㉣㕦搷戲㔷愶戳搳㙡㙦晤扦昰晤ㅤ扣㜸㠶㙦ㅣ挵㘴㝦㜹挷昷㥤㉦㝣㤹㡢㙦㙥㠵㌰㌶慣㡢㡦㈹昸㌶ㄴ㤳㔸慡昹㘵㥥晦散㘳㘰㐶㕦㜴㍥昷昵㐴㜹敤㕢㔳㌵敡㥦搸挴昶㕦㥡㉥慦晡㡤㑤㘶㔶㤲戹つ扢昱戶㄰摤㐶㜵戴㐸晥ㄵ㐴挰散〷㡤晤㙤ㅦ扥慣扡慡昶㜸㜴㠳搲㤵攳㕢㜸昸㑥挷慡摡挵㑤昹捥㜹挶㍣慢改㤰㜹㥤㜸摢㑥て慥戱㍢搵㥣っ搷戵㘵愴㜰ㄷ敢摥搲㤸㘹㙦捦㉣慤㙢㘹㙣戶㕡て改㥣㔷搷戸〸〹㌸昸㐶ㄶ㐶戸扡扡㍡㜳〰摡挳慡㌸慢搳㄰㤱㔱捤㠱扡昶ㅣ㘸搸㕢㡤敤愰昵愷攰㜵㕦ち〶〳㙦㙣て㔱㑣挱づ搰㘸ㄴ愸㜳ㄱ㥢㌴戸㤳扡〰〵㘹挶㑥㐰㝡㡤扢搸搵敥慣㙢慦㠰㔶ㅡ㌷〴㕡晦挶㍤敦摢戸㕤㠰㌷㠶㐱ㄴ㌷㙥㔷㘸昴挶㕤㠵昸㐵㡤扢搶㙤㐶ㄸ㐸慦㜱㌷戸摡㠸慥扤搵㘹㥣挹挶搵愸㈷㝣ㅢㄲ㘷㡤㙣㐸㔷㈷㐹㔲挵晥㈱〲㡦戵㑢ㅢ㜱户㕢㕤ㅡ㐸慦ㄱ昷扡摡攱扡昶㈱愷ㄱ挶㙥搰晡㌳昴戰㙦挳㐶〰㙦散〱㔱捣搰㐸㘸昴挶㍤㔲摡戸㐷摤㘶㡣〲搲㙢摣㤳慥㜶戴慥㝤捥㙤摣ㄸ㘸晤ㅢ户挶户㜱攳㠰㌷挶㐳ㄴ㌷㙥〲㌴㝡攳㕥㈸㙤摣㉢㙥㌳㈶〱改㌵敥つ㔷扢愷慥㝤搷㙤摣㘴㘸晤ㅢ㜷㥢㙦攳愶〲㙦㑣㠳㈸㙥摣㜴㘸昴挶扤㔷摡戸㡦摣㘶散つ愴搷戸捦㕣敤っ㕤晢戵搳㌸㤳〳㔳㡤扡摥户㈱戳㔹㈳〷愱慥扥戵て㔵㕡摦晡戶戴ㄱ晦㜶慢摢ㄷ㐸慦ㄱ扦戸摡晤㜴㙤㌷㡣㈲戲昷敤て慤晥㌱㠶攲ㄱ昲㑡摦挶ㅤ〸ㅦ攳㈰㠸㘲㤶ㅡ愱搱ㅢ㔸㡢㍡㡡昶㐰㍥挶㤴攱㈱〳愴搷挰㕥慥㌶慢㙢㌷㜲戵㌹㕤换攷㜶㙣戶挹㘶搷愸ぢ㝤㥢㔷㠰捤㘴昳扡戸㥢㐷㤵挶ㅤㅦ昱ㄵ㌵㙤ㅢ户扡㐳㠱昴㥡㌶挰搵捥搷戵㠳㕤㙤戳慥ㅤ〲慤㌰摡〲慤㝦㥦㍢摢户戹㙤挰ㅢぢ㈰㡡搹㍣っㅡ扤挹扢㈰㝥㔱㤳挳㙥㌳㍡㠰昴㥡ㅣ㜷戵㥤扡㜶㌷户㜱ぢ愱昵㙦摣㈹扥㡤㕢っ扣戱〴愲戸㜱㑢愱搱ㅢ㌷愲戴㜱愳摣㘶ㅣ〱愴搷戸㜱慥昶㐸㕤㍢搹㙤摣㔱搰晡㌷敥ㄸ摦挶㉤〳摥㔸づ㔱摣戸愳愱搱ㅢ㌷戵戴㜱㝢扢捤㌸ㄶ㐸慦㜱戳㕤敤㜱扡㜶㝦户㜱挷㐳敢摦戸挳㝤ㅢ㜷㈲昰挶㐹㄰挵㡤㍢ㄹㅡ扤㜱〷㤶㌶㉥攳㌶㘳〵㤰㕥攳㉣㔷㝢慡慥㥤敦㌴捥ㄹ㑡摡㝤ㅢ㜲〶㙢㉣ㅥ㑡捥㉡㘹㐴㑢㘹㈳づ㜳慢㍢㐷慦㙥愱慢㕤愹㙢㡦㜰ㅢ挱挱戶㐶ㅤ敡摢㠸昳㔸㈳〷搶慥㝤昲〲慡戴㝤昲愸搲㐶ㅣ敤㔶㜷㈱㤰ㅥㄳ挷扢摡㡢㜴敤㡡攲㐶㘴㝤ㅢ㜱㈹㙢㉣㙥挴攵㈵㡤㌸慤戴ㄱ㘷戹搵㕤愱㔷㜷慥慢扤㔲搷㕥攸㌴挲戸ち㕡晦扥戲㥦㙦挳慥〱摥昸ㄳ㐴㜱㕦戹ㄶㅡ㥤愱㡢㑢ㅢ㜷戹摢㡣㔵㐰㝡っ㕤攵㙡慦搷戵慢摣挶摤〰慤㝦攳㘶昸㌶敥㈶攰㡤搵㄰挵㡤扢ㄹㅡ扤㜱㌷㤴㌶敥㘶户ㄹ户〲改㌵敥㜶㔷㝢㥢慥扤挷㘹㥣㜳扥戵愷㙦㐳敥㘴㡤挵攷㕢㜷㤷㌴攲摥搲㐶㍣攰㔶㜷㡦㕥摤㈳慥㜶㡤慥㝤摣㙤〴㌷㕦㡤ㅡ敤摢㠸晢㔹㈳㌷㔵㔷㐷㝥㠰㉡慤㈳㍦㔹摡㠸㘷摣敡ㅥ〲搲㘳攲〵㔷晢戰慥㝤捤㙤㐴㕦㘸㙢搴㜰摦㐶晣㡤㌵ㄶ敦搲㡦㔲愵㌵攲㡤搲㐶扣敤㔶昷戸㕥摤㝢慥昶〹㕤晢㠹摢㠸敤愰慤㔱ㄱ摦㐶㍣挵ㅡ㜹㤱搰挵挴㌳㔴㘹㡤昸慣戴ㄱ㕦扡搵㍤〷愴挷挴户慥昶㜹㕤晢㤳搳〸攳〵㘸晤㍢散捥扥つ㝢〹㜸攳㘵㠸攲づ晢ち㌴㝡攳㝥㈹㙤㥣〲㐰㑥㑦㕥挳㠲搷戸㕡㔷晢扡慥敤㠱㠲ㅣ敤摦挰㠲㝦攳〶晡㌶敥㑤攰㡤户㈰㡡ㅢ昷㌶㌴㝡攳㝡愱㕣㜴戴摦〸ち㘹摣扢㔸昰ㅡ户愹慢晤愷愶慤摤〶㠵昵扥扣收㥦㉥㙣㠲ㅢㄱ捤㔶㡥㕦㘰ㅥ㡤敦昸づ㘹挶㘵昲㝡㝣㌶昹㍤搴愳晡㔱㈰㠶昹扥搶㠴晡〱㡥戶㡥搷戲昵扣㉡㈵㐶㑡㙡㌰㑡㙣愲昹〱搵㍢㌸㌶昳㐳㉣戸㉢㔶扦㤳愳戵晤㜹攱搸攵扦ぢ㑡攲晦ㄱ搵扢㍡㌶昳㘳㉣㜸晥㘱㐷㙢晢昳摡慥换㍦㡥㤲昸㝦㐲㜵搲戱㤹㥦㘲挱昳㑦㍢㕡摢㥦㤷㘵㕤晥㈳㔰ㄲ晦捦愸ㅥ改搸捣㝦㘱挱昳ㅦ攵㘸㙤㝦㕥㌹㜵昹㡦㐳㐹晣㍦愷㝡㠲㘳㌳扦挰㠲攷㍦挹搱摡晥扣戸改昲㥦㡡㤲昸㝦㐹昵㜴挷㘶㝥㠵〵捦㝦㙦㐷㙢晢昳晡愳换㝦㌶㑡攲晦㌵搵晢㌸㌶昳ㅢ㉣㜸晥晢㍡㕡摢㥦㤷づ㕤晥〷愲㈴晥摦㔲摤攸搸捣敦戰攰昹㘷ㅣ慤敤捦㌳㝢捦扦㍥愷㤷ㄴ捦搶㈵摡昷㔴捦㜳㙣收て㔸昰愲昱愴扣换㝦㝥㔱愹㔹㉦愹㌶㤴㈴摡扦愹㍥捣戱㤹㍦㘲挱㡢搶攱㘸敤戶㜵敡㈵戵ㄸ㈵昱晦㠹敡愵㡥捤晣ㄹぢ㥥晦ㄱ㡥搶昶㍦㔲㉦愹㘵㈸㠹晦㉦㔴ㅦ敤搸捣㕦戱攰昹ㅦ敢㘸㙤㝦㥥㙤㝡敢愶㑥㐴㐹晣㝦愳晡㘴挷㘶攲晢っ㕤晥㉢㜴㡦晡㔳昵㤲㍡〳㈵昱㔷昰㔰㘷戹晥搵扡晦㌹扡㐷晤㑡扤愴捥㜳晤扢搱晦〲搷扦㐶昷扦㔰昷愸扦㐸㉦愹㑢㕤晦㕡晡㕦敥晡ㅢ扡晦ㄵ扡㐷㍤捦愰扡搶晦ㅡ搷扦㍢晤慦㜵晤敢㜴晦㔵扡㐷晤昵㝡㐹摤攴晡㥢昴扦搹昵て攸晥户敡ㅥ昵户改㈵㜵愷敢摦㠳晥㜷扢晥㍤㜵晦㝢㜴㡦晡㌵㝡㐹摤敦晡昷愲晦〳慥㝦㙦摤晦㈱摤愳㥥㐷晦慥昵晦㥢敢㕦㑦晦㐷㕤晦愰敥晦戸敥㔱晦㠴㕥㔲㑦戹晥ㅢ搱晦ㄹ搷㝦㘳摤晦㌹摤愳晥㜹扤愴㕥㜲晤㌷愱晦㉢慥㝦ㅦ摤晦㌵摤愳晥㜵扤愴摥㜴晤㌷愵晦摢慥晦㘶扡晦扢扡㐷㍤㡦㕣㕤敢㉦㠷ㄴㅥ㑤㌶㠷㠷㍢〵㜹㘸㤱㐷ㄸ㕢㐰㙢㙥〹搱慢户晡挰つ扥㤵づ攵㔱㐴愰㝤〹摤摡㠶㝥攴ぢ攵〱㐳愰摢ㄲ摡捦㠶㝥攲ぢ晤搴㠵づ㈰㜴愰つ㤵攱㥦㙤摤づ㘵㜷ち昲㌰㈰㔱〷ㄱ㍡搸㠶㝥敥ㅢ㤵㈳扥㐰㜷㈰㜴㐷ㅢ晡愵ぢ摤〹㘵㜷ち㜲㜰ㄷ攸捥㠴づ戱愱㕦扢搰㈲戲扥㜱愱扢㄰㍡捣㠶捡㔰㡤㘸挵扣㜲挸㤶愸㈱㐲挳㌶昴㝢摦愸ㅣ㡦〵ㅡ㈵㌴㘶㐳晦敤㐲㡢摡捡挱㔶愰〹㐲㤳㌶昴㈷㕦攸捦㉥㌴㑤攸㜰ㅢ㉡㐳㈷摢㕡ㄴ㤵㐳愸㐴摤㥤搰ㄱ㌶㔴㐶㐹㐲昷㐰搹㥤㠲ㅣ㉤〵㍡㤲搰〶ㅢ㉡〳㈲愱㐵㘴㜱㘰ㄴ攸㘸㐲挷搸㔰ㄹ晢〸㉤㙡〰挷㐰㠱㡥㈳㜴扣つ㤵㘱慥っ捡攱㑥愰ㄳ〹㥤㘴㐳㘵㐴㉢㠳㜲㘴ㄳ攸㘴㐲愷搸㔰ㄳ晦㜱㥦㌰愷㘲挱㥤㠲ㅣ挴〴㍡つぢ收㜴〸散〵㌲㑥ㄱ㕡戴ㄷ㜰扣ㄲ攸摥㠴捥戰愱㌲㈴ㄱ㕡戴㕡ㅣ㥡〴㍡㡢搰搹㌶㔴㐶ㅦ㐲㡢挸攲㈸㈴搰㝤〸㥤㙢㐳㘵愰㈹㙢〰〷ㅣ㠱敥㐷攸晥㌶㔴挶ㄴ㐲て㐰搹㥤㠲ㅣ㕢〴㝡㈰愱〷搹㔰ㄹ㍥〸㙤搴愱ㅣ㐶〴㝡㌰愱ㄹ㠱〶摤㈶㉡づづ昲㘰昳㤲敦散〷㥢〲捤㐱慢㌸㘴㠸改㈲挷㌴ㅡ戱敢昰ㄱ〱㤷㌵挵攱㐲㄰ㄷ敡捥〵㍡㜳㄰ㄱ搳〵挵捥㡡攳㠶ㄸ捥搷㝤㥡攸挳搱㐴㑣扦㉦昱攱〰㈲㠶㜳换㝣㌸慣㠸㘹㘵戱㑦搰ㅤ㕦ㄴ㠷ㄴ㐱㥣愳㍢户㐲慢㌸搰㠸改慣㘲㘷挵戱㐵っ㘷敡㍥㠷搱㠷㈳㡥㤸㑥㉦昶〹扡ㅤ㐴㜱戴ㄱ挴㘹扡㜳㈷㥤㌹〶㠹㘹㐵戱戳攲戰㈳㠶㔳㜴ㅦ搹っㅣ㡣挴㜴㔲㠹て挷ㅦ㌱㥣愸晢ㅣづ慤攲愸㈴愶攳㑢㝣㌸㄰㠹攱戸㌲ㅦづ㑦㘲㍡戶挴㠷㈳㤲ㄸ㡥搱㝤㤶㐱慢㤲慥㘹㜹㠹て㠷㈶昱㔹愶晢ㅣ㐳㥦攱慥改愸ㄲㅦ㡥㔱攲㜳㘴㤹て㐷㉥㌱ㅤ㔱散ㄳ攴㄰挶ㅥ摢㉢愸㌸㙥〹收㜰摤晤㐴㘸ㄵ㐷㌳㌱㉤㈹㜶㔷ㅣ挰挴戰㔸昷ㄱ摡挷戸愶㠵㈵㍥ㅣ挹挴愷㔳昷㤱捤换昱㑤㑣敤㈵㍥ㅣ搲挴㜰㔸㤹捦㈴搷戴愰挴㠷㘳㥢昸戴改㍥㘷㐳慢㌸攲㠹愹愵搸㈷挸愱捦愱㠳攳㥤㘰㥡㜵昷㜳改捥㔱㔰㑣㠷ㄶ扢㉢づ㝣㘲㘸搲㝤㘴摦攴㜰㈸愶㐳㑡㝣㘶戹㠶㠲敥㈳捤攴戸㈸㍥昹ㄲㅦづ㠵㘲挸改㍥㐲㍢〷㐸㌱㘵㑡㝣㌸㈶㡡攱㘰摤㐷挶ㅡ㡥㤴㘲㍡愸搸㈷挸㈱搳愱㠳攳愴㘰づ搴摤慦㠴㔶㜱昴ㄴ搳晥㈵敥ㅣ㐶ㅤ㜷㡥㥤㠲搹㑦㜷扦㠶敥ㅣ㔱挵㌴户搸㕤㜱㝤㜸㔹ㄱ㔰㙣愵扤㐴㉥敤㈵づ㐰昶ㄲ㠷ㄵ㝢㠹㥤挸㕥攲㕥㙣㉦㜱㍦戳㤷戸昷搸㑢散搴昶ㄲ㜹戶㤷戸㘵敤㈵慥㤴扤挴昶挹㔲㡦晦〷㡢ち㜵づ</t>
    <phoneticPr fontId="10" type="noConversion"/>
  </si>
  <si>
    <t>CB_Block_7.0.0.0:1</t>
    <phoneticPr fontId="10" type="noConversion"/>
  </si>
  <si>
    <t>㜸〱敤扤㜷㥣ㄴ㔵搶㍥㍥㜷㘰㡡愹㠶愱㕢挰㥣〰㐱㐱㜰散㍣摤〸ㄲ㐵㐰㄰〴捣〱㍢挲挸〴㥣ㄹ㄰㤴㔵捣㌹㘲ㄶ㐱挵慣㙢㐰搷㌵㘰捥㡡㘱搵昵㌵慤㠱ㄵ㕤㕤㕦搷㜵捤昱昷㍣愷㙥㔵㔷㜷㔷て攸扢㝥㝥晥昱㉤愶て㜵捦㝤敥戹昷㍥㌷㔶搵改敡㉡㔵㔵㔵昵㌳づ晥捦愳㉢㑦戶㥡戱愸扤㈳搷㕣㍦戶戵愹㈹㤷改㘸㙣㙤㘹慦ㅦ摤搶㤶㕡㌴戹戱扤愳ぢ〰挶慣㐶挴户搷捣㙡㙦㍣㌲㔷㍢㙢㐱慥慤ㅤ愰㥡慡慡摡㕡戳ㅡ昱㥢敢㑦挰づ㤸㑣㘵㜶愵〰慡捡㌴㈸扡㔱搴㔲㤸ㄴ㍥㡡敥ㄴ㍤㈸敡㈸㝡㔲昸㈹〲ㄴㅢ㔱昴愲攸㑤搱㠷㘲㘳㡡㑤㈸㌶愵搸㡣㠲昹㥢㕢㔰㙣〹搱㘳㉢㠸㤹㘳挷㑣㑤ㅦ㠶摡捣攸㘸㙤换つ敤扢㡦㔵收ㄱ愱㔰㝤愸㍥ㅣ㐹㠶敡㠳㐳晢㡥㥤摦搴㌱扦㉤㌷愲㈵㌷扦愳㉤搵㌴戴敦戴昹改愶挶捣ㅥ戹㐵㌳㕢攷收㕡㐶攴搲挱㐸㍡ㄵ㑤㠴愲戱㔸㍥㤹㑣昴搸ㅡ㤶昷ㅣ㍢㘶㕡㕢㉥摦晥摦戲戹つ㙤㑥ㅤ㍢愶㝥捦㕣挷㝦换收戶戰〹㤳攳㕡㥢㔳㡤㉤晦㈵愳㌵㙣搳搸戸㕣愶㤱㡤㥦换戵㌵戶捣慥㐷戱㡢㠸㐶愸愱㝥㜴㝢晢晣收㜹散㐷㘳㜳㑤㑤搳㜳㜹㘹昴收㜱敤ㅤ搳㔲㙤捤敤㍤㥡挹㕦慥㉤搷㤲挹戵昷㙣摥㙤㘱㈶搷愴㠱敤戵捤晢愴摡昶㑣㌵攷扡昲挴摦㙣戵攱挴㙣慥愵愳戱㘳㔱㕤昳摥敤戹改愹㤶搹㌹㐲㙡㥡㜷㥦摦㤸㔵㕤扢攲慦慡换づ㕥㈵㤳㠶㐲㜹㥡挷捥㐹戵㜵㐸㠸㑤ㄸ昲挲扡扡㡢搴愲愸㕣散㔲㝤㑢㔲戱捤㘶㌴㌶敦㤱㙢㙢挹㌵㌱ㄳ戶攴㤰ㄲ㤰㄰㘴戵㠳挳㤴㕤ㅤ戶㤲敡慥〷ㅦ敢挲㕣㡣扥㄰㐳昷㙣㙤㙢㐶㠷㥣㤲㑢戵㡣〸搶㈷㘲㐳㘷㜴㘴挷攵ㄶ攰㍣ㄸ㡡ㄷㅦㄱ戳ㅦ㔲㤸晤㤹㜶㍢㠸㥥敤㡤捤昳㥢㔲愴㝦㔸㍣㌸捣ㅣ挰搸㠱㄰慡敢ㅢㄸ昹敥晣㌸晡慡㘷愵慡㘷愵慢㘷㘵慡㘷㘵慢㘷攵慡㘷攵慢㘷捤慥㥥㌵愷㝡㔶㘳昵慣挳慡㘷捤〵挶㍥㙡扢㜵慢搶挷㥥扢㍦㕤㜷摣愴㘳昶戸㜹㘲㡦㠳挶ㅥ扥摦㠱㡡㠳㕤收㡡ㅤ㜰㌲搸㕤晥㔰㌰㘸ㄷ㍦㔲ㅦ㈹㍥㘲收㈰挰捤挱㄰挶㡥㄰敥挲㈷愳挳捣㈱㡣ㅤち愱搴换㈸㍣㉢搰敢㙦㜳扡摤晢昴敥愳㑥㕦昷昲㥣㙦㕦㍢㙡戰攲っ㈳㌹搷攳㘴昰捣戶㐶㜴㄰㄰搰㌶㜴㑡㘳换㠸〶㘴㍥戹㜱㙥慥愹㌱搷摥㌱㈲㠱搰㤴搴挲ㄱ㈸㔲搰摣㤹戶㠳㄰㐶〸愲敢攸〹㤱愸ㄹ愶㉥〲愱搴ㅡ㥤摦攱㥢㙥㜱敥挵慢愶㡣戹㝤昲攲㍦㝦㝦昱戴㜳ㄴ㈷㌳挹㉦㠶㤳㈱敥㥡〶敢㐳㜶㑤㍤ㅡ㉡㙥挶㘹扤〱挲㐸㐰ㄴ搵㌵㌲捣㑣㌲㜶ㄸ㠴㔲㡦敢扣㑦扥㘰㘸愴昱㡢慢㈶摣戱戶收挴㥢㔶㝣昲㑣つ攷搰㠸㔷ㄷ㉢敤扤攳㌱敢㘵㔲敤ㅤ㝡㘰㌱摤㝦㜷摣慤㝦搸㡤㙦换晣昶挳づ㤹晣㔷㠶㥤㌹㥣散㡦㠰㌰㜶㈵㔷搳㜳㠷㜷戴昷㥤㥥㕢搰㤸㍢挲ㅣ挹戸㔱㄰㑡㍤愸㕢收愵敤挳晤晦扤晦昱㘳㑦㥢搷攵昳㈵摢搶晤㑢㜱㡥㈳换收ㄸ㡡戱㄰挶㌸㠸敥㘳㕢戳㌹摢捥㙥㡣ㅡて愱搴㍤摡捥搴挷㈷㍦晤挶〵㥦㡣扦攰攴愷づ㌱㠷㝥㌲㑡㜱㙤㤴摥㌵〱㈷扦愰㌷㑦愴敤㐹㄰挶ㅥ㄰攸捤搱戸㌹㤹扡㈹㄰㑡慤搲昹慤㠸ㅣㄷ摦㝢㝥昳攴攳捦㍤晢摦㜷㍥戴搶㔰㕣㠶㈵扦愹㌸ㄹ攴敥捤ㄱ㘷搸㠶敡㡢愷㥣㜸㠳㌹㡤愶昷㠲㌰愶㐳戸扢㜲㉣㌱捣㥣挱搸㤹㄰㑡摤愴㌳㙥扦散搵ぢ〷捥慤㥢㝣挷攴扡㌹慦㍦㝣搹㐳慡㍢愲㠵戰㝤〸摥ㄷ挲搸㡦㘷㝢户㌴㜶昴㥤㠹搱㙡敥捦攰〱㄰㑡㕤愳慤㝣户搱㐳㐷㕤戰昱戸㍤慦㔹戰㙦昳㔱㝦昸㘲㙢挵扤㠳ㄴ晦㈰㥣ㄴㄵ㍦搴㔹昱て愶改㐳㈰㡣㔹㄰敥攲挷㌱ㄲて㘵㙣ち㐲愹攵㍡攳挹㥢扣昳㠷搱㐳㌷ㅥ㝦挲扥晤慦㌸昵戹㠷㌷㔵摣慦㐸挶ㄹ㥣晣㠲㜶捡搲㜶づ挲挸㐳愰㥤挲㔱㜳㌶㜵㜳㈰㤴扡㐸攷昷攵搳㉢收づて㝥㍤攱挴㥢戶摢愱换敡㤷㝥㔶摣ㅡ㐹㝥㠷攱愴㘴㝤〸㜵戶㍥挴捤戹㌴摦〴㘱㌴㐳戸㉢㥢㑣づ㌳㕢ㄸ摢ち愱搴㌹㍡昳㥥ㄷ㕤昹攰愰㥢㕦㥤扡昴慣户㌶晦攰戳挷㈶㈹㙥挹㈴昳挳㜱昲ぢ㉡摢㐶摢敤㄰㐶〷〴㉡ㅢ㑢㤸昳愹㕢〰愱搴愹㍡扦㔷昶㌹戰晡挷愵搷敤㜹挹捤㝦昸晥昰戵㍤户㔱摣晤㐹㝥ぢ㜱㤲㉣㤹搲挳搱㜸捣㌵愷㠷㤳㝡㔲挷捡ㄲ慤㑦扡㡥㤸戹㠸㜹ㅤ〹㘱ㅣ〵挱㐱ㄱ㌶ㄷ㔳昷〷〸愵㡥搳昹㙦㝣敡㔱搷摣昱捡捡㐹㉢户㌹㜳搵㐱㑦昶扢㕡㜱攳㈹昹ㅦ㠳㤳ㄲ戲攳㠹㑥收昸㠸戹〴㈹捣㘳㈱㡣攳㈰晣慥挵㌸ㄴって㌳㡦㘷昴〹㄰㑡ㅤ愵㜳㙦晣散晤㕢㑥㘹㝤㝦搲昵㈷搶晤晣挱愱ㅦ㝦愳戸攳㤵㤱㜱ㄲ挱㈷㐳ㄸ愷㐰昸㐷㘷㌲戹㜹ㅤ㈹㙣㥢慣昱㜱㉡愳㑦㠳㔰㙡扥戶㌵攷昲昷㕢户ㄹ昰搱㠴㤵㜳ㅦ晦扡搷㤲㜳ㄷ㈸㙥㥣愵㈶㘷攰愴扥㠴挹㄰㔶㐷昷昲ㄸ㐶搰㕡㈰挳ㄱ慥㤰㘷㌲㠳戳㈰㡣戳㈱㐰㕦㍣㘸㥥㐳摤戹㄰㑡戵攸㑣て㤹昳攲㘳㥦㉥昴㡤晢攳㔱摢ㅤ㜵攷捥ㅦㅣ愶戸㔱㤷㑣㤷攲愴㘸㉦㄰㡥ㄴ挸㉢摥〹㐴㈲㈱昳㝣摡扥〰挲戸㄰挲摤㔱ㄳ㤸㔴㉥㘲散挵㄰㑡捤搶㌹晦晣挹㡡挱㙦敥昶晡攴晢晡昷晡㌴扤㐳捤㜷㡡㔷〷㤲昳愵㌸昹〵ㅤ昵㌲摡㕥〶㘱㕣づ挱㡥ㅡ㌶㤷㔳户〲㐲愹㐳㜵㝥㌳搵攲ㄱつ愷扦㌱昹晥摥㜳戶㕡晤搱捥昳搵㈶㠸㤶晣慥挴挹晦愱愳㕥挵扣㔶㐲ㄸ㔷㐳㈰晦㐸摣扣㠶扡㙢㈱㤴摡㕦攷摦昱挱㜳户捦㥦㍡㝣挲摤ㄷ㕣ㅣ㝥敤㠳愳慢ㄵ慦㠱愴慢㕣㑦昰つ㄰挶㡤㄰㝡㤳㘷㜵㤳㥢ㄸ㜵㌳㠴㔲㌳戴㥤ㅢ扡敦扤愲慡㜵挹愴换㕦㝡晤㡣㤵〳㙢晦慣㌶㐳戴搸戹㠵攰㕢㈱㡣摢㈰敡挶攵摡ㅢ㘷户搸敢搷敤㡣㕣〵愱搴ㄴ㙤改慢敦㍦慡㝢晣戶扢㈷㉥㥦晢攰㝤敦㥣扦㙣ㄷ挵㙢㌱㘱攴㑥㥣㤴㌲ㄲ㑤㘲㔱㈹㙣挷㘲昶㝥っ换㑢戲㘸攸㠶捣㍦㌱慦扢㈰㡣㍦㐳戰㐵愲收摤搴摤〳愱搴㜸㥤晦㥥㐳扦づ慦ㅡ㜴捤昸戳晦攲ㅦ扦搹㤳攳愶愸㉤㄰㉤昹摦㠷㤳㤲愱ㅢ改㘴㥥㙣㠸㤸慢㘹晥㝥〸攳〱〸㜷昷㡢㠵㠶㤹て㌲昶㈱〸愵㐶敡捣搷㑣摢㜹昶户㤹㜷愶摥扦散昱昶搷搷㙤戵㤵攲攵愷搰昸〸挱㡦㐲ㄸ㡦㐱〴㈶戶㜴攴㘶户挹㥥摣㙡㤳挷ㄹ晦〴㠴㔲㐹㙤㙣扦㍢扥㝥晢愲慦㍥㥢㜴昷㜷搷晦㑦攳搶㑢晦搵攳㈹㐴敦愵慦づ挶戵愵㡥挰昵㔶攱㔲㉥㕣㡦ㅤ收㠶㕣挳攲ㄲ㌶ㅦ换㌷攴㐳愱㙣㉣㤸㡡愴㙡㜸戵戰愱ㄷ㑢㥣㠷㝢攴昷㙤㙣挹戶ㅥ㈱㔷㑦㕢㡤㐹戵攷ち扢扡㈱㍡㙥㑣敢晣㤶㙣晢㤶摥㤱㌳㍡㔲ㅤ戹㉤㑡攳ち㐶捡㤲捤挰戵㘵慥㕤昲摢愶㌴搹㍥愹愶昹戹搱ぢㅢ慤攸慤㑢愲㜱㘵搹㥡慥ㅣ㍢扥㉤㜷戸ㄳ㕢㔶愲搱戸昵戱㐰㙣㤷搵搲㡡戲捡搵㜷散㥣搶昶㕣㡢ㄴ㙦㐸昳戴挶捣摣㕣摢㡣ㅣ㙦㥣攴戲㔲搵㡤ㄹ愵㉦㙦㠷㑣㙤㐱㐵㜱挱㥡敤敦搶收㜷㕢搸㤱㙢挹收戲㈸敦扣㕣㕢挷愲㤹愹㜴㔳㙥㤳㈲㠸㤵㈷㈲㌶㉦㔲㡦㙦捤捣㙦ㅦ摢摡搲搱搶摡㔴ㅣ㌳㍡扢㠰㙢㐳㜶ち㜶㥣戸㈲敥捡愳㑡㔵㜵改愲㔴搵㡥㕥搷っ戴摢㕥㉦つ攱㙡攲慤搱收㥢ㄵ㜷扢晡改愸ㅤ㙡搱㤴㘳㥦慣ㅥ戰ㅥ㘳㘲㤷㘶〶㔷〶扡敡挴扢㑣㐴て慡㡣㤶㌲㍡㉤昷摢㠲慢慢㝢敢摡敦戶〰户ㅤ㈶愴㕡戲㑤戹戶㑥敦㤱㈹㤶挸㝣ㅡ愲㈶㡥搱㕣㤱扤慥㐰愸㠵㙡㔱捤ㄱ㡤搹㡥㌹挶㥣㕣攳散㌹摣ㄸ攱㍥㕡㙤㉤愹㉤㍢捣㘷愱㌲搷㔰㍣〷攱昳㔵ㄹ捦ㄳ㘴昸捣ㄷ慣㜰㑤㝦晣晦换㙦㘸㔴㈳㤵㈹㌷㔰㜰户慢扤愶ㄹ搷㡢敤㕤扡㜸搵㜲㐲慡㝤㑥〷扢㘷攷㤱戴昷㈲挵㕦㈰㙡〶㐰慣昷㝥㠹ㅦ愰慥扣㉤㔴搷㍣㉥㤷㑦攱㘶㥣㡣㙥㤵慡㘹戶敥敦㘰昵挹㤸扣ㄱ㌴ㄱ㘳㘵愱㠱㌳っ晥ㅥ捤散晤戹㠵ㅤ攳㔲ㅤ愹㙥捤戸愵㠴㔶㌲〱ㅡ㈲愹慣㌳愶慣ㄳ㥤㥤摡愷㐳戰㄰㤰㔳㤷㤵敥愲戰㉣㘱攰㘰扣㔴㜵搱戲昳㑡愰散摢愰ㄲ㐶㘹㐷㉦扥㌵㠴㍢㔶搹摤㜳㉤㌳ㄷ捤换戵ㄳ㕥㙢㜴㑡㘵改昰愲戱愹㤹昴摥ㅤ㡤㑤敤昵㈸改敥㙤慤昳攷晤㌷敤搰㤶昹ㄲ㠴㝤搴散㠴㕥扣攱㜵〲㕤㔵摤ㄶ戰㙤㘶捤慡慡愵㌵㙡㡣㔷㈰摣㡢㈸㙦㐶戱昳挲昶捦昸㑦づ昳㔵晣攷㌳〹慤㄰㔷㌳㄰㜱扦攴慥㕡つ昰㍤㥡㐱搸捣戶㥣摣㈷慣㤵〰挸慦㙢摥户戵㙤㙥扡戵㜵㉥扢㔷㑦〹戵捦挹攵㍡㜸敦慤扢扥搷㈸昷ㄴ㤵敡搲愵攸㐶㤹敢㈶摤戶戰㙦扣〱㔱㌷扡愹愹慦㙤戱摤㜸ㄳ慡㉥戸ぢ㘸扣㠵㤳晤晢㑤摢㙤晡捣㔹扢㉤㑣㌵捦㙢捡敤戴搷晣㔴ㄳ敥㕦敥㌴㜵㕥挷㙥敤㝤ㄷ〴愳㝤〷㠵㘳挱㘸㌸㤸㙢ㅦ扣敥㤶搳晦戱攴搸㜵㜷㥦戲敥散㜳㍦㕡㜲散㠷㌷摦晣晥摤㑢㍥㍣昵㤴て㔶㥣戳敥㤶扢搶㥤㜸昳扡搵㘷㝦戰晡晣て慦扥户㝥㘱㔳晢㐲戵ㅤ攸攳㝤戰㔵ㄳ扡敦㜵摢㜳㑢㐷摤戶搳慢攳㠶晣㜱捥㉣搵㕦㐷㤴摤㥡ㅢ㠴〲㜱搵㌷摦㠱㔰㝤〱攳㉣㠵昳攲挳㝣て㘱㜳㉤挵摦㈱㌰搷㐸㤳㘰慡㔹㘷〵搵㘰晣捦改挶晣㠰攲㐳〸㌵〴㠲㠳摤晣〷㠴㝤愸㑤㘱㥦㝤㐸晡挱挷㔰扢晢〱敦敢㤵昵㠳㑦〰昲㤹㠴㔶㠸㔳㐳ㄱ挷扥㘰㤲㝢㤳㙣㥢㘴㕡搵㈱ㅦ㑦㍥㝡攸㠸戲ㅢ㠶㍢㈳㤹昰昱㈵搳晢〰昳收攳㙢收昱つ挵户㄰㉥㍥扥户㠲㉡㠸晦㠵㡦ㅦ〸晡ㄱ㐲㠵㈱㠴㡦㥦㜰㘲ㅦ㑡㈱て㥢て㌳〴㜵㜹㈵慢挱㤵慦戳㌸ㄵ㐱㍡㉦〲扥晥愹〲〱㕦改㠸戲㍢㤸㜱㔸ㄲ〲扡㈳㔳昵〵㘰摥〴搴㈱摡散㐹攱㠷㜰ㄱ戰㤱ㄵ㔴つ㌰㈴〴昴㈲愸㌷㠴㑡㐲㈵〴昴㐱挸㍥搴㍦㤱㠷㑤㠰戱〹㘲㡡㍡〴㙥戹㤴㜵㠸捤〰昲㤹㠴㔶㠸㔳挳㘰摤㡢㡦昷㉡昱昱慥㡥㈸扢慢㍡ㅣ㤶㍡搹ㄲㄷ摤挸散〳㙣搱㤶戸㐷㝥㝣㘳㔳㐷慥㑤㜶㍤晥㍣晥戳㥥㤰㐸戸㡥㍢扤戶㔴挶㝡昶搰㈷㍦ㄶ㥢㍤㍣㤲改㔸㔴搸晥㤶㙤㌶慤扤搸晦摢㔲晦敥戶搴戲愱㉥摡㔶㜷戲㘵㐵愷㈹搹㔴㜷づ㜶㜵㈲敥㈶㍤㔷㍣改㔲昵戰㕣摣挹㠸㉦㕤慤攵戹㤳㠳㜷㜷㐲愲㠳㤵户摡散散攵㥤㤴㠹㉡㙥㙢晦摦㐵㠱搷㠳㜳敢愲愰ㅦ㈷戰晥ㄴ摢㔱っ愰ㄸ〸愱摥搰戳㙥〲捣搶攰㌳ㅦ㌷㉤づ慣挶㠹戹〳㌱㠳㈸〶㐳戸㘶摤㈱〸ㅡ㐳㈱晣昶搳㥤扥㔶ㄷ昳㈹㌵〲㈹㘵㈶摥㠹〹敢㈱㝡散っ戱攷㠴㕣ㄳ㉥㌰晦㕢て慢㙢㐶㈲㥢捥户挴攸㍦扣㝦戹㐹昳㡣㐵㉤㤹㌹㙤慤㉤㜰ㄹ攰㑥㥤㌷㉦摢摢㔵捡㘸㥥摣㍡㜶㝥㠷搱㍣愱ㄱ晦昵㘸㥥㥥㥢㤷㑢㜵㡣挵つ〴㕣〶㑣挶ㄳ㉢搹攴㑦捣㉥晣晦昳㈲愰慡㉢慡㔰愵㐰愰㝤ㅤ愰㑡㐷慦戵ㅤ搷昴搶㡦㙢㠵攷㐰㑥㥣㈶㐸扢㘱攰㠲敥㜷戸换挷昳㑥㤴㙥挵扦㙦摣㘵攰攵户晥慣晦㍦〶㥢ㄳ㌹捣㕤㔱改昲搵㌶㠲㈴扥捥攲搴㈸愴㜳㔶㘲㈳㐱摡搰つ慣敤搹ㄳ㤵㔶攳挷㜵㐴搹㤳戴㌱戰挶ㄵ搹ㅣづ㐳收〸㡡㕤㈹㐶㔲㡣㠲㔰て敡戱挳晢攳㉤昸ㄴ挶捥ㄸ㘲挶㔲㡣㠳㜰㡤㥤昱搴㜱散㘰慣㡣㐵ㄲㄹ㉢ㄳ愸㥣〸愱㜶㠳㡡㝤ㅢ㡦搰㄰慣㐸搰㌸㈲捡戶㉡㔳㘸搶散㈴㑥㡤㐷㍡㠷㈰㤳〴㔹攴摣㕣㠹㥣㥢㜴㐴搹攳挱㠹戰搴㡦愵搸〷㐶搴つ㥡〸㈸㡡て㜳㍦收戱㍦挵〱㄰㉥㈲づ戲㠲㙡ㄲㄲ〸〹〷ㄳ㜴〸㠴㥡っ㤵㙣摤㘶㈱㘴ㅦ敡ち攴攱㙣摤㔲㠸攱摤改㘴㌹ぢㄹ㐴昹㑣〲㉡挴愹㈹戰㔹㘰愱戰㠳扦戰ㄲぢㄷ攸㠸戲㠷㤶搳㘰愹ㅦ㍥㘶ㄳ戲㔳㑢㉢戲搰挲搲戴㔲捣㠳㜰戱搰㘶〵搵㕥㌰㈲㉣戴ㄳ搴〱愱㘶㐰㈵㉣捣㐷挸㍥搴㘹㙥ㄶ㡥㐰㡣㝢〳换㐷㥥㘵扤㘲ㄱ㐰㍥㤳搰ち㜱㙡㈶慣㝢昱戱愴ㄲㅦ挷攸㠸戲㘷愹晢挰㤲っ㤹攳㤸摤昱ㄴ㈷㔰㥣㐸㜱ㄲ㠴㕡愴㌹㉡ㅦ㌲愷㄰㜳㉡挵㘹㄰㉥㡥捥愰㑥て㤹㝤㤱㠱昰㜴ㄶ㤵㘷㐳愸晤愱戲㠶捣㌹〸㔶ㅣ㌲晢〱㔶㑥挰㔲㈴昱㤹㥤挴愹〳㤰慥㐰㑥㘱挸攴㉢㤱㤳搳ㄱ㘵㡦㠸て㠶愵㝥㉣挵㌲ㄶ㍢愳㠹㠰愲昸㌰㤷㈳摡㕣㐱㜱〵㠴㡢㠸慢慣愰㍡〴〹㠴㠴㤵〴㕤つ愱づ㠵㑡㍡换㌵〸搹㠷㍡〰㜹㌸㐳收㍡挴戸㍢ぢㅦ㌰㤷㜵㤶ㅢ〰昲㤹㠴㔶㠸㔳㈹㔸㉦昰㔱ㄸ㍣搳㉡昱㌱㔵㐷㤴㍤戹捥挲㔲㍦㝣捣㔵挸㑥㑤愹挸挷㥤㉣捤㥦㈸敥㠲㜰昱㜱户ㄵ㔴㌹ㄸㄱ㍥敥㈱攸㕥〸㌵ㅢ㉡攱攳㍥㠴散㐳㡤㜳昱㘱收愱㉥慦攴㠳戴搹㔹㥣㥡㠳㜴㕥〴っ慢㐴㐰㔲㐷㤴㍤㑡攷昳昰㝥㉣挵㔳㉣㜲㐳㐵〲㥥㐱戴昹㉣挵ㅡ〸ㄷ〱捦㕢㐱搵〴㈳㐲挰ぢ〴扤〸愱戸ㅣ〹〱㝦㐱挸㍥㔴扤㡢〰攳㘵挴戸㍢〴ㅦ挲㤷㜵㠸扦〲攴㌳〹慤㄰愷㕡㘱摤㡢㡦〱㤵昸搸㑥㐷㤴㍤摤㙦㠳愵㝥昸㤸㙦㈳㍢搵慦㈲ㅦ敦戲㌴敦㔱慣㠵㜰昱昱扥ㄵ㔴敤㌰㈲㝣慣㈳攸〳〸㌵ㅦ㉡攱攳㐳㠴散㐳㙤收收攳㈳挴㘰㑤㠹㝡慣㈹晦㐴㤴捦㈴愰㥣〵㠹㔳ぢ㘰搳㡢㠵㥥㤵㔸愸搳ㄱ㘵㍥〷㡢㘰愹ㅦ㍥收ㄷ挸㑥㜵慦挸挲㔷㉣捤搷ㄴ摦㐰戸㔸昸捥ち慡㈳㘱㐴㔸昸㥥愰ㅦ㈰搴㘲愸㠴㠵ㅦㄱ戲て㔵敤㘶攱㘷挴㜰㘵㡤㤵搷㔴㔵㤳〵〲㉡挴愹㍦挰愶ㄷぢ摦晣㔸攱搶搰搷㍡愲捣昳㘱〹㉣昵挳挷昴㈱㔳昵㈵㘰摥户㠶㝡㈰摡慣愳攸挹搲ㄵ敥ㄵ搲〷ㄸ㐱㜵㉣㡣昴愷愱㡤〸敡〵愱㡥㐷㔰㔸攸㡤㤰㝤愸㑦㤰㠷㌳㔹㙥㡣㤸㌲㥦㠹戲挱戱㈹㔰㍥㤳搸㜲㐲㈴㑥㥤〰昳㕥㠴慣慤㐴挸㝢㍡愲捣ㄹ㠳ぢ愶㉣慤㝤㤹㕤㍦㡡晥ㄴ摢㔱っ㠰㔰㙦㙡㤲㠸攴挱摤攸㍥㠸愸㌲户㈷㘶〷㡡㐱㄰㉥㤲㜶愴㑥㉦慤㈷〳搹㥦攸愱㔴敥〴愱㑥㐵搰㕡㕡敢ㄱ慣戸戴㥥挲㔴㘵攴㠴㤰挴㘷㜶ㄲ愷㑥㐳扡〲㌹㠵愵昵愹㑡攴㍣愹㈳捡扣㑢攸㈰㈲扤㘵ㄸ㡢晤戸㈶〲捡攲挳ㅣ㡥㘸㜳〴挵慥㉣㕤愱户㡣戲㠲敡㉣㈴攸㡦㡦㌹㥡愰㌱㄰敡ㅣ〴愵户㡣㐵挸㍥搴㙡攴攱昴㤶摤㄰㐳捦㠰㘰㌹ぢ扢㈳捡㘷ㄲ㔰㈱㑥㥤ぢ㥢〵ㄶちぢ敡慡㑡㉣摣慥㈳捡摣㕤捥㠷㈵㘱㘱ㅡ戲㔳户㔶㘴㘱㍡㑢㌳㠳㘲㈶㠴㡢〵昶ㄶ㡥㤹ぢ㘰愸㍦㍥收扥〴敤〷愱㉥㐲㔰㔸搸ㅦ㈱晢㔰搷扡㔹攰㕤〳昷㝡㐲㕦㤹戲㕥㜱㌰㐰㍥㤳搰ち㜱敡㘲㔸昷攲㘳㔹㈵㍥㉥搳ㄱ㘵㑥㌸㤷挱㤲昰㤱㐷㜶敡㤲㡡㝣捣㘱㘹ㅡ㈹づ㠳㜰昱搱㘴〵搵㌲ㄸ敡㡦㡦搹㑣㔰ぢ㠴㕡㡥愰昰搱㡡㤰㝤愸㜳摣㝣ㅣ㡥ㄸ慥㈷搱昲㥡戶㈳捡㘷ㄲ㔰㈱㑥慤㠰㑤㉦ㄶ㑥慡挴挲㠹㍡愲捣㌵攸㉡㔸ㄲㄶㄶ㈳㍢㜵㝣㐵ㄶ㡥㘶㘹㡥愱㔸〲攱㘲攱㌸㉢愸㔶挲㔰㝦㝣捣攳〹㍡〱㐲㕤㠳愰戰㜰㈲㐲昶愱㡥㜴戳㜰㌲㘲戸㥥㜸㡣㡤㔳ㄱ攵㌳〹㈸㘷㐱攲搴戵戰改挵挲扣㑡㉣戴敡㠸㌲〷愵敢㘱㐹愶捦昳㤸摤㔲㡡昳㈹㉥愰戸㄰㐲㌵㙡㘶㌸㝤㈲散扡㤸扦㤸㤸㑢㈸㉥㠵㜰㌱戳㡣㍡㍤㝤摥㠰㈴晤昱㌱㤷㔳戹〲㐲搱攱挹㥡㍥慦㐰戰攲昴㜹㈳㔳㤵つ㤴㤵㐸攲㌳㍢㠹㔳㌷㈳㕤㠱㥣挲昴戹㑦㈵㜲昶搶ㄱ㘵㕥㔷户挰㤲㤰㜳㌳换晥㐷㡡㕢㈸㙥愵戸つ㐲㑤㜵㤱㘳〲㕤戸搳戱㡡㤸㍢㈸敥㠴㜰㤱㜳ㄷ㜵㥡㥣㕢㤱愴㍦㍥收摤㔴摥〳愱㙥㐷搰㈲攷㕥〴㉢㤲㜳ㅢ㔳㤵㤱㜳㍦㤲昸捣㑥攲搴㉡愴昳㈲㘷㜸㈵㜲㜶搱ㄱ㘵㡥㘴㜴〰㤳昱昳〴㡢㥤搴㐴㐰㔹㝣㤸㑦㈱摡㝣㥡攲ㄹ㤶慥戰戶慣戱㠲敡㉥㈴攸㡦㡦昹ㅣ㐱捦㐳愸扢ㄱ㤴昱昳〲㐲昶愱㠲挸挳㔹㕢晥㠲ㄸ捥㈲ㅥ晢戱㤷ㄱ攵㌳〹㈸㘷㐸攲搴㍤戰㔹㘰愱戰戶㙣㕦㠹㠵㠱㍡愲捣㥤㙤㌵㉣〹ぢ㙦㈱㍢戵㕤㐵ㄶ摥㘶㘹摥愱㜸ㄷ挲挵挲㕡㉢愸敥㠷愱晥昸㤸㝦㈷攸㝤〸昵㈰㠲挲挲㍡㠴散㐳㙤攱㘶攱㐳挴戸搷ㄶ㍡挲㤵昵㡡㡦〰昲㤹㠴㔶㠸㔳て挱扡ㄷㅦ㠱㑡㝣昸㜵㐴㤹㠷摤㈳戰㈴㐳收㜳㘶昷ㅦ㡡㉦㈸扥愴昸ち㐲㤹㥡愳ㅡ㈰て挲㠷㐳㠶敢〷昶敢挴㝣㑢昱ㅤ㠴㡢愳ㅦ愸搳㐳收㔱㈰晢ㄳ晤ㄳ㤵㍦㐳愸挷ㄱ戴㠶っ㍤ぢ㉢づ㤹挷㤸慡㡣㥣㉥㐸攲㌳㍢㠹㔳㑦㈰㕤㠱㥣挲㝣昲搵てㄵ㌶敦㕦敡㠸㔲㡦挱㥡愷㘱改ㄷ㜸㝡㜵㘷㠱昳晢攰ㅢづ㜴㑤改㤹挷㤷慢挶捥㙦敦㘸ㄵ㍦㥡扡晣戸搶㍤㕢㍢挶㌵戶捦㙢㑡㉤敡㥤搷㈷晢捥挹戵挰换慤つ捥㙥㈵扡搶㜹昳㜲㔹㌳㍦愳㜵㝥㕢㈶㌷㜱摣敦挱ぢづ昵㐳昳㠹〳㕣戵挲昱敢ㅣ扢慡㤰ㄲ扤〵㐷㔵捤戳㌰㔸敡㥦攳㝡搴㔶㜸慡ㅢ〰搰㕦㘰㜴㘶㘳㐷㔳慥㝢㕥攲攵扣㌶てㄶ攱㍡㤸敤㤶㥦㌹〷㡥㉡攳敡昲扢户㌵㘶㥢ㅡ㕢㜲㙣っ㍣㈹收㌷搶㈶攷㘶挳㑤㜰㕡㙢㝢㈳扦捥㔵㤷㥦搹㤶㙡㘹㥦㐷㡦愷捣愲㕥㐵㈱㜹㙡㔲㤳ㅦ搳搸搲㡥㙣愴ㄵ㜹敥捦捦㤸搳㝡〴扥搸㌹扦戹㘵昷搴扣昶摦㐵慢㈸㌶㡢ㅣ搲㌴慡㕡㔵㔷慢摡敡摡㕦摢㍥㐶て㡣戱摥搶㔷㔷晡愲㥦㜶戴㌵愶攷㤳㌰挹㠳ㅥㄹ㕤㈹愴つ慢㙡搶攰慣㤳愷愵㝣㘶慡㥤㌷改㤸挸戲ㄶ㝤㜱捡搳㐷捥昹戶散搶㠰㥢㜵㈸㑥㡦㥥㄰㤳㜶摦㝢㘲挱㘵昷晦昴搵搳ㅡ扡晦㤵㍥㠳㉡敤㜹㡥㠷攴挶〰昷戴扡㄰㜵散㔱ㄸ㤹攸〹っ㤵㜶㑢㕦㕥㌰散愱㍤ぢ愷攳攱㘴搷㈳㍦㌹㤵捥㌵攱㘹㘳㜳慡愳愷ㄵ攰㤳㘳㝣㌵戱㕤挷㡤㙤㙤㙥㑥戱换戱扢捥挸愴㥡㜲戵昹搱昳㍢㕡昱摤㍢㌳て㈱晤㔲慢㔲ぢ愱㑡㉤ㄴ㔵㡦晣㜴晡っ换㌹㙤戵捥㑥戵㌵㜶捣㘹㙥捣搴㌲㐰扦摥摦㐵㕦挵晣搱ㄵ㘴摡㠷㍤㤷㤴㍥〳戵㥥〶愲戹敢昱㐴㤶搴戱昹搱愳慢㤵㠱㝦敡㔷扡㤴㘲收㤱〵挵っ挰㕡つ㤶㈲㤹㡡愴㉣㥦昱㜶㄰㡦捦㡥挱㠹㑣㑥敡〵〴愹㌵㌷〲㥣㈷晣㜴㝤ㄱ愲㔳㝦挳㙥〰昸㈶户愶戲攳攱愷搲摡搶㑤㝦㔵扡ㄶ㑤换愹愶㉤㐰て㔰㝥㡤つ捥捡ぢㅡ戳戹戶㕡㉡㘶攰戹㙥㔷晡㡥ㅡ㔶ㅢ攲㤹㕦㤷慡㥡㥡敥戵㕥㜹㑤戴㙤つ搰㡥㜴敥慦㥡㑦㉣戳晦挹㕥㠹㤱㍢戲㔴㍥㔹愲㝡愱㍡㘶㙦搶改㉦㔰戲㍥㈵㠰㍥〴㙣っ㔱昳ㄲ㈲㑢摢愶搸ㄹㄳ㉥㥢摣㐸㜷㤵㉦ㄹ搳㑤戴ㄶ㉥㤵攲㕦㕡㈳ㄵ挱ㄷ昶ㅣ敦㔲挳㜲〹慤㐵ㅡ㥣㌵户ㅢ㌳搰换㜳㔹㥦㌵扦昲愹㌶㔶㠶慡敡敡慥㘸㙡愳搴㠱愸㉣㕢㥡㤸㤱ㄳ㠷㔱戵つ㡡㘰㙣㠲ㄲ㙦挲挱〲晢昸㙡㝤搱户㜶㑢昷ㄱ㍥㥦戹ㄹ攰㜸㝣昹㉡愴捤〱㥦愸㘹㤲㌶㈷〷㕢㐰愸㜷愰攴㑥挰戵㙥愹昷㄰攴摡㔵㘵㙣〹挸㠶捥㤵㙡㉤㔲㜰扥㌴户愲攱扦攳㡣搳㤰搳㉤户㠱㜶晤摤㜲ㅤ㔳攰㘳㙥㑢㈳㍡愰㍥挰㠹㕤つ㔷㕢昷〵挶散㐷攰㠷摥㠰晥〴㙣㐷挰㍦〰㘰㝢ㅢ〳㄰昲攲搱换搱㄰㍣㙥て㌸㜸晣挴㘵摦挵攳づ戴㍦㠸昶扦〴㐰㜸㐴㝤㘵㠴攱づつ㕤〲㉤ㅥ〷〳戲㘹攱晢㔴敢㕤㜷搴㌷㐸㉡㕣敥㐸攳摦㈲㔴挴攵㔰㘸搷捦攵昷㐸㈶㕣敥㐴㈳㍡愰㝥挰㠹捤㘵㄰攷扡㑢搴〳㘳敥㑣攰㡦摥㠰㈰〱㈱〲㝥〲㐰戸っ㈳搴挳敥㤳戸晣㈹扦㝤〰〶愳〰㠱挱㙡ㄴ挰捥㜶㜲㈱摢ㄸ慤挶㘹戵㍢〰愵㍤㤱㍥㠵ㄶ㠳つ㠰㙣㜰㑦散㠹㘴挲㕥㠲㠶晤〸ㄵ戱㌷っ摡昵戳㐷户㐵晣㔵㤹扢搰〸㑥攴㐳摦㐵扢ㅡ慥㥥㌸ㅣㄸ㜳〴㠱扤扤〱扢ㄲ㌰㤲㠰㍥〰〸㝢愳㄰昲散㠹ㅥ捦晣挰攳ㄸ挰挱攳㘶㉥晢㔳ぢ㍣㡥愵晤㜱㄰㌵晤〰攸㘴敤㠷慦㠵换搵慣㈷㉣ㄸ㜹㝥㡢ㄶ换㌲㕢㜲㝣㘳〷㈶㤸ㅥ㜹〸㥣㡡㑦搸ㄶ戲㕣扢ㄲつ㜱㉥〳戶㉤㡦㉡扡㉥搸愶㍣摥㝤愱㌰挰㈳摡扡㠴㜰㕤㌹慣て㈴㤷ㄲㅥ㘵晣㍤㕤㕢㈸换㐷㐸㕦㕥愸㠱㤵㍤敡㕣扣㜳㝢昸㝦戸ㄲ㤱捤〰扥㐱捥㙥愳昰て㕤㘸㜷㥣昳挲愴晦㝡扢㠸换挱㤰慢慡㡦ㄷ㈷㤶慥㑥㝢戰㑥㙣㘹挷昲敥搳㈱㙣摥㝡敡搳愹昳㍢㡡㘲㔲ぢ㝢敢ㄸ戸挰㑦㙤挱㤶㍢㤳㙡换晥㑥昶㙢愸㥢㜵㔹㈱㕢慦㕦㜹挹〷㈳㍣㕣扢㉣㕣挴㑦搰㕣㙦〷慥㝦㠹㝦愶ㅦ㤶敡㐸户攳戶㔹换㄰㕦敥㈱慤㘰扤摢㐳慥扦愷攵㜰昱㡣㜷㥤㌴攵㝡㑢〲㈷㈸㝢ㄳ㌳㍦㍡摤㡥㙢戹づ㙥搴昵㤹っ㜴㌳㍦㍤挷㔷㝥㉣挸㘱㕦慤捦愶㘵㍡攰㡤散ㄸ攰㔷搳㝥㍦㉤〴㐶扡敡㔶㔲搲㑥㐶㈷昳㕢㜱㈵㌸㠶㝥㘵慢愲摤昲㜲㝣㍡㔲㕤㝡〹㡦ㅢ㐶㔶搹㈷晡ち㝦〰㐰㥤㕣ㅥ㘲慥㜵㍢搳㜲㈴昵戶㝤扣慤ㄹ㑥㈶慦ㅥ戶㡥搷㤰㜵扣搶㙦敢挰昷㌷昹㌶づ㍦㠷㑥ㄳ㌶搹ㅤ㡤戸㕣㙡㕡搴㌳㍦戱㈵搳㌴㍦㥢㤳㙢㉤㝢捥㤶㑢慥摦㐵㝢㜵〵㈱㝡㐴㜵挲㡢㈶㘵㈲摥ㄳ㘵㝦㥦敦搷摦㜰㌱㈷㘲愴挹㘴〷ㅢ㍥㜳て㍤敥〶愲㈴扦搸㜳搹㠷搲昷㉡昸摤换摢㠳㌰戵㤵愹㌸愷搱晤搴㜱㝥㤶ㄱ攷㠲㑤㙥㥤摣捡ㅢ㌶㉥搵㠴㐶㑢昵扢㘸㈷搴搳㙡㈶挳挰ㄵ攷慦ㅢ㈱挹㉤昷摡扦挷慣戵㈳㉦㔸㝢晥㈶晦昸攲敢㤱昶㘸攱ㅡ㠳㔵㐶搱㌵㔹㌶㙦攲づ㉡晢愷㌰戲慤愶搰㄰㍡㉥换㐶㙤ち㕡㑤つ㐶挸摡愸㔹敤㘹㑥㠵戶搳㡤㥡㌹捤㙡㙤㌵〴㐹昱㠷户㡣搰㄰㑥攴㐳昷㘶㝢戳㘶㘵捡㈱㘸㑥〷挶㥣㐱㘰扤㌷㘰㈶〱㝢㐳搴搰〳戶㜴戲愹攸捣㡢〴㔵㌵捤扣搲慢㙤收ㄵ㉦㠶慡㠱敦ㅦ挲㔹ㄹ㔷捤㐶昷摡㥤㘱捣摣〷愸攷搶慣ㄹ挱昲愸㠸㉢晦㈱㔰攸扤昸扥捣㝦㍦〸㐵慦㔶㙥攸昴㘲㝥〰戳搰㡢昹㠱㌸㈷捤昴㜹攵㠲㙥ㅦ挵换搰㐱ㅡ㐵愷㔸㉥㐵㈴挶㙥愸㑡搳㥡ㅡ〹㄰愷戶㉡昳㘰㈴㉦㡣慤㔹摡搸㈸挴㜱㝣戵㥢愷㈴晥ㅡㅢ㍡敡愴晣搹㜷ㅥ戸㙤㜸㤴㙤搸㙥摥㌱挰㔸㍤㘰㥣㤴づ挱搲ㅥ㌰ㄶ㍡改〱㈹搸㔶攳㄰㉡敡〱ㄹ㘸㍢敦〱㔹㕤㈶晡散攲て慦㑢愱㈱慢愲㔵㡡㑥扢ㅥ㍤㈰て㡣㌹㥢挰㠹摥㠰㌹〴㌴ㄲ㐰ㄷ㕦昶〲昳㌰㠴㥣㠶愳ㄷ慦㙤㜷㈷㘴愶ㅢ㙥㉥㤳㌵㌱ㄹ㍤㙥㑢慦〷昷㠳捥愲㠳搷㠳㜲㤰づ搷晤㐶㐵㈷㕣愱愳㠵㐶攸㡤㕢㜴攵㌲て摡㑥改㤰㠱㐷慦㕤晣㔵㤹㠷搳〸㑥攴㐳搷㕤扢挸㐱㈸㜵㤱摢㠰㌱摢〹愴㕢慦〷㠰㉦昵㌳昹㕣㐴捤〲攰㈵愴㌴ㄶ㈰攴扥敥㡢㑢ㄷ愱㕢㌸㘲攵挰㘶㜳㈱㐰戸㕥挹戸慣㑥愶挶扡㑤戳㠸㔶㡦愴搵㈶〰㑡慦晢㕡愰戳㤸攲摤㕡㌹㑡㤹㙡〵㐴㤸㕡㑣㈳昳㄰㉡㘲敡㘸㘸搷捦ㄴ㍤㝢昱㠷㐷敡㌴㠲ㄳ昹戴㐳摡㐴戸慥昱㤶〰㘳ㅥ㑢㈰㙦昴㝡〰㡥㈳攰㜸〲攸つ㉣㑣㥤㠰㤰搷㌵㥥㤷ㄳ㌰㌸㍢〹㜰㜰㐶㙦㘰摢扥敢ㅡ敦㘴摡㍦㠵昶㡦〳挰㌵㉤㥣挶㘴㝡㕡㌸ㅤ攷㥣ㄶ㡥〷愴昲戴㜰㠶㐶㥤〰搴〶㑦ぢ㈷〲㙣㑤ぢ㘷㈲㜹㘱㕡㌸㕢ㅢ愳敦㌰愷㠵㘱㌷敦晦昸㠸㥤晡㡦㕡戶敢㔷㥢愶晦戲㐳搹戴㐰㈷㘲慢㜵改搳换㤲㤷㑤ぢ愷㐲㈷慤㝢㉥㙣㉢晡ㅡㄷ㑤ぢ㑢愱敤戴㜵捤昳㜵㤹捥㐰㔲晣挱㠷㠰㠶慣捣慡搴㔹㌸戳〹㘶〹㜴愷扣㄰ㄸ昳㈲〲捦昶〶㕣㑣挰㈵〴㥣〳㠰㑣ぢ㤷㈲攴㑣ぢ㑢㕤挹㕣㍤攷㌲㈶㕢挶㘴昴㉡㉥敤散㜴㈵ㄶ㍡㡣换〱搹攰㥢ㅣ㉢㤰㑣㈸㕡㑥挳㔷㈰㔴㌴〰慥㠰戶㔳㡡㘴慡戸ち挹昰㔷㘵㕥㐹㈳㌶㍤㉢㜱㘶搳攳慡挶㔵挰㤸㉢〹扣摡ㅢ㜰㌵〱搷㄰㜰つ〰㌲〰慥㐵挸㙢〰㜸㌹㌶㘳〰㕣て㌸〶挰つ㉥晢㤳ぢ敤㜳〳敤摦㐸晢昴㐶㉥㥤㕥敦㠴㙥㍤搳㉢ㅤ㤴㠵戳㥢㘹㠴㥥捡㐵㥣摤〲敤晡㌹扢ㅢ挹昰〷捦ぢㅡ戱㌹愳㕢戳捤㔹戰㔰攴摢㠰㌱㙦㈷㤰㉥捦ㅥ㠰㔵〴摣㐱〰扤愰㠵戳㍢ㄱ㜲㑤慦攱㠴搷昴㝡ㄷ㐰㘰敡㐱㤷搵㈹㠵㙣晦㑣慢㜷搳㉡摤㤶㑢㝢ㅣ㝤㤵㉤愶㜸㠳㔷㡥搲改昵㔹㐰㠴愹㝢㘹㘴つ㐲㐵㑣慤㠶㜶晤㑣㍤㡦㘴昸挳㝢㜲㘸〴㈷昲㜹〱搲㈶挲搵扢ㅥ〰挶㝣㤰挰ㄷ扤〱てㄱ昰㌰〱㜴㤷ㄶ愶ㅥ㐱挸慢㜷㜹㜹㐹愳㜷㍤〶㌸㌸愳扢戴㕤〰ㄷ㘷㡦搳晥ㄳ戴㑦搷收搲摥昵㉥㜴敢改㕤敦〱㈲㥣㍤㐵㈳㙢ㄱ㉡攲散ㄹ㘸搷捦搹晢㐸㠶㍦昸㤲搳㠸捤搹㍡㥣搹㐵づ戲ㄲ搶㉡扡〶ㄸ昳㌹〲改㍦敤〱㜸㥥㠰ㄷ〸愰㑢戵㜰昶㈲㐲慥摥㠵㤷慣㜹㍣㍥㜸〹㈰㌰㐵户㘹摢慡㡢愹㤷㘹昵ㄵ㕡晤〲㠰㔲愶攸昳扣ㅥ愶攸ㄱ㉤㑣扤㑡㈳摦㈰㔴挴搴㙢搰慥㥦㈹扡㔰攳慦捡㝣㥤㐶㙣愶攸㐷㙤ㄷ搹挵搴ㅢ挰㤸㙦ㄲ㐸ㅦ㙢て挰㕢〴晣㡤〰扡㕤ぢ㔳㙦㈳攴㘲ち慦㠳昳㘰敡㕤㠰挰㤴挲〳㌷摢慡㡢愹昷㘸㜵㉤慤搲㐵扡㜴ㅣ昶㠰㙥㍤攳戰づ㄰㘱敡㝤ㅡ改㠹㔰ㄱ㔳ㅦ㐰扢㝥愶攸㘶㑤㠲捣て㘹挴㘶㙡㈳㘸敤㈲扢挶攱㍦㠰㌱㍦㈲戰㤷㌷攰㘳〲晥㐹㐰㙦〰㠴愹㑦㄰摡搴㝥㄰攰㝡㌸㈵㙦戱昳㈰敤㔳攰㐱ㅡ摤慦敤ㄲ㑣愶挶敡搵晦㘲〶㥦㌱㠳扥〰戸昶㌹㥦㌳㤹摥攷晣〷攷摣攷昴〳愴昲㍥攷ぢ㡤愲ㄷ昶〶敦㜳戶〳搸摡攷㝣㠹攴㠵㝤捥搷摡ㄸㅤ戹戹捦ㄹ㌰攷搶㌵攱㡢扦ㅢ㜹㔷晢㕤㌵昳扥敤㔶戶捦愱㐷户搵扣㜴戰㘶挹换昶㌹㍢〰㈲捤晢㉤㙣㉢㍡㝥㕢捤㙢攵㙡㝥て㙤愷捤㙢晥愰换㐴㈷㜱㘹攲ㅦ㘹挸捡慣㑡つ㠵搶㈶㤸㈵搰〴晦〴㡣昹㌳㠱㍢㜹〳㜸扢摡攴戳㙣㔵て㠰散㜳昰摣戲戰捦〹戹㤲つ㈹搸敤挲㘴㜸㡦㔴㤵愲㡢㜷改扣㌰ㅣ扡昵捣ぢ昴晡ㄶ㍡っㅡ搹ㄵ愱愲摥㕥ぢ㙤愷㜴挸㥥㘶ㄴ㤲〹ㄵ㝣愷戸㐳挵㘸㘸㙤㉡㠲㠵㈲晢㠰㌱扢ㄳ㐸㍦㜲て㐰て〲敡〸ㄸぢ㠰昴昶㥥〸戹收〵扣攷搰愳㡢〷〰㐲ㄷ摦摤㘵搵搵挵㌷愲搵㕥戴㑡㌷昰搲㜹㘱㍡㜴挲㤴搱ㅢ㤰つ摥ㄱ捥㐰㌲㘱慦てつ搳㙤扣㠸扤㑤愰㕤㍦㝢㜴㉦ㄷ昶㌶愵ㄱ搴㐱㍥昴㌱户挹㜱捤ㄵ㥢〱㘳㙥㑥㈰晤捦㍤〰㕢㄰戰㈵〱㜴㐹ㄷ昶戶㐲挸㙢捤昶昲㐴挷㥡扤つ攰攰㤱㉥改戶㝤ㄷ㡦摢搲㝥㕦摡愷晢㜸㘹㡦愳捦昸㝡㝡㕣㈳㈰挲㔹㝦ㅡ愱㙢㜹ㄱ㘷〳愰㕤㍦㘷㑤㐸㈶㥣つ愴ㄱ㥢㌳晡ㄱ摡㐵づ戲ㄲ搶散戶㍤㌰收づ〴戶㜸〳〶ㄱ㌰㤸〰扡慤ぢ㘷㍢㈲攴敡㜱㜸摦愴㐷㡦ㅢち㄰㤸㙡㜷㔹㜵㕤㍣敥㐴慢昵戴扡ㄸ㠰㔲愶㡥㠶㙥㍤㑣搱敢㕣㤸ち搲挸ㄲ㠴㡡㤸ち㐳扢㝥愶攸愶㉥㑣㐵㘸挴㘶敡㜸㘸㍤㤸㡡〲㘳挶〸愴ㅦ扢〷㈰㑥㐰〳〱㈷〲㈰㑣㈵㄰㜲㌱㠵㌷㘳㝡㌰㌵っ㈰㌰㐵昷㜵摢慡慢㑦敤㐲慢挳㘹昵㍣〰㕣换捦慥㑣愶㤷㥦㤱㌸攷昲戳ㄴ㤰捡换捦㈸㡤愲ㄷ晢〶㉦㍦昴㜶户㤶㥦搱㐸㕥㔸㝥挶㙡㘳㜴㠴攷昲昳挲敥㈷㍣摢㝦㙡晤愸㌵㉦ㅦ㜵挱挱㥢㐴捡㤶ㅦ㝡挴㕢㙤㝡㈳捡捤㤲㤷㉤㍦昴㤷㤷㌶摤つ戶ㄵㅤ攷慤㌶搵换捦敥搰㜶摡愶收〴㕤愶㘵㐸㉡敤㍡㤱㠶慣捣昰晤ぢ㘸㙤㠲㔹〲㍤〲㈶〱㘳敥㐱㈰㍤昰㍤〰㤳〹㤸㐲挰ㄵ〰挸昲戳㈷㐲捥㘵昶㑡㔷㌲搷㙣㌴㤵挹愶㌱搹捤〰戸ㅡ㙥㍡㜴㜶挳捤挰㌹ㅢ敥㡦㠰㔴㙥戸㤹ㅡ㜵ぢ㔰ㅢ摣㜰昴挴户ㅡ㙥㙦㈴㉦㌴摣扥摡ㄸ㥤昴搹㜰㝢晤昵搸㕢㘶扥㍣㜴搴改搳㘷㉤㌸晥㤳昲㠶㕢〵㥣搵㜰户㤱㌵慦㠶扢〳㄰㘹戸晤㘱㕢搱愹扦愸攱づ㠴戶昳㠶㍢㐸㤷㠹㕦〰㤰㠶㍢㤸㠶慣捣攰昲づ慤㐷扢ㅣ〲㡣㌹㡢㐰㝥㍢挰〳㜰㈸〱㈹〲昸㝤〱㘹戸㌴㐲㑥挳昱㉢〱㜶戲愱挸㑣㜷㠸っ㤳㘵㤹㡣敥晢愵㜳ㄳ㝤昶搷㌳㌷搱愳㕦攸挸搳〸㕤晢㡢收愶㌹搰㜶㑡㠷散ㅢ搶㈰㤹㔰搱㐸㈳㌶ㄵ捦㐱㙢ㄷ㌹㔸㈸昲㘱挰㤸㜳〹㝣摥ㅢ搰㐴㐰㌳〱晣摡㠰捣㑤㉤〸戹收㈶扣愳搶㘳㙥㥡〷㄰收愶㤷㕤㔶愷ㄷ戲㍤㥣㔶摢㘸昵㉤〰㑡昷つ㙦㐳㈷㑣ㄹ敤㠰㙣昰扥㠱摦〴㄰昶㍡㘸昸㕤㠴㡡搸㕢〰敤晡搹攳㔷〷㠴扤㈳㘸挴㘶敦敦搰摡散戹㐶敡㐲㘰捣㐵〴昲扢〵ㅥ㠰㈳〹㌸㡡㠰㜵〰〸㝢㡢ㄱ昲摡㌷㜸㝤换〰晢㠶愳〱〷㡦晣扡㠱㙤㝦捦〲㡦挷搰晥ㄲ摡晦ㅣ〰搷㔴㜱ㅣ㤳改㌹晥㜸㥣㜳慡昸て㈰㤵愷㡡ㄳ㌴㡡摦㉣搸攰愹㠲摦㐰戰愶㡡ㄳ㤱扣㌰㔵㥣慣㡤昱换〹㥣㉡慣攳戳㥦ㅢ慦㙥摡㘹敡ㄱ攳㐷摥㜸攳搵慤㉦户㕥㍤ㄲ搷㤳搲㘷昹㉤〵㙢㙣㍣㈶㔰㈴〹攳挴晤㡣㡤摦㘱㤰搶㍤ㄵ戶ㄵ扦捣㔰㌴㔵㥣づ㙤愷慤㙢㥥愱换昴〳㤲㑡ぢ㥦㐹㐳挸㐵㍥㍦㐱㙢ㄳ捣㈲攸㈱㝤ㄶ㌰收搹〴昲㕢ㄱㅥ㠰㜳〸㌸㔷㉣攱㐲㐴愶㡡昳㄰㜲愶㡡㉥搰摡挹㕣㍤㘷㈹㤳㥤捦㘴㜵扣㝥㐱㠶收〵㘲挴ち搴〴愰㉤昵改㉣昳户㐵〲戸戴搰昳㜶㐶挷愲㈶㜸㍢昳㤴㍥㥥搶ㄹ㥦摤㔹搱昰㍣㙤㙤敢ち敦㥤搲搷㔹㌹㘹㥦㠲愹敥㝤㑡摥㠰㉢挹ㄸ搳ㄳ愵愹㌹散晢昲户扣㍡改㔹㠳挲敢㌰㤹㠶㠷㜱ㄱ㡡搸㘷㑡㘳愶慤戵扤㌵摦搱㜷〶㍣昹晢昲㡤挲㜹㔰㌵扡㘶づ㉣㝡收挹㡡㜵㙤攱捦摤㉣攰ㅢ㌶㝤㜳㕢㕡㡦㘸㤱搲搴戴昳挵捡挲㔷户㙥捣挶挷㝣㜸㙣〷ㄶ〳ㅢ愱愰〱〴捣㑢㘰愲捥ㅦ攸㠵㌰摡慤捡戸ㄴ攱㠱㘳挷㡣㥤㍥㉢㤲捡㐷昲改㝣㐳㐳㉥㤱㠹愶ㅢㅡ㤲昱㔰慣㈱㥦㡡㠵搳㠹㝣㈶ㄱつㅢ㤷㌹搰㠶㐴㌰ㄱつ攵愳戹㠶㘸㌲ㅡ㑦攵㔲昹㜸㉥㥦㐸㈷㈲改㜸㐳扣㈱ㅤて昴搶收捤㘵㐸㘳㕥づㄱ攸㘳慢㤶㔳戵㠲慡㡤㙤ㄵ〱〲慤搹っ慡つ昵㥤㐵愲㉡㤵挶〳愸慣捡㜵敤搶慤捣敢慡捣攷搶㜹攷慡㘱搰攵戶收㄰搰㕣敡慡攵㥤愸戸ㄵ㤹ㄸ攵挴扤㜲㤶晢㙡〸㕦㘰㜳㈸愸㌳慥㐱㜰愳戱㘳㘶ㄵ晦㔸㤱㜱㉤搴㍤愰ㄶ㐷㠲改㜸搵戲㜱ㅤ㌴㍤愱㜱㝤挷㈰戰㠵戶㘲㕥㡦㐸戳㍦昳攸〷愱戶㠲㕥摡昶㈶攸㜹㈲㥦㙤愰攵㜸㔰㌳㔱ㄱ昶㐲㐴㔴ㄹ㝦〴愴㘲搷㔲搳〱㘳昷㉡敥ㅥ摢搲ㄲㄲ㥢户㈲㌱扡㐷㕦㠴愵㝢摣㠶戰搵㍤㌲愹㐸㌰ㄷ捤挷昳昱㜴㌶㥡捤㐷昰搳ち㠹㑣㌲ㄹ㠹〷ㄳ挹㘴㐳扥挱戸摤㠱挶㈲昹㘸㈴摦㄰㡡〷㘳つ搱㔴㌲㠲㝥㤱ち挷ㄳ㠹㐸ㄶ㥤〹㐹〳晤戴㜹㜳ㄵ搲㤸㜷㐰〴晡摢慡㍢愹晡ㄳ㔵摢搹㉡〲〴慡戶㠷㡡㕤㐴㑤㐰ㄵ搸㝣㌸挷㔷ㄹㄹ㝦㉦㠴㉦戰〳ㄴ搴ㄹ昷㈱攸搱っ慢愱㉥㙥㠶晢愱㈹㙤㠶㐱摡㡡昹〰㈲攵昷㠸攴㤷㠹搴㡥搰㑢㌳㍣っ扤搳っ㐳愱㤵㘶搸ㄵ〵㜲㥡攱㔱㐰㉡㌷挳㜰㐰换㥢㘱㈷㕡㘲㡤ㅥ㐷㘲㌴㐳扤㉥㠷昱〴挲㔶㌳挴ㅡ㔲愱㠶㔰㌲㤵て㘷搳搱㠶㜴づ愴㌶㌴㈴㘲昱㘰㌴搶㤰㡥㠵㤳挶㤳づ㌴ㅣ㡦攴愲搱㔸㉥ㅢ〲㌴㤳㡣㈵㜳愱㈰㥡㉥㤳㐹㠵㌳昱㕣㈴㙣㍣攵㐰㘳つ戹㕣㍣ㄴ㡤挴ㄳ戹㐴㌴ㄸ㑢愷ㅡ戲挱㠶㝣㈲ㄷ㑡㘷㔲昹㔸㈴ㅥ搸㔹㤷挴㝣ㅡ㘹捣㘷㈸㥥㠵〸〴㙤晤ㅡ慡㥥愳㜸㥥晡㤰慤㉦挶慢㈸昴搲㠰昵扡〱搹换捣㤷㤹敥ㄵ〸㕦㈰㘶㈷㘴〳㥡㙣㉥㤳㉤ㄴ㠸摢晡搷愸ち㌲搵捥㄰㉡〱扤㌴挹㥢搰㍢㑤㌲っ㕡㘹㤲〱敥㈶昹ㅢ㈰㤵㥢愴扦㘷㤳散㐲㑢捣敤ㅤ㈴㐶㤳っ㐷㔸㐶挶扢〸㕢㑤ㄲ捤㈷㘲攱㐴㉣㤸挶敢搶愳改㔸㈴㥤挹挶㈳㤹㔸ち戳㘲㌶ㄴづ挷㡣昷ㅣ㘸〳㝥㍥㉥ㅢ㑣愴㔳ㄹ扣昰㌷ㄱ捥愷㠳挹㘰㉥ㄸ㑢㘵昲挱㐴㌸ㄱ㑤〵㐶㘸昳收㕡愴㌱晦づㄱ搸搵㔶扤㑦搵㍡慡㐶摡㉡〲〴慡挶㐰㈵挴㙥愶㠹㐵ㄸ户㜹ㄹ晦㌱㠴㉦㌰ㄶち搱㜱㠲㌲㌹ㅤ㤹㥣㠱〲攳㙣晤愷㔴昱ㅤ慥昲换㔴㌵攳愱㉦㥤ㅣ㕤㕦㌱㜲昹戱昲㉢㈳〱㤷㜳戱㑣戳ㅢ攵昵㙢㡥愷挲挳慤㠳慡摦㠳㕦㔴㔷换捦㜰扤㉢㡣㔴攱挰㠳㌹搱㤷㜲㔰扣㐰攸扡挹㥢扣㝦㥤㤷㤵慦挶㡦ㄶ摢戰㕣搸扦ぢ㥢〹㝢ㄹ昲㤹㥦愳改戸㤱摤ㅤ㙤㈶㠳攱㍦㔰搸㠷㥡攰愵慤㤹〸敤㠶扢昰搱㙡敦挲昷㜴昸㡤慣㈱㑤昰㘶摣㠰㉦挰㝤㠱戲愸㍤扣捡愰愶搸摡慦㠸㐱ㄶ〸攳㙢敥㤰㌲㜸㑤昷攰晤〶㤰捡㠳户㥢搷攰㔵搳㙣晢摦㈱戱〱摢晣〴昶㠲ㄶ攱㉡昳㝢挸扡㉥㠱改捣ㄵ㐷㘰㠶㝤㌲搳㍥搹㕢㥦昸昷挱〹㤷㑣ㅡ昸慦ㅥ〱晡㠲㌱ㄷ攳〷㤴挶㘳挵晡ㄱ敡攲ㄵ敢㈷㘸㑡㔷慣晤戴ㄵ昳㘷㐴捡㉦㤷挹㙦㤸愹〳愰攷㐸昶愹㥦扥晢昹㘷昶㌴收攵㌳扢攰ぢ搱散㌱〷㈲㔸摥㘳づ昲搴ㅥっ㉤㝢㡤㔹㠳挴㙡㤶㈷㈶㘵㙢扢ㄱ㠳慣㄰挶㙢搶㈰愵㐵扦㐱㈱散ㄵ搲㘴㡢㜲扢慢扥㠲戶㙣㌱㔴㔹摢㔴㜷㤸㜲ㅡ㡦摥㕦㑣㘷昶㠰ㄶ㡤㤷㘷〶㌸〲戳敤㤳㌹昶㐹愳㍥昱ㅦ㠶㤳摦愶昱收挲㌲㜳㌱搹㜸㈶㥢捡㘴敢〴㥡㙣㝤〰愵㌴挷ㄲ㌱〶㐲戵㐰㉦㜴昷搶昴㌰愰收㐱㉢昴㝣攲愶㠷ㅢ〸愱攷㘳㉦㝡〲㠷㌳ㄱ〰收愶㈴挲ㅦ㘸㐳ㄸ㝦㔵挶㘶〸敢㉤㕢㈸ㄴ㠹㈷㐳㐹慣攱搱㘸㍣㤳㑤愵㐲攱㐴㈶ㅤて挶㜳攱㠶㜰㉣㙤㙣敥㐰戱㌵㘸挰㑥㈱ㄳ捥攷㔲搸㌲㠴㔲戹㜰㈴㤲㑣愷㠲搱㔴㐳㍣㥡㑢ㅢ㕢㌸搰㙣ち换㕡愸㈱ㄷぢ〶㔳搱㔴㍣㤷㑥㘳㉢㤸捥挵搲㐹散ㅥ攲㤱㔰愰㕤㤷挴摣ㄲ㘹捣慤㈸戶㠶〸㜴搸晡㤲扤挲㝣㕢㑦㤴㠵㘷㑡戵㄰㝡㔹搲摥〲〱摣散挹㕥㘱㈰㐱摢㐳昸〲㡢散㠴㈵㝢㠵㈳㙤晤㡥挴㑥㈲㐹ㄳ㈱搴㘲攸㠵晤㥤㘸㥥ㅡ㝥㡥㠶㔶搸㝦挹捤㍥㉦搰㠴晤ㄷ㍤搹㍦㠶㠹〰㌰㐳㌰〵昶㤷㈰㉣摢㠲㌰挲ㄶ晢挹㔸㌶㤲挹㘶戳㤱㠶㔸㌲ㅡち㘱㤱㡦㠰愲㜸㈸㤹捣挵ㅢ㜲㤹扣ㄱ㈹㐰㤳愱㜴㈲ㄳち㠷㘲昱㝣㌴㤹㙡㐸㘱㈳ㄶ捦挴㤲攱㜸㈶㤲㡡㐵㤲㠱㘳戵㜹㌳㡡㌴㘶っ㈲㜰㥣慤㉡㕣㑦ㅤ㙦慢ㅣ㤴㍡〹㉡攱昰〹捤㈱挲昸挶ㄳ慤っ㠷昰〵㑥㠶㐲㜴㈵摢㠲㔳㙣晤㈸㘲昹㘶㑣昹㤵㍦㜵ㅡ昴搶㠴㜲㍦㉣ㄶ㈶㤴㜱戴㠶〹攵㜴挴ぢ挷㐵㑢搰ㄹ㥥摡㌳愱㤵〹㘵㍣ㄲ慢戳㍤㌱攷摡摡〹挴愰ㄸ〸攳慥㍣愴戴搹㥦摤㙤收㑣㈸㝦昲㙡㌳㜵扥㙤㙡㌲㑣㌹ㄳ捡〵搰戲慤捤㈹搰㘲㐲戹㤰ㄹ攰〸搰㑦㑣㑥㉥戶㑦㉥搱㈷晥㑢㜱昲摢㑣㈸㤷挱㌲㜳㈹㥤㔰㤶搹晡扤㔰㑡昹㝤㐴㤳慦昹㔴换愱ㄷ扡㘷㙡㝡愴㑢㕦〱慤搰㜳㤳㥢ㅥ愷㑢摦攰㐵㑦攰㑡㈶㘲搶晢㤱〸㝦攰㉡㠴愵㑢敦㡦戰敥搲㤸㍤㈲昹㕣㌴㤴捡㘲㈷㥢㑥㈷攲㠹㙣㌰㤵㐸攴挳戹㑣㌴㤲捤ㅢ〷㌸搰㐴㉡㤶て收㈳愹㑣㌸㡡〹㈵㤱㑢昳摥㐰㐳㉣ㅡぢ挶㤲㠹㘴㐳㉥戰㔲㥢㌷て㐴ㅡ昳㈰㠸挰搵戶敡㘰慡づ愱㡡捥㘶㌲散ㅤ㤴扡ㅥ㉡改搲㉢㔰つ攷ㅡ㌰捤㈴ㄹ〸㕦攰〶〰昰〷㑦㌵戴慢㙢愷㝢愳慤㥦㉤收㠹㌸㤸ㅣ摥っ扤㜰㜸ㄸ昴挲ㅦ戵户㐰㉢ㅣ㕥攰收搰㤹㤴㤷㝡㜲㜸㉢ㄳ搱㌰㝦てㅢㅣ摥愶戳㌴㕡ㄱ搶㤳㜲慥㈱ㅢ㑢㘲㔴愷㈲昸敤挲㠶㘰㍡㤷㡣攷ㄳ搹㐸㌴㤸㑣愴㌳㠹愰㌱捦㠱收㘳昱㑣㍥㠳㉢攷㔴㍡ㅡ挵㍤㤹㜴㈲㡢换㡡㝣㉥㥦挹愷ㅢ挲攱愸㜱戸〳捤㌶㘴〱捤愴㜳㘱㕣攲㈵㤳昸愲㝥㌶㤷挸㘶昳搱㔴㌰ㄹ㑤挴愳㠱摢㜵㐹捣㌶愴㌱摢㈹㍡㈰〲慢㙣㝤挹愴㝣㠷慤㈷慡㤰㐸摤〵扤戰㝦愲㘶㕦㕡㘷㌱㐱㝦㠰昰〵攸㤹㠶扦㉡戳㘴㔲扥摢搶ㅦ㑢㙣㡥㠸㉣㜹扥ㄷ㝡㘱晦〴攸ㅤ昶㔷㐳㉢散ㅦ攵㘶㥦户㌶㘴㔲㕥攴挹晥晤㑣㐴挳愷挰ㄴ搸㝦〰㘱改挱愷㈲㙣戱㡦㉢摢㕣㌶㠵戵㉤ㅤ挹㐶㌳愱㙣㌲㥢㐰慦っ〶搳㈱摣攲ち〶㈳挶㘹づ㌴ㅢづ㘶㌲戹㄰㍡㙢㈶ㅡつ愶戲改㘰㉥ㄱ㑥㘶㠳改㙣㈶ㄵ㑤攷攲㠱〷戵㜹昳㜴愴㌱捦㠰〸㍣㘴慢ち㜷㌱ㅥ戶㔵づ㑡㍤〶㤵㜰搸慡㌹㐴戸捡㍣㡦㔶㤶㐲昸〲昴㔴ㄳ㕤〹㠷㑦搸晡㡢㠸㙤㘲慡戹㄰敡㈹攸㠵挳㑢愱㜷㌸㝣〶㕡攱㌰攷收搰改挱ㄹ㑦づ㥦㘵㈲ㅡ㕥づ㔳攰㜰㡤捥搲㔸㠱戰挵㘱㈸ㅤ㐶㑦㑢㐵攳㘱昴攰㜴㉣㠸㍢ぢ㤱㠶㘴㈶㠸㙥ㅤ㡥㌶挴ㄲ挶ㄵづㄴㅤㄷ昷ㄴ戱昱㐸㐴㜱户㈲㤹㐹愶㠱捤㈳㝤㌶㤵捥㘴ㅡ㔲挶㤵づ㌴ㄲ㑢㈷㜲昹㐸㌴㥤挵㑤㡢㑣㌸㤳挸㠴戳つ挱㐴㍥㤷捥愵㘳昸〴㥥搳㈵㌱慦㐲ㅡ㜳㈵挵搵㄰㠱攷㙤㝤㐹て㝥挱搶ぢ㥥㔰㐹愴㕥㠲㕥搸摦㕢戳㉦㍤昸㘶挶晦ㄱ挲ㄷ㜸搹㑥㔸挲晥㉢戶晥㜶㘲昹㝡㔳戳㡤散扦ち扤戰㝦㈷昴づ晢慦㐱㉢散敦攱挹晥㐴㑦昶㕦㘷㈲ㅡ扥ㅢ愶挰晥ㅢ㍡㑢攳ㅥ㠴㉤昶ㄳ㈹㙣㈲ㄲ愹㜸㠶摢㡡ㄸ㙥扥㘵㜰ㄷ〸摤㌱ㄵ捤㘳ㄷ㤱㙣㌰敥㜵愰戱㑣㉣㥤㠹㠶挲戹㐸㍥㠵改㈵㤳挸攷㤳挱㜰㄰扤㍦ㅢ㡡攵㈲㐹攳㍥〷㥡挸㘴㜰ㅢ㈲ㅤ㑢攴㘳散敤攰ㅤ㌷㤴攲改㜰㍡㠲ㅢ㝥戸㌱ㄴ㜸㔳㤷挴㕣㡤㌴收晤ㄴて㐰〴摥戲昵㈵散晦捤搶ぢ㥥㔰㐹愴摥㠵㕥搸摦挵捤晥ㄳ㡣㝦ㄲ挲ㄷ㜸捦㑥㔸挲晥㕡㕢晦㉣戱㝣慤慡晣愰慢㝡ㅦ㝡㘱晦㜹攸ㅤ昶㍦㠰㔶搸て戹搹㜷收㡦㥤㍤搹晦㤰㠹㘸昸㈵㤸〲晢晦㐰㔸收㡦㤷ㄱ戶搸㡦攷㘳攱㔸〴户扦戳戹㜸戴㈱ㅡ㑤攷㠳㐹戹ㅤ搷㄰捤㐷㜰㔳捤㜸挵㠱㘶㌳つつ昱㐸㐳ㄴ昳㜱㈴㥡㡡㠴ㄲ愱㔰㈲搵㄰捣攷㈲つ昱㘴㌴㤳て㝣愴捤㥢㝦㐵ㅡ昳㔵㠸挰挷戶慡㌰㝦晣搳㔶㌹㈸昵㈹㔴挲攱㐰捤㈱挲㜸㠷㍣慤晣つ挲ㄷ昸ㄷㄴ愲㉢攱昰㌳㕢晦ㅥ戱挷㌲搵ㄲ〸昵㌹昴搶愶㙥㉢㔸㉣㙣敡搶搱ㅡㅦ㤰㈱㕥㌸㉥摡搴㝤攱愹晤ㄲ㕡搹搴㝤㠸挴㡡㉥㜵攵㈹扦戵戵ㅦㄱ㠳ㄲ㈰㕣愵扥㠷㤴㌶摢挴摤㘶捥愶慥㡦㔷㥢愹ㅦ㙣㔳晦ぢ㔳捥愶敥㐷㘸㘵㔳昷㈹戴搸搴晤挴っ㜰〴攴昲㤷㈷ㄲ捤ㄳ㈵㙢ち摥捦㔴㡤㤳摦㘶㔳搷〵㤶㔹㠰搲㑤㕤㔷㕢晦㌹㑡㈹㍦敤㙢㥥〴㤸㌲愰ㄷ搲扥搴昴㌰愰㙡愱ㄵ㝡㝣㙥㝡㥣改扣搶㡢㥥㠰挹㐴捣晡㕢ㄲ攱て昸㜴㤶挶㜷〸敢㈵㌱㥦〹㈵㌱搳挶愳攱㔴㌴㤳㑢㘰搰挷ㅢ㘲愱㐴㐳㈴ㄲ换㈴㌰㐷㝦敦㐰攳搱ㄴ慥㔰ㅡ㜲搸㡡愴㌰㥤〷㤳㜱㑥㈶搱㈴搰攱㘴㍥ㄳ㌱㝥㈸㐰戹㈷㡣㠴㜱㠴搲搱㐴づ㤷㌱戸扡〹攳戲㌱ㄹ㙥㐸攳挶㘷愰扢㉥㠹昹㈳搲㤸㍦㔱晣っㄱ攸㘱敢㑢㈶㤴㍡㕢㉦㔰㐹㐴扣ち㐰㉦㠳攱扢㙦㕤㔷㠹摤搰ㄵ捣㕡〸㕦㠰慥㜸挲㝥挹㘰攸㘵敢㝢㄰㝢ㄶ㐹㍡㤳㍣昷㠱㕥搸昷㐳敦㜴㑥㍡搷〹晢㥦㈱ㅢ晢ㄶ㠶戱ㄱ㈰㤵㙦㑡㝤ち㘸搹㝤㡤挰愶戴挴摣㝡㈳㌱㥡㘴㌳㠴㘵㤶改㠳戰搵㈴㜸㐶㤲挲挶㈴ㄱ捣挶㘳搱㐸㌲㥢挲攳戶㘴ㄴㅢ㤲㜴㍣㡣晤㜶搴搸搸㠱㠶昰っ㉥㤶挸㌶攴搳㤹㈰㉥ㅤ愳改㜰㈴ㄳ㡥攱㡡㍤ㅦ挷ㄶ㍤ㅦち㙣慥捤㥢㥢㈰㡤戹㈹㐴㘰ぢ㕢戵ㄹ㔵㥢㔳戵愵慤㈲㐰愰㙡ㅢ愸㠴搸昷㌵戱㐲攲搶㡣摦〶挲ㄷ搸ㄶ〰㉦㘲晢摡晡晥挴昲㌵戶昲㕢捥慡㍦昴㐲散㐰攸愵㑢㤳敥〱搰ち戱㙦戸㠸㌵㥤㙥晤㥡㈷㠷〳㤹㠸㠶〷挳ㄴ㌸摣㕥㘷㘹散㠸戰挵㘱㈴㥣ち㠷㌲攱㠶㘰㈶㠲晤〴㥥㘴㘴㜱㌵ㅤ㡢㌶㠴昱㈸㈴ㄳて愵㡤㈱づ㌴摥㄰收㐳㤵㔸ㅥて㔳搰㤹㌳戸ㄵ㥦〰㉣㥦㐱ㅢ愴ㅢ㜰㔹㌳搴㠱㠲㔳㕣㤹㠷㔳搹㙣㉣ㄲ捤〵ㄳ㠹㔴〲㐶戱㐱挱㌳㤵㜰㍣ㄴづ散愰㑢㘲敥㠴㌴㘶㍤挵捥㄰㠱㐱戶扥愴㕢て戶昵㠲㈷㔴ㄲ愹愱搰ぢ晢捦㘸昶㘵㤷搲挰昸〴㠴㉦戰㤳㥤戰愴㕢搷摢晡攱挴㉥㈳㐹㝣〵慦ち㐲㉦散㡦㠴摥㘱㍦っ慤戰晦㤰㈷晢て㜸戲ㅦ㘱㈲ㅡㅥぢ㔳㘰㍦慡戳㌴挶㈱㙣戱㡦扢㐳㠹㜰㈶㠶㔵ㄲ㤳ち㌶ㄶ改ㄴ㙥ㄲ攵㜱㍢㡡户㡤昰〰挴搸捤㠱愶愲攱㌰ㅥ㔴㘵㤲㜸戶㠸攷捥愹㘴㌰ㅦ㑢㈵㐲㈹摣㉣挱ㄶ㌱㥦㌰挶㍢㔰㈴㑣收攵ㄹ㑡ㄸ㑦戴㔲㜸敥㤵㑣攱昶ㄶ慥㜵㜰㑤ㄵ㡦愴〳㜴㈶㤴㉥戹㍢搲㤸ㄳ㈸㈶㐲〴攸㐸㈸晡ㄲ昶ㅢ㙣扤攰〹㤵㐴㙡ㄸ昴挲晥㙤㙥昶昷㘲晣㜴〸㕦㘰ㄷ㍢㘱〹晢挳㙤晤㍥挴慥㈴㐹㔷㤱晤㕤愱户㔶搸敢㘰戱戰挲ㅥ㐰㙢㔸㘱㐷㈲㕥㕡愷㘸㠵ㅤ攵愹ㅤつ慤慣戰〷㈱戱ㅡ敢㠹搹捤搶ㅥ㐲っ㑡挰摡慢摤愱㤵搶扥搲摤摡捥ち扢挲慢戵搵〴摢㔴ㅡ愶昰㈷㥦挰㐴㘸昱㠷㙢㙥愸戰挲㑥㘲〰㐷㘰て晢㘴戲㝤㌲㐵㥦昸昷挴挹㙦戳挲搲㌳㔰摡户攴㍥散㌴㕢㍦ㅢ愵㤴㕦㐴㌷慦㐷㈱搵㜴攸慤收戸戰愸㌹收〲挶收㤸㠱昸昲收㤸改愹愵㉦愰㌴㐷㌳ㄲ慢㝤㍤㌱晢摢摡㔶㘲㔰〲㘹㡥〳愱㤵收㌸挷戳㌹捥昲㙣㡥㠳㙣㔳敤㌰㠵㍦慢㌹づ㠶ㄶ㝦戸愸㠷ち捤㜱〸〳㌸〲戳散㤳㐳敤㤳㤴㍥昱愷㜱昲摢㌴㐷〶㤶扤㥡㈳㙢敢ㄷ愲㤴昲挳昲收㉤㈸愴捡㐳㉦㜴ㅦ〵㍤㑦攴㌳〷㕡愱攷〴㌷㍤捥捡㜰㥣ㄷ㍤㠱㐶㈶㠲〵昳ㄸㄲ攱てㅣ愶戳㌴㤶㈰㙣捤㑤㤹㜸㌰㡢扢㈷愱㘰㈶㥤㡦㠶㌱搹挷昲昹㔰㌴ㄸて挵戱㔷㡦㠵挲挶戱づ㌴搸㤰挰昵㘸㈶㥥㑦愶㈲搱㐴㐳㍣㠱㑤㑤㐳㈲ㄷ㑥㌷㐴㜲〹摣敢㌶㡥㜳愰戱㜸ㅣ户〸㠲㤹㝣㈴ㄳ㡦挶昳㈹㉣挵㜰㤳挸愵ㅡ㘲攱㔴㐳㍡㤹つ捣搵㈵㌱㡦㐷ㅡ昳〴㡡ㄳ㈱〲㑤戶扥㘴㙥㙡戶昵づ㔴㔲慡㜹搰换摣搴〱〲㥣摢攲㘷搲摥㔹㄰扥〰㝤〸㠵晤㤲戹愹捤搶㥦㐷㉣㕦㠴㙣昲戵捡慡〳㝡㘱晦〲攸ㅤ昶改ㄵ㈸散ㅦ收㘲摦戸〸㤰捡ㅢ㥥㌹㥥㑤㜲〴㉤㌱户㑢㤰ㄸ㑤戲㄰㘱搹昰㕣㡡戰㕥㉥昲㜰㈸㘹㠸㘳ㅦㄹ㠷愷㔱㉣〶搶戰㘰㘴㐲㜱㑣散昱㑣㌰㘸㕣收㐰搳挱㔴㉥㤹㡤㘵㜰㥢㈰ㄶつ㐷戳搸㤱㐶㜲㤱㔰㌴㠵ㅦ㡤㡥挵搲搱挰㈲㙤摥㕣㠶㌴收攵㄰㠱㈳㙤搵㜲慡㔶㔰㜵㤴慤㜲㔰敡㘸愸㠴搸㐳㌴戱㐲攲㑡㈶戹ㅡ挲ㄷ㌸〶〰敡㡣㙢㄰昴㜸㔴㜷㉤搴挵㡦敡慥㠳愶昴㔱摤ㄲ㙤挵扣ㅥ㤱收晤㈴㘶㌵㥢攱㌸攸慤㌹㘹㙦攴㕦㔸㈲㙥〶㡣㜳搲昱㠸㤷㘶㉡㕡㈲㑥昰搴㥥〸慤捣㐹户㈰戱㍡搹ㄳ㜳慡慤扤㡤ㄸ㤴㠰㔵㔳愷㐳㉢捤㍥搵搵散㠵㐷㜵㔳扣㕡㔸㥤㘱㥢扡ㄳ愶昰㘷捤㐹㘷㐲㡢㍦昴㌲愸㌰㈷㥤挵〰㡥〰摤〶攵攴ㅣ晢㠴㝥㠲㍣晣攷攱攴户㤹㤳㤶挲戲㌴㘸挹ㄲ㜱扥慤扦〷愵㌴ㅦ㐵㈱捣㐷㈰〲昴㍡㤴㕥扢㥡愵昷搷㕣㠲昰㉥㤵摦敢攵昲攲ㅡ㠲搷摦攰㐵扤戹㉣㕥㤱㠹㥦㕢散㔸戴㕢㑢㐷摢㈲昶昸㉥㜸㐵愶昵㘲挹慥搵挳㝥㥤㉤㝡㈶昰愵㐷晣搴㡣㐵㙢晣ㅦ散戰搱ぢ敥〴戴戸㉤㍥收〳愸㜰捤㌲㔴搷昳昵㍡㤶㕦摢っ扣ㅢ㌴㔷㍦㜶㑣㐳晤㙥ぢ㌳戹愶戱㜸㤵ㄱ㥣摡㤰戰㙡攳收㠹敤㌸挵捦㑣捥㙣ㅤ㉤㉦搸愱攳攵㐶戶摦摢㄰晢㘷收〷ㄶ㌴昶摢慢散㘴㔳摢㥣㜴昸搹㜶昸㌹㈲㘲〸㝦㤴㝥攳㐲挸昵㘲捥㉤ぢ㕡扣戴っ㠴攷戲戶挵昶㉡愵扡㔶㜷㈹晢扤㐶㜱㘴ㄹ搷摡㡣㕦摦慤攷㥢㌸㘹慤慤戵㘹㘲㤶〴㙣改昱㕡搲㌱㡤ㅤ昲㕡摦慤㄰慦捣㑢㐱㡥昱㄰㙡㙢㡣ㄸ㌰㜱㐰㉣㔸㌳ㄲつ㔱晡ㅡ㤹㡡㜹ㄴ搳捥ㅣ搹㌷㝣收㈳㌰愸㉥㠷㘹㜲慦捣换㤸挹㘳㔶㈶晢㈱ㄳ戵ぢ㌲㘱㐶散挵㍥昳〹愲㤷〳㘳慢搴ちㅤ愰㌵晦㑡〴㜰㜹㉣㈳ㄱ晦搹挷㘷㈳昵搹㈸敢晦㕡晤㝦㘰㤴晦㙡㍢挵挱慡摦㜹愳㙢摥㍤愶昴摤收ㄱ㌹晥㌹㌲戰ㄱ㡦㜳㐷慡敢㤱㘲㈰散㤴晥〸㜷ㅣ㠵㝣〳㉦ぢ㈹晢㔱昲㤸㡥㈸晤㔱昲挰㑤戰㈴㠳㙤つ㙡㔵攷㔷㜴㐳攴㠰㔳ㄱ愴㘰㉦㤷㡥昹㍣慢扣ち㙡㡢愰摢㜰㘶扣㘸ㄱ戴搷㠰㜰㔴敤っ㈰搹戰攸㝣㠹攸㍢ㅣ㌴摤ㄳ㡤㔷愰敢㌶㘲挰攸㌱㠴て搱㜰㡢捦㔷〹扦ㄳ㈰㠷㑦㍡㈱摡收晣昷㈰昰换昸扣搷㑥㔱㠹㑦慢〵昶ㅦ㜵搳㡤㍣㝣愳搴〳㐸攱挵攷昶㈸愸㈷㥦〳㜵㐴改㡦㥡〷ㅥ㠶㈵攱昳㉤搴ち㝣㍥㡥戰昰戹ㅤ㔲㌸㝣扥捤㉡㍦㡤㈸㡢捦㈷㜰㘶扣慢ㄹ㥡㍣㈰ㄲ㔵摢㙡㠶㄰㠱ㅥ户㤶昰㘷ㅣ昸㤳㠴扦慦攱㝢㄰扥愵㠶㕢㠴㝥㐰昸戳づ晣㈹挲晦愱攱㤳〸摦㔴挳慤收晡㤸㜰㙥㠱㐸㌹晥慢㔲捦改〰捤愹攷㜵㐰㍡昷换〸〰扥攱㥤ㅢ㔸ㅣ㝤㐶昹㕦戱㔳㜶摡㈸敦㥥㌸㑡ㄲ㔴㥤㙡晤㍦敡散㔱敡㌵愴昴㙡㥣㕥㈸慥㘷攳㙣愴㈳㑡㝦㜰㍤昰㈶㉣㐹攳㝣㠶㍡愰㜱摥㐱㔸ㅡ挷㡦ㄴ㑥攳㝣㑥㍥搶㈲捡㙡㥣㜷㜱㘶㝣〱ㅤ愶ㅣ㜴昶愰敡づ戰摤㍢㝤收㔷㐴晦摤㐱扦㐷昴㌷搰改捥ㅥ㔴摤㌴摣㙡㥢敦〸㝦ㅦ㈰㕡㄰㝥搷改㠰昰晢ㄱ〲扦慣戳㝦㙣愷愸挴慢昵㘲扤㝢㐶捡摣挱挹攳㔳愴昰攲戳ㅡ㈵昲攴㔳改㠸搲ㅦ㙣㔷㥦挳㤲㙣㡣慡攰㠹挸ㄳ㝥〲昶㉥㐹㝤㘱㐷㍢ㅡ㐶搳攳っ㝦㔵㘶㌵ㄲ㘱㜳昲ㅤ〲戵っ㜷㐱搸散㑡㔱㐳㘱㔰㜴愳愸㠵愸慢㔶摦〳㈸慤昵昵㌷慥搶昲㈱㔲戱摢ㄶ慡㤴㐰㌱慣ㅦ㜶晤ㅣ㐸捦㉡晤㕢㐷㤴晤敡㉤摤戳愴㑡〱摡㐵戱攴㈳㝥㔷㉣㘳㔱㑤攸㘹㈵㌵改挵〲㜶〹搰㕤㑡㙡搲ㅢ㘱戳て挵挶ㄴ㥢㔰㙣㑡戱ㄹ〴㙡㐲て㉡愹挹㠷敥㥡㙣㠱㐸㐵户愵㠱捣改つ㡡㐲㑤搶㔶慡挹㝢㍡愲昴㈷㙡〳扤㘱㐹㍡㝢㕦㘶敡㔷昴㔶㤲㑣摦㜱㘷摡㥦㤹㙥㠹㈸慢戳搳㠵挹ㄸ〰ㅤ扢㉦收㡡愴㝡ㄳ攸㐲㙦摦㥥昰慤ㅣ㌸摤㤸㡣㐱ㅡ㡥㤹㈸愹晥㐷挳慤摥扥㈳攱㕢㍢昰㉤〸ㅦ慡攱㤸攷㤲敡㘵つ㈷㡤㍥戳ㅥ㔱㝥扡ㄹ㘱㤰晣㡡㈹㠶扥㐹㤲戲搲㔰㠰搵慡㉡慦㈹㠶敥㑡〳ㄱ㔷扡㥥㍥㡦攲㜹昶㥦攷㜴㐴改㑦攲〶攸攰㈴慣㐷㔱ㄷ戰㑥㉦㈵㘱晤㔹愴㜰愶㤸㌸㜹㠹㈲捡㘲㍤㡣㌳㈳〱ㅤ愶㤸晤〶㐴㤳敡㐹㑤㡢挵攲㌰愲改㝡㘴愱㈳㐴て户搰ㄳ㠹㝥㔴愳慤改㝣㔷挴昸㜷〱〶㝦ㅢ㑥愲㝦戸㥤愲㔳昲慡㜶搵㡢收㜷㈳搵㈸愴ㄸ攸㐱摡〳㥡㥢戲㑤挸晤㍡愲散㜷㜳改挲㈴㠳㙥ㅣ㙢ち㤳昲ㄱ摦㈴摡㉦ㅡ㜴昴㐶㤲㐱㌷ㅥ㔸っ㍡扡ㄴ挹愰摢ㅤ㘱㜳〲挵㐴㡡㐹ㄴ㝢㔰㑣㠶挰愰愳㤷㤱戴挴ㅤ㈸㠶搳ㄲ㝢㈲㔲搱戵㘷愰㔳㤳挲愰扢愵㔲㑤晥愸㈳㑡㝦攴㌶㌰ㄳ㤶愴昹㘷㌲㔳扦愲㐷㡦㘴㝡㤳㍢搳㝤㤸改㠱㠸戲ㅡ㤴㙥㍥挶㝥搰搵㡣ㄸ㜰挰㠰㤸扡づ㔸㝢㜹昰㤹〷㄰㝣㤰〳㍥㠰攰㠳㉣昰ㄴ㠰㔷㙡戰搵昸㠷㄰㝣㌰㈰㜶㝡㜵㠸づ挸昲㐲㕦ㅤ晣晤㠲㙥㐱挷ㅥ㐹搱㜹户ㄸ㔰攸ㄶ昴昱ㄹ攸㤰㔹昸搱愵攵㥡戳戲㙥㜱戹㡥㈸晤㠵摣〰扤㠲㠴捣㉣㙡〵㌲改摡㈳㘴㕥㠶ㄴ㑥ぢ收㔹攵㌶㐴㔹㘴搲摦挷㤸〳ㅤ㘷戰㍤戸摢扣㐸㌳㘴つ愶挳〸㙦㜷攰昴昹㌱㥡㌴㝣ㄲ攱㑢㌵摣㈲戴㠵昰づ〷㑥扦ㅦ㘳㥥㠶㑦㈶晣㙣つ户㘶戰㌶㐴昹ㄷㄳ昴㑢㔸〶ㄶ〷㌶㐹㝦戰㔳㜶捡戶搷っ㜶㉣㔲づ㠴㤱搲ㄹ散㌴ㄴ捦㜳〶㍢㔵㐷㤴晥㉣㙦㠰摥㐰挲晡㐲搴〵慣搳愵㐷㔸㍦ㄹ㈹ㅣ搶㡦㈴㉦㜴慣戱㔸愷㥦㡦戱㔸昳㌲㘶㐰㈴愸㡥搷扣㔸慣ㅦ㑤㌸ㅤ㜵㉣㌸㝤㝤㡣㈵搰挹㥥ち攸㘳㌴摡㈲晤㌸挴昸捦〳〶㝦扦愰慦㉥戵㔳㔴㘲捦扡㡥㝡戴戰ㄵ愲㌷捦㐰て搶㡥搴攴㤴昵搵㐵㍡愲昴挷㝢〳㤷挲㤲戰㜶ち捡づ搶㤶㈳㉣慣ㅤ㠱ㄴづ㙢愷㤱〶㝡挵㔸㌴搰戳挷㌸〳㍡昶搵挹㥣捡摢㌵て㔶㙦㍡㡢㜰晡摢㔸昰㉢〸㍦㐷挳㈷ㄱ摥慡攱ㄶ㙤攷ㄱ㑥㜷ㅢぢ㝥㈵攱攷㙢昸ㅥ㠴捦搵㜰慢㑤㉥㐴㤴㥦摥㌷扦慥慦搲㘵攷搷慤戶昴攲ㄹ攸挱㝡ㅥ挵昳散慢㌹ㅤ㔱晡㘳挱㠱㍢㘱㐹㔸㕦㠶扡㠰㜵㍡敦〸敢ㄹ愴㜰㔸㕦㑥㕥㔶㈳捡攲㠵ㅥ㍤挶ㄵ㥡ㄷ散㐲㘲㙡㤶收挵㘲晤㉡挲敦㜷攰昷ㄲ㝥戵㠶㘳㑢ㄴ㔳〷㙡戸挵晡戵㠴㍦攰挰敦㈳晣㝡つ挷㤶㈸愶昶搵㜰㡢昵ㅢㄱ攵愷搷捤慦㘳㥤慥㍡敢㘷㝤捣捡㔱攰户慡敡晡㙢㐷昱摤愱㍦搷摤㌸㑡搱㝢㘷㈰㜴愵㌳挴㜴ㄴ捦㤳昵扤㜴㐴改㡦ㄳ〷攸敦㈳慣摦㠶扡㠰昵㤷㄰ㄶ搶愷㈲㠵挳晡㉡昲㐲搷ㄹ㡢昵㤷㜱㘶摣愹㜹挱っㄱ㔳㝢ㄴ昱㜲ㄷ攱㜴挵戱攰慦㄰㝥㌷㜴搶っㄱ㔳扢㙢戴㐵晡扤㠸昱扦〵っ晥㠴て搶㔶ㅦ㥤摣㘹昹㥢㥤愲搲っ昱攸㤷㠳づ㍡晢㤱㜵㠵㍢㉤敦㈱挵㐰ㄸ㉥㘵㙤㡣㈶愷㙣㠶ㄸ慤㈳捡㝥挱㤸㉥㍤戲挹㜹㠸㌵㠵㐹昹㠸慦づ敤ㄷ㙤㜲攸㥤㈳㥢㥣㐷㠰挵㈶㠷㉥㌶戲挹㜹ㄴ㘱昳㌱㡡挷㈹㥥愰㜸㤲攲㈹〸㙣㜲攸㜵㈳㑤搱㠰㘲㌸㑤昱っ㈲搵攷㠸ㅡ攸搴愴戰挹〹㔷慡㐹㐸㐷㤴晥摣㜰㠰捥㌱搲晥㉦㌲㔳扦愲㠷㡢㘴扡戳㍢搳㤷㤸改㡦㠸戲ㅡ昴㍢㥣ㄹ慦㐰㘷慤换戸慢㌶〴㘸㝢㥢攲㌳㕦㈵㥣ㅥ㈶ㄶ晣㝢挲㕦搳昰挹扣〹户㠳㠶㕢㠳昴つ挲改㠶㘲挱㝦㈰晣㉤つ㥦㐴昸㜶ㅡ㙥昵㤷户ㄱ攵敦㠶㠱昳敢㐶ㅤ晤㔹搶㍦敡㉥㝤㜱ㄴ昸慤慡㍡攵㘵敢晦〵慦㡥㔲㜴㜱ㄹ〸㕤㘹晦搹〶挵昳ㅣ㜵㕢敢㠸搲㥦㌷づ搰㈹㐶㔸㝦ㅦ㜵〱敢㜴㘲ㄱ搶户㐴ち愷愹㍦㈰㉦㜴㌸戱㜸改㠳㌳攳ㅦ搰搵昰收㐵㔲㙤㕡挴捡挷〴搳敦挴〲搳户挵昸〴㍡㡣㌹摣愸㑢慡摥ㅡ㙤捤㕣㥦ㄲ㑤挷ㄵ扢搱ㄴㅤ㔸ㄸ㈰挷㝥晡愷愰ㄵ㝥挱㘸摣挶㑥㔱㘹㌴挲ㅡ㡥㠶㔱㝢换昱搷㤱慡㍦㔲㜸戱搹㔳㤳㔶㌶ㅡ敢㜴㐴改㡦㈳〷攸〹㈳㙣㝥㠱㕡㠱㑤扡戳〸㥢摤㤱挲㘱昳㉢㔶㤹晥㈱ㄶ㐱昴㜱㌱扥㠱㑥慦搷㔱搵㑤㌳㘴㜵捡敦〸愷攷㠹〵愷㥦㡢昱㠳㠶㘳扤㡥慡㉥ㅡ㙥㜵捡㥦〸愷攳㠹〵愷慦㡢挱㘱㙥㡤㄰挰㝦晥摡㍤㐲慡ㄱ攵愷ㅦち晥㌶㥣㘵愱㤰㝢㑢㍡慦㐸捡㑥搹昶摡㕢づ㐷㌲㉦搶扦㐳昱㍣晢昰户㍡愲昴挷㤸〳昴㠰ㄱ搶㙢㔱ㄷ戰㑥㌷ㄶ㘱晤㙢愴㜰㔸昷㈱㔲搱㉦挴攲㘵ㅣ捥㡣ㅥ㥡ㄷ慣搷㐱昵ㅦ捤㡢挵㝡㑦挲改㜱㘲挱改摦㘲〴㌴ㅣ敢㜵㔰晤㑢挳㉤搶㝢ㄱ㑥㠷ㄳぢ㍥㥥昰㍥ㅡ㡥昵㍡愸晥愹攱㔶慦摦〴㔱㝥晡㥦攰敦㔷戰㑥愷ㄵ㐹搹㈹敢㕥敢㌵晤㔸扣㔸晦〰挵昳㘴㝤㥤㡥㈸晢昱㘷扡扡挸捡戳ㄵ慢㡥㙡挸攷㈰㕢㕢戴昲ㅣ〲慤慣㍣摢〰㡢㤵㈷㡤㌰捥昰慢㘱㤰㘶㕦㡡㝥ㄴ晤㈹戶愳ㄸ〰㠱㤵㠷摥㈸搲㤴㙦愲ㄸ㑥㔳㙥㡦㐸㐵ㄷ㤰㐲㑤ち㉢捦慢㤵㙡昲㔷ㅤ㔱昶㑢捤昴ㄲ㤱㥡っ愵㕤扢㈶攲晥挱㌲ㄶ搵㠴づㅦ㔲㤳㝡ㄶ戰㑢㠰㕥ㅢ㌸㠳㔷ㄸ愴ㄹ愴〸㔱㠴㈹㈲ㄴ㔱〸搴愴〳㐰愹挹戳敥㥡挴ㄱ愹攸㍤攱㔵㤳㈷㉡搵攴㜱ㅤ㔱晡戳捡〱晡㕢挸㐸ㄸ捥㑣晤㡡㑥ㄳ㤲改愳敥㑣㜷㘵愶昴㕡戰晡敡ㄲ㥣ㄹ愳愰攳っ㠱〹㈵愶ㅥ〴摡㥥㠱昱㐳㔶㠴㥦攰挰改㑤㘱㡣搳㜰㕣㕥挴搴㝤ㅡ㙥つ㥣昱㠴搳ㄳ挲戲㝥ㅣ攱ㄳ㌴ㅣ搷ぢ㌱昵㘷つ户㐶挲㈴㐴昹改敤㠰扦㕦㌱ㄲ攸㈲㈱㈹㍢ㅦ〹㜷㡣㠲㜵散㕣敦搲㍢搷㝢㐷㈹㝡㑤ㄴ㔸㉦摣㔱㔸㠵攲㜹㡥㠴摢㜵㐴改捦㌸〷攸㘷㈱慣㑦㐳㕤挰㍡晤㈲㠴昵㕢㤱挲改戴搳挹换㌲㐴㔹扣搰㔹挲㤸〹㥤摣㥤挳挶昵愶㈲㕡昶㈱㥡捥づㄶ㥡晥ㄲ挶㝥ㄶ㝡㈲户戹搷㘹戴㌵晢ㅣ㐰昴㜲㘰搸㙡攴㔵搱㈹挲㙥㐲㍦㝤ㅥ㙡愰挵㝦敥愳㤳㉤敤搵㜶㡡㑡戴㕡㍦ㅤ昱敡挸摥捥挳㐳愴昰愲昳㉡捤㕡搹㈲㝡愵㡥㈸晢ㄵ㘸㍡㐸挸㜰㍣㤴戵㐲㠱攵㈳㥥て〸ㄴて㐷晡㍡挸㜰㑣〳㡢攱㜸㈷挲㌸㠳ㅢㅢ愴㤹愵挸㔱攴㈹㘶㔳捣㠱挰㜰愴て㠳戴搱㐵㈸㠶搳㐶㠷㈱㔲搱㜱愰㔰㤳挲挴㜲㕥愵㥡㥣慢㈳捡㝥戲㜹㌵㉣慤敦㈷㥢昹㤶愰㕣扢晣㜰ㅢ㝦㑡慡㈶捦挷敢摤昳㤶㥡摥〱昲㤳㕤㑤昲㔲愰ㅥ昸㠵搵戶戹戹戶挹昸㈱㘱晣慥敡㡣挶㘶晤㔶ㅡ晣挰㌰㝦挶挴晥つ㑦㔳㐲㑣㙣攴愷戶攱㐷㍤扢攵㈷戶攳㐷愹戲戵捤搳㔲ㅤㅤ戹戶㤶摦挳换ㅢ昰㥡愶慥散扥昰愳攸愲㔴㔵戵攷ㅢ㤲㥥㐲戴攷㤳㜸㘱慣扥挰㠷晤挳㐴搵晣㘱搶㕦昷敡〶㘳ㅥ㥡摦㝥ぢ㕢搶昵㔳挳㕤搵搹㘸㘲换昵㝢㐹搵捦㔲㘶㍣攴㌷摢㠰㌷摡㈱扡㡣㙥㙦㤶㙥ち攱㌳㍢愰㤱㔷㠴㠹愸慡㜹〰摤愰戴㜲㝣㘷搵㜸搶扥收㠸挶㙣挷ㅣ㘳㑥慥㜱昶㥣づ扣㥢慡晢㔳㤶㜹㤱㕤ㅦ㐱搲捥晣ㄷ㌸搶扢㌵捦㑡戵戵愵ㄶ搵㌶捦㙡捡戵捣敥㤸㔳㍢㙢〱摣㌵昰ㄳ挹搸〹搶搶搶㥡ぢ㔰ㅥ㘶挵㡦愲㥦〱慤㥡㐷戸戵㝣㑥捦摥㙡㉣㠴搶㥢㠲㤳㍤㈹㌸ㄲ㜸攳㈸㠸㘲ちㄶ㐳攳愲㐰昱㔱㍦㘹戰て挵愷昹㔲㡣愳㠱㜴ち挷㠷昶愲㍤挶慤㝤ぢ㕡㈹摣ㄲ㘸摤㍦换㔹摣㐶挷㜸ㄶ昰㌸愴㌱㡥㠷㈸㉥攰〹搰戸ぢ昸㌶昲㈸㉡攰㕡扢㈸㈷〱改ㄴ㤰て挱愵㠰㈷扢戵㝣搶㉤摡㔳摣㕡㍥づ㤶㘲㥦ち慤㌷愷ぢ㍣㡢㝣㍡昰挶ㄹ㄰挵㐵㍥ㄳㅡ㜷㤱昹㐴戹愸挸㝣㘸㉣挵㌸ㅢ㐸愷挸㝣㌶㉣摡㜳㕣摡㐰ㄵ晡㠶㑣㥣攷㐲㕢搷㐵㔵㈳㉣㠵㍤て㘱㍦㝣㜳㜲ㄹ晣㕥㔶摦〵㜴搷㘹慦㔶捤㜶㐱晦ㄹ摥扣搰晦捦〷搶戸〰愲ぢ㝥㌹㡤㙦㔴攷㕣敤㌳㉦㠴挶㕤㔰㍥㠲㤵戹㜶づ慣㜰慥㤵㤵㕦㜵戵搵戳戵㝡㈳愴昷㈹㍥愶ㄵ㜴㕥慢㌷ㄱ戵㘱慢㜳㕡扤愹愸昹㈸㔷搰㔹慤ㅥ㈴敡㕡㕢㥤搱敡挱愲昶㐱㑤捡㙥ㄸ昹搱愸愳㐷㥤㌶㍡㄰㠰㐲㘸㔸㡥㌲㠳㠶㕥〸㤳〶㤳㌴㔴慢㐳㤱㕡㠶㝤㔱戵慦㘴晤㔸敤㐲㤵㔷㔲挵户㐳㡡挰㥢搶敤晣て搴昹㕢㔵敥㘳慢て搰㙡慢捡㝣㥥㉢㤵搸㕦慢慤㉡㙦㘲慢昷搳㙡慢捡㝣收㉢攸㝤戵㝡㤰搴㙤㌳㕢扤㡦㔶㕢㔵摥〲㙡㜷㤵㔵㕦㈸愴㡡ㅣ㑤㕤搵㑣愰换㘷戶㍦戲㍥ㅣ㌵㠵㔹敤㔶慡㕣㔵散慦つ〳㈳㠷摡ㅥち改㘸户〳改㜴扦ㅤ㙤敤㉡户戶摥搶摥攱搶㐶愱㤵㑥㜸㈷戴摥㈳㘶て捦攲摥〵扣挹㠹戸㔰摣扢愹㜲ㄵ㌷づ摢㐵愳㘵㤸㕤㠴㝢㠱㜴㡡扢慢慤扤捦愵つ㡣㠳㔶扡挹㙡㘸搱㑤挶㈳散敡㈶㘳散㐲ㄵ㜵㤳〷㔹㠲攲㙥昲㌰㔵慥㐲昱改愲㌴攵〸摤㘶㔶㌷㤹㘰慢㠷㙢戵搵㑤昸〴㔲搰扢㘸戵搵㑤㈶搹敡㘱㕡㙤㜵ㄳ㍥愵ㄴ㜴㔲慢〷㠱ㅥ㥦攲㜳㑢㔱㈷戴摡敡㈶㝢㐲㕤搴㑤㘶㐲㈱㙤昱㌴捡散摤ㄶ㜱㔸㈸敦㍡捦〲㙦慣㠱㈸㥥扤㥥㠳挶㕤昵㝤㜴㠶㔶攷㐱挳ㅤ〰㠵㜴㥦ㄷ㠰㜴摡攳㄰㕢晢愲㕢㥢搵㠵㌳慤㍥㕣敦㔹㤰㤷㤹㘳㜱ㅦ晥㙢㐹㈱昲愵㠵㌸捣捥敥㝦摣搹㜱㈱㤵愲扤收搶戶搹摡搷摤摡㠵搰㑡搷攰㑡摡㔵つ昴㉣摡㕢㠸㌳戹㙡ㄶ晡敢摢㔴戹扡挶㤱戰㔳搴㕦㡦戶戳㝢ㄷ㐸㠷㥦攳㙣敤㝢㙥敤㈹㜶㈱㉣㝥戶昶㉣挴晢捣戱㤸㥦て㑡ち㜱㕡㘹㈱捥戲戳晢㠷㍢扢昳㙣敤㐷㙥敤㠵戶昶㘳户㤶捦㔴㠴ㅦ慢㘸㝤㍣㡢昶扦㉣㐷㜱搱晥㐵㤵㡢㥦攵戰㔳挴捦㔵㜶㜶晦㜶㘷㜷慤慤晤摣慤扤搱搶晥挷慤攵㠳〷㔷搳㜵昷㉣摡㔷㉣㐷㜱搳㝤㐳㤵慢㘸慢㘰愷愸㘸㜷搹搹㝤攷捥敥㕥㕢晢扤㑢ㅢ攰㝤㝣㤹㙡㝥㠰ㄶ㔳捤㈳〸㑢愱慣ㄵ愹摡㉥㔴搱㔴昳㌳㑢㔰㍣搵㈸戳戸㔰扣挷㉦攳晥挷慦摣㡢昰㘳戶晡〷慤戶愶ㅡ㍥〷㄰昴昷㕡㙤㑤㌵㑦搸敡敦戴摡㥡㙡昸慣㐰搰摦㙡昵㈰㤹㙡㥥戲搵摦㘸戵㌵搵㍣〳㜵搱㔴挳ㅢ晥慥㉥昱ㄵ搰攵搳㑡㜷搶愷戸㑢搴㤵㔴昱㈵㙤搸㤹㔲㕥㠵㐲挶慤ㅦ㐸㘷挸扣㘱㙢〳㙥敤摢戶㜶㈳户昶㝤㘸㔹㌴愳ㄷ戴摥戳攰晦㝡ㄶ户て昰挶挶㄰挵戳攰㈶搰戸扢捡〷戰㕦搴㔵㍥戶㡢戱ㄹ㤰㑥㤱㍦戵戵㥢扢戵扣挹散攲㙤㥤㘷㐱戶㘲㡥挵扣㙤㔳㔲㠸慦㑡ぢ昱㥤㥤㕤㕦㜷㜶㍦搹摡㝥㙥㙤㌵扡㥥㜰摣摦慤慤㠵搶㔵戴户㍣㡢㌶㤰攵㈸㉥摡づ㔴戹㠶ㄲ㙦摡ㄶ昱挳摢戲㤲摤㘰㜷㜶扤㙣敤㡥㙥敤㈶戶㜶㠸㑢ㅢ搸ち㕡ㄹ㘰㐳愱挵〰摢〶㘱㈹慡㌵挰㕥戲㡢㕡㌴挰㜶〶戶㘴㠰㠵愸㜲ㄵ㤵户㌲㘵㄰㍣〷ぢ㠵㕤㙥㕦㕢扤㐶慢慤〱挶摢㥤㠲㝥㔶慢慤〱搶摦㔶㍦愳搵搶〰摢捥㔶㍦慤搵㠳㘴㠰つ戰搵㑦㘹昵㘰㔱㙦て戵㝢㠰〵㜸㕦㔳慡㥣戴慡捣㝢㤷慥㉡㍦㡥搴攵扢摣攱攵㔵摥戵愴捡㍢摢昹㍦愴昳户戶㉦㐱㕢晤愰㔶㕢㔵收㝤㔱愹昲〳㕡㙤㔵㌹㙣慢敦搷㙡慢捡ㄱ㕢扤㕡慢〷㐹摤愲戶晡㍥慤戶慡ㅣ㠷摡㕤㘵㌵ㅣち㔷〷扣〷攸昲㌹㘵〲敢㔳摣〱㈷㤵㔴㜱㔷㙤搸㤹㔳挶㐰㈱ㅤ㜰㌲㤰捥〰ㅤ㙦㙢愷戸戵扣户㈹搸㍤摤摡㘹搰戲㘸挶㔴㘸扤攷㤴摢㍣㡢扢ㄷ昰挶㜴㠸攲㌹㘵〶㌴敥㡥㌸ㅤ昶㡢挶捣㍥㜶㌱昶〶搲㈹㌲敦ㄹ㑡攱昶㜱㘹〳㠷㐲㉢㕤㘵㕦㘸㌱㍡搲〸扢扡捡㜵㜶挱㡡㐶挷〱㉣㐱昱昲㜳㄰㔵慥搱㤱㠱ㅤ㘹晣慢㜴扢㔹㕤㠵㜷攸㐴㝤愵㔶㕢㕤㠵昷散㐴㝤㠵㔶㕢㕤㈵㙦慢㔷㘸戵搵㔵㜸㕦㑦搰换戵㝡㤰㜴ㄵ摥改ㄳ昵攵㕡㍤㔸搴扣挷攷敥㉡㌵㙤㔰㙣昰㉤㈶摥㡢晣㤵㉦捥捣㠲ㄲ挵㝢㐳㜲㜳㌳㠷㤰摤ㄶ晥〵㕡㕢㑢㔶晣扣㌳㐳㡣㠴ㄴ敦戰戰㠸㘶㥥改ㄷ敢㌸㜳戶㍢晤搱敥ㄴ㝥摥㍣㈹愴㍦づ㈱㐹㍦㠷改㜹摦㐳昲㙦㜴愷㍦挹㥤挲捦㝢ㅢ㑥㝡㍦敦㘹㌸㈱挵㝢ㄳ㘲敤㌰㕡攳㉤〹戱㌶搷㙤敤㙣㜷ち㍦㙦㍢ㄴ搲昳㜶㠳㌴捡昹扡㔱昸〵ㄶ戳㤹挶㜸㌷㐱㑣户㌰㜴愱㑥㘶戶㈲㠴㜳昹愸攵㜶昲㜳摣挹て㘷〲㕥㤵㑢昲㌶㠶㔶摡挹摢摤挹㜹㔹㉢㤸づ㘲㙥戵㌱昳ㄱ㜲摡㠲㔷慦㑥㜹晤慢㡡㐲㜷戸㐳敡㉥㠴挴摡〲㕡攳〵愷㜰㜱㠴摢ㅡ㉦㉥ぢ搶㜸㔱改㠴搴㙡㠴㠴㡢㔳摣㤵㔹㐴㘳扣㜶ㄴ搳㐷㌲挴换㐶㌱㝤ㄴ㐲㌸户戸攰㠵㤶㘰ㄶㄳ挳敢㉢挱晣〱㈱愷㌲㉦㘸慤搵戱㜸つ㔵挸㥥搷㐷㤲晥㘸愶攷愵㤱愴㍦挶㥤㥥㤷㐱㑥ち㍦㉦㝦ち㈱㕥昶㌸㈱昵ㄶ㐲㘲㙤〹慤扤慤攳捣㘳摤搶摥㜵愷昰昳㡡愵㤰㥥㔷㈳㤲晥㌸愶晦挰㑥㝦扣㍢㍤㉦㍡㥣ㄴ㝥㕥㙣ㄴ㐲扣挸㜰㐲㡡ㄷ㄰㘲敤〴㕡晢㤷㡥㌳㑦㜴㕢攳㜵㠲㤳挲晦㜹㔱㠸搷〵㑥㥣晡ち㈱戱㜶ㄲ慤㜱扢捦㌸昳㘴户㌵㙥敤㥤ㄴ㝥㙥改㥤㤰晡〱㈱㘹攸㠵敥㠶㍥㤵挶戸㜳ㄷ搳愷㌱挴㑤扢㤸㍥ㅤ㈷㠸戱ㅡ㥡㕢㕦挱㥣挱㘸敥㝡〵㜳㈶㑥㥣㠶收づ搷挹搰捦㥤㙤㈱挴ㅤ慤ㄳ㔲摣㤹㡡戵戳愸收㠶㔴慣㥤㡤ㄳ挷ㅡ㌷㥦㑥ち㍦㌷㥤㑥㐸㜱㐳㈹改捦愱㥡㝢㐹㐹㝦㉥㑥㥣昴摣㌷㍡㈹晣摣㉦ㄶ㐲摣㈷㍡㈱挵㍤愰㔸㍢㡦㙡㙥晦挴摡㔲㥣㌸搶戸搵㜳㔲昸戹挵㉢㠴戸戵㜳㐲㡡㕢㍡㈱扡挹㑤昴〵挴散っ㈱ㄹ㕤挸㔰㠸㠲㙤㜸ㄱ㑥ㅣ愲戹㍤㤲攴㜳摣挹㉦㈱㤶扢㈱㐹㝥㈹㐳摣〸㐹昲换㜰攲㈴攷㜶㐲㌰换ㄸ捤㥤㠴㘰㉥挷㠹㔳ㄷ敥ㅡ㥣昲晡戹㕢㈸㠴戸㑢㜰㐲㙡㉦㠴挴摡㜲慡戹挸㡢戵ㄵ㌸㜱慣㜱㐱㜷㔲昸戹㤰㍢㈱挵〵㕣㉡㜳愸扢㌲㔷ㄲ挳昵㕡㑣㕦挵搰㐱ㄴ攴㘲㈵㑥㥣捡挸㙡㐵敤搵搰摡㐷㠰慢㤶㍣敡扣〶㈷收戵㄰㜵㍤㤵㉣㑣㠴㕥攷㠶㜲㠱ㄲ攸昵㠴摥㘰㐱㘵つ㉡㠳㜲㉤ㄲ攸㑤㠴摥㙣㐱㘵㠱㈱戴愸〰㜳㙤攸㉤㠴摥㉡㔰㍦㤷㡦㝤〱慤㕥愸㌲㠷㘶て㍤昴ㅢ㝦搷扥㕢㜴摤㙦㔴㡦㑢摥㝤㘶敤㜹慦ㅣ㌴攲挳ㅦ㤶㉤㝢攵晤昳搶晣戰㍡㍤攲挹慢慥㝡㙣搲㡡㌵㙢㝢攵慦愸扥敢㥢挹㔷㉣づ捤㕤㝣㜸㝥敦ㅤ㜷㕦扣晦㘱㝢㠵愶㙤㌴愴㑢㤷㙥摤㜶攸晤搴㘶㠳〲㑢づ扦㕢㍤晣晡愶㉤㑡㔶㈴㤶攵㌶攴挴㘳〰㍥㠱㔶〴挸㤷㜹㍢㑥捣㔵ㄴ㜷㔰摣㐹昱㈷㡡扢㈸晥㑣㜱㌷㠴晦㜰㠸摦戴㥣戲昴戱㐴昷㈰㈷ㅥ挳昰〹搸㑢愰㜹㉦㑢㜲ㅦ挵㙡㡡晢㈹ㅥ愰㜸㤰攲㈱㡡㠷㈱㤴慣㡥㐸㔹摣愰㕣㈵愵㤵ㅥ㈵昰㌱〸戴晤〲攲〹㉤㙡㈵㉥㠱〲㝤㠲搰㈷〵敡㕦㠴晦㝥搳摡ㅦ㠹っ愴㉣㑦攱㠴㠷搴摥㕥㌳捤愷愱㌵㥦愱㜸㤶㘲つ挵㜳ㄴ捦㔳扣㐰昱㈲㠴㕡㑣㠱搴收㕦㜰㘲ㅦ〱㉥慢㔲愵㤷㜰㘲扥っ㠱摡ㅦ㡤晦〴㕡搴昳戹㠲ち昴慦㠴扥㙡㐱㘵㔹愴搵㈲攸戱㌶昴㌵㐲㕦户愰戲〲㤶㐱戹ㄲ㡡搵㌷〹㝤换㠲㥥㠰晦捡ぢ挰㘵㑥愰㙦ㄳ晡㡥〵㤵戵慢捣敡挹㌶昴㍤㐲搷ち搴㝦㉡晥晢㑤㕢敡㌴㘴㈰挵晥㍢㑥㜸〴昱〹㥣㡥㠰㡣愷昷㜱㘲慥愳昸㠰攲㐳㡡㝦㔰㝣㐴昱㌱挵㍦㈱搴ㄹㄴ㐸㔹捣㈹搷㐵愹晤晦ㄲ昸㈹〴㕡敡㉣ㅢ晡㉦㥣搸㐷攰㙣〴〴晡ㄹ㑥捣㝦㐳〰㉡敢㕡㤹搵㜳㙤攸㝦〸晤挲㠲捡愲㔵〶㕤㙡㐳扦㈲昴㙢㠱晡㉦挰㝦扦㈹愷ㄷ㈲〳㈱攳ㅢ㥣昰㐸攰ㄳ戸〸〱攱昴㕢㥣㤸摦㔱㝣㑦昱〳挵㡦ㄴ㍦㔱晣㑣挱㌷㌵昸㉦挱搹㙦㕡捥㑢㤱㠱㤴㔳昱挵㄰㌸攲昸〴㉥㠳㔶捡㔹つ慤搹㠵愲㉢㐵つ㠵㐱搱㡤愲㤶挲㠴㔰换㙣㌳㐵攳㠹㙢慤㌴㘸㜷〲㝢㐰愰㐱㤷摢搰㍡㠴敤㈳戰挲㠶昶㈴搴㉦㔰㍦㤷挷摦戴昶戲攲愲っ㘶㐰㤷㘵㐷〴〲昶捡㙢㙥挴戲昴愲攸㑤搱㠷㘲㘳㡡㑤㈸㌶愵搸っ㈲㘰捦戶㡡敢戰慣昲ㅦ㝥㘹摤㜵㤲摡㙦〱㡣扡搶㡥㕡愷愳挶㈰慢㕡晣㜸㤴捤㤸攲捡㉣㠹摦㜷㈷摥㥡㠹㙦戰愳搶ㄶ㈷㔶㌷搹ㄱ敦戹搳昴㘵ㅡ㉥摣㘲敥㥤㤲㌴户搸ㄱ㙦扢搳㙣挷㌴户摡㔱㙦ㄵ愷〹㜰愵攵㡤㠸扡慥敡㜶ㅢ昳愶㍢昹昶㑣捥㐵㔷戲㝣㕤㐷㔹户ㄵ敥戰搵慦㘹戵㜵㕢㠱ぢ戳愰晦㐷慢慤摢ち㕣慡㐵晤慡㔶㙦㡡㝣㝤敡㉥㕢晤㔷慤ㅥ㈴㙡㉥攷㠲㝥㐵慢〷㡢㥡ぢ扣愸㕦搶㙡㥢敤㝢㄰愱㉢挲昵㔷㌰㉦㘹㡣㌴㤶㔴攴㍥㍢敡㉦㍡捡慡挸㙡㕢晤愲㔶㕢ㄵ攱捡㉤㠶㕥搰㙡慢㈲て搸敡攷戵摡慡挸㠳戶晡㌹慤戶㉡挲昵㕥㡣慣搱敡挱㔲ㄱ敥〰㐴晤慣㔶敢㡡㈸㉥晢ㄲ昱㡣㡥㤰搲㑢换㍦㘶㐷㍤㔵㤲㠶敢扦愴㜹搲㥤㐶扡攷㤳㜶搴攳挵㘹〲㕣扤㌵㘱㕣戲㈵昹㘳敥攴㐲ㄸㄷ㜲㠹㝡㐴㐷㔹㠴㜱㘹ㄷ昵挳㕡㙤ㄱ挶挵㕥搴て㘹戵㐵ㄸ㤷㝦㔱㍦愸搵ㄶ㘱摣㄰㠸晡〱慤戶〸攳ㄶ㐱搴昷㙢昵㘰㈱㡣㥢〶㔱慦搶㙡扢攵戹㝦㈰㐷㜵〱挵㑤㠳㘰敥搳ㄸ攱㙥㍣扢㌰户ㄲㄲ㜵㑦㜱㜲挵摤㠳㐴摣敤㑥㈳㝣㜳㑦㈱㔱㜷㤵愴攱㌶㐲㈲晥攴㑥㈳㈳㥡㥢ぢ㠹扡愳㈴つ昷ㄳㄲ戱捡㥤㐶昲攱㉥㐳愲㙥㉢㐹挳㡤㠵㐴摣㕡㤶㠶摢つ㠹扡愵㈴つ㜷ㄸㄲ昱㐷㜷ㅡ㈹ㅢ昷ㅤㄲ㜵㔳㜱㥡〰昷〷扡㉦㜰㔳㈰㤸ㅢ摤挹愵㉦㜰慢㈰㔱搷敢㈸慢㉦㜰昳㈰敡敢戴摡敡ぢ摣㑥㠸晡㕡慤戶晡〲㌷ㄸ愲扥㐶慢慤扥挰㉤㠷愸慦搶㙡慢㉦㜰ㄳ㈲敡㤵㕡㍤㔸晡〲户㈵愲扥㑡慢敤挱挳扤㠸㐴㕣愹㈳ち㠳㠷㍢ㄴ㠹㕡㔱㥣㈶挰慤㡡敥㍦摣㥦〸㘶戹㍢㜹㠶晤㠷扢ㄶ㠹㕡㔶㥣㕣㜱愳㈲ㄱ㤷戹搳㐸扢㜲晢㈲㔱㤷㤴愴攱㡥㐵㈲㉥㉥㑢挳㝤㡣㐴㕤㔴㥣㈶挰晤㠶㙥㈳㙥㌲〴㜳愱㍢戹戴ㄱ户ㅥㄲ㜵扥㡥戲摡㠸㥢ㄱ㔱㉦搵㙡慢㡤戸㍤ㄱ昵㜹㕡㙤戵ㄱ㌷㉣愲㍥㔷慢慤㌶攲ㄶ㐶搴攷㘸戵搵㐶摣搴㠸晡㙣慤ㅥ㉣㙤㔴〵搶㐴㝤㤶㔶摢攳㤵ㅢㄲ㕤ㄱ敥㐲〴㜳愶挶㐸㜳㐹㐵戸㌷㤱愸㌳㜴㤴㔵ㄱ敥㔶㐴㝤扡㔶㕢ㄵ攱晥㐵搴愷㘹戵㔵ㄱ挳㔶㥦慡搵㔶㐵戸挷ㄱ昴㈹㕡㙤㔵㠴扢ㅥ㔱㥦慣搵㔶㐵戸てㄲ昵㐹㕡㙤㜷㌶㙥㝥㈴攲㐴ㅤ㔱攸㙣摣ㄲ㐹搴昱挵㘹〲昶摥㐸㜱㍢㈴㠸攳摣㠹㡦㠱㔶㜱㤳㈴㔱㑢㑡ㄲ㜳㌳愳㤹攳づ㐶㌰挷戸㤳ぢ㜳摣搷㐸搴ㅦ㜴㤴挵ㅣ㜷㍡愲㕥慣搵ㄶ㜳摣晢㠸晡㈸慤戶㤸攳㙥㐸搴㐷㙡戵挵ㅣ昷㐷愲㕥愴搵ㄶ㜳摣㌱㠹㝡愱㔶㕢捣㜱て㈵敡㈳戴摡㘶㡥㉢ㄳ敦㡣昸ㄴ攷㈵敢㡣㈳挶㍡攳㡥挵㍡㘳㝤㜸㘶㥥㠶ㄳ㌵摥搱㜳㐴㕡〸ㄲ㘶㥤〹〴㍤捦㍣ㅤ㉡ㅥ㘴㉡挰㠰㌵戸扢晦㝦搲㙢愴㤹</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</si>
</sst>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0%"/>
    <numFmt numFmtId="177" formatCode="&quot;$&quot;#,##0"/>
  </numFmts>
  <fonts count="14" x14ac:knownFonts="1">
    <font>
      <sz val="10"/>
      <name val="Arial"/>
      <charset val="134"/>
    </font>
    <font>
      <b/>
      <sz val="12"/>
      <name val="Arial"/>
      <family val="2"/>
    </font>
    <font>
      <b/>
      <sz val="10"/>
      <name val="Arial"/>
      <family val="2"/>
    </font>
    <font>
      <b/>
      <sz val="10"/>
      <name val="宋体"/>
      <family val="3"/>
      <charset val="134"/>
    </font>
    <font>
      <sz val="12"/>
      <name val="Arial"/>
      <family val="2"/>
    </font>
    <font>
      <b/>
      <sz val="10"/>
      <color theme="2"/>
      <name val="Arial"/>
      <family val="2"/>
    </font>
    <font>
      <sz val="10"/>
      <name val="宋体"/>
      <family val="3"/>
      <charset val="134"/>
    </font>
    <font>
      <b/>
      <sz val="12"/>
      <name val="宋体"/>
      <family val="3"/>
      <charset val="134"/>
    </font>
    <font>
      <b/>
      <sz val="8"/>
      <name val="Arial"/>
      <family val="2"/>
    </font>
    <font>
      <sz val="10"/>
      <name val="Arial"/>
      <family val="2"/>
    </font>
    <font>
      <sz val="9"/>
      <name val="Arial"/>
      <family val="2"/>
    </font>
    <font>
      <b/>
      <sz val="10"/>
      <color theme="0" tint="-0.14999847407452621"/>
      <name val="Arial"/>
      <family val="2"/>
    </font>
    <font>
      <b/>
      <sz val="10"/>
      <color rgb="FFFF0000"/>
      <name val="Arial"/>
      <family val="2"/>
    </font>
    <font>
      <b/>
      <sz val="10"/>
      <color theme="0" tint="-0.499984740745262"/>
      <name val="Arial"/>
      <family val="2"/>
    </font>
  </fonts>
  <fills count="6">
    <fill>
      <patternFill patternType="none"/>
    </fill>
    <fill>
      <patternFill patternType="gray125"/>
    </fill>
    <fill>
      <patternFill patternType="solid">
        <fgColor indexed="15"/>
        <bgColor indexed="64"/>
      </patternFill>
    </fill>
    <fill>
      <patternFill patternType="solid">
        <fgColor rgb="FFFFFF00"/>
        <bgColor indexed="64"/>
      </patternFill>
    </fill>
    <fill>
      <patternFill patternType="solid">
        <fgColor rgb="FF00FFFF"/>
        <bgColor indexed="64"/>
      </patternFill>
    </fill>
    <fill>
      <patternFill patternType="solid">
        <fgColor theme="9" tint="0.59999389629810485"/>
        <bgColor indexed="64"/>
      </patternFill>
    </fill>
  </fills>
  <borders count="53">
    <border>
      <left/>
      <right/>
      <top/>
      <bottom/>
      <diagonal/>
    </border>
    <border>
      <left style="medium">
        <color auto="1"/>
      </left>
      <right/>
      <top style="medium">
        <color auto="1"/>
      </top>
      <bottom/>
      <diagonal/>
    </border>
    <border>
      <left/>
      <right/>
      <top style="medium">
        <color auto="1"/>
      </top>
      <bottom/>
      <diagonal/>
    </border>
    <border>
      <left style="thin">
        <color auto="1"/>
      </left>
      <right style="thin">
        <color auto="1"/>
      </right>
      <top style="medium">
        <color auto="1"/>
      </top>
      <bottom style="thin">
        <color auto="1"/>
      </bottom>
      <diagonal/>
    </border>
    <border>
      <left style="medium">
        <color auto="1"/>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style="thin">
        <color auto="1"/>
      </top>
      <bottom style="medium">
        <color auto="1"/>
      </bottom>
      <diagonal/>
    </border>
    <border>
      <left style="thick">
        <color auto="1"/>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style="medium">
        <color auto="1"/>
      </top>
      <bottom style="thin">
        <color auto="1"/>
      </bottom>
      <diagonal/>
    </border>
    <border>
      <left style="medium">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medium">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thin">
        <color auto="1"/>
      </right>
      <top style="medium">
        <color auto="1"/>
      </top>
      <bottom style="dotted">
        <color auto="1"/>
      </bottom>
      <diagonal/>
    </border>
    <border>
      <left style="thin">
        <color auto="1"/>
      </left>
      <right style="medium">
        <color auto="1"/>
      </right>
      <top style="medium">
        <color auto="1"/>
      </top>
      <bottom style="dotted">
        <color auto="1"/>
      </bottom>
      <diagonal/>
    </border>
    <border>
      <left style="thin">
        <color auto="1"/>
      </left>
      <right style="thin">
        <color auto="1"/>
      </right>
      <top style="dotted">
        <color auto="1"/>
      </top>
      <bottom style="dotted">
        <color auto="1"/>
      </bottom>
      <diagonal/>
    </border>
    <border>
      <left style="thin">
        <color auto="1"/>
      </left>
      <right style="medium">
        <color auto="1"/>
      </right>
      <top style="dotted">
        <color auto="1"/>
      </top>
      <bottom style="dotted">
        <color auto="1"/>
      </bottom>
      <diagonal/>
    </border>
    <border>
      <left style="medium">
        <color auto="1"/>
      </left>
      <right style="thin">
        <color auto="1"/>
      </right>
      <top style="medium">
        <color auto="1"/>
      </top>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thin">
        <color auto="1"/>
      </right>
      <top style="dotted">
        <color auto="1"/>
      </top>
      <bottom style="medium">
        <color auto="1"/>
      </bottom>
      <diagonal/>
    </border>
    <border>
      <left style="thin">
        <color auto="1"/>
      </left>
      <right style="medium">
        <color auto="1"/>
      </right>
      <top style="dotted">
        <color auto="1"/>
      </top>
      <bottom style="medium">
        <color auto="1"/>
      </bottom>
      <diagonal/>
    </border>
    <border>
      <left style="thin">
        <color auto="1"/>
      </left>
      <right style="thin">
        <color auto="1"/>
      </right>
      <top style="dotted">
        <color auto="1"/>
      </top>
      <bottom/>
      <diagonal/>
    </border>
    <border>
      <left style="thin">
        <color auto="1"/>
      </left>
      <right style="medium">
        <color auto="1"/>
      </right>
      <top style="dotted">
        <color auto="1"/>
      </top>
      <bottom/>
      <diagonal/>
    </border>
    <border>
      <left style="thin">
        <color auto="1"/>
      </left>
      <right style="thin">
        <color auto="1"/>
      </right>
      <top style="medium">
        <color auto="1"/>
      </top>
      <bottom/>
      <diagonal/>
    </border>
    <border>
      <left style="medium">
        <color auto="1"/>
      </left>
      <right style="medium">
        <color auto="1"/>
      </right>
      <top style="medium">
        <color auto="1"/>
      </top>
      <bottom/>
      <diagonal/>
    </border>
    <border>
      <left style="thin">
        <color auto="1"/>
      </left>
      <right style="thin">
        <color auto="1"/>
      </right>
      <top/>
      <bottom/>
      <diagonal/>
    </border>
    <border>
      <left style="medium">
        <color auto="1"/>
      </left>
      <right style="medium">
        <color auto="1"/>
      </right>
      <top/>
      <bottom style="thin">
        <color auto="1"/>
      </bottom>
      <diagonal/>
    </border>
    <border>
      <left style="thin">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thin">
        <color auto="1"/>
      </left>
      <right/>
      <top style="thin">
        <color auto="1"/>
      </top>
      <bottom style="medium">
        <color auto="1"/>
      </bottom>
      <diagonal/>
    </border>
    <border>
      <left style="medium">
        <color auto="1"/>
      </left>
      <right style="medium">
        <color auto="1"/>
      </right>
      <top style="thin">
        <color auto="1"/>
      </top>
      <bottom style="medium">
        <color auto="1"/>
      </bottom>
      <diagonal/>
    </border>
  </borders>
  <cellStyleXfs count="1">
    <xf numFmtId="0" fontId="0" fillId="0" borderId="0"/>
  </cellStyleXfs>
  <cellXfs count="148">
    <xf numFmtId="0" fontId="0" fillId="0" borderId="0" xfId="0"/>
    <xf numFmtId="0" fontId="0" fillId="0" borderId="2" xfId="0" applyBorder="1"/>
    <xf numFmtId="0" fontId="2" fillId="0" borderId="3" xfId="0" applyFont="1" applyBorder="1" applyAlignment="1">
      <alignment horizontal="center"/>
    </xf>
    <xf numFmtId="0" fontId="2" fillId="0" borderId="5" xfId="0" applyFont="1" applyBorder="1" applyAlignment="1">
      <alignment horizontal="center"/>
    </xf>
    <xf numFmtId="0" fontId="2" fillId="0" borderId="0" xfId="0" applyFont="1" applyAlignment="1">
      <alignment horizontal="right"/>
    </xf>
    <xf numFmtId="1" fontId="2" fillId="0" borderId="6" xfId="0" applyNumberFormat="1" applyFont="1" applyBorder="1" applyAlignment="1">
      <alignment horizontal="center"/>
    </xf>
    <xf numFmtId="0" fontId="2" fillId="0" borderId="8" xfId="0" applyFont="1" applyBorder="1" applyAlignment="1">
      <alignment horizontal="right"/>
    </xf>
    <xf numFmtId="1" fontId="2" fillId="0" borderId="9" xfId="0" applyNumberFormat="1" applyFont="1" applyBorder="1" applyAlignment="1">
      <alignment horizontal="center"/>
    </xf>
    <xf numFmtId="0" fontId="2" fillId="0" borderId="8" xfId="0" applyFont="1" applyBorder="1"/>
    <xf numFmtId="0" fontId="4" fillId="0" borderId="0" xfId="0" applyFont="1" applyAlignment="1">
      <alignment vertical="center" wrapText="1"/>
    </xf>
    <xf numFmtId="0" fontId="2" fillId="0" borderId="6" xfId="0" applyFont="1" applyBorder="1" applyAlignment="1">
      <alignment horizontal="center"/>
    </xf>
    <xf numFmtId="10" fontId="2" fillId="0" borderId="9" xfId="0" applyNumberFormat="1" applyFont="1" applyBorder="1" applyAlignment="1">
      <alignment horizontal="center"/>
    </xf>
    <xf numFmtId="10" fontId="2" fillId="0" borderId="8" xfId="0" applyNumberFormat="1" applyFont="1" applyBorder="1"/>
    <xf numFmtId="0" fontId="2" fillId="0" borderId="2" xfId="0" applyFont="1" applyBorder="1" applyAlignment="1">
      <alignment horizontal="right"/>
    </xf>
    <xf numFmtId="0" fontId="2" fillId="0" borderId="0" xfId="0" applyFont="1" applyAlignment="1">
      <alignment horizontal="center"/>
    </xf>
    <xf numFmtId="0" fontId="2" fillId="0" borderId="9" xfId="0" applyFont="1" applyBorder="1" applyAlignment="1">
      <alignment horizontal="center"/>
    </xf>
    <xf numFmtId="0" fontId="2" fillId="0" borderId="8" xfId="0" applyFont="1" applyBorder="1" applyAlignment="1">
      <alignment horizontal="center"/>
    </xf>
    <xf numFmtId="10" fontId="2" fillId="0" borderId="8" xfId="0" applyNumberFormat="1" applyFont="1" applyBorder="1" applyAlignment="1">
      <alignment horizontal="center"/>
    </xf>
    <xf numFmtId="0" fontId="5" fillId="0" borderId="6" xfId="0" applyFont="1" applyBorder="1" applyAlignment="1">
      <alignment horizontal="center"/>
    </xf>
    <xf numFmtId="10" fontId="5" fillId="0" borderId="9" xfId="0" applyNumberFormat="1" applyFont="1" applyBorder="1" applyAlignment="1">
      <alignment horizontal="center"/>
    </xf>
    <xf numFmtId="0" fontId="0" fillId="0" borderId="0" xfId="0" applyAlignment="1">
      <alignment wrapText="1"/>
    </xf>
    <xf numFmtId="0" fontId="1" fillId="0" borderId="0" xfId="0" applyFont="1"/>
    <xf numFmtId="0" fontId="2" fillId="0" borderId="10" xfId="0" applyFont="1" applyBorder="1" applyAlignment="1">
      <alignment vertical="top"/>
    </xf>
    <xf numFmtId="0" fontId="0" fillId="2" borderId="12" xfId="0" applyFill="1" applyBorder="1"/>
    <xf numFmtId="0" fontId="2" fillId="0" borderId="0" xfId="0" applyFont="1" applyAlignment="1">
      <alignment vertical="top"/>
    </xf>
    <xf numFmtId="0" fontId="2" fillId="0" borderId="0" xfId="0" applyFont="1" applyAlignment="1">
      <alignment wrapText="1"/>
    </xf>
    <xf numFmtId="0" fontId="2" fillId="0" borderId="13" xfId="0" applyFont="1" applyBorder="1" applyAlignment="1">
      <alignment horizontal="center"/>
    </xf>
    <xf numFmtId="0" fontId="2" fillId="0" borderId="14" xfId="0" applyFont="1" applyBorder="1" applyAlignment="1">
      <alignment horizontal="center"/>
    </xf>
    <xf numFmtId="1" fontId="2" fillId="0" borderId="15" xfId="0" applyNumberFormat="1" applyFont="1" applyBorder="1" applyAlignment="1">
      <alignment horizontal="center"/>
    </xf>
    <xf numFmtId="1" fontId="2" fillId="0" borderId="16" xfId="0" applyNumberFormat="1" applyFont="1" applyBorder="1" applyAlignment="1">
      <alignment horizontal="center"/>
    </xf>
    <xf numFmtId="0" fontId="2" fillId="0" borderId="15" xfId="0" applyFont="1" applyBorder="1" applyAlignment="1">
      <alignment horizontal="center"/>
    </xf>
    <xf numFmtId="0" fontId="2" fillId="0" borderId="16" xfId="0" applyFont="1" applyBorder="1" applyAlignment="1">
      <alignment horizontal="center"/>
    </xf>
    <xf numFmtId="0" fontId="5" fillId="0" borderId="15" xfId="0" applyFont="1" applyBorder="1" applyAlignment="1">
      <alignment horizontal="center"/>
    </xf>
    <xf numFmtId="10" fontId="5" fillId="0" borderId="16" xfId="0" applyNumberFormat="1" applyFont="1" applyBorder="1" applyAlignment="1">
      <alignment horizontal="center"/>
    </xf>
    <xf numFmtId="10" fontId="2" fillId="0" borderId="16" xfId="0" applyNumberFormat="1" applyFont="1" applyBorder="1" applyAlignment="1">
      <alignment horizontal="center"/>
    </xf>
    <xf numFmtId="0" fontId="6" fillId="0" borderId="0" xfId="0" applyFont="1"/>
    <xf numFmtId="0" fontId="2" fillId="3" borderId="0" xfId="0" applyFont="1" applyFill="1" applyAlignment="1">
      <alignment horizontal="center"/>
    </xf>
    <xf numFmtId="0" fontId="0" fillId="0" borderId="19" xfId="0" applyBorder="1"/>
    <xf numFmtId="0" fontId="0" fillId="0" borderId="5" xfId="0" applyBorder="1"/>
    <xf numFmtId="0" fontId="0" fillId="0" borderId="20" xfId="0" applyBorder="1"/>
    <xf numFmtId="0" fontId="2" fillId="0" borderId="21" xfId="0" applyFont="1" applyBorder="1" applyAlignment="1">
      <alignment horizontal="center"/>
    </xf>
    <xf numFmtId="176" fontId="0" fillId="0" borderId="0" xfId="0" applyNumberFormat="1"/>
    <xf numFmtId="0" fontId="0" fillId="0" borderId="17" xfId="0" applyBorder="1"/>
    <xf numFmtId="0" fontId="2" fillId="0" borderId="18" xfId="0" applyFont="1" applyBorder="1" applyAlignment="1">
      <alignment horizontal="right"/>
    </xf>
    <xf numFmtId="177" fontId="0" fillId="2" borderId="13" xfId="0" applyNumberFormat="1" applyFill="1" applyBorder="1"/>
    <xf numFmtId="0" fontId="0" fillId="0" borderId="22" xfId="0" applyBorder="1"/>
    <xf numFmtId="0" fontId="2" fillId="0" borderId="23" xfId="0" applyFont="1" applyBorder="1" applyAlignment="1">
      <alignment horizontal="right"/>
    </xf>
    <xf numFmtId="0" fontId="0" fillId="0" borderId="14" xfId="0" applyBorder="1"/>
    <xf numFmtId="0" fontId="0" fillId="0" borderId="24" xfId="0" applyBorder="1"/>
    <xf numFmtId="0" fontId="2" fillId="0" borderId="25" xfId="0" applyFont="1" applyBorder="1" applyAlignment="1">
      <alignment horizontal="right"/>
    </xf>
    <xf numFmtId="177" fontId="0" fillId="2" borderId="16" xfId="0" applyNumberFormat="1" applyFill="1" applyBorder="1"/>
    <xf numFmtId="0" fontId="2" fillId="0" borderId="0" xfId="0" applyFont="1"/>
    <xf numFmtId="0" fontId="0" fillId="0" borderId="26" xfId="0" applyBorder="1"/>
    <xf numFmtId="0" fontId="2" fillId="0" borderId="27" xfId="0" applyFont="1" applyBorder="1" applyAlignment="1">
      <alignment horizontal="right"/>
    </xf>
    <xf numFmtId="177" fontId="0" fillId="2" borderId="28" xfId="0" applyNumberFormat="1" applyFill="1" applyBorder="1"/>
    <xf numFmtId="0" fontId="0" fillId="4" borderId="0" xfId="0" applyFill="1"/>
    <xf numFmtId="0" fontId="2" fillId="0" borderId="31" xfId="0" applyFont="1" applyBorder="1"/>
    <xf numFmtId="0" fontId="2" fillId="0" borderId="31" xfId="0" applyFont="1" applyBorder="1" applyAlignment="1">
      <alignment horizontal="right"/>
    </xf>
    <xf numFmtId="177" fontId="0" fillId="0" borderId="19" xfId="0" applyNumberFormat="1" applyBorder="1" applyAlignment="1">
      <alignment horizontal="center"/>
    </xf>
    <xf numFmtId="177" fontId="0" fillId="0" borderId="5" xfId="0" applyNumberFormat="1" applyBorder="1" applyAlignment="1">
      <alignment horizontal="center"/>
    </xf>
    <xf numFmtId="177" fontId="0" fillId="0" borderId="14" xfId="0" applyNumberFormat="1" applyBorder="1" applyAlignment="1">
      <alignment horizontal="center"/>
    </xf>
    <xf numFmtId="177" fontId="2" fillId="0" borderId="19" xfId="0" applyNumberFormat="1" applyFont="1" applyBorder="1" applyAlignment="1">
      <alignment horizontal="center"/>
    </xf>
    <xf numFmtId="177" fontId="2" fillId="0" borderId="5" xfId="0" applyNumberFormat="1" applyFont="1" applyBorder="1" applyAlignment="1">
      <alignment horizontal="center"/>
    </xf>
    <xf numFmtId="177" fontId="2" fillId="0" borderId="14" xfId="0" applyNumberFormat="1" applyFont="1" applyBorder="1" applyAlignment="1">
      <alignment horizontal="center"/>
    </xf>
    <xf numFmtId="177" fontId="2" fillId="0" borderId="20" xfId="0" applyNumberFormat="1" applyFont="1" applyBorder="1" applyAlignment="1">
      <alignment horizontal="center"/>
    </xf>
    <xf numFmtId="177" fontId="2" fillId="0" borderId="9" xfId="0" applyNumberFormat="1" applyFont="1" applyBorder="1" applyAlignment="1">
      <alignment horizontal="center"/>
    </xf>
    <xf numFmtId="177" fontId="2" fillId="0" borderId="16" xfId="0" applyNumberFormat="1" applyFont="1" applyBorder="1" applyAlignment="1">
      <alignment horizontal="center"/>
    </xf>
    <xf numFmtId="177" fontId="2" fillId="0" borderId="0" xfId="0" applyNumberFormat="1" applyFont="1"/>
    <xf numFmtId="177" fontId="2" fillId="0" borderId="21" xfId="0" applyNumberFormat="1" applyFont="1" applyBorder="1" applyAlignment="1">
      <alignment horizontal="center"/>
    </xf>
    <xf numFmtId="177" fontId="2" fillId="0" borderId="3" xfId="0" applyNumberFormat="1" applyFont="1" applyBorder="1" applyAlignment="1">
      <alignment horizontal="center"/>
    </xf>
    <xf numFmtId="177" fontId="2" fillId="0" borderId="13" xfId="0" applyNumberFormat="1" applyFont="1" applyBorder="1" applyAlignment="1">
      <alignment horizontal="center"/>
    </xf>
    <xf numFmtId="177" fontId="0" fillId="0" borderId="0" xfId="0" applyNumberFormat="1"/>
    <xf numFmtId="177" fontId="2" fillId="0" borderId="31" xfId="0" applyNumberFormat="1" applyFont="1" applyBorder="1" applyAlignment="1">
      <alignment horizontal="center"/>
    </xf>
    <xf numFmtId="0" fontId="0" fillId="0" borderId="0" xfId="0" applyAlignment="1">
      <alignment vertical="top"/>
    </xf>
    <xf numFmtId="0" fontId="0" fillId="0" borderId="0" xfId="0" applyAlignment="1">
      <alignment vertical="top" wrapText="1"/>
    </xf>
    <xf numFmtId="0" fontId="2" fillId="0" borderId="32" xfId="0" applyFont="1" applyBorder="1" applyAlignment="1">
      <alignment horizontal="center" vertical="center"/>
    </xf>
    <xf numFmtId="0" fontId="2" fillId="0" borderId="33" xfId="0" applyFont="1" applyBorder="1" applyAlignment="1">
      <alignment horizontal="center" vertical="center"/>
    </xf>
    <xf numFmtId="0" fontId="2" fillId="0" borderId="28" xfId="0" applyFont="1" applyBorder="1" applyAlignment="1">
      <alignment horizontal="center" vertical="center" wrapText="1"/>
    </xf>
    <xf numFmtId="0" fontId="2" fillId="0" borderId="34" xfId="0" applyFont="1" applyBorder="1" applyAlignment="1">
      <alignment horizontal="left" vertical="top"/>
    </xf>
    <xf numFmtId="0" fontId="2" fillId="0" borderId="35" xfId="0" applyFont="1" applyBorder="1" applyAlignment="1">
      <alignment horizontal="left" vertical="top" wrapText="1"/>
    </xf>
    <xf numFmtId="0" fontId="2" fillId="0" borderId="36" xfId="0" applyFont="1" applyBorder="1" applyAlignment="1">
      <alignment horizontal="left" vertical="top"/>
    </xf>
    <xf numFmtId="0" fontId="2" fillId="0" borderId="37" xfId="0" applyFont="1" applyBorder="1" applyAlignment="1">
      <alignment horizontal="left" vertical="top" wrapText="1"/>
    </xf>
    <xf numFmtId="0" fontId="2" fillId="0" borderId="41" xfId="0" applyFont="1" applyBorder="1" applyAlignment="1">
      <alignment horizontal="left" vertical="top"/>
    </xf>
    <xf numFmtId="0" fontId="2" fillId="0" borderId="42" xfId="0" applyFont="1" applyBorder="1" applyAlignment="1">
      <alignment horizontal="left" vertical="top" wrapText="1"/>
    </xf>
    <xf numFmtId="0" fontId="2" fillId="0" borderId="43" xfId="0" applyFont="1" applyBorder="1" applyAlignment="1">
      <alignment horizontal="left" vertical="top"/>
    </xf>
    <xf numFmtId="0" fontId="2" fillId="0" borderId="44" xfId="0" applyFont="1" applyBorder="1" applyAlignment="1">
      <alignment horizontal="left" vertical="top" wrapText="1"/>
    </xf>
    <xf numFmtId="0" fontId="2" fillId="0" borderId="0" xfId="0" applyFont="1" applyAlignment="1">
      <alignment horizontal="right" vertical="top"/>
    </xf>
    <xf numFmtId="0" fontId="2" fillId="0" borderId="0" xfId="0" applyFont="1" applyAlignment="1">
      <alignment horizontal="right" vertical="top" wrapText="1"/>
    </xf>
    <xf numFmtId="0" fontId="2" fillId="0" borderId="45" xfId="0" applyFont="1" applyBorder="1" applyAlignment="1">
      <alignment horizontal="center"/>
    </xf>
    <xf numFmtId="0" fontId="2" fillId="0" borderId="46" xfId="0" applyFont="1" applyBorder="1" applyAlignment="1">
      <alignment horizontal="center"/>
    </xf>
    <xf numFmtId="0" fontId="0" fillId="0" borderId="47" xfId="0" applyBorder="1"/>
    <xf numFmtId="177" fontId="2" fillId="0" borderId="48" xfId="0" applyNumberFormat="1" applyFont="1" applyBorder="1" applyAlignment="1">
      <alignment horizontal="center"/>
    </xf>
    <xf numFmtId="0" fontId="2" fillId="0" borderId="49" xfId="0" applyFont="1" applyBorder="1" applyAlignment="1">
      <alignment horizontal="left"/>
    </xf>
    <xf numFmtId="0" fontId="2" fillId="0" borderId="5" xfId="0" applyFont="1" applyBorder="1" applyAlignment="1">
      <alignment horizontal="left"/>
    </xf>
    <xf numFmtId="0" fontId="2" fillId="0" borderId="14" xfId="0" applyFont="1" applyBorder="1" applyAlignment="1">
      <alignment horizontal="right"/>
    </xf>
    <xf numFmtId="0" fontId="2" fillId="0" borderId="50" xfId="0" applyFont="1" applyBorder="1"/>
    <xf numFmtId="0" fontId="2" fillId="0" borderId="51" xfId="0" applyFont="1" applyBorder="1" applyAlignment="1">
      <alignment horizontal="left"/>
    </xf>
    <xf numFmtId="0" fontId="2" fillId="0" borderId="9" xfId="0" applyFont="1" applyBorder="1" applyAlignment="1">
      <alignment horizontal="left"/>
    </xf>
    <xf numFmtId="0" fontId="2" fillId="0" borderId="16" xfId="0" applyFont="1" applyBorder="1" applyAlignment="1">
      <alignment horizontal="right"/>
    </xf>
    <xf numFmtId="177" fontId="2" fillId="0" borderId="46" xfId="0" applyNumberFormat="1" applyFont="1" applyBorder="1" applyAlignment="1">
      <alignment horizontal="center"/>
    </xf>
    <xf numFmtId="0" fontId="2" fillId="0" borderId="47" xfId="0" applyFont="1" applyBorder="1" applyAlignment="1">
      <alignment horizontal="right"/>
    </xf>
    <xf numFmtId="0" fontId="2" fillId="0" borderId="52" xfId="0" applyFont="1" applyBorder="1"/>
    <xf numFmtId="0" fontId="0" fillId="0" borderId="0" xfId="0" quotePrefix="1"/>
    <xf numFmtId="177" fontId="2" fillId="0" borderId="50" xfId="0" quotePrefix="1" applyNumberFormat="1" applyFont="1" applyBorder="1" applyAlignment="1">
      <alignment horizontal="center"/>
    </xf>
    <xf numFmtId="177" fontId="2" fillId="0" borderId="52" xfId="0" quotePrefix="1" applyNumberFormat="1" applyFont="1" applyBorder="1" applyAlignment="1">
      <alignment horizontal="center"/>
    </xf>
    <xf numFmtId="177" fontId="2" fillId="5" borderId="0" xfId="0" applyNumberFormat="1" applyFont="1" applyFill="1" applyAlignment="1">
      <alignment horizontal="center"/>
    </xf>
    <xf numFmtId="177" fontId="2" fillId="5" borderId="5" xfId="0" applyNumberFormat="1" applyFont="1" applyFill="1" applyBorder="1" applyAlignment="1">
      <alignment horizontal="center"/>
    </xf>
    <xf numFmtId="177" fontId="2" fillId="5" borderId="9" xfId="0" applyNumberFormat="1" applyFont="1" applyFill="1" applyBorder="1" applyAlignment="1">
      <alignment horizontal="center"/>
    </xf>
    <xf numFmtId="1" fontId="0" fillId="5" borderId="5" xfId="0" applyNumberFormat="1" applyFill="1" applyBorder="1"/>
    <xf numFmtId="1" fontId="0" fillId="5" borderId="14" xfId="0" applyNumberFormat="1" applyFill="1" applyBorder="1"/>
    <xf numFmtId="0" fontId="0" fillId="5" borderId="14" xfId="0" applyFill="1" applyBorder="1"/>
    <xf numFmtId="0" fontId="9" fillId="0" borderId="5" xfId="0" applyFont="1" applyBorder="1"/>
    <xf numFmtId="0" fontId="1" fillId="0" borderId="1" xfId="0" applyFont="1" applyBorder="1" applyAlignment="1">
      <alignment vertical="center" wrapText="1"/>
    </xf>
    <xf numFmtId="0" fontId="4" fillId="0" borderId="4" xfId="0" applyFont="1" applyBorder="1" applyAlignment="1">
      <alignment vertical="center" wrapText="1"/>
    </xf>
    <xf numFmtId="0" fontId="4" fillId="0" borderId="7" xfId="0" applyFont="1" applyBorder="1" applyAlignment="1">
      <alignment vertical="center" wrapText="1"/>
    </xf>
    <xf numFmtId="0" fontId="1" fillId="0" borderId="4" xfId="0" applyFont="1" applyBorder="1" applyAlignment="1">
      <alignment vertical="center" wrapText="1"/>
    </xf>
    <xf numFmtId="0" fontId="1" fillId="0" borderId="38" xfId="0" applyFont="1" applyBorder="1" applyAlignment="1">
      <alignment vertical="center" wrapText="1"/>
    </xf>
    <xf numFmtId="0" fontId="1" fillId="0" borderId="39" xfId="0" applyFont="1" applyBorder="1" applyAlignment="1">
      <alignment vertical="center" wrapText="1"/>
    </xf>
    <xf numFmtId="0" fontId="1" fillId="0" borderId="40" xfId="0" applyFont="1" applyBorder="1" applyAlignment="1">
      <alignment vertical="center" wrapText="1"/>
    </xf>
    <xf numFmtId="0" fontId="1" fillId="0" borderId="7" xfId="0" applyFont="1" applyBorder="1" applyAlignment="1">
      <alignment vertical="center" wrapText="1"/>
    </xf>
    <xf numFmtId="0" fontId="2" fillId="0" borderId="3" xfId="0" applyFont="1" applyBorder="1" applyAlignment="1">
      <alignment horizontal="center"/>
    </xf>
    <xf numFmtId="0" fontId="2" fillId="0" borderId="13" xfId="0" applyFont="1" applyBorder="1" applyAlignment="1">
      <alignment horizontal="center"/>
    </xf>
    <xf numFmtId="0" fontId="3" fillId="0" borderId="3" xfId="0" applyFont="1" applyBorder="1" applyAlignment="1">
      <alignment horizontal="center"/>
    </xf>
    <xf numFmtId="0" fontId="2" fillId="0" borderId="21" xfId="0" applyFont="1" applyBorder="1" applyAlignment="1">
      <alignment horizontal="center"/>
    </xf>
    <xf numFmtId="0" fontId="2" fillId="0" borderId="17" xfId="0" applyFont="1" applyBorder="1" applyAlignment="1">
      <alignment horizontal="left"/>
    </xf>
    <xf numFmtId="0" fontId="2" fillId="0" borderId="18" xfId="0" applyFont="1" applyBorder="1" applyAlignment="1">
      <alignment horizontal="left"/>
    </xf>
    <xf numFmtId="0" fontId="2" fillId="0" borderId="0" xfId="0" applyFont="1" applyAlignment="1">
      <alignment wrapText="1"/>
    </xf>
    <xf numFmtId="0" fontId="2" fillId="0" borderId="29" xfId="0" applyFont="1" applyBorder="1" applyAlignment="1">
      <alignment horizontal="left"/>
    </xf>
    <xf numFmtId="0" fontId="2" fillId="0" borderId="30" xfId="0" applyFont="1" applyBorder="1" applyAlignment="1">
      <alignment horizontal="left"/>
    </xf>
    <xf numFmtId="0" fontId="2" fillId="0" borderId="0" xfId="0" applyFont="1" applyAlignment="1">
      <alignment horizontal="center"/>
    </xf>
    <xf numFmtId="0" fontId="2" fillId="0" borderId="21" xfId="0" applyFont="1" applyBorder="1" applyAlignment="1">
      <alignment horizontal="left"/>
    </xf>
    <xf numFmtId="0" fontId="2" fillId="0" borderId="3" xfId="0" applyFont="1" applyBorder="1" applyAlignment="1">
      <alignment horizontal="left"/>
    </xf>
    <xf numFmtId="0" fontId="2" fillId="0" borderId="13" xfId="0" applyFont="1" applyBorder="1" applyAlignment="1">
      <alignment horizontal="left"/>
    </xf>
    <xf numFmtId="0" fontId="3" fillId="0" borderId="11" xfId="0" applyFont="1" applyBorder="1" applyAlignment="1">
      <alignment wrapText="1"/>
    </xf>
    <xf numFmtId="0" fontId="2" fillId="0" borderId="11" xfId="0" applyFont="1" applyBorder="1" applyAlignment="1">
      <alignment wrapText="1"/>
    </xf>
    <xf numFmtId="1" fontId="11" fillId="0" borderId="6" xfId="0" applyNumberFormat="1" applyFont="1" applyBorder="1" applyAlignment="1">
      <alignment horizontal="center"/>
    </xf>
    <xf numFmtId="1" fontId="11" fillId="0" borderId="9" xfId="0" applyNumberFormat="1" applyFont="1" applyBorder="1" applyAlignment="1">
      <alignment horizontal="center"/>
    </xf>
    <xf numFmtId="0" fontId="11" fillId="0" borderId="6" xfId="0" applyFont="1" applyBorder="1" applyAlignment="1">
      <alignment horizontal="center"/>
    </xf>
    <xf numFmtId="0" fontId="12" fillId="0" borderId="6" xfId="0" applyFont="1" applyBorder="1" applyAlignment="1">
      <alignment horizontal="center"/>
    </xf>
    <xf numFmtId="10" fontId="11" fillId="0" borderId="9" xfId="0" applyNumberFormat="1" applyFont="1" applyBorder="1" applyAlignment="1">
      <alignment horizontal="center"/>
    </xf>
    <xf numFmtId="10" fontId="12" fillId="0" borderId="9" xfId="0" applyNumberFormat="1" applyFont="1" applyBorder="1" applyAlignment="1">
      <alignment horizontal="center"/>
    </xf>
    <xf numFmtId="0" fontId="11" fillId="0" borderId="9" xfId="0" applyFont="1" applyBorder="1" applyAlignment="1">
      <alignment horizontal="center"/>
    </xf>
    <xf numFmtId="0" fontId="11" fillId="0" borderId="15" xfId="0" applyFont="1" applyBorder="1" applyAlignment="1">
      <alignment horizontal="center"/>
    </xf>
    <xf numFmtId="10" fontId="11" fillId="0" borderId="16" xfId="0" applyNumberFormat="1" applyFont="1" applyBorder="1" applyAlignment="1">
      <alignment horizontal="center"/>
    </xf>
    <xf numFmtId="0" fontId="12" fillId="0" borderId="15" xfId="0" applyFont="1" applyBorder="1" applyAlignment="1">
      <alignment horizontal="center"/>
    </xf>
    <xf numFmtId="0" fontId="13" fillId="0" borderId="6" xfId="0" applyFont="1" applyBorder="1" applyAlignment="1">
      <alignment horizontal="center"/>
    </xf>
    <xf numFmtId="10" fontId="12" fillId="0" borderId="16" xfId="0" applyNumberFormat="1" applyFont="1" applyBorder="1" applyAlignment="1">
      <alignment horizontal="center"/>
    </xf>
    <xf numFmtId="10" fontId="13" fillId="0" borderId="9" xfId="0" applyNumberFormat="1" applyFont="1" applyBorder="1" applyAlignment="1">
      <alignment horizont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570865</xdr:colOff>
      <xdr:row>1</xdr:row>
      <xdr:rowOff>635</xdr:rowOff>
    </xdr:from>
    <xdr:to>
      <xdr:col>17</xdr:col>
      <xdr:colOff>751840</xdr:colOff>
      <xdr:row>50</xdr:row>
      <xdr:rowOff>49530</xdr:rowOff>
    </xdr:to>
    <xdr:sp macro="" textlink="">
      <xdr:nvSpPr>
        <xdr:cNvPr id="2188" name="Rectangle 140" descr="5d28a36c-a538-46b5-82bb-37dd028aa433">
          <a:extLst>
            <a:ext uri="{FF2B5EF4-FFF2-40B4-BE49-F238E27FC236}">
              <a16:creationId xmlns:a16="http://schemas.microsoft.com/office/drawing/2014/main" id="{00000000-0008-0000-0300-00008C080000}"/>
            </a:ext>
          </a:extLst>
        </xdr:cNvPr>
        <xdr:cNvSpPr>
          <a:spLocks noChangeArrowheads="1"/>
        </xdr:cNvSpPr>
      </xdr:nvSpPr>
      <xdr:spPr>
        <a:xfrm>
          <a:off x="570865" y="172085"/>
          <a:ext cx="11772265" cy="8421370"/>
        </a:xfrm>
        <a:prstGeom prst="rect">
          <a:avLst/>
        </a:prstGeom>
        <a:noFill/>
        <a:ln w="57150">
          <a:solidFill>
            <a:srgbClr val="FF0000"/>
          </a:solidFill>
          <a:miter lim="800000"/>
        </a:ln>
      </xdr:spPr>
    </xdr:sp>
    <xdr:clientData/>
  </xdr:twoCellAnchor>
  <xdr:twoCellAnchor>
    <xdr:from>
      <xdr:col>0</xdr:col>
      <xdr:colOff>85725</xdr:colOff>
      <xdr:row>0</xdr:row>
      <xdr:rowOff>28575</xdr:rowOff>
    </xdr:from>
    <xdr:to>
      <xdr:col>1</xdr:col>
      <xdr:colOff>1114425</xdr:colOff>
      <xdr:row>2</xdr:row>
      <xdr:rowOff>19050</xdr:rowOff>
    </xdr:to>
    <xdr:sp macro="" textlink="">
      <xdr:nvSpPr>
        <xdr:cNvPr id="2189" name="AutoShape 141" descr="ab25775f-16e5-44a2-9d2b-8384497e8c07">
          <a:extLst>
            <a:ext uri="{FF2B5EF4-FFF2-40B4-BE49-F238E27FC236}">
              <a16:creationId xmlns:a16="http://schemas.microsoft.com/office/drawing/2014/main" id="{00000000-0008-0000-0300-00008D080000}"/>
            </a:ext>
          </a:extLst>
        </xdr:cNvPr>
        <xdr:cNvSpPr>
          <a:spLocks noChangeArrowheads="1"/>
        </xdr:cNvSpPr>
      </xdr:nvSpPr>
      <xdr:spPr>
        <a:xfrm>
          <a:off x="85725" y="28575"/>
          <a:ext cx="1628775" cy="323850"/>
        </a:xfrm>
        <a:prstGeom prst="wedgeRoundRectCallout">
          <a:avLst>
            <a:gd name="adj1" fmla="val 64727"/>
            <a:gd name="adj2" fmla="val 50000"/>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1 B2:R60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18</xdr:col>
      <xdr:colOff>581025</xdr:colOff>
      <xdr:row>0</xdr:row>
      <xdr:rowOff>161925</xdr:rowOff>
    </xdr:from>
    <xdr:to>
      <xdr:col>20</xdr:col>
      <xdr:colOff>781050</xdr:colOff>
      <xdr:row>50</xdr:row>
      <xdr:rowOff>38100</xdr:rowOff>
    </xdr:to>
    <xdr:sp macro="" textlink="">
      <xdr:nvSpPr>
        <xdr:cNvPr id="2190" name="Rectangle 142" descr="cb347a33-3ff7-4827-8839-a9d5d706367a">
          <a:extLst>
            <a:ext uri="{FF2B5EF4-FFF2-40B4-BE49-F238E27FC236}">
              <a16:creationId xmlns:a16="http://schemas.microsoft.com/office/drawing/2014/main" id="{00000000-0008-0000-0300-00008E080000}"/>
            </a:ext>
          </a:extLst>
        </xdr:cNvPr>
        <xdr:cNvSpPr>
          <a:spLocks noChangeArrowheads="1"/>
        </xdr:cNvSpPr>
      </xdr:nvSpPr>
      <xdr:spPr>
        <a:xfrm>
          <a:off x="12942570" y="161925"/>
          <a:ext cx="2503805" cy="8420100"/>
        </a:xfrm>
        <a:prstGeom prst="rect">
          <a:avLst/>
        </a:prstGeom>
        <a:noFill/>
        <a:ln w="57150">
          <a:solidFill>
            <a:srgbClr val="FF0000"/>
          </a:solidFill>
          <a:miter lim="800000"/>
        </a:ln>
      </xdr:spPr>
    </xdr:sp>
    <xdr:clientData/>
  </xdr:twoCellAnchor>
  <xdr:twoCellAnchor>
    <xdr:from>
      <xdr:col>16</xdr:col>
      <xdr:colOff>238125</xdr:colOff>
      <xdr:row>0</xdr:row>
      <xdr:rowOff>47625</xdr:rowOff>
    </xdr:from>
    <xdr:to>
      <xdr:col>18</xdr:col>
      <xdr:colOff>561975</xdr:colOff>
      <xdr:row>2</xdr:row>
      <xdr:rowOff>28575</xdr:rowOff>
    </xdr:to>
    <xdr:sp macro="" textlink="">
      <xdr:nvSpPr>
        <xdr:cNvPr id="2191" name="AutoShape 143" descr="be606e54-6d60-4651-9e9d-a550f94765ef">
          <a:extLst>
            <a:ext uri="{FF2B5EF4-FFF2-40B4-BE49-F238E27FC236}">
              <a16:creationId xmlns:a16="http://schemas.microsoft.com/office/drawing/2014/main" id="{00000000-0008-0000-0300-00008F080000}"/>
            </a:ext>
          </a:extLst>
        </xdr:cNvPr>
        <xdr:cNvSpPr>
          <a:spLocks noChangeArrowheads="1"/>
        </xdr:cNvSpPr>
      </xdr:nvSpPr>
      <xdr:spPr>
        <a:xfrm>
          <a:off x="11095990" y="47625"/>
          <a:ext cx="1827530" cy="314325"/>
        </a:xfrm>
        <a:prstGeom prst="wedgeRoundRectCallout">
          <a:avLst>
            <a:gd name="adj1" fmla="val 54764"/>
            <a:gd name="adj2" fmla="val 92306"/>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2 T2:U60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21</xdr:col>
      <xdr:colOff>0</xdr:colOff>
      <xdr:row>0</xdr:row>
      <xdr:rowOff>161925</xdr:rowOff>
    </xdr:from>
    <xdr:to>
      <xdr:col>28</xdr:col>
      <xdr:colOff>590550</xdr:colOff>
      <xdr:row>50</xdr:row>
      <xdr:rowOff>38100</xdr:rowOff>
    </xdr:to>
    <xdr:sp macro="" textlink="">
      <xdr:nvSpPr>
        <xdr:cNvPr id="2192" name="Rectangle 144" descr="8fa9e567-cb7e-44ef-9aaf-96812d8de5ca">
          <a:extLst>
            <a:ext uri="{FF2B5EF4-FFF2-40B4-BE49-F238E27FC236}">
              <a16:creationId xmlns:a16="http://schemas.microsoft.com/office/drawing/2014/main" id="{00000000-0008-0000-0300-000090080000}"/>
            </a:ext>
          </a:extLst>
        </xdr:cNvPr>
        <xdr:cNvSpPr>
          <a:spLocks noChangeArrowheads="1"/>
        </xdr:cNvSpPr>
      </xdr:nvSpPr>
      <xdr:spPr>
        <a:xfrm>
          <a:off x="15465425" y="161925"/>
          <a:ext cx="4923155" cy="8420100"/>
        </a:xfrm>
        <a:prstGeom prst="rect">
          <a:avLst/>
        </a:prstGeom>
        <a:noFill/>
        <a:ln w="57150">
          <a:solidFill>
            <a:srgbClr val="FF0000"/>
          </a:solidFill>
          <a:miter lim="800000"/>
        </a:ln>
      </xdr:spPr>
    </xdr:sp>
    <xdr:clientData/>
  </xdr:twoCellAnchor>
  <xdr:twoCellAnchor>
    <xdr:from>
      <xdr:col>26</xdr:col>
      <xdr:colOff>381000</xdr:colOff>
      <xdr:row>0</xdr:row>
      <xdr:rowOff>28575</xdr:rowOff>
    </xdr:from>
    <xdr:to>
      <xdr:col>29</xdr:col>
      <xdr:colOff>276225</xdr:colOff>
      <xdr:row>2</xdr:row>
      <xdr:rowOff>9525</xdr:rowOff>
    </xdr:to>
    <xdr:sp macro="" textlink="">
      <xdr:nvSpPr>
        <xdr:cNvPr id="2193" name="AutoShape 145" descr="e66b4c11-ea45-47c6-8502-1aee74ba94bc">
          <a:extLst>
            <a:ext uri="{FF2B5EF4-FFF2-40B4-BE49-F238E27FC236}">
              <a16:creationId xmlns:a16="http://schemas.microsoft.com/office/drawing/2014/main" id="{00000000-0008-0000-0300-000091080000}"/>
            </a:ext>
          </a:extLst>
        </xdr:cNvPr>
        <xdr:cNvSpPr>
          <a:spLocks noChangeArrowheads="1"/>
        </xdr:cNvSpPr>
      </xdr:nvSpPr>
      <xdr:spPr>
        <a:xfrm>
          <a:off x="18978880" y="28575"/>
          <a:ext cx="1695450" cy="314325"/>
        </a:xfrm>
        <a:prstGeom prst="wedgeRoundRectCallout">
          <a:avLst>
            <a:gd name="adj1" fmla="val -24264"/>
            <a:gd name="adj2" fmla="val 94000"/>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3 V2:AC60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29</xdr:col>
      <xdr:colOff>571500</xdr:colOff>
      <xdr:row>0</xdr:row>
      <xdr:rowOff>142875</xdr:rowOff>
    </xdr:from>
    <xdr:to>
      <xdr:col>38</xdr:col>
      <xdr:colOff>19050</xdr:colOff>
      <xdr:row>50</xdr:row>
      <xdr:rowOff>19050</xdr:rowOff>
    </xdr:to>
    <xdr:sp macro="" textlink="">
      <xdr:nvSpPr>
        <xdr:cNvPr id="2194" name="Rectangle 146" descr="25bab48a-784d-4efa-ab31-883ccd4708a8">
          <a:extLst>
            <a:ext uri="{FF2B5EF4-FFF2-40B4-BE49-F238E27FC236}">
              <a16:creationId xmlns:a16="http://schemas.microsoft.com/office/drawing/2014/main" id="{00000000-0008-0000-0300-000092080000}"/>
            </a:ext>
          </a:extLst>
        </xdr:cNvPr>
        <xdr:cNvSpPr>
          <a:spLocks noChangeArrowheads="1"/>
        </xdr:cNvSpPr>
      </xdr:nvSpPr>
      <xdr:spPr>
        <a:xfrm>
          <a:off x="20969605" y="142875"/>
          <a:ext cx="6558280" cy="8420100"/>
        </a:xfrm>
        <a:prstGeom prst="rect">
          <a:avLst/>
        </a:prstGeom>
        <a:noFill/>
        <a:ln w="57150">
          <a:solidFill>
            <a:srgbClr val="FF0000"/>
          </a:solidFill>
          <a:miter lim="800000"/>
        </a:ln>
      </xdr:spPr>
    </xdr:sp>
    <xdr:clientData/>
  </xdr:twoCellAnchor>
  <xdr:twoCellAnchor>
    <xdr:from>
      <xdr:col>29</xdr:col>
      <xdr:colOff>523875</xdr:colOff>
      <xdr:row>0</xdr:row>
      <xdr:rowOff>28575</xdr:rowOff>
    </xdr:from>
    <xdr:to>
      <xdr:col>31</xdr:col>
      <xdr:colOff>561975</xdr:colOff>
      <xdr:row>2</xdr:row>
      <xdr:rowOff>9525</xdr:rowOff>
    </xdr:to>
    <xdr:sp macro="" textlink="">
      <xdr:nvSpPr>
        <xdr:cNvPr id="2195" name="AutoShape 147" descr="3abc5016-c2c8-4cb3-9c96-d853e96af77d">
          <a:extLst>
            <a:ext uri="{FF2B5EF4-FFF2-40B4-BE49-F238E27FC236}">
              <a16:creationId xmlns:a16="http://schemas.microsoft.com/office/drawing/2014/main" id="{00000000-0008-0000-0300-000093080000}"/>
            </a:ext>
          </a:extLst>
        </xdr:cNvPr>
        <xdr:cNvSpPr>
          <a:spLocks noChangeArrowheads="1"/>
        </xdr:cNvSpPr>
      </xdr:nvSpPr>
      <xdr:spPr>
        <a:xfrm>
          <a:off x="20921980" y="28575"/>
          <a:ext cx="1830705" cy="314325"/>
        </a:xfrm>
        <a:prstGeom prst="wedgeRoundRectCallout">
          <a:avLst>
            <a:gd name="adj1" fmla="val 19431"/>
            <a:gd name="adj2" fmla="val 83333"/>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4 AE2:AL60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0</xdr:col>
      <xdr:colOff>28575</xdr:colOff>
      <xdr:row>55</xdr:row>
      <xdr:rowOff>9525</xdr:rowOff>
    </xdr:from>
    <xdr:to>
      <xdr:col>4</xdr:col>
      <xdr:colOff>28575</xdr:colOff>
      <xdr:row>60</xdr:row>
      <xdr:rowOff>0</xdr:rowOff>
    </xdr:to>
    <xdr:sp macro="" textlink="">
      <xdr:nvSpPr>
        <xdr:cNvPr id="2196" name="Rectangle 148" descr="edf584a4-9dcc-4c81-9e1c-78645868ad89">
          <a:extLst>
            <a:ext uri="{FF2B5EF4-FFF2-40B4-BE49-F238E27FC236}">
              <a16:creationId xmlns:a16="http://schemas.microsoft.com/office/drawing/2014/main" id="{00000000-0008-0000-0300-000094080000}"/>
            </a:ext>
          </a:extLst>
        </xdr:cNvPr>
        <xdr:cNvSpPr>
          <a:spLocks noChangeArrowheads="1"/>
        </xdr:cNvSpPr>
      </xdr:nvSpPr>
      <xdr:spPr>
        <a:xfrm>
          <a:off x="28575" y="9429750"/>
          <a:ext cx="3429635" cy="1352550"/>
        </a:xfrm>
        <a:prstGeom prst="rect">
          <a:avLst/>
        </a:prstGeom>
        <a:noFill/>
        <a:ln w="57150">
          <a:solidFill>
            <a:srgbClr val="FF0000"/>
          </a:solidFill>
          <a:miter lim="800000"/>
        </a:ln>
      </xdr:spPr>
    </xdr:sp>
    <xdr:clientData/>
  </xdr:twoCellAnchor>
  <xdr:twoCellAnchor>
    <xdr:from>
      <xdr:col>18</xdr:col>
      <xdr:colOff>0</xdr:colOff>
      <xdr:row>52</xdr:row>
      <xdr:rowOff>9525</xdr:rowOff>
    </xdr:from>
    <xdr:to>
      <xdr:col>21</xdr:col>
      <xdr:colOff>0</xdr:colOff>
      <xdr:row>57</xdr:row>
      <xdr:rowOff>0</xdr:rowOff>
    </xdr:to>
    <xdr:sp macro="" textlink="">
      <xdr:nvSpPr>
        <xdr:cNvPr id="2197" name="Rectangle 149" descr="aea3c6da-8745-4b83-977d-a5e8de5f38c3">
          <a:extLst>
            <a:ext uri="{FF2B5EF4-FFF2-40B4-BE49-F238E27FC236}">
              <a16:creationId xmlns:a16="http://schemas.microsoft.com/office/drawing/2014/main" id="{00000000-0008-0000-0300-000095080000}"/>
            </a:ext>
          </a:extLst>
        </xdr:cNvPr>
        <xdr:cNvSpPr>
          <a:spLocks noChangeArrowheads="1"/>
        </xdr:cNvSpPr>
      </xdr:nvSpPr>
      <xdr:spPr>
        <a:xfrm>
          <a:off x="12361545" y="8896350"/>
          <a:ext cx="3103880" cy="1066800"/>
        </a:xfrm>
        <a:prstGeom prst="rect">
          <a:avLst/>
        </a:prstGeom>
        <a:noFill/>
        <a:ln w="57150">
          <a:solidFill>
            <a:srgbClr val="FF0000"/>
          </a:solidFill>
          <a:miter lim="800000"/>
        </a:ln>
      </xdr:spPr>
    </xdr:sp>
    <xdr:clientData/>
  </xdr:twoCellAnchor>
  <xdr:twoCellAnchor>
    <xdr:from>
      <xdr:col>1</xdr:col>
      <xdr:colOff>76200</xdr:colOff>
      <xdr:row>51</xdr:row>
      <xdr:rowOff>95250</xdr:rowOff>
    </xdr:from>
    <xdr:to>
      <xdr:col>2</xdr:col>
      <xdr:colOff>581025</xdr:colOff>
      <xdr:row>53</xdr:row>
      <xdr:rowOff>85725</xdr:rowOff>
    </xdr:to>
    <xdr:sp macro="" textlink="">
      <xdr:nvSpPr>
        <xdr:cNvPr id="2198" name="AutoShape 150" descr="edbe6b3c-481c-4077-bdfe-f71adf7def22">
          <a:extLst>
            <a:ext uri="{FF2B5EF4-FFF2-40B4-BE49-F238E27FC236}">
              <a16:creationId xmlns:a16="http://schemas.microsoft.com/office/drawing/2014/main" id="{00000000-0008-0000-0300-000096080000}"/>
            </a:ext>
          </a:extLst>
        </xdr:cNvPr>
        <xdr:cNvSpPr>
          <a:spLocks noChangeArrowheads="1"/>
        </xdr:cNvSpPr>
      </xdr:nvSpPr>
      <xdr:spPr>
        <a:xfrm>
          <a:off x="676275" y="8810625"/>
          <a:ext cx="1638300" cy="323850"/>
        </a:xfrm>
        <a:prstGeom prst="wedgeRoundRectCallout">
          <a:avLst>
            <a:gd name="adj1" fmla="val 24417"/>
            <a:gd name="adj2" fmla="val 80769"/>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5 A65:D70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16</xdr:col>
      <xdr:colOff>504825</xdr:colOff>
      <xdr:row>50</xdr:row>
      <xdr:rowOff>142875</xdr:rowOff>
    </xdr:from>
    <xdr:to>
      <xdr:col>19</xdr:col>
      <xdr:colOff>257175</xdr:colOff>
      <xdr:row>52</xdr:row>
      <xdr:rowOff>123825</xdr:rowOff>
    </xdr:to>
    <xdr:sp macro="" textlink="">
      <xdr:nvSpPr>
        <xdr:cNvPr id="2199" name="AutoShape 151" descr="3aa4483a-f143-4292-829f-79b8f1df0f72">
          <a:extLst>
            <a:ext uri="{FF2B5EF4-FFF2-40B4-BE49-F238E27FC236}">
              <a16:creationId xmlns:a16="http://schemas.microsoft.com/office/drawing/2014/main" id="{00000000-0008-0000-0300-000097080000}"/>
            </a:ext>
          </a:extLst>
        </xdr:cNvPr>
        <xdr:cNvSpPr>
          <a:spLocks noChangeArrowheads="1"/>
        </xdr:cNvSpPr>
      </xdr:nvSpPr>
      <xdr:spPr>
        <a:xfrm>
          <a:off x="11362690" y="8686800"/>
          <a:ext cx="1856105" cy="323850"/>
        </a:xfrm>
        <a:prstGeom prst="wedgeRoundRectCallout">
          <a:avLst>
            <a:gd name="adj1" fmla="val 24417"/>
            <a:gd name="adj2" fmla="val 80769"/>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6 S63:U67</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6"/>
  <sheetViews>
    <sheetView workbookViewId="0"/>
  </sheetViews>
  <sheetFormatPr defaultColWidth="9" defaultRowHeight="12.75" x14ac:dyDescent="0.2"/>
  <cols>
    <col min="1" max="2" width="36.7109375" customWidth="1"/>
  </cols>
  <sheetData>
    <row r="1" spans="1:16" x14ac:dyDescent="0.2">
      <c r="A1" s="51" t="s">
        <v>0</v>
      </c>
    </row>
    <row r="2" spans="1:16" x14ac:dyDescent="0.2">
      <c r="P2">
        <f ca="1">_xll.CB.RecalcCounterFN()</f>
        <v>0</v>
      </c>
    </row>
    <row r="3" spans="1:16" x14ac:dyDescent="0.2">
      <c r="A3" t="s">
        <v>1</v>
      </c>
      <c r="B3" t="s">
        <v>2</v>
      </c>
      <c r="C3">
        <v>0</v>
      </c>
    </row>
    <row r="4" spans="1:16" x14ac:dyDescent="0.2">
      <c r="A4" t="s">
        <v>3</v>
      </c>
    </row>
    <row r="5" spans="1:16" x14ac:dyDescent="0.2">
      <c r="A5" t="s">
        <v>4</v>
      </c>
    </row>
    <row r="7" spans="1:16" x14ac:dyDescent="0.2">
      <c r="A7" s="51" t="s">
        <v>5</v>
      </c>
      <c r="B7" t="s">
        <v>6</v>
      </c>
    </row>
    <row r="8" spans="1:16" x14ac:dyDescent="0.2">
      <c r="B8">
        <v>2</v>
      </c>
    </row>
    <row r="10" spans="1:16" x14ac:dyDescent="0.2">
      <c r="A10" t="s">
        <v>7</v>
      </c>
    </row>
    <row r="11" spans="1:16" x14ac:dyDescent="0.2">
      <c r="A11" t="e">
        <f>CB_DATA_!#REF!</f>
        <v>#REF!</v>
      </c>
      <c r="B11" t="e">
        <f>Model!#REF!</f>
        <v>#REF!</v>
      </c>
    </row>
    <row r="13" spans="1:16" x14ac:dyDescent="0.2">
      <c r="A13" t="s">
        <v>8</v>
      </c>
    </row>
    <row r="14" spans="1:16" x14ac:dyDescent="0.2">
      <c r="A14" t="s">
        <v>9</v>
      </c>
      <c r="B14" t="s">
        <v>10</v>
      </c>
    </row>
    <row r="16" spans="1:16" x14ac:dyDescent="0.2">
      <c r="A16" t="s">
        <v>11</v>
      </c>
    </row>
    <row r="19" spans="1:2" x14ac:dyDescent="0.2">
      <c r="A19" t="s">
        <v>12</v>
      </c>
    </row>
    <row r="20" spans="1:2" x14ac:dyDescent="0.2">
      <c r="A20">
        <v>31</v>
      </c>
      <c r="B20">
        <v>43</v>
      </c>
    </row>
    <row r="25" spans="1:2" x14ac:dyDescent="0.2">
      <c r="A25" s="51" t="s">
        <v>13</v>
      </c>
    </row>
    <row r="26" spans="1:2" x14ac:dyDescent="0.2">
      <c r="A26" s="102" t="s">
        <v>190</v>
      </c>
      <c r="B26" s="102" t="s">
        <v>190</v>
      </c>
    </row>
    <row r="27" spans="1:2" x14ac:dyDescent="0.2">
      <c r="A27" t="s">
        <v>188</v>
      </c>
      <c r="B27" t="s">
        <v>191</v>
      </c>
    </row>
    <row r="28" spans="1:2" x14ac:dyDescent="0.2">
      <c r="A28" s="102" t="s">
        <v>189</v>
      </c>
      <c r="B28" s="102" t="s">
        <v>189</v>
      </c>
    </row>
    <row r="29" spans="1:2" x14ac:dyDescent="0.2">
      <c r="A29" s="102" t="s">
        <v>14</v>
      </c>
      <c r="B29" s="102" t="s">
        <v>193</v>
      </c>
    </row>
    <row r="30" spans="1:2" x14ac:dyDescent="0.2">
      <c r="A30" t="s">
        <v>192</v>
      </c>
      <c r="B30" t="s">
        <v>194</v>
      </c>
    </row>
    <row r="31" spans="1:2" x14ac:dyDescent="0.2">
      <c r="A31" s="102" t="s">
        <v>15</v>
      </c>
      <c r="B31" s="102" t="s">
        <v>195</v>
      </c>
    </row>
    <row r="32" spans="1:2" x14ac:dyDescent="0.2">
      <c r="B32" s="102" t="s">
        <v>196</v>
      </c>
    </row>
    <row r="33" spans="2:2" x14ac:dyDescent="0.2">
      <c r="B33" t="s">
        <v>197</v>
      </c>
    </row>
    <row r="34" spans="2:2" x14ac:dyDescent="0.2">
      <c r="B34" s="102" t="s">
        <v>195</v>
      </c>
    </row>
    <row r="35" spans="2:2" x14ac:dyDescent="0.2">
      <c r="B35" s="102" t="s">
        <v>198</v>
      </c>
    </row>
    <row r="36" spans="2:2" x14ac:dyDescent="0.2">
      <c r="B36" t="s">
        <v>199</v>
      </c>
    </row>
    <row r="37" spans="2:2" x14ac:dyDescent="0.2">
      <c r="B37" s="102" t="s">
        <v>195</v>
      </c>
    </row>
    <row r="38" spans="2:2" x14ac:dyDescent="0.2">
      <c r="B38" s="102" t="s">
        <v>200</v>
      </c>
    </row>
    <row r="39" spans="2:2" x14ac:dyDescent="0.2">
      <c r="B39" t="s">
        <v>201</v>
      </c>
    </row>
    <row r="40" spans="2:2" x14ac:dyDescent="0.2">
      <c r="B40" s="102" t="s">
        <v>195</v>
      </c>
    </row>
    <row r="41" spans="2:2" x14ac:dyDescent="0.2">
      <c r="B41" s="102" t="s">
        <v>202</v>
      </c>
    </row>
    <row r="42" spans="2:2" x14ac:dyDescent="0.2">
      <c r="B42" t="s">
        <v>203</v>
      </c>
    </row>
    <row r="43" spans="2:2" x14ac:dyDescent="0.2">
      <c r="B43" s="102" t="s">
        <v>195</v>
      </c>
    </row>
    <row r="10000" spans="1:1" x14ac:dyDescent="0.2">
      <c r="A10000" t="s">
        <v>16</v>
      </c>
    </row>
    <row r="10002" spans="1:1" x14ac:dyDescent="0.2">
      <c r="A10002" t="b">
        <f>0&lt;="{0.MAX}"&lt;=0</f>
        <v>0</v>
      </c>
    </row>
    <row r="10005" spans="1:1" x14ac:dyDescent="0.2">
      <c r="A10005" t="str">
        <f>"{0.PERCENTILE(0.95)}"</f>
        <v>{0.PERCENTILE(0.95)}</v>
      </c>
    </row>
    <row r="10006" spans="1:1" x14ac:dyDescent="0.2">
      <c r="A10006" t="b">
        <f>0&lt;="{0.MAX}"&lt;=0</f>
        <v>0</v>
      </c>
    </row>
  </sheetData>
  <phoneticPr fontId="10" type="noConversion"/>
  <pageMargins left="0.75" right="0.75" top="1" bottom="1" header="0.5" footer="0.5"/>
  <pageSetup paperSize="9" orientation="portrait"/>
  <headerFooter alignWithMargins="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H78"/>
  <sheetViews>
    <sheetView showGridLines="0" topLeftCell="A7" zoomScale="80" zoomScaleNormal="80" workbookViewId="0">
      <selection activeCell="K57" sqref="K57"/>
    </sheetView>
  </sheetViews>
  <sheetFormatPr defaultColWidth="9" defaultRowHeight="12.75" x14ac:dyDescent="0.2"/>
  <cols>
    <col min="2" max="2" width="17" customWidth="1"/>
    <col min="3" max="3" width="12" customWidth="1"/>
    <col min="4" max="4" width="39.5703125" customWidth="1"/>
    <col min="6" max="6" width="17.85546875" customWidth="1"/>
    <col min="7" max="7" width="13.28515625" customWidth="1"/>
    <col min="8" max="8" width="21.7109375" style="51" customWidth="1"/>
  </cols>
  <sheetData>
    <row r="1" spans="2:8" ht="13.5" customHeight="1" x14ac:dyDescent="0.2">
      <c r="D1" s="51"/>
    </row>
    <row r="2" spans="2:8" ht="12.75" customHeight="1" x14ac:dyDescent="0.2">
      <c r="B2" s="112" t="s">
        <v>17</v>
      </c>
      <c r="C2" s="1"/>
      <c r="D2" s="88" t="s">
        <v>18</v>
      </c>
      <c r="F2" s="112" t="s">
        <v>17</v>
      </c>
      <c r="G2" s="1"/>
      <c r="H2" s="89" t="s">
        <v>19</v>
      </c>
    </row>
    <row r="3" spans="2:8" ht="12.75" customHeight="1" x14ac:dyDescent="0.2">
      <c r="B3" s="113"/>
      <c r="D3" s="90"/>
      <c r="F3" s="113"/>
      <c r="H3" s="91"/>
    </row>
    <row r="4" spans="2:8" ht="12.75" customHeight="1" x14ac:dyDescent="0.2">
      <c r="B4" s="113"/>
      <c r="C4" s="92" t="s">
        <v>20</v>
      </c>
      <c r="D4" s="93" t="s">
        <v>21</v>
      </c>
      <c r="F4" s="113"/>
      <c r="G4" s="94" t="s">
        <v>20</v>
      </c>
      <c r="H4" s="95" t="s">
        <v>22</v>
      </c>
    </row>
    <row r="5" spans="2:8" ht="12.75" customHeight="1" x14ac:dyDescent="0.2">
      <c r="B5" s="113"/>
      <c r="C5" s="92" t="s">
        <v>23</v>
      </c>
      <c r="D5" s="93" t="s">
        <v>24</v>
      </c>
      <c r="F5" s="113"/>
      <c r="G5" s="94" t="s">
        <v>23</v>
      </c>
      <c r="H5" s="103" t="s">
        <v>25</v>
      </c>
    </row>
    <row r="6" spans="2:8" ht="13.5" customHeight="1" x14ac:dyDescent="0.2">
      <c r="B6" s="114"/>
      <c r="C6" s="96" t="s">
        <v>26</v>
      </c>
      <c r="D6" s="97" t="s">
        <v>27</v>
      </c>
      <c r="F6" s="114"/>
      <c r="G6" s="98" t="s">
        <v>26</v>
      </c>
      <c r="H6" s="104" t="s">
        <v>25</v>
      </c>
    </row>
    <row r="7" spans="2:8" ht="15" x14ac:dyDescent="0.2">
      <c r="B7" s="9"/>
      <c r="F7" s="9"/>
      <c r="H7" s="67"/>
    </row>
    <row r="8" spans="2:8" ht="12.75" customHeight="1" x14ac:dyDescent="0.2">
      <c r="B8" s="112" t="s">
        <v>28</v>
      </c>
      <c r="C8" s="1"/>
      <c r="D8" s="88" t="s">
        <v>18</v>
      </c>
      <c r="F8" s="112" t="s">
        <v>28</v>
      </c>
      <c r="G8" s="1"/>
      <c r="H8" s="99" t="s">
        <v>19</v>
      </c>
    </row>
    <row r="9" spans="2:8" ht="12.75" customHeight="1" x14ac:dyDescent="0.2">
      <c r="B9" s="113"/>
      <c r="C9" s="4"/>
      <c r="D9" s="100"/>
      <c r="F9" s="113"/>
      <c r="G9" s="4"/>
      <c r="H9" s="91"/>
    </row>
    <row r="10" spans="2:8" ht="12.75" customHeight="1" x14ac:dyDescent="0.2">
      <c r="B10" s="113"/>
      <c r="C10" s="92" t="s">
        <v>20</v>
      </c>
      <c r="D10" s="93" t="s">
        <v>21</v>
      </c>
      <c r="F10" s="113"/>
      <c r="G10" s="94" t="s">
        <v>20</v>
      </c>
      <c r="H10" s="95" t="s">
        <v>22</v>
      </c>
    </row>
    <row r="11" spans="2:8" ht="12.75" customHeight="1" x14ac:dyDescent="0.2">
      <c r="B11" s="113"/>
      <c r="C11" s="92" t="s">
        <v>23</v>
      </c>
      <c r="D11" s="93" t="s">
        <v>24</v>
      </c>
      <c r="F11" s="113"/>
      <c r="G11" s="94" t="s">
        <v>23</v>
      </c>
      <c r="H11" s="103" t="s">
        <v>25</v>
      </c>
    </row>
    <row r="12" spans="2:8" ht="13.5" customHeight="1" x14ac:dyDescent="0.2">
      <c r="B12" s="114"/>
      <c r="C12" s="96" t="s">
        <v>26</v>
      </c>
      <c r="D12" s="97" t="s">
        <v>29</v>
      </c>
      <c r="F12" s="114"/>
      <c r="G12" s="98" t="s">
        <v>26</v>
      </c>
      <c r="H12" s="101" t="s">
        <v>30</v>
      </c>
    </row>
    <row r="13" spans="2:8" ht="15" x14ac:dyDescent="0.2">
      <c r="B13" s="9"/>
      <c r="C13" s="4"/>
      <c r="D13" s="4"/>
      <c r="F13" s="9"/>
      <c r="G13" s="4"/>
      <c r="H13" s="67"/>
    </row>
    <row r="14" spans="2:8" ht="12.75" customHeight="1" x14ac:dyDescent="0.2">
      <c r="B14" s="112" t="s">
        <v>31</v>
      </c>
      <c r="C14" s="13"/>
      <c r="D14" s="88" t="s">
        <v>18</v>
      </c>
      <c r="F14" s="112" t="s">
        <v>31</v>
      </c>
      <c r="G14" s="13"/>
      <c r="H14" s="89" t="s">
        <v>19</v>
      </c>
    </row>
    <row r="15" spans="2:8" ht="12.75" customHeight="1" x14ac:dyDescent="0.2">
      <c r="B15" s="113"/>
      <c r="C15" s="4"/>
      <c r="D15" s="100"/>
      <c r="F15" s="113"/>
      <c r="G15" s="4"/>
      <c r="H15" s="91"/>
    </row>
    <row r="16" spans="2:8" ht="12.75" customHeight="1" x14ac:dyDescent="0.2">
      <c r="B16" s="113"/>
      <c r="C16" s="92" t="s">
        <v>20</v>
      </c>
      <c r="D16" s="93" t="s">
        <v>21</v>
      </c>
      <c r="F16" s="113"/>
      <c r="G16" s="94" t="s">
        <v>20</v>
      </c>
      <c r="H16" s="95" t="s">
        <v>22</v>
      </c>
    </row>
    <row r="17" spans="2:8" ht="12.75" customHeight="1" x14ac:dyDescent="0.2">
      <c r="B17" s="113"/>
      <c r="C17" s="92" t="s">
        <v>23</v>
      </c>
      <c r="D17" s="93" t="s">
        <v>24</v>
      </c>
      <c r="F17" s="113"/>
      <c r="G17" s="94" t="s">
        <v>23</v>
      </c>
      <c r="H17" s="103" t="s">
        <v>25</v>
      </c>
    </row>
    <row r="18" spans="2:8" ht="13.5" customHeight="1" x14ac:dyDescent="0.2">
      <c r="B18" s="114"/>
      <c r="C18" s="96" t="s">
        <v>26</v>
      </c>
      <c r="D18" s="97" t="s">
        <v>27</v>
      </c>
      <c r="F18" s="114"/>
      <c r="G18" s="98" t="s">
        <v>26</v>
      </c>
      <c r="H18" s="104" t="s">
        <v>25</v>
      </c>
    </row>
    <row r="19" spans="2:8" ht="15" x14ac:dyDescent="0.2">
      <c r="B19" s="9"/>
      <c r="C19" s="4"/>
      <c r="D19" s="4"/>
      <c r="F19" s="9"/>
      <c r="G19" s="4"/>
      <c r="H19" s="67"/>
    </row>
    <row r="20" spans="2:8" ht="12.75" customHeight="1" x14ac:dyDescent="0.2">
      <c r="B20" s="112" t="s">
        <v>32</v>
      </c>
      <c r="C20" s="13"/>
      <c r="D20" s="88" t="s">
        <v>18</v>
      </c>
      <c r="F20" s="112" t="s">
        <v>32</v>
      </c>
      <c r="G20" s="13"/>
      <c r="H20" s="99" t="s">
        <v>19</v>
      </c>
    </row>
    <row r="21" spans="2:8" ht="12.75" customHeight="1" x14ac:dyDescent="0.2">
      <c r="B21" s="113"/>
      <c r="C21" s="4"/>
      <c r="D21" s="100"/>
      <c r="F21" s="113"/>
      <c r="G21" s="4"/>
      <c r="H21" s="91"/>
    </row>
    <row r="22" spans="2:8" ht="12.75" customHeight="1" x14ac:dyDescent="0.2">
      <c r="B22" s="113"/>
      <c r="C22" s="92" t="s">
        <v>20</v>
      </c>
      <c r="D22" s="93" t="s">
        <v>21</v>
      </c>
      <c r="F22" s="113"/>
      <c r="G22" s="94" t="s">
        <v>20</v>
      </c>
      <c r="H22" s="95" t="s">
        <v>22</v>
      </c>
    </row>
    <row r="23" spans="2:8" ht="12.75" customHeight="1" x14ac:dyDescent="0.2">
      <c r="B23" s="113"/>
      <c r="C23" s="92" t="s">
        <v>23</v>
      </c>
      <c r="D23" s="93" t="s">
        <v>24</v>
      </c>
      <c r="F23" s="113"/>
      <c r="G23" s="94" t="s">
        <v>23</v>
      </c>
      <c r="H23" s="103" t="s">
        <v>25</v>
      </c>
    </row>
    <row r="24" spans="2:8" ht="13.5" customHeight="1" x14ac:dyDescent="0.2">
      <c r="B24" s="114"/>
      <c r="C24" s="96" t="s">
        <v>26</v>
      </c>
      <c r="D24" s="97" t="s">
        <v>29</v>
      </c>
      <c r="F24" s="114"/>
      <c r="G24" s="98" t="s">
        <v>26</v>
      </c>
      <c r="H24" s="101" t="s">
        <v>30</v>
      </c>
    </row>
    <row r="25" spans="2:8" ht="15" x14ac:dyDescent="0.2">
      <c r="B25" s="9"/>
      <c r="C25" s="4"/>
      <c r="D25" s="4"/>
      <c r="F25" s="9"/>
      <c r="G25" s="4"/>
      <c r="H25" s="67"/>
    </row>
    <row r="26" spans="2:8" ht="12.75" customHeight="1" x14ac:dyDescent="0.2">
      <c r="B26" s="112" t="s">
        <v>33</v>
      </c>
      <c r="C26" s="13"/>
      <c r="D26" s="88" t="s">
        <v>18</v>
      </c>
      <c r="F26" s="112" t="s">
        <v>33</v>
      </c>
      <c r="G26" s="13"/>
      <c r="H26" s="89" t="s">
        <v>19</v>
      </c>
    </row>
    <row r="27" spans="2:8" ht="12.75" customHeight="1" x14ac:dyDescent="0.2">
      <c r="B27" s="113"/>
      <c r="C27" s="4"/>
      <c r="D27" s="100"/>
      <c r="F27" s="113"/>
      <c r="G27" s="4"/>
      <c r="H27" s="91"/>
    </row>
    <row r="28" spans="2:8" ht="12.75" customHeight="1" x14ac:dyDescent="0.2">
      <c r="B28" s="113"/>
      <c r="C28" s="92" t="s">
        <v>20</v>
      </c>
      <c r="D28" s="93" t="s">
        <v>21</v>
      </c>
      <c r="F28" s="113"/>
      <c r="G28" s="94" t="s">
        <v>20</v>
      </c>
      <c r="H28" s="95" t="s">
        <v>22</v>
      </c>
    </row>
    <row r="29" spans="2:8" ht="12.75" customHeight="1" x14ac:dyDescent="0.2">
      <c r="B29" s="113"/>
      <c r="C29" s="92" t="s">
        <v>23</v>
      </c>
      <c r="D29" s="93" t="s">
        <v>24</v>
      </c>
      <c r="F29" s="113"/>
      <c r="G29" s="94" t="s">
        <v>23</v>
      </c>
      <c r="H29" s="103" t="s">
        <v>25</v>
      </c>
    </row>
    <row r="30" spans="2:8" ht="13.5" customHeight="1" x14ac:dyDescent="0.2">
      <c r="B30" s="114"/>
      <c r="C30" s="96" t="s">
        <v>26</v>
      </c>
      <c r="D30" s="97" t="s">
        <v>27</v>
      </c>
      <c r="F30" s="114"/>
      <c r="G30" s="98" t="s">
        <v>26</v>
      </c>
      <c r="H30" s="104" t="s">
        <v>25</v>
      </c>
    </row>
    <row r="31" spans="2:8" ht="15" x14ac:dyDescent="0.2">
      <c r="B31" s="9"/>
      <c r="C31" s="4"/>
      <c r="D31" s="4"/>
      <c r="F31" s="9"/>
      <c r="G31" s="4"/>
      <c r="H31" s="67"/>
    </row>
    <row r="32" spans="2:8" ht="12.75" customHeight="1" x14ac:dyDescent="0.2">
      <c r="B32" s="112" t="s">
        <v>34</v>
      </c>
      <c r="C32" s="13"/>
      <c r="D32" s="88" t="s">
        <v>18</v>
      </c>
      <c r="F32" s="112" t="s">
        <v>34</v>
      </c>
      <c r="G32" s="13"/>
      <c r="H32" s="99" t="s">
        <v>19</v>
      </c>
    </row>
    <row r="33" spans="2:8" ht="12.75" customHeight="1" x14ac:dyDescent="0.2">
      <c r="B33" s="113"/>
      <c r="C33" s="4"/>
      <c r="D33" s="100"/>
      <c r="F33" s="113"/>
      <c r="G33" s="4"/>
      <c r="H33" s="91"/>
    </row>
    <row r="34" spans="2:8" ht="12.75" customHeight="1" x14ac:dyDescent="0.2">
      <c r="B34" s="113"/>
      <c r="C34" s="92" t="s">
        <v>20</v>
      </c>
      <c r="D34" s="93" t="s">
        <v>21</v>
      </c>
      <c r="F34" s="113"/>
      <c r="G34" s="94" t="s">
        <v>20</v>
      </c>
      <c r="H34" s="95" t="s">
        <v>22</v>
      </c>
    </row>
    <row r="35" spans="2:8" ht="12.75" customHeight="1" x14ac:dyDescent="0.2">
      <c r="B35" s="113"/>
      <c r="C35" s="92" t="s">
        <v>23</v>
      </c>
      <c r="D35" s="93" t="s">
        <v>24</v>
      </c>
      <c r="F35" s="113"/>
      <c r="G35" s="94" t="s">
        <v>23</v>
      </c>
      <c r="H35" s="103" t="s">
        <v>25</v>
      </c>
    </row>
    <row r="36" spans="2:8" ht="13.5" customHeight="1" x14ac:dyDescent="0.2">
      <c r="B36" s="114"/>
      <c r="C36" s="96" t="s">
        <v>26</v>
      </c>
      <c r="D36" s="97" t="s">
        <v>29</v>
      </c>
      <c r="F36" s="114"/>
      <c r="G36" s="98" t="s">
        <v>26</v>
      </c>
      <c r="H36" s="101" t="s">
        <v>30</v>
      </c>
    </row>
    <row r="37" spans="2:8" ht="15" x14ac:dyDescent="0.2">
      <c r="B37" s="9"/>
      <c r="C37" s="4"/>
      <c r="D37" s="4"/>
      <c r="F37" s="9"/>
      <c r="G37" s="4"/>
      <c r="H37" s="67"/>
    </row>
    <row r="38" spans="2:8" ht="12.75" customHeight="1" x14ac:dyDescent="0.2">
      <c r="B38" s="112" t="s">
        <v>35</v>
      </c>
      <c r="C38" s="13"/>
      <c r="D38" s="88" t="s">
        <v>18</v>
      </c>
      <c r="F38" s="112" t="s">
        <v>35</v>
      </c>
      <c r="G38" s="13"/>
      <c r="H38" s="99" t="s">
        <v>19</v>
      </c>
    </row>
    <row r="39" spans="2:8" ht="12.75" customHeight="1" x14ac:dyDescent="0.2">
      <c r="B39" s="113"/>
      <c r="C39" s="4"/>
      <c r="D39" s="100"/>
      <c r="F39" s="113"/>
      <c r="G39" s="4"/>
      <c r="H39" s="91"/>
    </row>
    <row r="40" spans="2:8" ht="12.75" customHeight="1" x14ac:dyDescent="0.2">
      <c r="B40" s="113"/>
      <c r="C40" s="92" t="s">
        <v>20</v>
      </c>
      <c r="D40" s="93" t="s">
        <v>21</v>
      </c>
      <c r="F40" s="113"/>
      <c r="G40" s="94" t="s">
        <v>20</v>
      </c>
      <c r="H40" s="95" t="s">
        <v>22</v>
      </c>
    </row>
    <row r="41" spans="2:8" ht="12.75" customHeight="1" x14ac:dyDescent="0.2">
      <c r="B41" s="113"/>
      <c r="C41" s="92" t="s">
        <v>23</v>
      </c>
      <c r="D41" s="93" t="s">
        <v>24</v>
      </c>
      <c r="F41" s="113"/>
      <c r="G41" s="94" t="s">
        <v>23</v>
      </c>
      <c r="H41" s="103" t="s">
        <v>25</v>
      </c>
    </row>
    <row r="42" spans="2:8" ht="13.5" customHeight="1" x14ac:dyDescent="0.2">
      <c r="B42" s="114"/>
      <c r="C42" s="96" t="s">
        <v>26</v>
      </c>
      <c r="D42" s="97" t="s">
        <v>29</v>
      </c>
      <c r="F42" s="114"/>
      <c r="G42" s="98" t="s">
        <v>26</v>
      </c>
      <c r="H42" s="101" t="s">
        <v>30</v>
      </c>
    </row>
    <row r="43" spans="2:8" ht="15" x14ac:dyDescent="0.2">
      <c r="B43" s="9"/>
      <c r="C43" s="4"/>
      <c r="D43" s="4"/>
      <c r="F43" s="9"/>
      <c r="G43" s="4"/>
      <c r="H43" s="67"/>
    </row>
    <row r="44" spans="2:8" ht="12.75" customHeight="1" x14ac:dyDescent="0.2">
      <c r="B44" s="112" t="s">
        <v>36</v>
      </c>
      <c r="C44" s="13"/>
      <c r="D44" s="88" t="s">
        <v>18</v>
      </c>
      <c r="F44" s="112" t="s">
        <v>36</v>
      </c>
      <c r="G44" s="13"/>
      <c r="H44" s="99" t="s">
        <v>19</v>
      </c>
    </row>
    <row r="45" spans="2:8" ht="12.75" customHeight="1" x14ac:dyDescent="0.2">
      <c r="B45" s="113"/>
      <c r="C45" s="4"/>
      <c r="D45" s="100"/>
      <c r="F45" s="113"/>
      <c r="G45" s="4"/>
      <c r="H45" s="91"/>
    </row>
    <row r="46" spans="2:8" ht="12.75" customHeight="1" x14ac:dyDescent="0.2">
      <c r="B46" s="113"/>
      <c r="C46" s="92" t="s">
        <v>20</v>
      </c>
      <c r="D46" s="93" t="s">
        <v>21</v>
      </c>
      <c r="F46" s="113"/>
      <c r="G46" s="94" t="s">
        <v>20</v>
      </c>
      <c r="H46" s="95" t="s">
        <v>22</v>
      </c>
    </row>
    <row r="47" spans="2:8" ht="12.75" customHeight="1" x14ac:dyDescent="0.2">
      <c r="B47" s="113"/>
      <c r="C47" s="92" t="s">
        <v>23</v>
      </c>
      <c r="D47" s="93" t="s">
        <v>24</v>
      </c>
      <c r="F47" s="113"/>
      <c r="G47" s="94" t="s">
        <v>23</v>
      </c>
      <c r="H47" s="103" t="s">
        <v>25</v>
      </c>
    </row>
    <row r="48" spans="2:8" ht="13.5" customHeight="1" x14ac:dyDescent="0.2">
      <c r="B48" s="114"/>
      <c r="C48" s="96" t="s">
        <v>26</v>
      </c>
      <c r="D48" s="97" t="s">
        <v>29</v>
      </c>
      <c r="F48" s="114"/>
      <c r="G48" s="98" t="s">
        <v>26</v>
      </c>
      <c r="H48" s="101" t="s">
        <v>30</v>
      </c>
    </row>
    <row r="49" spans="2:8" ht="15" x14ac:dyDescent="0.2">
      <c r="B49" s="9"/>
      <c r="C49" s="4"/>
      <c r="D49" s="4"/>
      <c r="F49" s="9"/>
      <c r="G49" s="4"/>
      <c r="H49" s="67"/>
    </row>
    <row r="50" spans="2:8" ht="12.75" customHeight="1" x14ac:dyDescent="0.2">
      <c r="B50" s="112" t="s">
        <v>37</v>
      </c>
      <c r="C50" s="13"/>
      <c r="D50" s="88" t="s">
        <v>18</v>
      </c>
      <c r="F50" s="112" t="s">
        <v>37</v>
      </c>
      <c r="G50" s="13"/>
      <c r="H50" s="99" t="s">
        <v>19</v>
      </c>
    </row>
    <row r="51" spans="2:8" ht="12.75" customHeight="1" x14ac:dyDescent="0.2">
      <c r="B51" s="113"/>
      <c r="C51" s="4"/>
      <c r="D51" s="100"/>
      <c r="F51" s="113"/>
      <c r="G51" s="4"/>
      <c r="H51" s="91"/>
    </row>
    <row r="52" spans="2:8" ht="12.75" customHeight="1" x14ac:dyDescent="0.2">
      <c r="B52" s="113"/>
      <c r="C52" s="92" t="s">
        <v>20</v>
      </c>
      <c r="D52" s="93" t="s">
        <v>21</v>
      </c>
      <c r="F52" s="113"/>
      <c r="G52" s="94" t="s">
        <v>20</v>
      </c>
      <c r="H52" s="95" t="s">
        <v>22</v>
      </c>
    </row>
    <row r="53" spans="2:8" ht="12.75" customHeight="1" x14ac:dyDescent="0.2">
      <c r="B53" s="113"/>
      <c r="C53" s="92" t="s">
        <v>23</v>
      </c>
      <c r="D53" s="93" t="s">
        <v>24</v>
      </c>
      <c r="F53" s="113"/>
      <c r="G53" s="94" t="s">
        <v>23</v>
      </c>
      <c r="H53" s="103" t="s">
        <v>25</v>
      </c>
    </row>
    <row r="54" spans="2:8" ht="13.5" customHeight="1" x14ac:dyDescent="0.2">
      <c r="B54" s="114"/>
      <c r="C54" s="96" t="s">
        <v>26</v>
      </c>
      <c r="D54" s="97" t="s">
        <v>29</v>
      </c>
      <c r="F54" s="114"/>
      <c r="G54" s="98" t="s">
        <v>26</v>
      </c>
      <c r="H54" s="101" t="s">
        <v>30</v>
      </c>
    </row>
    <row r="55" spans="2:8" ht="15" x14ac:dyDescent="0.2">
      <c r="B55" s="9"/>
      <c r="C55" s="4"/>
      <c r="D55" s="4"/>
      <c r="F55" s="9"/>
      <c r="G55" s="4"/>
      <c r="H55" s="67"/>
    </row>
    <row r="56" spans="2:8" ht="12.75" customHeight="1" x14ac:dyDescent="0.2">
      <c r="B56" s="112" t="s">
        <v>38</v>
      </c>
      <c r="C56" s="13"/>
      <c r="D56" s="88" t="s">
        <v>18</v>
      </c>
      <c r="F56" s="112" t="s">
        <v>38</v>
      </c>
      <c r="G56" s="13"/>
      <c r="H56" s="99" t="s">
        <v>19</v>
      </c>
    </row>
    <row r="57" spans="2:8" ht="12.75" customHeight="1" x14ac:dyDescent="0.2">
      <c r="B57" s="113"/>
      <c r="C57" s="4"/>
      <c r="D57" s="100"/>
      <c r="F57" s="113"/>
      <c r="G57" s="4"/>
      <c r="H57" s="91"/>
    </row>
    <row r="58" spans="2:8" ht="12.75" customHeight="1" x14ac:dyDescent="0.2">
      <c r="B58" s="113"/>
      <c r="C58" s="92" t="s">
        <v>20</v>
      </c>
      <c r="D58" s="93" t="s">
        <v>21</v>
      </c>
      <c r="F58" s="113"/>
      <c r="G58" s="94" t="s">
        <v>20</v>
      </c>
      <c r="H58" s="95" t="s">
        <v>22</v>
      </c>
    </row>
    <row r="59" spans="2:8" ht="12.75" customHeight="1" x14ac:dyDescent="0.2">
      <c r="B59" s="113"/>
      <c r="C59" s="92" t="s">
        <v>23</v>
      </c>
      <c r="D59" s="93" t="s">
        <v>24</v>
      </c>
      <c r="F59" s="113"/>
      <c r="G59" s="94" t="s">
        <v>23</v>
      </c>
      <c r="H59" s="103" t="s">
        <v>25</v>
      </c>
    </row>
    <row r="60" spans="2:8" ht="13.5" customHeight="1" x14ac:dyDescent="0.2">
      <c r="B60" s="114"/>
      <c r="C60" s="96" t="s">
        <v>26</v>
      </c>
      <c r="D60" s="97" t="s">
        <v>29</v>
      </c>
      <c r="F60" s="114"/>
      <c r="G60" s="98" t="s">
        <v>26</v>
      </c>
      <c r="H60" s="101" t="s">
        <v>30</v>
      </c>
    </row>
    <row r="61" spans="2:8" x14ac:dyDescent="0.2">
      <c r="B61" s="20"/>
      <c r="C61" s="4"/>
      <c r="D61" s="4"/>
    </row>
    <row r="62" spans="2:8" x14ac:dyDescent="0.2">
      <c r="B62" s="20"/>
      <c r="C62" s="4"/>
      <c r="D62" s="4"/>
      <c r="F62" s="56" t="s">
        <v>39</v>
      </c>
      <c r="G62" s="57" t="s">
        <v>26</v>
      </c>
      <c r="H62" s="56" t="s">
        <v>30</v>
      </c>
    </row>
    <row r="63" spans="2:8" x14ac:dyDescent="0.2">
      <c r="B63" s="20"/>
      <c r="C63" s="4"/>
      <c r="D63" s="4"/>
    </row>
    <row r="64" spans="2:8" x14ac:dyDescent="0.2">
      <c r="B64" s="20"/>
      <c r="C64" s="4"/>
      <c r="D64" s="4"/>
    </row>
    <row r="65" spans="2:4" x14ac:dyDescent="0.2">
      <c r="B65" s="20"/>
      <c r="C65" s="4"/>
      <c r="D65" s="4"/>
    </row>
    <row r="66" spans="2:4" x14ac:dyDescent="0.2">
      <c r="B66" s="20"/>
      <c r="C66" s="4"/>
      <c r="D66" s="4"/>
    </row>
    <row r="67" spans="2:4" x14ac:dyDescent="0.2">
      <c r="B67" s="20"/>
      <c r="C67" s="4"/>
      <c r="D67" s="4"/>
    </row>
    <row r="68" spans="2:4" x14ac:dyDescent="0.2">
      <c r="B68" s="20"/>
      <c r="C68" s="4"/>
      <c r="D68" s="4"/>
    </row>
    <row r="69" spans="2:4" x14ac:dyDescent="0.2">
      <c r="B69" s="20"/>
      <c r="C69" s="4"/>
      <c r="D69" s="4"/>
    </row>
    <row r="70" spans="2:4" x14ac:dyDescent="0.2">
      <c r="B70" s="20"/>
      <c r="C70" s="4"/>
      <c r="D70" s="4"/>
    </row>
    <row r="71" spans="2:4" x14ac:dyDescent="0.2">
      <c r="B71" s="20"/>
      <c r="C71" s="4"/>
      <c r="D71" s="4"/>
    </row>
    <row r="72" spans="2:4" x14ac:dyDescent="0.2">
      <c r="B72" s="20"/>
      <c r="C72" s="4"/>
      <c r="D72" s="4"/>
    </row>
    <row r="73" spans="2:4" x14ac:dyDescent="0.2">
      <c r="B73" s="20"/>
      <c r="C73" s="4"/>
      <c r="D73" s="4"/>
    </row>
    <row r="74" spans="2:4" x14ac:dyDescent="0.2">
      <c r="B74" s="20"/>
      <c r="C74" s="4"/>
      <c r="D74" s="4"/>
    </row>
    <row r="75" spans="2:4" x14ac:dyDescent="0.2">
      <c r="B75" s="20"/>
      <c r="C75" s="4"/>
      <c r="D75" s="4"/>
    </row>
    <row r="76" spans="2:4" x14ac:dyDescent="0.2">
      <c r="B76" s="20"/>
      <c r="C76" s="4"/>
      <c r="D76" s="4"/>
    </row>
    <row r="77" spans="2:4" x14ac:dyDescent="0.2">
      <c r="B77" s="20"/>
      <c r="C77" s="4"/>
      <c r="D77" s="4"/>
    </row>
    <row r="78" spans="2:4" x14ac:dyDescent="0.2">
      <c r="C78" s="4"/>
      <c r="D78" s="4"/>
    </row>
  </sheetData>
  <mergeCells count="20">
    <mergeCell ref="F32:F36"/>
    <mergeCell ref="F38:F42"/>
    <mergeCell ref="F44:F48"/>
    <mergeCell ref="F50:F54"/>
    <mergeCell ref="F56:F60"/>
    <mergeCell ref="F2:F6"/>
    <mergeCell ref="F8:F12"/>
    <mergeCell ref="F14:F18"/>
    <mergeCell ref="F20:F24"/>
    <mergeCell ref="F26:F30"/>
    <mergeCell ref="B32:B36"/>
    <mergeCell ref="B38:B42"/>
    <mergeCell ref="B44:B48"/>
    <mergeCell ref="B50:B54"/>
    <mergeCell ref="B56:B60"/>
    <mergeCell ref="B2:B6"/>
    <mergeCell ref="B8:B12"/>
    <mergeCell ref="B14:B18"/>
    <mergeCell ref="B20:B24"/>
    <mergeCell ref="B26:B30"/>
  </mergeCells>
  <phoneticPr fontId="10" type="noConversion"/>
  <pageMargins left="0.75" right="0.75" top="1" bottom="1" header="0.5" footer="0.5"/>
  <pageSetup scale="65" orientation="portrait"/>
  <headerFooter alignWithMargins="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2:D55"/>
  <sheetViews>
    <sheetView showGridLines="0" zoomScale="80" zoomScaleNormal="80" workbookViewId="0">
      <pane ySplit="795" activePane="bottomLeft"/>
      <selection pane="bottomLeft" activeCell="D10" sqref="D10"/>
    </sheetView>
  </sheetViews>
  <sheetFormatPr defaultColWidth="9" defaultRowHeight="12.75" x14ac:dyDescent="0.2"/>
  <cols>
    <col min="2" max="2" width="17" customWidth="1"/>
    <col min="3" max="3" width="30.7109375" style="73" customWidth="1"/>
    <col min="4" max="4" width="80.28515625" style="74" customWidth="1"/>
  </cols>
  <sheetData>
    <row r="2" spans="2:4" ht="22.5" customHeight="1" x14ac:dyDescent="0.2">
      <c r="B2" s="75" t="s">
        <v>40</v>
      </c>
      <c r="C2" s="76"/>
      <c r="D2" s="77" t="s">
        <v>41</v>
      </c>
    </row>
    <row r="3" spans="2:4" ht="12.75" customHeight="1" x14ac:dyDescent="0.2">
      <c r="B3" s="115" t="s">
        <v>17</v>
      </c>
      <c r="C3" s="78" t="s">
        <v>42</v>
      </c>
      <c r="D3" s="79" t="s">
        <v>43</v>
      </c>
    </row>
    <row r="4" spans="2:4" ht="12.75" customHeight="1" x14ac:dyDescent="0.2">
      <c r="B4" s="115"/>
      <c r="C4" s="80" t="s">
        <v>44</v>
      </c>
      <c r="D4" s="81" t="s">
        <v>45</v>
      </c>
    </row>
    <row r="5" spans="2:4" ht="12.75" customHeight="1" x14ac:dyDescent="0.2">
      <c r="B5" s="115"/>
      <c r="C5" s="80" t="s">
        <v>46</v>
      </c>
      <c r="D5" s="81" t="s">
        <v>47</v>
      </c>
    </row>
    <row r="6" spans="2:4" ht="27.75" customHeight="1" x14ac:dyDescent="0.2">
      <c r="B6" s="116" t="s">
        <v>28</v>
      </c>
      <c r="C6" s="78" t="s">
        <v>48</v>
      </c>
      <c r="D6" s="79" t="s">
        <v>49</v>
      </c>
    </row>
    <row r="7" spans="2:4" ht="12.75" customHeight="1" x14ac:dyDescent="0.2">
      <c r="B7" s="117"/>
      <c r="C7" s="80" t="s">
        <v>50</v>
      </c>
      <c r="D7" s="81" t="s">
        <v>51</v>
      </c>
    </row>
    <row r="8" spans="2:4" ht="12.75" customHeight="1" x14ac:dyDescent="0.2">
      <c r="B8" s="117"/>
      <c r="C8" s="80" t="s">
        <v>52</v>
      </c>
      <c r="D8" s="81" t="s">
        <v>53</v>
      </c>
    </row>
    <row r="9" spans="2:4" ht="13.5" customHeight="1" x14ac:dyDescent="0.2">
      <c r="B9" s="118"/>
      <c r="C9" s="82" t="s">
        <v>54</v>
      </c>
      <c r="D9" s="83" t="s">
        <v>55</v>
      </c>
    </row>
    <row r="10" spans="2:4" ht="12.75" customHeight="1" x14ac:dyDescent="0.2">
      <c r="B10" s="115" t="s">
        <v>31</v>
      </c>
      <c r="C10" s="78" t="s">
        <v>56</v>
      </c>
      <c r="D10" s="79" t="s">
        <v>57</v>
      </c>
    </row>
    <row r="11" spans="2:4" ht="12.75" customHeight="1" x14ac:dyDescent="0.2">
      <c r="B11" s="115"/>
      <c r="C11" s="80" t="s">
        <v>58</v>
      </c>
      <c r="D11" s="81" t="s">
        <v>59</v>
      </c>
    </row>
    <row r="12" spans="2:4" ht="25.5" customHeight="1" x14ac:dyDescent="0.2">
      <c r="B12" s="115" t="s">
        <v>32</v>
      </c>
      <c r="C12" s="80" t="s">
        <v>48</v>
      </c>
      <c r="D12" s="81" t="s">
        <v>60</v>
      </c>
    </row>
    <row r="13" spans="2:4" ht="12.75" customHeight="1" x14ac:dyDescent="0.2">
      <c r="B13" s="115"/>
      <c r="C13" s="80" t="s">
        <v>50</v>
      </c>
      <c r="D13" s="81" t="s">
        <v>61</v>
      </c>
    </row>
    <row r="14" spans="2:4" ht="12.75" customHeight="1" x14ac:dyDescent="0.2">
      <c r="B14" s="115"/>
      <c r="C14" s="80" t="s">
        <v>52</v>
      </c>
      <c r="D14" s="81" t="s">
        <v>62</v>
      </c>
    </row>
    <row r="15" spans="2:4" ht="13.5" customHeight="1" x14ac:dyDescent="0.2">
      <c r="B15" s="119"/>
      <c r="C15" s="82" t="s">
        <v>54</v>
      </c>
      <c r="D15" s="83" t="s">
        <v>63</v>
      </c>
    </row>
    <row r="16" spans="2:4" ht="12.75" customHeight="1" x14ac:dyDescent="0.2">
      <c r="B16" s="115" t="s">
        <v>33</v>
      </c>
      <c r="C16" s="78" t="s">
        <v>64</v>
      </c>
      <c r="D16" s="79" t="s">
        <v>65</v>
      </c>
    </row>
    <row r="17" spans="2:4" ht="12.75" customHeight="1" x14ac:dyDescent="0.2">
      <c r="B17" s="115"/>
      <c r="C17" s="80" t="s">
        <v>66</v>
      </c>
      <c r="D17" s="81" t="s">
        <v>67</v>
      </c>
    </row>
    <row r="18" spans="2:4" ht="12.75" customHeight="1" x14ac:dyDescent="0.2">
      <c r="B18" s="115"/>
      <c r="C18" s="80" t="s">
        <v>68</v>
      </c>
      <c r="D18" s="81" t="s">
        <v>69</v>
      </c>
    </row>
    <row r="19" spans="2:4" ht="13.5" customHeight="1" x14ac:dyDescent="0.2">
      <c r="B19" s="119"/>
      <c r="C19" s="82" t="s">
        <v>70</v>
      </c>
      <c r="D19" s="83" t="s">
        <v>71</v>
      </c>
    </row>
    <row r="20" spans="2:4" ht="17.25" customHeight="1" x14ac:dyDescent="0.2">
      <c r="B20" s="115" t="s">
        <v>34</v>
      </c>
      <c r="C20" s="78" t="s">
        <v>48</v>
      </c>
      <c r="D20" s="79" t="s">
        <v>72</v>
      </c>
    </row>
    <row r="21" spans="2:4" ht="12.75" customHeight="1" x14ac:dyDescent="0.2">
      <c r="B21" s="115"/>
      <c r="C21" s="80" t="s">
        <v>50</v>
      </c>
      <c r="D21" s="81" t="s">
        <v>73</v>
      </c>
    </row>
    <row r="22" spans="2:4" ht="12.75" customHeight="1" x14ac:dyDescent="0.2">
      <c r="B22" s="115"/>
      <c r="C22" s="80" t="s">
        <v>52</v>
      </c>
      <c r="D22" s="81" t="s">
        <v>74</v>
      </c>
    </row>
    <row r="23" spans="2:4" ht="13.5" customHeight="1" x14ac:dyDescent="0.2">
      <c r="B23" s="119"/>
      <c r="C23" s="82" t="s">
        <v>54</v>
      </c>
      <c r="D23" s="83" t="s">
        <v>75</v>
      </c>
    </row>
    <row r="24" spans="2:4" ht="12.75" customHeight="1" x14ac:dyDescent="0.2">
      <c r="B24" s="115" t="s">
        <v>35</v>
      </c>
      <c r="C24" s="78" t="s">
        <v>76</v>
      </c>
      <c r="D24" s="79" t="s">
        <v>77</v>
      </c>
    </row>
    <row r="25" spans="2:4" ht="12.75" customHeight="1" x14ac:dyDescent="0.2">
      <c r="B25" s="115"/>
      <c r="C25" s="80" t="s">
        <v>78</v>
      </c>
      <c r="D25" s="81" t="s">
        <v>79</v>
      </c>
    </row>
    <row r="26" spans="2:4" ht="12.75" customHeight="1" x14ac:dyDescent="0.2">
      <c r="B26" s="115"/>
      <c r="C26" s="80" t="s">
        <v>80</v>
      </c>
      <c r="D26" s="81" t="s">
        <v>81</v>
      </c>
    </row>
    <row r="27" spans="2:4" ht="13.5" customHeight="1" x14ac:dyDescent="0.2">
      <c r="B27" s="119"/>
      <c r="C27" s="82" t="s">
        <v>82</v>
      </c>
      <c r="D27" s="83" t="s">
        <v>83</v>
      </c>
    </row>
    <row r="28" spans="2:4" ht="12.75" customHeight="1" x14ac:dyDescent="0.2">
      <c r="B28" s="115" t="s">
        <v>36</v>
      </c>
      <c r="C28" s="78" t="s">
        <v>84</v>
      </c>
      <c r="D28" s="79" t="s">
        <v>85</v>
      </c>
    </row>
    <row r="29" spans="2:4" ht="12.75" customHeight="1" x14ac:dyDescent="0.2">
      <c r="B29" s="115"/>
      <c r="C29" s="80" t="s">
        <v>86</v>
      </c>
      <c r="D29" s="81" t="s">
        <v>87</v>
      </c>
    </row>
    <row r="30" spans="2:4" ht="12.75" customHeight="1" x14ac:dyDescent="0.2">
      <c r="B30" s="115"/>
      <c r="C30" s="84" t="s">
        <v>88</v>
      </c>
      <c r="D30" s="85" t="s">
        <v>89</v>
      </c>
    </row>
    <row r="31" spans="2:4" ht="28.5" customHeight="1" x14ac:dyDescent="0.2">
      <c r="B31" s="112" t="s">
        <v>37</v>
      </c>
      <c r="C31" s="78" t="s">
        <v>90</v>
      </c>
      <c r="D31" s="79" t="s">
        <v>91</v>
      </c>
    </row>
    <row r="32" spans="2:4" ht="27" customHeight="1" x14ac:dyDescent="0.2">
      <c r="B32" s="115"/>
      <c r="C32" s="80" t="s">
        <v>92</v>
      </c>
      <c r="D32" s="81" t="s">
        <v>93</v>
      </c>
    </row>
    <row r="33" spans="2:4" ht="12.75" customHeight="1" x14ac:dyDescent="0.2">
      <c r="B33" s="115"/>
      <c r="C33" s="82" t="s">
        <v>94</v>
      </c>
      <c r="D33" s="83" t="s">
        <v>95</v>
      </c>
    </row>
    <row r="34" spans="2:4" ht="12.75" customHeight="1" x14ac:dyDescent="0.2">
      <c r="B34" s="112" t="s">
        <v>38</v>
      </c>
      <c r="C34" s="78" t="s">
        <v>96</v>
      </c>
      <c r="D34" s="79" t="s">
        <v>97</v>
      </c>
    </row>
    <row r="35" spans="2:4" ht="12.75" customHeight="1" x14ac:dyDescent="0.2">
      <c r="B35" s="115"/>
      <c r="C35" s="80" t="s">
        <v>98</v>
      </c>
      <c r="D35" s="81" t="s">
        <v>99</v>
      </c>
    </row>
    <row r="36" spans="2:4" ht="12.75" customHeight="1" x14ac:dyDescent="0.2">
      <c r="B36" s="119"/>
      <c r="C36" s="82" t="s">
        <v>100</v>
      </c>
      <c r="D36" s="83" t="s">
        <v>101</v>
      </c>
    </row>
    <row r="37" spans="2:4" x14ac:dyDescent="0.2">
      <c r="B37" s="20"/>
      <c r="C37" s="86"/>
      <c r="D37" s="87"/>
    </row>
    <row r="38" spans="2:4" x14ac:dyDescent="0.2">
      <c r="B38" s="20"/>
      <c r="C38" s="86"/>
      <c r="D38" s="87"/>
    </row>
    <row r="39" spans="2:4" x14ac:dyDescent="0.2">
      <c r="B39" s="20"/>
      <c r="C39" s="86"/>
      <c r="D39" s="87"/>
    </row>
    <row r="40" spans="2:4" x14ac:dyDescent="0.2">
      <c r="B40" s="20"/>
      <c r="C40" s="86"/>
      <c r="D40" s="87"/>
    </row>
    <row r="41" spans="2:4" x14ac:dyDescent="0.2">
      <c r="B41" s="20"/>
      <c r="C41" s="86"/>
      <c r="D41" s="87"/>
    </row>
    <row r="42" spans="2:4" x14ac:dyDescent="0.2">
      <c r="B42" s="20"/>
      <c r="C42" s="86"/>
      <c r="D42" s="87"/>
    </row>
    <row r="43" spans="2:4" x14ac:dyDescent="0.2">
      <c r="B43" s="20"/>
      <c r="C43" s="86"/>
      <c r="D43" s="87"/>
    </row>
    <row r="44" spans="2:4" x14ac:dyDescent="0.2">
      <c r="B44" s="20"/>
      <c r="C44" s="86"/>
      <c r="D44" s="87"/>
    </row>
    <row r="45" spans="2:4" x14ac:dyDescent="0.2">
      <c r="B45" s="20"/>
      <c r="C45" s="86"/>
      <c r="D45" s="87"/>
    </row>
    <row r="46" spans="2:4" x14ac:dyDescent="0.2">
      <c r="B46" s="20"/>
      <c r="C46" s="86"/>
      <c r="D46" s="87"/>
    </row>
    <row r="47" spans="2:4" x14ac:dyDescent="0.2">
      <c r="B47" s="20"/>
      <c r="C47" s="86"/>
      <c r="D47" s="87"/>
    </row>
    <row r="48" spans="2:4" x14ac:dyDescent="0.2">
      <c r="B48" s="20"/>
      <c r="C48" s="86"/>
      <c r="D48" s="87"/>
    </row>
    <row r="49" spans="2:4" x14ac:dyDescent="0.2">
      <c r="B49" s="20"/>
      <c r="C49" s="86"/>
      <c r="D49" s="87"/>
    </row>
    <row r="50" spans="2:4" x14ac:dyDescent="0.2">
      <c r="B50" s="20"/>
      <c r="C50" s="86"/>
      <c r="D50" s="87"/>
    </row>
    <row r="51" spans="2:4" x14ac:dyDescent="0.2">
      <c r="B51" s="20"/>
      <c r="C51" s="86"/>
      <c r="D51" s="87"/>
    </row>
    <row r="52" spans="2:4" x14ac:dyDescent="0.2">
      <c r="B52" s="20"/>
      <c r="C52" s="86"/>
      <c r="D52" s="87"/>
    </row>
    <row r="53" spans="2:4" x14ac:dyDescent="0.2">
      <c r="B53" s="20"/>
      <c r="C53" s="86"/>
      <c r="D53" s="87"/>
    </row>
    <row r="54" spans="2:4" x14ac:dyDescent="0.2">
      <c r="B54" s="20"/>
      <c r="C54" s="86"/>
      <c r="D54" s="87"/>
    </row>
    <row r="55" spans="2:4" x14ac:dyDescent="0.2">
      <c r="C55" s="86"/>
      <c r="D55" s="87"/>
    </row>
  </sheetData>
  <mergeCells count="10">
    <mergeCell ref="B20:B23"/>
    <mergeCell ref="B24:B27"/>
    <mergeCell ref="B28:B30"/>
    <mergeCell ref="B31:B33"/>
    <mergeCell ref="B34:B36"/>
    <mergeCell ref="B3:B5"/>
    <mergeCell ref="B6:B9"/>
    <mergeCell ref="B10:B11"/>
    <mergeCell ref="B12:B15"/>
    <mergeCell ref="B16:B19"/>
  </mergeCells>
  <phoneticPr fontId="10" type="noConversion"/>
  <pageMargins left="0.75" right="0.75" top="1" bottom="1" header="0.5" footer="0.5"/>
  <pageSetup scale="65" orientation="portrait"/>
  <headerFooter alignWithMargins="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L74"/>
  <sheetViews>
    <sheetView showGridLines="0" tabSelected="1" topLeftCell="A26" zoomScale="130" zoomScaleNormal="130" workbookViewId="0">
      <selection activeCell="D49" sqref="D49:N50"/>
    </sheetView>
  </sheetViews>
  <sheetFormatPr defaultColWidth="9" defaultRowHeight="12.75" x14ac:dyDescent="0.2"/>
  <cols>
    <col min="2" max="2" width="17" customWidth="1"/>
    <col min="3" max="3" width="13.85546875" customWidth="1"/>
    <col min="4" max="4" width="11.5703125" customWidth="1"/>
    <col min="5" max="5" width="11" customWidth="1"/>
    <col min="6" max="6" width="11.5703125" customWidth="1"/>
    <col min="7" max="7" width="2.140625" customWidth="1"/>
    <col min="8" max="10" width="11.5703125" customWidth="1"/>
    <col min="11" max="11" width="2.85546875" customWidth="1"/>
    <col min="12" max="14" width="11.5703125" customWidth="1"/>
    <col min="15" max="15" width="3" customWidth="1"/>
    <col min="16" max="16" width="11.5703125" customWidth="1"/>
    <col min="17" max="17" width="11" customWidth="1"/>
    <col min="18" max="18" width="11.5703125" customWidth="1"/>
    <col min="20" max="20" width="25.5703125" customWidth="1"/>
    <col min="21" max="21" width="12" customWidth="1"/>
    <col min="22" max="24" width="9.42578125" customWidth="1"/>
    <col min="25" max="26" width="9.28515625" customWidth="1"/>
    <col min="31" max="31" width="17.85546875" customWidth="1"/>
    <col min="32" max="32" width="13.28515625" customWidth="1"/>
    <col min="33" max="33" width="13" customWidth="1"/>
    <col min="34" max="34" width="12.140625" customWidth="1"/>
    <col min="35" max="35" width="2.28515625" customWidth="1"/>
    <col min="36" max="36" width="12.85546875" customWidth="1"/>
    <col min="37" max="37" width="14" customWidth="1"/>
    <col min="38" max="38" width="12.140625" customWidth="1"/>
  </cols>
  <sheetData>
    <row r="1" spans="2:38" x14ac:dyDescent="0.2">
      <c r="T1" s="14" t="s">
        <v>102</v>
      </c>
      <c r="U1" s="126" t="s">
        <v>103</v>
      </c>
    </row>
    <row r="2" spans="2:38" x14ac:dyDescent="0.2">
      <c r="B2" s="112" t="s">
        <v>104</v>
      </c>
      <c r="C2" s="1"/>
      <c r="D2" s="122" t="s">
        <v>186</v>
      </c>
      <c r="E2" s="120"/>
      <c r="F2" s="120"/>
      <c r="G2" s="1"/>
      <c r="H2" s="122" t="s">
        <v>186</v>
      </c>
      <c r="I2" s="120"/>
      <c r="J2" s="120"/>
      <c r="K2" s="1"/>
      <c r="L2" s="122" t="s">
        <v>183</v>
      </c>
      <c r="M2" s="120"/>
      <c r="N2" s="121"/>
      <c r="T2" s="36">
        <v>3</v>
      </c>
      <c r="U2" s="126"/>
      <c r="V2" s="124" t="s">
        <v>105</v>
      </c>
      <c r="W2" s="125"/>
      <c r="X2" s="120" t="s">
        <v>106</v>
      </c>
      <c r="Y2" s="120"/>
      <c r="Z2" s="120" t="s">
        <v>107</v>
      </c>
      <c r="AA2" s="121"/>
      <c r="AE2" s="112" t="s">
        <v>17</v>
      </c>
      <c r="AF2" s="1"/>
      <c r="AG2" s="40" t="s">
        <v>108</v>
      </c>
      <c r="AH2" s="2" t="s">
        <v>19</v>
      </c>
      <c r="AI2" s="2"/>
      <c r="AJ2" s="2" t="s">
        <v>109</v>
      </c>
      <c r="AK2" s="2" t="s">
        <v>110</v>
      </c>
      <c r="AL2" s="26" t="s">
        <v>111</v>
      </c>
    </row>
    <row r="3" spans="2:38" x14ac:dyDescent="0.2">
      <c r="B3" s="113"/>
      <c r="D3" s="3" t="s">
        <v>112</v>
      </c>
      <c r="E3" s="3" t="s">
        <v>113</v>
      </c>
      <c r="F3" s="3" t="s">
        <v>114</v>
      </c>
      <c r="H3" s="3" t="s">
        <v>112</v>
      </c>
      <c r="I3" s="3" t="s">
        <v>113</v>
      </c>
      <c r="J3" s="3" t="s">
        <v>114</v>
      </c>
      <c r="L3" s="3" t="s">
        <v>112</v>
      </c>
      <c r="M3" s="3" t="s">
        <v>113</v>
      </c>
      <c r="N3" s="27" t="s">
        <v>114</v>
      </c>
      <c r="V3" s="37" t="s">
        <v>115</v>
      </c>
      <c r="W3" s="111" t="s">
        <v>187</v>
      </c>
      <c r="X3" s="38" t="s">
        <v>115</v>
      </c>
      <c r="Y3" s="38" t="s">
        <v>116</v>
      </c>
      <c r="Z3" s="38" t="s">
        <v>115</v>
      </c>
      <c r="AA3" s="47" t="s">
        <v>116</v>
      </c>
      <c r="AE3" s="113"/>
      <c r="AG3" s="58"/>
      <c r="AH3" s="59"/>
      <c r="AI3" s="59"/>
      <c r="AJ3" s="59"/>
      <c r="AK3" s="59"/>
      <c r="AL3" s="60"/>
    </row>
    <row r="4" spans="2:38" x14ac:dyDescent="0.2">
      <c r="B4" s="113"/>
      <c r="C4" s="4" t="s">
        <v>117</v>
      </c>
      <c r="D4" s="135">
        <v>25</v>
      </c>
      <c r="E4" s="135">
        <v>35</v>
      </c>
      <c r="F4" s="135">
        <v>45</v>
      </c>
      <c r="H4" s="135">
        <v>35</v>
      </c>
      <c r="I4" s="135">
        <v>45</v>
      </c>
      <c r="J4" s="135">
        <v>55</v>
      </c>
      <c r="L4" s="5">
        <v>65</v>
      </c>
      <c r="M4" s="5">
        <v>80</v>
      </c>
      <c r="N4" s="28">
        <v>95</v>
      </c>
      <c r="U4">
        <f>IF(T$2=1,W4,IF(T$2=2,Y4,AA4))</f>
        <v>80</v>
      </c>
      <c r="V4" s="38">
        <f>((F4-D4)/6)^2</f>
        <v>11.111111111111112</v>
      </c>
      <c r="W4" s="108">
        <f>(D4+4*E4+F4)/6</f>
        <v>35</v>
      </c>
      <c r="X4" s="38">
        <f>((J4-H4)/6)^2</f>
        <v>11.111111111111112</v>
      </c>
      <c r="Y4" s="108">
        <f>(H4+4*I4+J4)/6</f>
        <v>45</v>
      </c>
      <c r="Z4" s="38">
        <f>((N4-L4)/6)^2</f>
        <v>25</v>
      </c>
      <c r="AA4" s="109">
        <f>(L4+4*M4+N4)/6</f>
        <v>80</v>
      </c>
      <c r="AE4" s="113"/>
      <c r="AF4" s="4" t="s">
        <v>20</v>
      </c>
      <c r="AG4" s="61">
        <f>AH4*U4</f>
        <v>64000</v>
      </c>
      <c r="AH4" s="105">
        <f>AK4</f>
        <v>800</v>
      </c>
      <c r="AI4" s="62"/>
      <c r="AJ4" s="62">
        <v>700</v>
      </c>
      <c r="AK4" s="62">
        <v>800</v>
      </c>
      <c r="AL4" s="63">
        <v>1000</v>
      </c>
    </row>
    <row r="5" spans="2:38" ht="13.5" thickBot="1" x14ac:dyDescent="0.25">
      <c r="B5" s="114"/>
      <c r="C5" s="6" t="s">
        <v>118</v>
      </c>
      <c r="D5" s="136">
        <v>35</v>
      </c>
      <c r="E5" s="136">
        <v>45</v>
      </c>
      <c r="F5" s="136">
        <v>55</v>
      </c>
      <c r="G5" s="8"/>
      <c r="H5" s="136">
        <v>27</v>
      </c>
      <c r="I5" s="136">
        <v>30</v>
      </c>
      <c r="J5" s="136">
        <v>33</v>
      </c>
      <c r="K5" s="8"/>
      <c r="L5" s="7">
        <v>8</v>
      </c>
      <c r="M5" s="7">
        <v>10</v>
      </c>
      <c r="N5" s="29">
        <v>12</v>
      </c>
      <c r="S5">
        <f>IF(T$2=1,V5,IF(T$2=2,X5,Z5))</f>
        <v>0.44444444444444442</v>
      </c>
      <c r="U5">
        <f>IF(T$2=1,W5,IF(T$2=2,Y5,AA5))</f>
        <v>10</v>
      </c>
      <c r="V5" s="39">
        <f>((F5-D5)/6)^2</f>
        <v>11.111111111111112</v>
      </c>
      <c r="W5" s="108">
        <f>(D5+4*E5+F5)/6</f>
        <v>45</v>
      </c>
      <c r="X5" s="38">
        <f>((J5-H5)/6)^2</f>
        <v>1</v>
      </c>
      <c r="Y5" s="108">
        <f>(H5+4*I5+J5)/6</f>
        <v>30</v>
      </c>
      <c r="Z5" s="38">
        <f>((N5-L5)/6)^2</f>
        <v>0.44444444444444442</v>
      </c>
      <c r="AA5" s="109">
        <f>(L5+4*M5+N5)/6</f>
        <v>10</v>
      </c>
      <c r="AE5" s="114"/>
      <c r="AF5" s="6">
        <f>(S$5*(1-S$10)+S$15)*S5*AH5</f>
        <v>0</v>
      </c>
      <c r="AG5" s="64"/>
      <c r="AH5" s="65"/>
      <c r="AI5" s="65"/>
      <c r="AJ5" s="65"/>
      <c r="AK5" s="65"/>
      <c r="AL5" s="66"/>
    </row>
    <row r="6" spans="2:38" ht="15.75" thickBot="1" x14ac:dyDescent="0.25">
      <c r="B6" s="9"/>
      <c r="T6" s="14" t="s">
        <v>119</v>
      </c>
      <c r="AE6" s="9"/>
      <c r="AG6" s="67"/>
      <c r="AH6" s="67"/>
      <c r="AI6" s="67"/>
      <c r="AJ6" s="67"/>
      <c r="AK6" s="67"/>
      <c r="AL6" s="67"/>
    </row>
    <row r="7" spans="2:38" x14ac:dyDescent="0.2">
      <c r="B7" s="112" t="s">
        <v>120</v>
      </c>
      <c r="C7" s="1"/>
      <c r="D7" s="122" t="s">
        <v>186</v>
      </c>
      <c r="E7" s="120"/>
      <c r="F7" s="120"/>
      <c r="G7" s="1"/>
      <c r="H7" s="122" t="s">
        <v>186</v>
      </c>
      <c r="I7" s="120"/>
      <c r="J7" s="120"/>
      <c r="K7" s="1"/>
      <c r="L7" s="120" t="s">
        <v>181</v>
      </c>
      <c r="M7" s="120"/>
      <c r="N7" s="120"/>
      <c r="O7" s="1"/>
      <c r="P7" s="122" t="s">
        <v>182</v>
      </c>
      <c r="Q7" s="120"/>
      <c r="R7" s="121"/>
      <c r="T7" s="36">
        <v>4</v>
      </c>
      <c r="V7" s="123" t="s">
        <v>121</v>
      </c>
      <c r="W7" s="120"/>
      <c r="X7" s="120" t="s">
        <v>122</v>
      </c>
      <c r="Y7" s="120"/>
      <c r="Z7" s="120" t="s">
        <v>123</v>
      </c>
      <c r="AA7" s="120"/>
      <c r="AB7" s="127" t="s">
        <v>124</v>
      </c>
      <c r="AC7" s="128"/>
      <c r="AE7" s="112" t="s">
        <v>28</v>
      </c>
      <c r="AF7" s="1"/>
      <c r="AG7" s="68" t="s">
        <v>108</v>
      </c>
      <c r="AH7" s="69" t="s">
        <v>19</v>
      </c>
      <c r="AI7" s="69"/>
      <c r="AJ7" s="69" t="s">
        <v>109</v>
      </c>
      <c r="AK7" s="69" t="s">
        <v>110</v>
      </c>
      <c r="AL7" s="70" t="s">
        <v>111</v>
      </c>
    </row>
    <row r="8" spans="2:38" x14ac:dyDescent="0.2">
      <c r="B8" s="113"/>
      <c r="C8" s="4"/>
      <c r="D8" s="3" t="s">
        <v>112</v>
      </c>
      <c r="E8" s="3" t="s">
        <v>113</v>
      </c>
      <c r="F8" s="3" t="s">
        <v>114</v>
      </c>
      <c r="H8" s="3" t="s">
        <v>112</v>
      </c>
      <c r="I8" s="3" t="s">
        <v>113</v>
      </c>
      <c r="J8" s="3" t="s">
        <v>114</v>
      </c>
      <c r="L8" s="3" t="s">
        <v>112</v>
      </c>
      <c r="M8" s="3" t="s">
        <v>113</v>
      </c>
      <c r="N8" s="3" t="s">
        <v>114</v>
      </c>
      <c r="P8" s="3" t="s">
        <v>112</v>
      </c>
      <c r="Q8" s="3" t="s">
        <v>113</v>
      </c>
      <c r="R8" s="27" t="s">
        <v>114</v>
      </c>
      <c r="V8" s="37" t="s">
        <v>115</v>
      </c>
      <c r="W8" s="38" t="s">
        <v>116</v>
      </c>
      <c r="X8" s="38" t="s">
        <v>115</v>
      </c>
      <c r="Y8" s="38" t="s">
        <v>116</v>
      </c>
      <c r="Z8" s="38" t="s">
        <v>115</v>
      </c>
      <c r="AA8" s="38" t="s">
        <v>116</v>
      </c>
      <c r="AB8" s="38" t="s">
        <v>115</v>
      </c>
      <c r="AC8" s="47" t="s">
        <v>116</v>
      </c>
      <c r="AE8" s="113"/>
      <c r="AF8" s="4"/>
      <c r="AG8" s="61"/>
      <c r="AH8" s="62"/>
      <c r="AI8" s="62"/>
      <c r="AJ8" s="62"/>
      <c r="AK8" s="62"/>
      <c r="AL8" s="63"/>
    </row>
    <row r="9" spans="2:38" x14ac:dyDescent="0.2">
      <c r="B9" s="113"/>
      <c r="C9" s="4" t="s">
        <v>117</v>
      </c>
      <c r="D9" s="137">
        <v>1</v>
      </c>
      <c r="E9" s="137">
        <v>4</v>
      </c>
      <c r="F9" s="137">
        <v>7</v>
      </c>
      <c r="H9" s="137">
        <v>7</v>
      </c>
      <c r="I9" s="137">
        <v>10</v>
      </c>
      <c r="J9" s="137">
        <v>13</v>
      </c>
      <c r="L9" s="138">
        <v>38</v>
      </c>
      <c r="M9" s="138">
        <v>40</v>
      </c>
      <c r="N9" s="138">
        <v>42</v>
      </c>
      <c r="P9" s="10">
        <v>22</v>
      </c>
      <c r="Q9" s="10">
        <v>23</v>
      </c>
      <c r="R9" s="30">
        <v>24</v>
      </c>
      <c r="U9">
        <f>IF(T$7=1,W9,IF(T$7=2,Y9,IF(T$7=3,AA9,AC9)))</f>
        <v>23</v>
      </c>
      <c r="V9" s="38">
        <f>((F9-D9)/6)^2</f>
        <v>1</v>
      </c>
      <c r="W9" s="108">
        <f>(D9+4*E9+F9)/6</f>
        <v>4</v>
      </c>
      <c r="X9" s="38">
        <f>((J9-H9)/6)^2</f>
        <v>1</v>
      </c>
      <c r="Y9" s="108">
        <f>(H9+4*I9+J9)/6</f>
        <v>10</v>
      </c>
      <c r="Z9" s="38">
        <f>((N9-L9)/6)^2</f>
        <v>0.44444444444444442</v>
      </c>
      <c r="AA9" s="109">
        <f>(L9+4*M9+N9)/6</f>
        <v>40</v>
      </c>
      <c r="AB9" s="38">
        <f>((R9-P9)/6)^2</f>
        <v>0.1111111111111111</v>
      </c>
      <c r="AC9" s="110">
        <f>(P9+4*Q9+R9)/6</f>
        <v>23</v>
      </c>
      <c r="AE9" s="113"/>
      <c r="AF9" s="4" t="s">
        <v>20</v>
      </c>
      <c r="AG9" s="61">
        <f>AH9*U9</f>
        <v>18400</v>
      </c>
      <c r="AH9" s="106">
        <f>AK9</f>
        <v>800</v>
      </c>
      <c r="AI9" s="62"/>
      <c r="AJ9" s="62">
        <v>700</v>
      </c>
      <c r="AK9" s="62">
        <v>800</v>
      </c>
      <c r="AL9" s="63">
        <v>1000</v>
      </c>
    </row>
    <row r="10" spans="2:38" ht="13.5" thickBot="1" x14ac:dyDescent="0.25">
      <c r="B10" s="114"/>
      <c r="C10" s="6" t="s">
        <v>118</v>
      </c>
      <c r="D10" s="139">
        <v>0.25</v>
      </c>
      <c r="E10" s="139">
        <v>0.4</v>
      </c>
      <c r="F10" s="139">
        <v>0.55000000000000004</v>
      </c>
      <c r="G10" s="12"/>
      <c r="H10" s="139">
        <v>0.5</v>
      </c>
      <c r="I10" s="139">
        <v>0.55000000000000004</v>
      </c>
      <c r="J10" s="139">
        <v>0.6</v>
      </c>
      <c r="K10" s="12"/>
      <c r="L10" s="140">
        <v>0.75</v>
      </c>
      <c r="M10" s="140">
        <v>0.8</v>
      </c>
      <c r="N10" s="140">
        <v>0.85</v>
      </c>
      <c r="O10" s="12"/>
      <c r="P10" s="11">
        <v>0.08</v>
      </c>
      <c r="Q10" s="11">
        <v>0.1</v>
      </c>
      <c r="R10" s="34">
        <v>0.12</v>
      </c>
      <c r="S10">
        <f>IF(T$2=1,V10,IF(T$2=2,X10,Z10))</f>
        <v>2.7777777777777767E-4</v>
      </c>
      <c r="U10" s="41">
        <f>IF(T$7=1,W10,IF(T$7=2,Y10,IF(T$7=3,AA10,AC10)))</f>
        <v>0.10000000000000002</v>
      </c>
      <c r="V10" s="38">
        <f>((F10-D10)/6)^2</f>
        <v>2.5000000000000009E-3</v>
      </c>
      <c r="W10" s="108">
        <f>(D10+4*E10+F10)/6</f>
        <v>0.40000000000000008</v>
      </c>
      <c r="X10" s="38">
        <f>((J10-H10)/6)^2</f>
        <v>2.7777777777777767E-4</v>
      </c>
      <c r="Y10" s="108">
        <f>(H10+4*I10+J10)/6</f>
        <v>0.55000000000000004</v>
      </c>
      <c r="Z10" s="38">
        <f>((N10-L10)/6)^2</f>
        <v>2.7777777777777767E-4</v>
      </c>
      <c r="AA10" s="109">
        <f>(L10+4*M10+N10)/6</f>
        <v>0.79999999999999993</v>
      </c>
      <c r="AB10" s="38">
        <f>((R10-P10)/6)^2</f>
        <v>4.4444444444444426E-5</v>
      </c>
      <c r="AC10" s="110">
        <f>(P10+4*Q10+R10)/6</f>
        <v>0.10000000000000002</v>
      </c>
      <c r="AE10" s="114"/>
      <c r="AF10" s="6">
        <f>(S$5*(1-S$10)+S$15)*S10*AH10</f>
        <v>0.49368998628257854</v>
      </c>
      <c r="AG10" s="64">
        <f>U5*U10*AH10</f>
        <v>4000.0000000000009</v>
      </c>
      <c r="AH10" s="107">
        <f>AK10</f>
        <v>4000</v>
      </c>
      <c r="AI10" s="65"/>
      <c r="AJ10" s="65">
        <f>0.85*AK10</f>
        <v>3400</v>
      </c>
      <c r="AK10" s="65">
        <v>4000</v>
      </c>
      <c r="AL10" s="66">
        <f>1.15*AK10</f>
        <v>4600</v>
      </c>
    </row>
    <row r="11" spans="2:38" ht="15.75" thickBot="1" x14ac:dyDescent="0.25">
      <c r="B11" s="9"/>
      <c r="C11" s="4"/>
      <c r="T11" s="14" t="s">
        <v>125</v>
      </c>
      <c r="AE11" s="9"/>
      <c r="AF11" s="4"/>
      <c r="AG11" s="71"/>
      <c r="AH11" s="71"/>
      <c r="AI11" s="71"/>
      <c r="AJ11" s="71"/>
      <c r="AK11" s="71"/>
      <c r="AL11" s="71"/>
    </row>
    <row r="12" spans="2:38" x14ac:dyDescent="0.2">
      <c r="B12" s="112" t="s">
        <v>126</v>
      </c>
      <c r="C12" s="13"/>
      <c r="D12" s="122" t="s">
        <v>186</v>
      </c>
      <c r="E12" s="120"/>
      <c r="F12" s="120"/>
      <c r="G12" s="1"/>
      <c r="H12" s="122" t="s">
        <v>183</v>
      </c>
      <c r="I12" s="120"/>
      <c r="J12" s="121"/>
      <c r="L12" s="129"/>
      <c r="M12" s="129"/>
      <c r="N12" s="129"/>
      <c r="T12" s="36">
        <v>2</v>
      </c>
      <c r="V12" s="123" t="s">
        <v>127</v>
      </c>
      <c r="W12" s="120"/>
      <c r="X12" s="120" t="s">
        <v>128</v>
      </c>
      <c r="Y12" s="121"/>
      <c r="AE12" s="112" t="s">
        <v>31</v>
      </c>
      <c r="AF12" s="13"/>
      <c r="AG12" s="68" t="s">
        <v>108</v>
      </c>
      <c r="AH12" s="69" t="s">
        <v>19</v>
      </c>
      <c r="AI12" s="69"/>
      <c r="AJ12" s="69" t="s">
        <v>109</v>
      </c>
      <c r="AK12" s="69" t="s">
        <v>110</v>
      </c>
      <c r="AL12" s="70" t="s">
        <v>111</v>
      </c>
    </row>
    <row r="13" spans="2:38" x14ac:dyDescent="0.2">
      <c r="B13" s="113"/>
      <c r="C13" s="4"/>
      <c r="D13" s="3" t="s">
        <v>112</v>
      </c>
      <c r="E13" s="3" t="s">
        <v>113</v>
      </c>
      <c r="F13" s="3" t="s">
        <v>114</v>
      </c>
      <c r="H13" s="3" t="s">
        <v>112</v>
      </c>
      <c r="I13" s="3" t="s">
        <v>113</v>
      </c>
      <c r="J13" s="27" t="s">
        <v>114</v>
      </c>
      <c r="L13" s="14"/>
      <c r="M13" s="14"/>
      <c r="N13" s="14"/>
      <c r="V13" s="37" t="s">
        <v>115</v>
      </c>
      <c r="W13" s="38" t="s">
        <v>116</v>
      </c>
      <c r="X13" s="38" t="s">
        <v>115</v>
      </c>
      <c r="Y13" s="47" t="s">
        <v>116</v>
      </c>
      <c r="AE13" s="113"/>
      <c r="AF13" s="4"/>
      <c r="AG13" s="61"/>
      <c r="AH13" s="62"/>
      <c r="AI13" s="62"/>
      <c r="AJ13" s="62"/>
      <c r="AK13" s="62"/>
      <c r="AL13" s="63"/>
    </row>
    <row r="14" spans="2:38" x14ac:dyDescent="0.2">
      <c r="B14" s="113"/>
      <c r="C14" s="4" t="s">
        <v>117</v>
      </c>
      <c r="D14" s="137">
        <v>50</v>
      </c>
      <c r="E14" s="137">
        <v>60</v>
      </c>
      <c r="F14" s="137">
        <v>70</v>
      </c>
      <c r="G14" s="14"/>
      <c r="H14" s="10">
        <v>65</v>
      </c>
      <c r="I14" s="10">
        <v>75</v>
      </c>
      <c r="J14" s="30">
        <v>85</v>
      </c>
      <c r="L14" s="14"/>
      <c r="M14" s="14"/>
      <c r="N14" s="14"/>
      <c r="U14">
        <f>IF(T$12=1,W14,Y14)</f>
        <v>75</v>
      </c>
      <c r="V14" s="38">
        <f>((F14-D14)/6)^2</f>
        <v>11.111111111111112</v>
      </c>
      <c r="W14" s="108">
        <f>(D14+4*E14+F14)/6</f>
        <v>60</v>
      </c>
      <c r="X14" s="38">
        <f>((J14-H14)/6)^2</f>
        <v>11.111111111111112</v>
      </c>
      <c r="Y14" s="108">
        <f>(H14+4*I14+J14)/6</f>
        <v>75</v>
      </c>
      <c r="AE14" s="113"/>
      <c r="AF14" s="4" t="s">
        <v>20</v>
      </c>
      <c r="AG14" s="61">
        <f>AH14*U14</f>
        <v>60000</v>
      </c>
      <c r="AH14" s="106">
        <f>AK14</f>
        <v>800</v>
      </c>
      <c r="AI14" s="62"/>
      <c r="AJ14" s="62">
        <v>700</v>
      </c>
      <c r="AK14" s="62">
        <v>800</v>
      </c>
      <c r="AL14" s="63">
        <v>1000</v>
      </c>
    </row>
    <row r="15" spans="2:38" ht="13.5" thickBot="1" x14ac:dyDescent="0.25">
      <c r="B15" s="114"/>
      <c r="C15" s="6" t="s">
        <v>118</v>
      </c>
      <c r="D15" s="141">
        <v>25</v>
      </c>
      <c r="E15" s="141">
        <v>35</v>
      </c>
      <c r="F15" s="141">
        <v>45</v>
      </c>
      <c r="G15" s="16"/>
      <c r="H15" s="15">
        <v>15</v>
      </c>
      <c r="I15" s="15">
        <v>18</v>
      </c>
      <c r="J15" s="31">
        <v>21</v>
      </c>
      <c r="S15">
        <f>IF(T$2=1,V15,IF(T$2=2,X15,Z15))</f>
        <v>0</v>
      </c>
      <c r="U15">
        <f>IF(T$12=1,W15,Y15)</f>
        <v>18</v>
      </c>
      <c r="V15" s="38">
        <f>((F15-D15)/6)^2</f>
        <v>11.111111111111112</v>
      </c>
      <c r="W15" s="108">
        <f>(D15+4*E15+F15)/6</f>
        <v>35</v>
      </c>
      <c r="X15" s="38">
        <f>((J15-H15)/6)^2</f>
        <v>1</v>
      </c>
      <c r="Y15" s="108">
        <f>(H15+4*I15+J15)/6</f>
        <v>18</v>
      </c>
      <c r="AE15" s="114"/>
      <c r="AF15" s="6">
        <f>(S$5*(1-S$10)+S$15)*S15*AH15</f>
        <v>0</v>
      </c>
      <c r="AG15" s="64"/>
      <c r="AH15" s="65"/>
      <c r="AI15" s="65"/>
      <c r="AJ15" s="65"/>
      <c r="AK15" s="65"/>
      <c r="AL15" s="66"/>
    </row>
    <row r="16" spans="2:38" ht="15.75" thickBot="1" x14ac:dyDescent="0.25">
      <c r="B16" s="9"/>
      <c r="C16" s="4"/>
      <c r="T16" s="14" t="s">
        <v>129</v>
      </c>
      <c r="AE16" s="9"/>
      <c r="AF16" s="4"/>
      <c r="AG16" s="71"/>
      <c r="AH16" s="71"/>
      <c r="AI16" s="71"/>
      <c r="AJ16" s="71"/>
      <c r="AK16" s="71"/>
      <c r="AL16" s="71"/>
    </row>
    <row r="17" spans="1:38" x14ac:dyDescent="0.2">
      <c r="B17" s="112" t="s">
        <v>130</v>
      </c>
      <c r="C17" s="13"/>
      <c r="D17" s="122" t="s">
        <v>186</v>
      </c>
      <c r="E17" s="120"/>
      <c r="F17" s="120"/>
      <c r="G17" s="1"/>
      <c r="H17" s="122" t="s">
        <v>186</v>
      </c>
      <c r="I17" s="120"/>
      <c r="J17" s="120"/>
      <c r="K17" s="1"/>
      <c r="L17" s="120" t="s">
        <v>181</v>
      </c>
      <c r="M17" s="120"/>
      <c r="N17" s="120"/>
      <c r="O17" s="1"/>
      <c r="P17" s="122" t="s">
        <v>182</v>
      </c>
      <c r="Q17" s="120"/>
      <c r="R17" s="121"/>
      <c r="T17" s="36">
        <v>4</v>
      </c>
      <c r="V17" s="123" t="s">
        <v>121</v>
      </c>
      <c r="W17" s="120"/>
      <c r="X17" s="120" t="s">
        <v>122</v>
      </c>
      <c r="Y17" s="120"/>
      <c r="Z17" s="120" t="s">
        <v>123</v>
      </c>
      <c r="AA17" s="120"/>
      <c r="AB17" s="127" t="s">
        <v>124</v>
      </c>
      <c r="AC17" s="128"/>
      <c r="AE17" s="112" t="s">
        <v>32</v>
      </c>
      <c r="AF17" s="13"/>
      <c r="AG17" s="68" t="s">
        <v>108</v>
      </c>
      <c r="AH17" s="69" t="s">
        <v>19</v>
      </c>
      <c r="AI17" s="69"/>
      <c r="AJ17" s="69" t="s">
        <v>109</v>
      </c>
      <c r="AK17" s="69" t="s">
        <v>110</v>
      </c>
      <c r="AL17" s="70" t="s">
        <v>111</v>
      </c>
    </row>
    <row r="18" spans="1:38" x14ac:dyDescent="0.2">
      <c r="B18" s="113"/>
      <c r="C18" s="4"/>
      <c r="D18" s="3" t="s">
        <v>112</v>
      </c>
      <c r="E18" s="3" t="s">
        <v>113</v>
      </c>
      <c r="F18" s="3" t="s">
        <v>114</v>
      </c>
      <c r="H18" s="3" t="s">
        <v>112</v>
      </c>
      <c r="I18" s="3" t="s">
        <v>113</v>
      </c>
      <c r="J18" s="3" t="s">
        <v>114</v>
      </c>
      <c r="L18" s="3" t="s">
        <v>112</v>
      </c>
      <c r="M18" s="3" t="s">
        <v>113</v>
      </c>
      <c r="N18" s="3" t="s">
        <v>114</v>
      </c>
      <c r="P18" s="3" t="s">
        <v>112</v>
      </c>
      <c r="Q18" s="3" t="s">
        <v>113</v>
      </c>
      <c r="R18" s="27" t="s">
        <v>114</v>
      </c>
      <c r="V18" s="37" t="s">
        <v>115</v>
      </c>
      <c r="W18" s="38" t="s">
        <v>116</v>
      </c>
      <c r="X18" s="38" t="s">
        <v>115</v>
      </c>
      <c r="Y18" s="38" t="s">
        <v>116</v>
      </c>
      <c r="Z18" s="38" t="s">
        <v>115</v>
      </c>
      <c r="AA18" s="38" t="s">
        <v>116</v>
      </c>
      <c r="AB18" s="38" t="s">
        <v>115</v>
      </c>
      <c r="AC18" s="47" t="s">
        <v>116</v>
      </c>
      <c r="AE18" s="113"/>
      <c r="AF18" s="4"/>
      <c r="AG18" s="61"/>
      <c r="AH18" s="62"/>
      <c r="AI18" s="62"/>
      <c r="AJ18" s="62"/>
      <c r="AK18" s="62"/>
      <c r="AL18" s="63"/>
    </row>
    <row r="19" spans="1:38" x14ac:dyDescent="0.2">
      <c r="B19" s="113"/>
      <c r="C19" s="4" t="s">
        <v>117</v>
      </c>
      <c r="D19" s="137">
        <v>5</v>
      </c>
      <c r="E19" s="137">
        <v>12</v>
      </c>
      <c r="F19" s="137">
        <v>19</v>
      </c>
      <c r="G19" s="14"/>
      <c r="H19" s="137">
        <v>15</v>
      </c>
      <c r="I19" s="137">
        <v>20</v>
      </c>
      <c r="J19" s="137">
        <v>25</v>
      </c>
      <c r="K19" s="14"/>
      <c r="L19" s="138">
        <v>55</v>
      </c>
      <c r="M19" s="138">
        <v>65</v>
      </c>
      <c r="N19" s="138">
        <v>75</v>
      </c>
      <c r="O19" s="14"/>
      <c r="P19" s="10">
        <v>45</v>
      </c>
      <c r="Q19" s="10">
        <v>46</v>
      </c>
      <c r="R19" s="30">
        <v>48</v>
      </c>
      <c r="U19">
        <f>IF(T$17=1,W19,IF(T$17=2,Y19,IF(T$17=3,AA19,AC19)))</f>
        <v>46.166666666666664</v>
      </c>
      <c r="V19" s="38">
        <f>((F19-D19)/6)^2</f>
        <v>5.4444444444444455</v>
      </c>
      <c r="W19" s="108">
        <f>(D19+4*E19+F19)/6</f>
        <v>12</v>
      </c>
      <c r="X19" s="38">
        <f>((J19-H19)/6)^2</f>
        <v>2.7777777777777781</v>
      </c>
      <c r="Y19" s="108">
        <f>(H19+4*I19+J19)/6</f>
        <v>20</v>
      </c>
      <c r="Z19" s="38">
        <f>((N19-L19)/6)^2</f>
        <v>11.111111111111112</v>
      </c>
      <c r="AA19" s="109">
        <f>(L19+4*M19+N19)/6</f>
        <v>65</v>
      </c>
      <c r="AB19" s="38">
        <f>((R19-P19)/6)^2</f>
        <v>0.25</v>
      </c>
      <c r="AC19" s="110">
        <f>(P19+4*Q19+R19)/6</f>
        <v>46.166666666666664</v>
      </c>
      <c r="AE19" s="113"/>
      <c r="AF19" s="4" t="s">
        <v>20</v>
      </c>
      <c r="AG19" s="61">
        <f>AH19*U19</f>
        <v>36933.333333333328</v>
      </c>
      <c r="AH19" s="106">
        <f>AK19</f>
        <v>800</v>
      </c>
      <c r="AI19" s="62"/>
      <c r="AJ19" s="62">
        <v>700</v>
      </c>
      <c r="AK19" s="62">
        <v>800</v>
      </c>
      <c r="AL19" s="63">
        <v>1000</v>
      </c>
    </row>
    <row r="20" spans="1:38" ht="13.5" thickBot="1" x14ac:dyDescent="0.25">
      <c r="B20" s="114"/>
      <c r="C20" s="6" t="s">
        <v>118</v>
      </c>
      <c r="D20" s="139">
        <v>0.25</v>
      </c>
      <c r="E20" s="139">
        <v>0.4</v>
      </c>
      <c r="F20" s="139">
        <v>0.55000000000000004</v>
      </c>
      <c r="G20" s="17"/>
      <c r="H20" s="139">
        <v>0.5</v>
      </c>
      <c r="I20" s="139">
        <v>0.55000000000000004</v>
      </c>
      <c r="J20" s="139">
        <v>0.6</v>
      </c>
      <c r="K20" s="17"/>
      <c r="L20" s="140">
        <v>0.54</v>
      </c>
      <c r="M20" s="140">
        <v>0.59</v>
      </c>
      <c r="N20" s="140">
        <v>0.64</v>
      </c>
      <c r="O20" s="17"/>
      <c r="P20" s="11">
        <v>5.7000000000000002E-2</v>
      </c>
      <c r="Q20" s="11">
        <v>0.11</v>
      </c>
      <c r="R20" s="34">
        <v>0.157</v>
      </c>
      <c r="S20">
        <f>IF(T$2=1,V20,IF(T$2=2,X20,Z20))</f>
        <v>2.7777777777777767E-4</v>
      </c>
      <c r="U20" s="41">
        <f>IF(T$17=1,W20,IF(T$17=2,Y20,IF(T$17=3,AA20,AC20)))</f>
        <v>0.109</v>
      </c>
      <c r="V20" s="38">
        <f>((F20-D20)/6)^2</f>
        <v>2.5000000000000009E-3</v>
      </c>
      <c r="W20" s="108">
        <f>(D20+4*E20+F20)/6</f>
        <v>0.40000000000000008</v>
      </c>
      <c r="X20" s="38">
        <f>((J20-H20)/6)^2</f>
        <v>2.7777777777777767E-4</v>
      </c>
      <c r="Y20" s="108">
        <f>(H20+4*I20+J20)/6</f>
        <v>0.55000000000000004</v>
      </c>
      <c r="Z20" s="38">
        <f>((N20-L20)/6)^2</f>
        <v>2.7777777777777767E-4</v>
      </c>
      <c r="AA20" s="109">
        <f>(L20+4*M20+N20)/6</f>
        <v>0.59</v>
      </c>
      <c r="AB20" s="38">
        <f>((R20-P20)/6)^2</f>
        <v>2.7777777777777778E-4</v>
      </c>
      <c r="AC20" s="110">
        <f>(P20+4*Q20+R20)/6</f>
        <v>0.109</v>
      </c>
      <c r="AE20" s="114"/>
      <c r="AF20" s="6">
        <f>(S$5*(1-S$10)+S$15)*S20*AH20</f>
        <v>0.49368998628257854</v>
      </c>
      <c r="AG20" s="64">
        <f>(U$5*(1-U$10)+U$15)*U20*AH20</f>
        <v>11772</v>
      </c>
      <c r="AH20" s="106">
        <f>AK20</f>
        <v>4000</v>
      </c>
      <c r="AI20" s="65"/>
      <c r="AJ20" s="65">
        <f>0.85*AK20</f>
        <v>3400</v>
      </c>
      <c r="AK20" s="65">
        <v>4000</v>
      </c>
      <c r="AL20" s="66">
        <f>1.15*AK20</f>
        <v>4600</v>
      </c>
    </row>
    <row r="21" spans="1:38" ht="15.75" thickBot="1" x14ac:dyDescent="0.25">
      <c r="B21" s="9"/>
      <c r="C21" s="4"/>
      <c r="T21" s="14" t="s">
        <v>131</v>
      </c>
      <c r="AE21" s="9"/>
      <c r="AF21" s="4"/>
      <c r="AG21" s="71"/>
      <c r="AH21" s="71"/>
      <c r="AI21" s="71"/>
      <c r="AJ21" s="71"/>
      <c r="AK21" s="71"/>
      <c r="AL21" s="71"/>
    </row>
    <row r="22" spans="1:38" x14ac:dyDescent="0.2">
      <c r="B22" s="112" t="s">
        <v>132</v>
      </c>
      <c r="C22" s="13"/>
      <c r="D22" s="122" t="s">
        <v>186</v>
      </c>
      <c r="E22" s="120"/>
      <c r="F22" s="120"/>
      <c r="G22" s="1"/>
      <c r="H22" s="122" t="s">
        <v>186</v>
      </c>
      <c r="I22" s="120"/>
      <c r="J22" s="120"/>
      <c r="K22" s="1"/>
      <c r="L22" s="122" t="s">
        <v>186</v>
      </c>
      <c r="M22" s="120"/>
      <c r="N22" s="120"/>
      <c r="O22" s="1"/>
      <c r="P22" s="120" t="s">
        <v>182</v>
      </c>
      <c r="Q22" s="120"/>
      <c r="R22" s="121"/>
      <c r="T22" s="36">
        <v>4</v>
      </c>
      <c r="V22" s="130" t="s">
        <v>133</v>
      </c>
      <c r="W22" s="131"/>
      <c r="X22" s="131" t="s">
        <v>134</v>
      </c>
      <c r="Y22" s="131"/>
      <c r="Z22" s="131" t="s">
        <v>135</v>
      </c>
      <c r="AA22" s="131"/>
      <c r="AB22" s="131" t="s">
        <v>136</v>
      </c>
      <c r="AC22" s="132"/>
      <c r="AE22" s="112" t="s">
        <v>33</v>
      </c>
      <c r="AF22" s="13"/>
      <c r="AG22" s="68" t="s">
        <v>108</v>
      </c>
      <c r="AH22" s="69" t="s">
        <v>19</v>
      </c>
      <c r="AI22" s="69"/>
      <c r="AJ22" s="69" t="s">
        <v>109</v>
      </c>
      <c r="AK22" s="69" t="s">
        <v>110</v>
      </c>
      <c r="AL22" s="70" t="s">
        <v>111</v>
      </c>
    </row>
    <row r="23" spans="1:38" x14ac:dyDescent="0.2">
      <c r="B23" s="113"/>
      <c r="C23" s="4"/>
      <c r="D23" s="3" t="s">
        <v>112</v>
      </c>
      <c r="E23" s="3" t="s">
        <v>113</v>
      </c>
      <c r="F23" s="3" t="s">
        <v>114</v>
      </c>
      <c r="H23" s="3" t="s">
        <v>112</v>
      </c>
      <c r="I23" s="3" t="s">
        <v>113</v>
      </c>
      <c r="J23" s="3" t="s">
        <v>114</v>
      </c>
      <c r="L23" s="3" t="s">
        <v>112</v>
      </c>
      <c r="M23" s="3" t="s">
        <v>113</v>
      </c>
      <c r="N23" s="3" t="s">
        <v>114</v>
      </c>
      <c r="P23" s="3" t="s">
        <v>112</v>
      </c>
      <c r="Q23" s="3" t="s">
        <v>113</v>
      </c>
      <c r="R23" s="27" t="s">
        <v>114</v>
      </c>
      <c r="V23" s="37" t="s">
        <v>115</v>
      </c>
      <c r="W23" s="38" t="s">
        <v>116</v>
      </c>
      <c r="X23" s="38" t="s">
        <v>115</v>
      </c>
      <c r="Y23" s="38" t="s">
        <v>116</v>
      </c>
      <c r="Z23" s="38" t="s">
        <v>115</v>
      </c>
      <c r="AA23" s="38" t="s">
        <v>116</v>
      </c>
      <c r="AB23" s="38" t="s">
        <v>115</v>
      </c>
      <c r="AC23" s="47" t="s">
        <v>116</v>
      </c>
      <c r="AE23" s="113"/>
      <c r="AF23" s="4"/>
      <c r="AG23" s="61"/>
      <c r="AH23" s="62"/>
      <c r="AI23" s="62"/>
      <c r="AJ23" s="62"/>
      <c r="AK23" s="62"/>
      <c r="AL23" s="63"/>
    </row>
    <row r="24" spans="1:38" x14ac:dyDescent="0.2">
      <c r="A24">
        <v>2</v>
      </c>
      <c r="B24" s="113"/>
      <c r="C24" s="4" t="s">
        <v>117</v>
      </c>
      <c r="D24" s="137">
        <v>150</v>
      </c>
      <c r="E24" s="137">
        <v>300</v>
      </c>
      <c r="F24" s="137">
        <v>450</v>
      </c>
      <c r="G24" s="14"/>
      <c r="H24" s="137">
        <f>0.9*I24</f>
        <v>222.3</v>
      </c>
      <c r="I24" s="137">
        <f>1.3*FP</f>
        <v>247</v>
      </c>
      <c r="J24" s="137">
        <f>1.1*I24</f>
        <v>271.70000000000005</v>
      </c>
      <c r="K24" s="14"/>
      <c r="L24" s="137">
        <v>100</v>
      </c>
      <c r="M24" s="137">
        <v>125</v>
      </c>
      <c r="N24" s="137">
        <v>150</v>
      </c>
      <c r="O24" s="14"/>
      <c r="P24" s="10">
        <v>90</v>
      </c>
      <c r="Q24" s="10">
        <v>100</v>
      </c>
      <c r="R24" s="30">
        <v>110</v>
      </c>
      <c r="U24">
        <f>IF(T$22=1,W24,IF(T$22=2,Y24,IF(T$22=3,AA24,AC24)))</f>
        <v>100</v>
      </c>
      <c r="V24" s="38">
        <f>((F24-D24)/6)^2</f>
        <v>2500</v>
      </c>
      <c r="W24" s="108">
        <f>(D24+4*E24+F24)/6</f>
        <v>300</v>
      </c>
      <c r="X24" s="38">
        <f>((J24-H24)/6)^2</f>
        <v>67.787777777777876</v>
      </c>
      <c r="Y24" s="108">
        <f>(H24+4*I24+J24)/6</f>
        <v>247</v>
      </c>
      <c r="Z24" s="38">
        <f>((N24-L24)/6)^2</f>
        <v>69.444444444444457</v>
      </c>
      <c r="AA24" s="109">
        <f>(L24+4*M24+N24)/6</f>
        <v>125</v>
      </c>
      <c r="AB24" s="38">
        <f>((R24-P24)/6)^2</f>
        <v>11.111111111111112</v>
      </c>
      <c r="AC24" s="110">
        <f>(P24+4*Q24+R24)/6</f>
        <v>100</v>
      </c>
      <c r="AE24" s="113"/>
      <c r="AF24" s="4" t="s">
        <v>20</v>
      </c>
      <c r="AG24" s="61">
        <f>AH24*U24</f>
        <v>80000</v>
      </c>
      <c r="AH24" s="106">
        <f>AK24</f>
        <v>800</v>
      </c>
      <c r="AI24" s="62"/>
      <c r="AJ24" s="62">
        <v>700</v>
      </c>
      <c r="AK24" s="62">
        <v>800</v>
      </c>
      <c r="AL24" s="63">
        <v>1000</v>
      </c>
    </row>
    <row r="25" spans="1:38" ht="13.5" thickBot="1" x14ac:dyDescent="0.25">
      <c r="B25" s="114"/>
      <c r="C25" s="6" t="s">
        <v>118</v>
      </c>
      <c r="D25" s="141">
        <v>200</v>
      </c>
      <c r="E25" s="141">
        <v>250</v>
      </c>
      <c r="F25" s="141">
        <v>300</v>
      </c>
      <c r="G25" s="16"/>
      <c r="H25" s="141">
        <f>0.9*I25</f>
        <v>171</v>
      </c>
      <c r="I25" s="141">
        <f>1*FP</f>
        <v>190</v>
      </c>
      <c r="J25" s="141">
        <f>1.1*I25</f>
        <v>209.00000000000003</v>
      </c>
      <c r="K25" s="16"/>
      <c r="L25" s="141">
        <v>90</v>
      </c>
      <c r="M25" s="141">
        <v>110</v>
      </c>
      <c r="N25" s="141">
        <v>130</v>
      </c>
      <c r="O25" s="16"/>
      <c r="P25" s="15">
        <v>25</v>
      </c>
      <c r="Q25" s="15">
        <v>30</v>
      </c>
      <c r="R25" s="31">
        <v>35</v>
      </c>
      <c r="S25">
        <f>IF(T$2=1,V25,IF(T$2=2,X25,Z25))</f>
        <v>44.44444444444445</v>
      </c>
      <c r="U25">
        <f>IF(T$22=1,W25,IF(T$22=2,Y25,IF(T$22=3,AA25,AC25)))</f>
        <v>30</v>
      </c>
      <c r="V25" s="38">
        <f>((F25-D25)/6)^2</f>
        <v>277.77777777777783</v>
      </c>
      <c r="W25" s="108">
        <f>(D25+4*E25+F25)/6</f>
        <v>250</v>
      </c>
      <c r="X25" s="38">
        <f>((J25-H25)/6)^2</f>
        <v>40.111111111111178</v>
      </c>
      <c r="Y25" s="108">
        <f>(H25+4*I25+J25)/6</f>
        <v>190</v>
      </c>
      <c r="Z25" s="38">
        <f>((N25-L25)/6)^2</f>
        <v>44.44444444444445</v>
      </c>
      <c r="AA25" s="109">
        <f>(L25+4*M25+N25)/6</f>
        <v>110</v>
      </c>
      <c r="AB25" s="38">
        <f>((R25-P25)/6)^2</f>
        <v>2.7777777777777781</v>
      </c>
      <c r="AC25" s="110">
        <f>(P25+4*Q25+R25)/6</f>
        <v>30</v>
      </c>
      <c r="AE25" s="114"/>
      <c r="AF25" s="6">
        <f>(S$5*(1-S$10)+S$15)*S25*AH25</f>
        <v>0</v>
      </c>
      <c r="AG25" s="64"/>
      <c r="AH25" s="65"/>
      <c r="AI25" s="65"/>
      <c r="AJ25" s="65"/>
      <c r="AK25" s="65"/>
      <c r="AL25" s="66"/>
    </row>
    <row r="26" spans="1:38" ht="15.75" thickBot="1" x14ac:dyDescent="0.25">
      <c r="B26" s="9"/>
      <c r="C26" s="4"/>
      <c r="T26" s="14" t="s">
        <v>137</v>
      </c>
      <c r="AE26" s="9"/>
      <c r="AF26" s="4"/>
      <c r="AG26" s="71"/>
      <c r="AH26" s="71"/>
      <c r="AI26" s="71"/>
      <c r="AJ26" s="71"/>
      <c r="AK26" s="71"/>
      <c r="AL26" s="71"/>
    </row>
    <row r="27" spans="1:38" x14ac:dyDescent="0.2">
      <c r="B27" s="112" t="s">
        <v>138</v>
      </c>
      <c r="C27" s="13"/>
      <c r="D27" s="120" t="s">
        <v>184</v>
      </c>
      <c r="E27" s="120"/>
      <c r="F27" s="120"/>
      <c r="G27" s="1"/>
      <c r="H27" s="120" t="s">
        <v>185</v>
      </c>
      <c r="I27" s="120"/>
      <c r="J27" s="120"/>
      <c r="K27" s="1"/>
      <c r="L27" s="122" t="s">
        <v>186</v>
      </c>
      <c r="M27" s="120"/>
      <c r="N27" s="120"/>
      <c r="O27" s="1"/>
      <c r="P27" s="122" t="s">
        <v>186</v>
      </c>
      <c r="Q27" s="120"/>
      <c r="R27" s="120"/>
      <c r="T27" s="36">
        <v>1</v>
      </c>
      <c r="V27" s="123" t="s">
        <v>121</v>
      </c>
      <c r="W27" s="120"/>
      <c r="X27" s="120" t="s">
        <v>122</v>
      </c>
      <c r="Y27" s="120"/>
      <c r="Z27" s="120" t="s">
        <v>123</v>
      </c>
      <c r="AA27" s="120"/>
      <c r="AB27" s="131" t="s">
        <v>124</v>
      </c>
      <c r="AC27" s="132"/>
      <c r="AE27" s="112" t="s">
        <v>34</v>
      </c>
      <c r="AF27" s="13"/>
      <c r="AG27" s="68" t="s">
        <v>108</v>
      </c>
      <c r="AH27" s="69" t="s">
        <v>19</v>
      </c>
      <c r="AI27" s="69"/>
      <c r="AJ27" s="69" t="s">
        <v>109</v>
      </c>
      <c r="AK27" s="69" t="s">
        <v>110</v>
      </c>
      <c r="AL27" s="70" t="s">
        <v>111</v>
      </c>
    </row>
    <row r="28" spans="1:38" x14ac:dyDescent="0.2">
      <c r="B28" s="113"/>
      <c r="C28" s="4"/>
      <c r="D28" s="3" t="s">
        <v>112</v>
      </c>
      <c r="E28" s="3" t="s">
        <v>113</v>
      </c>
      <c r="F28" s="3" t="s">
        <v>114</v>
      </c>
      <c r="H28" s="3" t="s">
        <v>112</v>
      </c>
      <c r="I28" s="3" t="s">
        <v>113</v>
      </c>
      <c r="J28" s="3" t="s">
        <v>114</v>
      </c>
      <c r="L28" s="3" t="s">
        <v>112</v>
      </c>
      <c r="M28" s="3" t="s">
        <v>113</v>
      </c>
      <c r="N28" s="3" t="s">
        <v>114</v>
      </c>
      <c r="P28" s="3" t="s">
        <v>112</v>
      </c>
      <c r="Q28" s="3" t="s">
        <v>113</v>
      </c>
      <c r="R28" s="27" t="s">
        <v>114</v>
      </c>
      <c r="V28" s="37" t="s">
        <v>115</v>
      </c>
      <c r="W28" s="38" t="s">
        <v>116</v>
      </c>
      <c r="X28" s="38" t="s">
        <v>115</v>
      </c>
      <c r="Y28" s="38" t="s">
        <v>116</v>
      </c>
      <c r="Z28" s="38" t="s">
        <v>115</v>
      </c>
      <c r="AA28" s="38" t="s">
        <v>116</v>
      </c>
      <c r="AB28" s="38" t="s">
        <v>115</v>
      </c>
      <c r="AC28" s="47" t="s">
        <v>116</v>
      </c>
      <c r="AE28" s="113"/>
      <c r="AF28" s="4"/>
      <c r="AG28" s="61"/>
      <c r="AH28" s="62"/>
      <c r="AI28" s="62"/>
      <c r="AJ28" s="62"/>
      <c r="AK28" s="62"/>
      <c r="AL28" s="63"/>
    </row>
    <row r="29" spans="1:38" x14ac:dyDescent="0.2">
      <c r="B29" s="113"/>
      <c r="C29" s="4" t="s">
        <v>117</v>
      </c>
      <c r="D29" s="10">
        <v>5</v>
      </c>
      <c r="E29" s="10">
        <v>12</v>
      </c>
      <c r="F29" s="10">
        <v>19</v>
      </c>
      <c r="G29" s="14"/>
      <c r="H29" s="138">
        <v>25</v>
      </c>
      <c r="I29" s="138">
        <v>35</v>
      </c>
      <c r="J29" s="138">
        <v>45</v>
      </c>
      <c r="K29" s="14"/>
      <c r="L29" s="137">
        <v>8</v>
      </c>
      <c r="M29" s="137">
        <v>10</v>
      </c>
      <c r="N29" s="142">
        <v>12</v>
      </c>
      <c r="O29" s="14"/>
      <c r="P29" s="137">
        <v>45</v>
      </c>
      <c r="Q29" s="137">
        <v>46</v>
      </c>
      <c r="R29" s="142">
        <v>48</v>
      </c>
      <c r="U29">
        <f>IF(T$27=1,W29,IF(T$27=2,Y29,IF(T$27=3,AA29,AC29)))</f>
        <v>12</v>
      </c>
      <c r="V29" s="38">
        <f>((F29-D29)/6)^2</f>
        <v>5.4444444444444455</v>
      </c>
      <c r="W29" s="108">
        <f>(D29+4*E29+F29)/6</f>
        <v>12</v>
      </c>
      <c r="X29" s="38">
        <f>((J29-H29)/6)^2</f>
        <v>11.111111111111112</v>
      </c>
      <c r="Y29" s="108">
        <f>(H29+4*I29+J29)/6</f>
        <v>35</v>
      </c>
      <c r="Z29" s="38">
        <f>((N29-L29)/6)^2</f>
        <v>0.44444444444444442</v>
      </c>
      <c r="AA29" s="109">
        <f>(L29+4*M29+N29)/6</f>
        <v>10</v>
      </c>
      <c r="AB29" s="38">
        <f>((R29-P29)/6)^2</f>
        <v>0.25</v>
      </c>
      <c r="AC29" s="110">
        <f>(P29+4*Q29+R29)/6</f>
        <v>46.166666666666664</v>
      </c>
      <c r="AE29" s="113"/>
      <c r="AF29" s="4" t="s">
        <v>20</v>
      </c>
      <c r="AG29" s="61">
        <f>AH29*U29</f>
        <v>9600</v>
      </c>
      <c r="AH29" s="106">
        <f>AK29</f>
        <v>800</v>
      </c>
      <c r="AI29" s="62"/>
      <c r="AJ29" s="62">
        <v>700</v>
      </c>
      <c r="AK29" s="62">
        <v>800</v>
      </c>
      <c r="AL29" s="63">
        <v>1000</v>
      </c>
    </row>
    <row r="30" spans="1:38" ht="13.5" thickBot="1" x14ac:dyDescent="0.25">
      <c r="B30" s="114"/>
      <c r="C30" s="6" t="s">
        <v>118</v>
      </c>
      <c r="D30" s="11">
        <v>0.17</v>
      </c>
      <c r="E30" s="11">
        <v>0.2</v>
      </c>
      <c r="F30" s="11">
        <v>0.23</v>
      </c>
      <c r="G30" s="17"/>
      <c r="H30" s="140">
        <v>0.3</v>
      </c>
      <c r="I30" s="140">
        <v>0.35</v>
      </c>
      <c r="J30" s="140">
        <v>0.4</v>
      </c>
      <c r="K30" s="17"/>
      <c r="L30" s="139">
        <v>0.1</v>
      </c>
      <c r="M30" s="139">
        <v>0.15</v>
      </c>
      <c r="N30" s="143">
        <v>0.2</v>
      </c>
      <c r="O30" s="17"/>
      <c r="P30" s="139">
        <v>0.1</v>
      </c>
      <c r="Q30" s="139">
        <v>0.15</v>
      </c>
      <c r="R30" s="143">
        <v>0.2</v>
      </c>
      <c r="S30">
        <f>IF(T$2=1,V30,IF(T$2=2,X30,Z30))</f>
        <v>2.7777777777777778E-4</v>
      </c>
      <c r="U30" s="41">
        <f>IF(T$27=1,W30,IF(T$27=2,Y30,IF(T$27=3,AA30,AC30)))</f>
        <v>0.20000000000000004</v>
      </c>
      <c r="V30" s="38">
        <f>((F30-D30)/6)^2</f>
        <v>1E-4</v>
      </c>
      <c r="W30" s="108">
        <f>(D30+4*E30+F30)/6</f>
        <v>0.20000000000000004</v>
      </c>
      <c r="X30" s="38">
        <f>((J30-H30)/6)^2</f>
        <v>2.7777777777777799E-4</v>
      </c>
      <c r="Y30" s="108">
        <f>(H30+4*I30+J30)/6</f>
        <v>0.35000000000000003</v>
      </c>
      <c r="Z30" s="38">
        <f>((N30-L30)/6)^2</f>
        <v>2.7777777777777778E-4</v>
      </c>
      <c r="AA30" s="109">
        <f>(L30+4*M30+N30)/6</f>
        <v>0.15</v>
      </c>
      <c r="AB30" s="38">
        <f>((R30-P30)/6)^2</f>
        <v>2.7777777777777778E-4</v>
      </c>
      <c r="AC30" s="110">
        <f>(P30+4*Q30+R30)/6</f>
        <v>0.15</v>
      </c>
      <c r="AE30" s="114"/>
      <c r="AF30" s="6">
        <f>(S$5*(1-S$10)+S$15)*S30*AH30</f>
        <v>0.35792524005486964</v>
      </c>
      <c r="AG30" s="64">
        <f>((U$5*(1-U$10)+U$15)*(1-U$20)+U$25)*U30*AH30</f>
        <v>31353.060000000009</v>
      </c>
      <c r="AH30" s="106">
        <f>AK30</f>
        <v>2900</v>
      </c>
      <c r="AI30" s="65"/>
      <c r="AJ30" s="65">
        <f>0.85*AK30</f>
        <v>2465</v>
      </c>
      <c r="AK30" s="65">
        <v>2900</v>
      </c>
      <c r="AL30" s="66">
        <f>1.15*AK30</f>
        <v>3334.9999999999995</v>
      </c>
    </row>
    <row r="31" spans="1:38" ht="15.75" thickBot="1" x14ac:dyDescent="0.25">
      <c r="B31" s="9"/>
      <c r="C31" s="4"/>
      <c r="T31" s="14" t="s">
        <v>139</v>
      </c>
      <c r="AE31" s="9"/>
      <c r="AF31" s="4"/>
      <c r="AG31" s="71"/>
      <c r="AH31" s="71"/>
      <c r="AI31" s="71"/>
      <c r="AJ31" s="71"/>
      <c r="AK31" s="71"/>
      <c r="AL31" s="71"/>
    </row>
    <row r="32" spans="1:38" x14ac:dyDescent="0.2">
      <c r="B32" s="112" t="s">
        <v>140</v>
      </c>
      <c r="C32" s="13"/>
      <c r="D32" s="122" t="s">
        <v>186</v>
      </c>
      <c r="E32" s="120"/>
      <c r="F32" s="120"/>
      <c r="G32" s="1"/>
      <c r="H32" s="122" t="s">
        <v>186</v>
      </c>
      <c r="I32" s="120"/>
      <c r="J32" s="120"/>
      <c r="K32" s="1"/>
      <c r="L32" s="122" t="s">
        <v>186</v>
      </c>
      <c r="M32" s="120"/>
      <c r="N32" s="120"/>
      <c r="O32" s="1"/>
      <c r="P32" s="122" t="s">
        <v>186</v>
      </c>
      <c r="Q32" s="120"/>
      <c r="R32" s="120"/>
      <c r="T32" s="36">
        <v>2</v>
      </c>
      <c r="V32" s="123" t="s">
        <v>141</v>
      </c>
      <c r="W32" s="120"/>
      <c r="X32" s="120" t="s">
        <v>142</v>
      </c>
      <c r="Y32" s="120"/>
      <c r="Z32" s="131" t="s">
        <v>143</v>
      </c>
      <c r="AA32" s="131"/>
      <c r="AB32" s="131" t="s">
        <v>144</v>
      </c>
      <c r="AC32" s="132"/>
      <c r="AE32" s="112" t="s">
        <v>35</v>
      </c>
      <c r="AF32" s="13"/>
      <c r="AG32" s="68" t="s">
        <v>108</v>
      </c>
      <c r="AH32" s="69" t="s">
        <v>19</v>
      </c>
      <c r="AI32" s="69"/>
      <c r="AJ32" s="69" t="s">
        <v>109</v>
      </c>
      <c r="AK32" s="69" t="s">
        <v>110</v>
      </c>
      <c r="AL32" s="70" t="s">
        <v>111</v>
      </c>
    </row>
    <row r="33" spans="2:38" x14ac:dyDescent="0.2">
      <c r="B33" s="113"/>
      <c r="C33" s="4"/>
      <c r="D33" s="3" t="s">
        <v>112</v>
      </c>
      <c r="E33" s="3" t="s">
        <v>113</v>
      </c>
      <c r="F33" s="3" t="s">
        <v>114</v>
      </c>
      <c r="H33" s="3" t="s">
        <v>112</v>
      </c>
      <c r="I33" s="3" t="s">
        <v>113</v>
      </c>
      <c r="J33" s="3" t="s">
        <v>114</v>
      </c>
      <c r="L33" s="3" t="s">
        <v>112</v>
      </c>
      <c r="M33" s="3" t="s">
        <v>113</v>
      </c>
      <c r="N33" s="3" t="s">
        <v>114</v>
      </c>
      <c r="P33" s="3" t="s">
        <v>112</v>
      </c>
      <c r="Q33" s="3" t="s">
        <v>113</v>
      </c>
      <c r="R33" s="27" t="s">
        <v>114</v>
      </c>
      <c r="V33" s="37" t="s">
        <v>115</v>
      </c>
      <c r="W33" s="38" t="s">
        <v>116</v>
      </c>
      <c r="X33" s="38" t="s">
        <v>115</v>
      </c>
      <c r="Y33" s="38" t="s">
        <v>116</v>
      </c>
      <c r="Z33" s="38" t="s">
        <v>115</v>
      </c>
      <c r="AA33" s="38" t="s">
        <v>116</v>
      </c>
      <c r="AB33" s="38" t="s">
        <v>115</v>
      </c>
      <c r="AC33" s="47" t="s">
        <v>116</v>
      </c>
      <c r="AE33" s="113"/>
      <c r="AF33" s="4"/>
      <c r="AG33" s="61"/>
      <c r="AH33" s="62"/>
      <c r="AI33" s="62"/>
      <c r="AJ33" s="62"/>
      <c r="AK33" s="62"/>
      <c r="AL33" s="63"/>
    </row>
    <row r="34" spans="2:38" x14ac:dyDescent="0.2">
      <c r="B34" s="113"/>
      <c r="C34" s="4" t="s">
        <v>117</v>
      </c>
      <c r="D34" s="137">
        <v>90</v>
      </c>
      <c r="E34" s="137">
        <v>100</v>
      </c>
      <c r="F34" s="137">
        <v>110</v>
      </c>
      <c r="G34" s="14"/>
      <c r="H34" s="10">
        <v>120</v>
      </c>
      <c r="I34" s="10">
        <v>150</v>
      </c>
      <c r="J34" s="10">
        <v>180</v>
      </c>
      <c r="K34" s="14"/>
      <c r="L34" s="138">
        <v>300</v>
      </c>
      <c r="M34" s="138">
        <v>350</v>
      </c>
      <c r="N34" s="144">
        <v>400</v>
      </c>
      <c r="O34" s="14"/>
      <c r="P34" s="145">
        <v>100</v>
      </c>
      <c r="Q34" s="145">
        <v>120</v>
      </c>
      <c r="R34" s="145">
        <v>150</v>
      </c>
      <c r="U34">
        <f>IF(T$32=1,W34,IF(T$32=2,Y34,IF(T$32=3,AA34,AC34)))</f>
        <v>150</v>
      </c>
      <c r="V34" s="38">
        <f>((F34-D34)/6)^2</f>
        <v>11.111111111111112</v>
      </c>
      <c r="W34" s="108">
        <f>(D34+4*E34+F34)/6</f>
        <v>100</v>
      </c>
      <c r="X34" s="38">
        <f>((J34-H34)/6)^2</f>
        <v>100</v>
      </c>
      <c r="Y34" s="108">
        <f>(H34+4*I34+J34)/6</f>
        <v>150</v>
      </c>
      <c r="Z34" s="38">
        <f>((N34-L34)/6)^2</f>
        <v>277.77777777777783</v>
      </c>
      <c r="AA34" s="109">
        <f>(L34+4*M34+N34)/6</f>
        <v>350</v>
      </c>
      <c r="AB34" s="38">
        <f>((R34-P34)/6)^2</f>
        <v>69.444444444444457</v>
      </c>
      <c r="AC34" s="110">
        <f>(P34+4*Q34+R34)/6</f>
        <v>121.66666666666667</v>
      </c>
      <c r="AE34" s="113"/>
      <c r="AF34" s="4" t="s">
        <v>20</v>
      </c>
      <c r="AG34" s="61">
        <f>AH34*U34</f>
        <v>120000</v>
      </c>
      <c r="AH34" s="106">
        <f>AK34</f>
        <v>800</v>
      </c>
      <c r="AI34" s="62"/>
      <c r="AJ34" s="62">
        <v>700</v>
      </c>
      <c r="AK34" s="62">
        <v>800</v>
      </c>
      <c r="AL34" s="63">
        <v>1000</v>
      </c>
    </row>
    <row r="35" spans="2:38" ht="13.5" thickBot="1" x14ac:dyDescent="0.25">
      <c r="B35" s="114"/>
      <c r="C35" s="6" t="s">
        <v>118</v>
      </c>
      <c r="D35" s="139">
        <v>0.4</v>
      </c>
      <c r="E35" s="139">
        <v>0.5</v>
      </c>
      <c r="F35" s="139">
        <v>0.6</v>
      </c>
      <c r="G35" s="17"/>
      <c r="H35" s="11">
        <v>0.35</v>
      </c>
      <c r="I35" s="11">
        <v>0.39</v>
      </c>
      <c r="J35" s="11">
        <v>0.43</v>
      </c>
      <c r="K35" s="17"/>
      <c r="L35" s="140">
        <v>0.63</v>
      </c>
      <c r="M35" s="140">
        <v>0.68</v>
      </c>
      <c r="N35" s="146">
        <v>0.73</v>
      </c>
      <c r="O35" s="17"/>
      <c r="P35" s="147">
        <v>0.35499999999999998</v>
      </c>
      <c r="Q35" s="147">
        <v>0.4</v>
      </c>
      <c r="R35" s="147">
        <v>0.42499999999999999</v>
      </c>
      <c r="S35">
        <f>IF(T$2=1,V35,IF(T$2=2,X35,Z35))</f>
        <v>2.7777777777777767E-4</v>
      </c>
      <c r="U35" s="41">
        <f>IF(T$32=1,W35,IF(T$32=2,Y35,IF(T$32=3,AA35,AC35)))</f>
        <v>0.39000000000000007</v>
      </c>
      <c r="V35" s="38">
        <f>((F35-D35)/6)^2</f>
        <v>1.1111111111111107E-3</v>
      </c>
      <c r="W35" s="108">
        <f>(D35+4*E35+F35)/6</f>
        <v>0.5</v>
      </c>
      <c r="X35" s="38">
        <f>((J35-H35)/6)^2</f>
        <v>1.7777777777777784E-4</v>
      </c>
      <c r="Y35" s="108">
        <f>(H35+4*I35+J35)/6</f>
        <v>0.39000000000000007</v>
      </c>
      <c r="Z35" s="38">
        <f>((N35-L35)/6)^2</f>
        <v>2.7777777777777767E-4</v>
      </c>
      <c r="AA35" s="109">
        <f>(L35+4*M35+N35)/6</f>
        <v>0.68</v>
      </c>
      <c r="AB35" s="38">
        <f>((R35-P35)/6)^2</f>
        <v>1.3611111111111113E-4</v>
      </c>
      <c r="AC35" s="110">
        <f>(P35+4*Q35+R35)/6</f>
        <v>0.39666666666666667</v>
      </c>
      <c r="AE35" s="114"/>
      <c r="AF35" s="6">
        <f>(S$5*(1-S$10)+S$15)*S35*AH35</f>
        <v>0.35792524005486948</v>
      </c>
      <c r="AG35" s="64">
        <f>((U$5*(1-U$10)+U$15)*(1-U$20)+U$25)*(1-U$30)*U35*AH35</f>
        <v>48910.773600000008</v>
      </c>
      <c r="AH35" s="106">
        <f>AK35</f>
        <v>2900</v>
      </c>
      <c r="AI35" s="65"/>
      <c r="AJ35" s="65">
        <f>0.85*AK35</f>
        <v>2465</v>
      </c>
      <c r="AK35" s="65">
        <v>2900</v>
      </c>
      <c r="AL35" s="66">
        <f>1.15*AK35</f>
        <v>3334.9999999999995</v>
      </c>
    </row>
    <row r="36" spans="2:38" ht="15.75" thickBot="1" x14ac:dyDescent="0.25">
      <c r="B36" s="9"/>
      <c r="C36" s="4"/>
      <c r="T36" s="14" t="s">
        <v>145</v>
      </c>
      <c r="AE36" s="9"/>
      <c r="AF36" s="4"/>
      <c r="AG36" s="71"/>
      <c r="AH36" s="71"/>
      <c r="AI36" s="71"/>
      <c r="AJ36" s="71"/>
      <c r="AK36" s="71"/>
      <c r="AL36" s="71"/>
    </row>
    <row r="37" spans="2:38" x14ac:dyDescent="0.2">
      <c r="B37" s="112" t="s">
        <v>146</v>
      </c>
      <c r="C37" s="13"/>
      <c r="D37" s="122" t="s">
        <v>186</v>
      </c>
      <c r="E37" s="120"/>
      <c r="F37" s="120"/>
      <c r="G37" s="1"/>
      <c r="H37" s="120"/>
      <c r="I37" s="120"/>
      <c r="J37" s="120"/>
      <c r="K37" s="1"/>
      <c r="L37" s="122"/>
      <c r="M37" s="120"/>
      <c r="N37" s="121"/>
      <c r="T37" s="14">
        <v>1</v>
      </c>
      <c r="V37" s="123" t="s">
        <v>147</v>
      </c>
      <c r="W37" s="120"/>
      <c r="X37" s="120" t="s">
        <v>148</v>
      </c>
      <c r="Y37" s="120"/>
      <c r="Z37" s="120" t="s">
        <v>149</v>
      </c>
      <c r="AA37" s="121"/>
      <c r="AE37" s="112" t="s">
        <v>36</v>
      </c>
      <c r="AF37" s="13"/>
      <c r="AG37" s="68" t="s">
        <v>108</v>
      </c>
      <c r="AH37" s="69" t="s">
        <v>19</v>
      </c>
      <c r="AI37" s="69"/>
      <c r="AJ37" s="69" t="s">
        <v>109</v>
      </c>
      <c r="AK37" s="69" t="s">
        <v>110</v>
      </c>
      <c r="AL37" s="70" t="s">
        <v>111</v>
      </c>
    </row>
    <row r="38" spans="2:38" x14ac:dyDescent="0.2">
      <c r="B38" s="113"/>
      <c r="C38" s="4"/>
      <c r="D38" s="3" t="s">
        <v>112</v>
      </c>
      <c r="E38" s="3" t="s">
        <v>113</v>
      </c>
      <c r="F38" s="3" t="s">
        <v>114</v>
      </c>
      <c r="H38" s="3" t="s">
        <v>112</v>
      </c>
      <c r="I38" s="3" t="s">
        <v>113</v>
      </c>
      <c r="J38" s="3" t="s">
        <v>114</v>
      </c>
      <c r="L38" s="3" t="s">
        <v>112</v>
      </c>
      <c r="M38" s="3" t="s">
        <v>113</v>
      </c>
      <c r="N38" s="27" t="s">
        <v>114</v>
      </c>
      <c r="V38" s="37" t="s">
        <v>115</v>
      </c>
      <c r="W38" s="38" t="s">
        <v>116</v>
      </c>
      <c r="X38" s="38" t="s">
        <v>115</v>
      </c>
      <c r="Y38" s="38" t="s">
        <v>116</v>
      </c>
      <c r="Z38" s="38" t="s">
        <v>115</v>
      </c>
      <c r="AA38" s="47" t="s">
        <v>116</v>
      </c>
      <c r="AE38" s="113"/>
      <c r="AF38" s="4"/>
      <c r="AG38" s="61"/>
      <c r="AH38" s="62"/>
      <c r="AI38" s="62"/>
      <c r="AJ38" s="62"/>
      <c r="AK38" s="62"/>
      <c r="AL38" s="63"/>
    </row>
    <row r="39" spans="2:38" x14ac:dyDescent="0.2">
      <c r="B39" s="113"/>
      <c r="C39" s="4" t="s">
        <v>117</v>
      </c>
      <c r="D39" s="137">
        <v>0</v>
      </c>
      <c r="E39" s="137">
        <v>5.0000000000000001E-3</v>
      </c>
      <c r="F39" s="137">
        <v>0.01</v>
      </c>
      <c r="G39" s="14"/>
      <c r="H39" s="18">
        <v>40</v>
      </c>
      <c r="I39" s="18">
        <v>50</v>
      </c>
      <c r="J39" s="18">
        <v>60</v>
      </c>
      <c r="K39" s="14"/>
      <c r="L39" s="18">
        <v>35</v>
      </c>
      <c r="M39" s="18">
        <v>40</v>
      </c>
      <c r="N39" s="32">
        <v>45</v>
      </c>
      <c r="U39">
        <f>IF(T$37=1,W39,IF(T$37=2,Y39,AA39))</f>
        <v>5.0000000000000001E-3</v>
      </c>
      <c r="V39" s="38">
        <f>((F39-D39)/6)^2</f>
        <v>2.7777777777777783E-6</v>
      </c>
      <c r="W39" s="108">
        <f>(D39+4*E39+F39)/6</f>
        <v>5.0000000000000001E-3</v>
      </c>
      <c r="X39" s="38">
        <f>((J39-H39)/6)^2</f>
        <v>11.111111111111112</v>
      </c>
      <c r="Y39" s="108">
        <f>(H39+4*I39+J39)/6</f>
        <v>50</v>
      </c>
      <c r="Z39" s="38">
        <f>((N39-L39)/6)^2</f>
        <v>2.7777777777777781</v>
      </c>
      <c r="AA39" s="109">
        <f>(L39+4*M39+N39)/6</f>
        <v>40</v>
      </c>
      <c r="AE39" s="113"/>
      <c r="AF39" s="4" t="s">
        <v>20</v>
      </c>
      <c r="AG39" s="61">
        <f>AH39*U39</f>
        <v>4</v>
      </c>
      <c r="AH39" s="106">
        <f>AK39</f>
        <v>800</v>
      </c>
      <c r="AI39" s="62"/>
      <c r="AJ39" s="62">
        <v>700</v>
      </c>
      <c r="AK39" s="62">
        <v>800</v>
      </c>
      <c r="AL39" s="63">
        <v>1000</v>
      </c>
    </row>
    <row r="40" spans="2:38" ht="13.5" thickBot="1" x14ac:dyDescent="0.25">
      <c r="B40" s="114"/>
      <c r="C40" s="6" t="s">
        <v>118</v>
      </c>
      <c r="D40" s="139">
        <v>0</v>
      </c>
      <c r="E40" s="139">
        <v>5.0000000000000002E-5</v>
      </c>
      <c r="F40" s="139">
        <v>1E-4</v>
      </c>
      <c r="G40" s="17"/>
      <c r="H40" s="19">
        <v>0.55000000000000004</v>
      </c>
      <c r="I40" s="19">
        <v>0.6</v>
      </c>
      <c r="J40" s="19">
        <v>0.65</v>
      </c>
      <c r="K40" s="17"/>
      <c r="L40" s="19">
        <v>0.7</v>
      </c>
      <c r="M40" s="19">
        <v>0.75</v>
      </c>
      <c r="N40" s="33">
        <v>0.8</v>
      </c>
      <c r="S40">
        <f>IF(T$2=1,V40,IF(T$2=2,X40,Z40))</f>
        <v>2.7777777777777821E-4</v>
      </c>
      <c r="U40">
        <f>IF(T$37=1,W40,IF(T$37=2,Y40,AA40))</f>
        <v>5.0000000000000002E-5</v>
      </c>
      <c r="V40" s="38">
        <f>((F40-D40)/6)^2</f>
        <v>2.7777777777777782E-10</v>
      </c>
      <c r="W40" s="108">
        <f>(D40+4*E40+F40)/6</f>
        <v>5.0000000000000002E-5</v>
      </c>
      <c r="X40" s="38">
        <f>((J40-H40)/6)^2</f>
        <v>2.7777777777777767E-4</v>
      </c>
      <c r="Y40" s="108">
        <f>(H40+4*I40+J40)/6</f>
        <v>0.6</v>
      </c>
      <c r="Z40" s="38">
        <f>((N40-L40)/6)^2</f>
        <v>2.7777777777777821E-4</v>
      </c>
      <c r="AA40" s="109">
        <f>(L40+4*M40+N40)/6</f>
        <v>0.75</v>
      </c>
      <c r="AE40" s="114"/>
      <c r="AF40" s="6">
        <f>(S$5*(1-S$10)+S$15)*S40*AH40</f>
        <v>0.43197873799725711</v>
      </c>
      <c r="AG40" s="64">
        <f>((U$5*(1-U$10)+U$15)*(1-U$20)+U$25)*(1-U$30)*(1-U$35)*U40*AH40</f>
        <v>4.6164677999999988</v>
      </c>
      <c r="AH40" s="106">
        <f>AK40</f>
        <v>3500</v>
      </c>
      <c r="AI40" s="65"/>
      <c r="AJ40" s="65">
        <v>3000</v>
      </c>
      <c r="AK40" s="65">
        <v>3500</v>
      </c>
      <c r="AL40" s="66">
        <v>4500</v>
      </c>
    </row>
    <row r="41" spans="2:38" ht="15.75" thickBot="1" x14ac:dyDescent="0.25">
      <c r="B41" s="9"/>
      <c r="C41" s="4"/>
      <c r="T41" s="14" t="s">
        <v>150</v>
      </c>
      <c r="AE41" s="9"/>
      <c r="AF41" s="4"/>
      <c r="AG41" s="71"/>
      <c r="AH41" s="71"/>
      <c r="AI41" s="71"/>
      <c r="AJ41" s="71"/>
      <c r="AK41" s="71"/>
      <c r="AL41" s="71"/>
    </row>
    <row r="42" spans="2:38" x14ac:dyDescent="0.2">
      <c r="B42" s="112" t="s">
        <v>151</v>
      </c>
      <c r="C42" s="13"/>
      <c r="D42" s="120" t="s">
        <v>184</v>
      </c>
      <c r="E42" s="120"/>
      <c r="F42" s="120"/>
      <c r="G42" s="1"/>
      <c r="H42" s="122" t="s">
        <v>186</v>
      </c>
      <c r="I42" s="120"/>
      <c r="J42" s="120"/>
      <c r="K42" s="1"/>
      <c r="L42" s="122" t="s">
        <v>186</v>
      </c>
      <c r="M42" s="120"/>
      <c r="N42" s="120"/>
      <c r="T42" s="36">
        <v>1</v>
      </c>
      <c r="V42" s="123" t="s">
        <v>152</v>
      </c>
      <c r="W42" s="120"/>
      <c r="X42" s="120" t="s">
        <v>153</v>
      </c>
      <c r="Y42" s="120"/>
      <c r="Z42" s="127" t="s">
        <v>154</v>
      </c>
      <c r="AA42" s="128"/>
      <c r="AE42" s="112" t="s">
        <v>37</v>
      </c>
      <c r="AF42" s="13"/>
      <c r="AG42" s="68" t="s">
        <v>108</v>
      </c>
      <c r="AH42" s="69" t="s">
        <v>19</v>
      </c>
      <c r="AI42" s="69"/>
      <c r="AJ42" s="69" t="s">
        <v>109</v>
      </c>
      <c r="AK42" s="69" t="s">
        <v>110</v>
      </c>
      <c r="AL42" s="70" t="s">
        <v>111</v>
      </c>
    </row>
    <row r="43" spans="2:38" x14ac:dyDescent="0.2">
      <c r="B43" s="113"/>
      <c r="C43" s="4"/>
      <c r="D43" s="3" t="s">
        <v>112</v>
      </c>
      <c r="E43" s="3" t="s">
        <v>113</v>
      </c>
      <c r="F43" s="3" t="s">
        <v>114</v>
      </c>
      <c r="H43" s="3" t="s">
        <v>112</v>
      </c>
      <c r="I43" s="3" t="s">
        <v>113</v>
      </c>
      <c r="J43" s="3" t="s">
        <v>114</v>
      </c>
      <c r="L43" s="3" t="s">
        <v>112</v>
      </c>
      <c r="M43" s="3" t="s">
        <v>113</v>
      </c>
      <c r="N43" s="27" t="s">
        <v>114</v>
      </c>
      <c r="V43" s="37" t="s">
        <v>115</v>
      </c>
      <c r="W43" s="38" t="s">
        <v>116</v>
      </c>
      <c r="X43" s="38" t="s">
        <v>115</v>
      </c>
      <c r="Y43" s="38" t="s">
        <v>116</v>
      </c>
      <c r="Z43" s="38" t="s">
        <v>115</v>
      </c>
      <c r="AA43" s="47" t="s">
        <v>116</v>
      </c>
      <c r="AE43" s="113"/>
      <c r="AF43" s="4"/>
      <c r="AG43" s="61"/>
      <c r="AH43" s="62"/>
      <c r="AI43" s="62"/>
      <c r="AJ43" s="62"/>
      <c r="AK43" s="62"/>
      <c r="AL43" s="63"/>
    </row>
    <row r="44" spans="2:38" x14ac:dyDescent="0.2">
      <c r="B44" s="113"/>
      <c r="C44" s="4" t="s">
        <v>117</v>
      </c>
      <c r="D44" s="10">
        <v>75</v>
      </c>
      <c r="E44" s="10">
        <v>80</v>
      </c>
      <c r="F44" s="10">
        <v>85</v>
      </c>
      <c r="G44" s="14"/>
      <c r="H44" s="137">
        <v>110</v>
      </c>
      <c r="I44" s="137">
        <v>120</v>
      </c>
      <c r="J44" s="137">
        <v>130</v>
      </c>
      <c r="K44" s="14"/>
      <c r="L44" s="137">
        <v>140</v>
      </c>
      <c r="M44" s="137">
        <v>150</v>
      </c>
      <c r="N44" s="142">
        <v>160</v>
      </c>
      <c r="U44">
        <f>IF(T$42=1,W44,IF(T$42=2,Y44,AA44))</f>
        <v>80</v>
      </c>
      <c r="V44" s="38">
        <f>((F44-D44)/6)^2</f>
        <v>2.7777777777777781</v>
      </c>
      <c r="W44" s="108">
        <f>(D44+4*E44+F44)/6</f>
        <v>80</v>
      </c>
      <c r="X44" s="38">
        <f>((J44-H44)/6)^2</f>
        <v>11.111111111111112</v>
      </c>
      <c r="Y44" s="108">
        <f>(H44+4*I44+J44)/6</f>
        <v>120</v>
      </c>
      <c r="Z44" s="38">
        <f>((N44-L44)/6)^2</f>
        <v>11.111111111111112</v>
      </c>
      <c r="AA44" s="109">
        <f>(L44+4*M44+N44)/6</f>
        <v>150</v>
      </c>
      <c r="AE44" s="113"/>
      <c r="AF44" s="4" t="s">
        <v>20</v>
      </c>
      <c r="AG44" s="61">
        <f>AH44*U44</f>
        <v>64000</v>
      </c>
      <c r="AH44" s="106">
        <f>AK44</f>
        <v>800</v>
      </c>
      <c r="AI44" s="62"/>
      <c r="AJ44" s="62">
        <v>700</v>
      </c>
      <c r="AK44" s="62">
        <v>800</v>
      </c>
      <c r="AL44" s="63">
        <v>1000</v>
      </c>
    </row>
    <row r="45" spans="2:38" ht="13.5" thickBot="1" x14ac:dyDescent="0.25">
      <c r="B45" s="114"/>
      <c r="C45" s="6" t="s">
        <v>118</v>
      </c>
      <c r="D45" s="11">
        <v>0.8</v>
      </c>
      <c r="E45" s="11">
        <v>0.84</v>
      </c>
      <c r="F45" s="11">
        <v>0.89</v>
      </c>
      <c r="G45" s="17"/>
      <c r="H45" s="139">
        <v>0.505</v>
      </c>
      <c r="I45" s="139">
        <v>0.55500000000000005</v>
      </c>
      <c r="J45" s="139">
        <v>0.60499999999999998</v>
      </c>
      <c r="K45" s="17"/>
      <c r="L45" s="139">
        <v>0.8</v>
      </c>
      <c r="M45" s="139">
        <v>0.85</v>
      </c>
      <c r="N45" s="143">
        <v>0.9</v>
      </c>
      <c r="S45">
        <f>IF(T$2=1,V45,IF(T$2=2,X45,Z45))</f>
        <v>2.7777777777777767E-4</v>
      </c>
      <c r="U45">
        <f>IF(T$42=1,W45,IF(T$42=2,Y45,AA45))</f>
        <v>0.84166666666666667</v>
      </c>
      <c r="V45" s="38">
        <f>((F45-D45)/6)^2</f>
        <v>2.2499999999999983E-4</v>
      </c>
      <c r="W45" s="108">
        <f>(D45+4*E45+F45)/6</f>
        <v>0.84166666666666667</v>
      </c>
      <c r="X45" s="38">
        <f>((J45-H45)/6)^2</f>
        <v>2.7777777777777767E-4</v>
      </c>
      <c r="Y45" s="108">
        <f>(H45+4*I45+J45)/6</f>
        <v>0.55500000000000005</v>
      </c>
      <c r="Z45" s="38">
        <f>((N45-L45)/6)^2</f>
        <v>2.7777777777777767E-4</v>
      </c>
      <c r="AA45" s="109">
        <f>(L45+4*M45+N45)/6</f>
        <v>0.85000000000000009</v>
      </c>
      <c r="AE45" s="114"/>
      <c r="AF45" s="6">
        <f>(S$5*(1-S$10)+S$15)*S45*AH45</f>
        <v>0.71585048010973895</v>
      </c>
      <c r="AG45" s="64">
        <f>((U$5*(1-U$10)+U$15)*(1-U$20)+U$25)*(1-U$30)*(1-U$35)*(1-U$40)*U45*AH45</f>
        <v>128771.02956657794</v>
      </c>
      <c r="AH45" s="106">
        <f>AK45</f>
        <v>5800</v>
      </c>
      <c r="AI45" s="65"/>
      <c r="AJ45" s="65">
        <f>0.85*AK45</f>
        <v>4930</v>
      </c>
      <c r="AK45" s="65">
        <v>5800</v>
      </c>
      <c r="AL45" s="66">
        <f>1.15*AK45</f>
        <v>6669.9999999999991</v>
      </c>
    </row>
    <row r="46" spans="2:38" ht="15.75" thickBot="1" x14ac:dyDescent="0.25">
      <c r="B46" s="9"/>
      <c r="C46" s="4"/>
      <c r="T46" s="14" t="s">
        <v>155</v>
      </c>
      <c r="AE46" s="9"/>
      <c r="AF46" s="4"/>
      <c r="AG46" s="71"/>
      <c r="AH46" s="71"/>
      <c r="AI46" s="71"/>
      <c r="AJ46" s="71"/>
      <c r="AK46" s="71"/>
      <c r="AL46" s="71"/>
    </row>
    <row r="47" spans="2:38" x14ac:dyDescent="0.2">
      <c r="B47" s="112" t="s">
        <v>156</v>
      </c>
      <c r="C47" s="13"/>
      <c r="D47" s="122" t="s">
        <v>186</v>
      </c>
      <c r="E47" s="120"/>
      <c r="F47" s="120"/>
      <c r="G47" s="1"/>
      <c r="H47" s="122" t="s">
        <v>186</v>
      </c>
      <c r="I47" s="120"/>
      <c r="J47" s="120"/>
      <c r="K47" s="1"/>
      <c r="L47" s="120" t="s">
        <v>184</v>
      </c>
      <c r="M47" s="120"/>
      <c r="N47" s="120"/>
      <c r="T47" s="36">
        <v>3</v>
      </c>
      <c r="V47" s="123" t="s">
        <v>157</v>
      </c>
      <c r="W47" s="120"/>
      <c r="X47" s="120" t="s">
        <v>158</v>
      </c>
      <c r="Y47" s="120"/>
      <c r="Z47" s="120" t="s">
        <v>159</v>
      </c>
      <c r="AA47" s="121"/>
      <c r="AE47" s="112" t="s">
        <v>38</v>
      </c>
      <c r="AF47" s="13"/>
      <c r="AG47" s="68" t="s">
        <v>108</v>
      </c>
      <c r="AH47" s="69" t="s">
        <v>19</v>
      </c>
      <c r="AI47" s="69"/>
      <c r="AJ47" s="69" t="s">
        <v>109</v>
      </c>
      <c r="AK47" s="69" t="s">
        <v>110</v>
      </c>
      <c r="AL47" s="70" t="s">
        <v>111</v>
      </c>
    </row>
    <row r="48" spans="2:38" x14ac:dyDescent="0.2">
      <c r="B48" s="113"/>
      <c r="C48" s="4"/>
      <c r="D48" s="3" t="s">
        <v>112</v>
      </c>
      <c r="E48" s="3" t="s">
        <v>113</v>
      </c>
      <c r="F48" s="3" t="s">
        <v>114</v>
      </c>
      <c r="H48" s="3" t="s">
        <v>112</v>
      </c>
      <c r="I48" s="3" t="s">
        <v>113</v>
      </c>
      <c r="J48" s="3" t="s">
        <v>114</v>
      </c>
      <c r="L48" s="3" t="s">
        <v>112</v>
      </c>
      <c r="M48" s="3" t="s">
        <v>113</v>
      </c>
      <c r="N48" s="27" t="s">
        <v>114</v>
      </c>
      <c r="V48" s="37" t="s">
        <v>115</v>
      </c>
      <c r="W48" s="38" t="s">
        <v>116</v>
      </c>
      <c r="X48" s="38" t="s">
        <v>115</v>
      </c>
      <c r="Y48" s="38" t="s">
        <v>116</v>
      </c>
      <c r="Z48" s="38" t="s">
        <v>115</v>
      </c>
      <c r="AA48" s="47" t="s">
        <v>116</v>
      </c>
      <c r="AE48" s="113"/>
      <c r="AF48" s="4"/>
      <c r="AG48" s="61"/>
      <c r="AH48" s="62"/>
      <c r="AI48" s="62"/>
      <c r="AJ48" s="62"/>
      <c r="AK48" s="62"/>
      <c r="AL48" s="63"/>
    </row>
    <row r="49" spans="1:38" x14ac:dyDescent="0.2">
      <c r="B49" s="113"/>
      <c r="C49" s="4" t="s">
        <v>117</v>
      </c>
      <c r="D49" s="137">
        <v>15</v>
      </c>
      <c r="E49" s="137">
        <v>20</v>
      </c>
      <c r="F49" s="137">
        <v>25</v>
      </c>
      <c r="G49" s="14"/>
      <c r="H49" s="137">
        <v>25</v>
      </c>
      <c r="I49" s="137">
        <v>30</v>
      </c>
      <c r="J49" s="137">
        <v>35</v>
      </c>
      <c r="K49" s="14"/>
      <c r="L49" s="10">
        <v>50</v>
      </c>
      <c r="M49" s="10">
        <v>60</v>
      </c>
      <c r="N49" s="30">
        <v>70</v>
      </c>
      <c r="U49">
        <f>IF(T$47=1,W49,IF(T$47=2,Y49,AA49))</f>
        <v>60</v>
      </c>
      <c r="V49" s="38">
        <f>((F49-D49)/6)^2</f>
        <v>2.7777777777777781</v>
      </c>
      <c r="W49" s="108">
        <f>(D49+4*E49+F49)/6</f>
        <v>20</v>
      </c>
      <c r="X49" s="38">
        <f>((J49-H49)/6)^2</f>
        <v>2.7777777777777781</v>
      </c>
      <c r="Y49" s="108">
        <f>(H49+4*I49+J49)/6</f>
        <v>30</v>
      </c>
      <c r="Z49" s="38">
        <f>((N49-L49)/6)^2</f>
        <v>11.111111111111112</v>
      </c>
      <c r="AA49" s="109">
        <f>(L49+4*M49+N49)/6</f>
        <v>60</v>
      </c>
      <c r="AE49" s="113"/>
      <c r="AF49" s="4" t="s">
        <v>20</v>
      </c>
      <c r="AG49" s="61">
        <f>AH49*U49</f>
        <v>48000</v>
      </c>
      <c r="AH49" s="106">
        <f>AK49</f>
        <v>800</v>
      </c>
      <c r="AI49" s="62"/>
      <c r="AJ49" s="62">
        <v>700</v>
      </c>
      <c r="AK49" s="62">
        <v>800</v>
      </c>
      <c r="AL49" s="63">
        <v>1000</v>
      </c>
    </row>
    <row r="50" spans="1:38" ht="13.5" thickBot="1" x14ac:dyDescent="0.25">
      <c r="B50" s="114"/>
      <c r="C50" s="6" t="s">
        <v>118</v>
      </c>
      <c r="D50" s="139">
        <v>0.7</v>
      </c>
      <c r="E50" s="139">
        <v>0.75</v>
      </c>
      <c r="F50" s="139">
        <v>0.8</v>
      </c>
      <c r="G50" s="17"/>
      <c r="H50" s="139">
        <v>0.8</v>
      </c>
      <c r="I50" s="139">
        <v>0.85</v>
      </c>
      <c r="J50" s="139">
        <v>0.9</v>
      </c>
      <c r="K50" s="17"/>
      <c r="L50" s="11">
        <v>0.997</v>
      </c>
      <c r="M50" s="11">
        <v>0.998</v>
      </c>
      <c r="N50" s="34">
        <v>0.999</v>
      </c>
      <c r="S50">
        <f>IF(T$2=1,V50,IF(T$2=2,X50,Z50))</f>
        <v>1.1111111111111132E-7</v>
      </c>
      <c r="U50">
        <f>IF(T$47=1,W50,IF(T$47=2,Y50,AA50))</f>
        <v>0.99799999999999989</v>
      </c>
      <c r="V50" s="38">
        <f>((F50-D50)/6)^2</f>
        <v>2.7777777777777821E-4</v>
      </c>
      <c r="W50" s="108">
        <f>(D50+4*E50+F50)/6</f>
        <v>0.75</v>
      </c>
      <c r="X50" s="38">
        <f>((J50-H50)/6)^2</f>
        <v>2.7777777777777767E-4</v>
      </c>
      <c r="Y50" s="108">
        <f>(H50+4*I50+J50)/6</f>
        <v>0.85000000000000009</v>
      </c>
      <c r="Z50" s="38">
        <f>((N50-L50)/6)^2</f>
        <v>1.1111111111111132E-7</v>
      </c>
      <c r="AA50" s="109">
        <f>(L50+4*M50+N50)/6</f>
        <v>0.99799999999999989</v>
      </c>
      <c r="AE50" s="114"/>
      <c r="AF50" s="6">
        <f>(S$5*(1-S$10)+S$15)*S50*AH50</f>
        <v>9.8737997256515952E-4</v>
      </c>
      <c r="AG50" s="64">
        <f>((U$5*(1-U$10)+U$15)*(1-U$20)+U$25)*(1-U$30)*(1-U$35)*(1-U$40)*(1-U$45)*U50*AH50</f>
        <v>83364.843381408369</v>
      </c>
      <c r="AH50" s="106">
        <f>AK50</f>
        <v>20000</v>
      </c>
      <c r="AI50" s="65"/>
      <c r="AJ50" s="65">
        <f>0.85*AK50</f>
        <v>17000</v>
      </c>
      <c r="AK50" s="65">
        <v>20000</v>
      </c>
      <c r="AL50" s="66">
        <f>1.15*AK50</f>
        <v>23000</v>
      </c>
    </row>
    <row r="51" spans="1:38" ht="13.5" thickBot="1" x14ac:dyDescent="0.25">
      <c r="B51" s="20"/>
      <c r="C51" s="4"/>
    </row>
    <row r="52" spans="1:38" x14ac:dyDescent="0.2">
      <c r="B52" s="20"/>
      <c r="C52" s="4"/>
      <c r="AE52" s="56" t="s">
        <v>39</v>
      </c>
      <c r="AF52" s="57">
        <f>((S5*(1-S10)+S15)*(1-S20)+S25)*(1-S30)*(1-S35)*(1-S40)*(1-S45)*(1-S50)*AH52</f>
        <v>1120969.5384136436</v>
      </c>
      <c r="AG52" s="72">
        <f>((U$5*(1-U$10)+U$15)*(1-U$20)+U$25)*(1-U$30)*(1-U$35)*(1-U$40)*(1-U$45)*(1-U50)*AH52</f>
        <v>208.82976798951171</v>
      </c>
      <c r="AH52" s="56">
        <v>25000</v>
      </c>
    </row>
    <row r="53" spans="1:38" x14ac:dyDescent="0.2">
      <c r="B53" s="20"/>
      <c r="C53" s="4"/>
      <c r="P53" s="35"/>
      <c r="S53" s="42"/>
      <c r="T53" s="43" t="s">
        <v>160</v>
      </c>
      <c r="U53" s="44">
        <f>AG4+AG9+AG14+AG19+AG24+AG29+AG34+AG39+AG44+AG49</f>
        <v>500937.33333333331</v>
      </c>
    </row>
    <row r="54" spans="1:38" x14ac:dyDescent="0.2">
      <c r="C54" s="4"/>
      <c r="S54" s="45"/>
      <c r="T54" s="46" t="s">
        <v>161</v>
      </c>
      <c r="U54" s="47"/>
    </row>
    <row r="55" spans="1:38" ht="15.75" x14ac:dyDescent="0.25">
      <c r="B55" s="21" t="s">
        <v>162</v>
      </c>
      <c r="C55" s="4"/>
      <c r="P55" s="35" t="s">
        <v>163</v>
      </c>
      <c r="Q55" t="s">
        <v>164</v>
      </c>
      <c r="R55">
        <v>190</v>
      </c>
      <c r="S55" s="48">
        <f>AF10+AF20+AF30+AF35+AF40+AF45+AF50+AF54</f>
        <v>2.8520470507544577</v>
      </c>
      <c r="T55" s="49" t="s">
        <v>165</v>
      </c>
      <c r="U55" s="50">
        <f>AG10+AG20+AG30+AG35+AG40+AG45+AG50+AG52</f>
        <v>308385.15278377588</v>
      </c>
    </row>
    <row r="56" spans="1:38" ht="28.5" customHeight="1" x14ac:dyDescent="0.2">
      <c r="A56" s="22" t="s">
        <v>166</v>
      </c>
      <c r="B56" s="133" t="s">
        <v>167</v>
      </c>
      <c r="C56" s="134"/>
      <c r="D56" s="23">
        <f>IF(AND(Design_Decision&gt;1,DR_Decision&lt;3),1,0)</f>
        <v>0</v>
      </c>
      <c r="T56" s="51"/>
    </row>
    <row r="57" spans="1:38" x14ac:dyDescent="0.2">
      <c r="A57" s="24"/>
      <c r="B57" s="25"/>
      <c r="C57" s="4"/>
      <c r="S57" s="52"/>
      <c r="T57" s="53" t="s">
        <v>168</v>
      </c>
      <c r="U57" s="54">
        <f>U53+U55</f>
        <v>809322.48611710919</v>
      </c>
    </row>
    <row r="58" spans="1:38" ht="25.5" customHeight="1" x14ac:dyDescent="0.2">
      <c r="A58" s="22" t="s">
        <v>169</v>
      </c>
      <c r="B58" s="133" t="s">
        <v>170</v>
      </c>
      <c r="C58" s="134"/>
      <c r="D58" s="23">
        <f>IF(AND(Code_Decision&lt;3,CR_Decision&lt;3),1,0)</f>
        <v>0</v>
      </c>
    </row>
    <row r="59" spans="1:38" x14ac:dyDescent="0.2">
      <c r="A59" s="24"/>
      <c r="B59" s="25"/>
      <c r="C59" s="4"/>
    </row>
    <row r="60" spans="1:38" ht="24.75" customHeight="1" x14ac:dyDescent="0.2">
      <c r="A60" s="22" t="s">
        <v>171</v>
      </c>
      <c r="B60" s="133" t="s">
        <v>172</v>
      </c>
      <c r="C60" s="134"/>
      <c r="D60" s="23">
        <f>IF(AND(CR_Decision&lt;3,UT_Decision=1),1,0)</f>
        <v>0</v>
      </c>
      <c r="T60" t="s">
        <v>173</v>
      </c>
      <c r="U60" s="55">
        <f>((U$5*(1-U$10)+U$15)*(1-U$20)+U$25)*(1-U$30)*(1-U$35)*(1-U$40)*(1-U$45)*(1-U50)</f>
        <v>8.353190719580468E-3</v>
      </c>
    </row>
    <row r="61" spans="1:38" x14ac:dyDescent="0.2">
      <c r="B61" s="20"/>
      <c r="C61" s="4"/>
    </row>
    <row r="62" spans="1:38" x14ac:dyDescent="0.2">
      <c r="B62" s="20"/>
      <c r="C62" s="4"/>
      <c r="T62" t="s">
        <v>174</v>
      </c>
      <c r="U62" s="55">
        <f>U5*U10</f>
        <v>1.0000000000000002</v>
      </c>
    </row>
    <row r="63" spans="1:38" x14ac:dyDescent="0.2">
      <c r="B63" s="20"/>
      <c r="C63" s="4"/>
    </row>
    <row r="64" spans="1:38" x14ac:dyDescent="0.2">
      <c r="B64" s="20"/>
      <c r="C64" s="4"/>
      <c r="T64" t="s">
        <v>175</v>
      </c>
      <c r="U64" s="55">
        <f>(U$5*(1-U$10)+U$15)*U20</f>
        <v>2.9430000000000001</v>
      </c>
    </row>
    <row r="65" spans="2:21" x14ac:dyDescent="0.2">
      <c r="B65" s="20"/>
      <c r="C65" s="4"/>
    </row>
    <row r="66" spans="2:21" x14ac:dyDescent="0.2">
      <c r="B66" s="20"/>
      <c r="C66" s="4"/>
      <c r="T66" t="s">
        <v>176</v>
      </c>
      <c r="U66" s="55">
        <f>((U$5*(1-U$10)+U$15)*(1-U$20)+U$25)*U30</f>
        <v>10.811400000000003</v>
      </c>
    </row>
    <row r="67" spans="2:21" x14ac:dyDescent="0.2">
      <c r="B67" s="20"/>
      <c r="C67" s="4"/>
    </row>
    <row r="68" spans="2:21" x14ac:dyDescent="0.2">
      <c r="B68" s="20"/>
      <c r="C68" s="4"/>
      <c r="T68" t="s">
        <v>177</v>
      </c>
      <c r="U68" s="55">
        <f>((U$5*(1-U$10)+U$15)*(1-U$20)+U$25)*(1-U$30)*U35</f>
        <v>16.865784000000001</v>
      </c>
    </row>
    <row r="69" spans="2:21" x14ac:dyDescent="0.2">
      <c r="B69" s="20"/>
      <c r="C69" s="4"/>
    </row>
    <row r="70" spans="2:21" x14ac:dyDescent="0.2">
      <c r="C70" s="4"/>
      <c r="T70" t="s">
        <v>178</v>
      </c>
      <c r="U70" s="55">
        <f>((U$5*(1-U$10)+U$15)*(1-U$20)+U$25)*(1-U$30)*(1-U$35)*U40</f>
        <v>1.3189907999999995E-3</v>
      </c>
    </row>
    <row r="72" spans="2:21" x14ac:dyDescent="0.2">
      <c r="T72" t="s">
        <v>179</v>
      </c>
      <c r="U72" s="55">
        <f>((U$5*(1-U$10)+U$15)*(1-U$20)+U$25)*(1-U$30)*(1-U$35)*(1-U$40)*U45</f>
        <v>22.20190164940999</v>
      </c>
    </row>
    <row r="74" spans="2:21" x14ac:dyDescent="0.2">
      <c r="T74" t="s">
        <v>180</v>
      </c>
      <c r="U74" s="55">
        <f>((U$5*(1-U$10)+U$15)*(1-U$20)+U$25)*(1-U$30)*(1-U$35)*(1-U$40)*(1-U$45)*U50</f>
        <v>4.1682421690704183</v>
      </c>
    </row>
  </sheetData>
  <mergeCells count="93">
    <mergeCell ref="Z37:AA37"/>
    <mergeCell ref="AE27:AE30"/>
    <mergeCell ref="AE32:AE35"/>
    <mergeCell ref="AE37:AE40"/>
    <mergeCell ref="AE42:AE45"/>
    <mergeCell ref="Z42:AA42"/>
    <mergeCell ref="AE47:AE50"/>
    <mergeCell ref="AE2:AE5"/>
    <mergeCell ref="AE7:AE10"/>
    <mergeCell ref="AE12:AE15"/>
    <mergeCell ref="AE17:AE20"/>
    <mergeCell ref="AE22:AE25"/>
    <mergeCell ref="B56:C56"/>
    <mergeCell ref="B58:C58"/>
    <mergeCell ref="B60:C60"/>
    <mergeCell ref="B2:B5"/>
    <mergeCell ref="B7:B10"/>
    <mergeCell ref="B12:B15"/>
    <mergeCell ref="B17:B20"/>
    <mergeCell ref="B22:B25"/>
    <mergeCell ref="B27:B30"/>
    <mergeCell ref="B32:B35"/>
    <mergeCell ref="B37:B40"/>
    <mergeCell ref="B42:B45"/>
    <mergeCell ref="B47:B50"/>
    <mergeCell ref="Z47:AA47"/>
    <mergeCell ref="D42:F42"/>
    <mergeCell ref="H42:J42"/>
    <mergeCell ref="L42:N42"/>
    <mergeCell ref="V42:W42"/>
    <mergeCell ref="X42:Y42"/>
    <mergeCell ref="D47:F47"/>
    <mergeCell ref="H47:J47"/>
    <mergeCell ref="L47:N47"/>
    <mergeCell ref="V47:W47"/>
    <mergeCell ref="X47:Y47"/>
    <mergeCell ref="D37:F37"/>
    <mergeCell ref="H37:J37"/>
    <mergeCell ref="L37:N37"/>
    <mergeCell ref="V37:W37"/>
    <mergeCell ref="X37:Y37"/>
    <mergeCell ref="X27:Y27"/>
    <mergeCell ref="Z27:AA27"/>
    <mergeCell ref="AB27:AC27"/>
    <mergeCell ref="D32:F32"/>
    <mergeCell ref="H32:J32"/>
    <mergeCell ref="L32:N32"/>
    <mergeCell ref="P32:R32"/>
    <mergeCell ref="V32:W32"/>
    <mergeCell ref="X32:Y32"/>
    <mergeCell ref="Z32:AA32"/>
    <mergeCell ref="AB32:AC32"/>
    <mergeCell ref="D27:F27"/>
    <mergeCell ref="H27:J27"/>
    <mergeCell ref="L27:N27"/>
    <mergeCell ref="P27:R27"/>
    <mergeCell ref="V27:W27"/>
    <mergeCell ref="X17:Y17"/>
    <mergeCell ref="Z17:AA17"/>
    <mergeCell ref="AB17:AC17"/>
    <mergeCell ref="D22:F22"/>
    <mergeCell ref="H22:J22"/>
    <mergeCell ref="L22:N22"/>
    <mergeCell ref="P22:R22"/>
    <mergeCell ref="V22:W22"/>
    <mergeCell ref="X22:Y22"/>
    <mergeCell ref="Z22:AA22"/>
    <mergeCell ref="AB22:AC22"/>
    <mergeCell ref="D17:F17"/>
    <mergeCell ref="H17:J17"/>
    <mergeCell ref="L17:N17"/>
    <mergeCell ref="P17:R17"/>
    <mergeCell ref="V17:W17"/>
    <mergeCell ref="AB7:AC7"/>
    <mergeCell ref="D12:F12"/>
    <mergeCell ref="H12:J12"/>
    <mergeCell ref="L12:N12"/>
    <mergeCell ref="V12:W12"/>
    <mergeCell ref="X12:Y12"/>
    <mergeCell ref="Z2:AA2"/>
    <mergeCell ref="D7:F7"/>
    <mergeCell ref="H7:J7"/>
    <mergeCell ref="L7:N7"/>
    <mergeCell ref="P7:R7"/>
    <mergeCell ref="V7:W7"/>
    <mergeCell ref="X7:Y7"/>
    <mergeCell ref="Z7:AA7"/>
    <mergeCell ref="D2:F2"/>
    <mergeCell ref="H2:J2"/>
    <mergeCell ref="L2:N2"/>
    <mergeCell ref="V2:W2"/>
    <mergeCell ref="X2:Y2"/>
    <mergeCell ref="U1:U2"/>
  </mergeCells>
  <phoneticPr fontId="10" type="noConversion"/>
  <pageMargins left="0.75" right="0.75" top="1" bottom="1" header="0.5" footer="0.5"/>
  <pageSetup orientation="portrait"/>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ColWidth="9" defaultRowHeight="12.75" x14ac:dyDescent="0.2"/>
  <sheetData/>
  <phoneticPr fontId="10" type="noConversion"/>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ColWidth="9" defaultRowHeight="12.75" x14ac:dyDescent="0.2"/>
  <sheetData/>
  <phoneticPr fontId="1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12</vt:i4>
      </vt:variant>
    </vt:vector>
  </HeadingPairs>
  <TitlesOfParts>
    <vt:vector size="18" baseType="lpstr">
      <vt:lpstr>CB_DATA_</vt:lpstr>
      <vt:lpstr>Units of measure</vt:lpstr>
      <vt:lpstr>Process Description</vt:lpstr>
      <vt:lpstr>Model</vt:lpstr>
      <vt:lpstr>Sheet2</vt:lpstr>
      <vt:lpstr>Sheet3</vt:lpstr>
      <vt:lpstr>AT_Decision</vt:lpstr>
      <vt:lpstr>Code_Decision</vt:lpstr>
      <vt:lpstr>CR_Decision</vt:lpstr>
      <vt:lpstr>Design_Decision</vt:lpstr>
      <vt:lpstr>DR_Decision</vt:lpstr>
      <vt:lpstr>FP</vt:lpstr>
      <vt:lpstr>IT_Decision</vt:lpstr>
      <vt:lpstr>'Process Description'!Print_Titles</vt:lpstr>
      <vt:lpstr>RD_Decision</vt:lpstr>
      <vt:lpstr>RR_Decision</vt:lpstr>
      <vt:lpstr>ST_Decision</vt:lpstr>
      <vt:lpstr>UT_Decision</vt:lpstr>
    </vt:vector>
  </TitlesOfParts>
  <Company>Software Engineering Institute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Stoddard</dc:creator>
  <cp:lastModifiedBy>瑜 秦</cp:lastModifiedBy>
  <cp:lastPrinted>2007-09-18T20:30:00Z</cp:lastPrinted>
  <dcterms:created xsi:type="dcterms:W3CDTF">2007-03-01T18:20:00Z</dcterms:created>
  <dcterms:modified xsi:type="dcterms:W3CDTF">2025-07-11T02:25:40Z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B8E87D64DEE9454DB777CFD384C669A6</vt:lpwstr>
  </property>
  <property fmtid="{D5CDD505-2E9C-101B-9397-08002B2CF9AE}" pid="3" name="KSOProductBuildVer">
    <vt:lpwstr>2052-11.1.0.11115</vt:lpwstr>
  </property>
</Properties>
</file>