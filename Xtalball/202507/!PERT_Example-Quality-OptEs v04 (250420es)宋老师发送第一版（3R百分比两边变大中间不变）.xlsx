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13_ncr:1_{7EA89003-679F-4A56-8D13-5A06D26C04D4}"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"'638881829470305890"</definedName>
    <definedName name="CB_Block_00000000000000000000000000000001" localSheetId="3" hidden="1">"'638881829470694950"</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I25" i="1"/>
  <c r="J25" i="1" s="1"/>
  <c r="I24" i="1"/>
  <c r="J24" i="1" s="1"/>
  <c r="A10006" i="4"/>
  <c r="A10005" i="4"/>
  <c r="A10002" i="4"/>
  <c r="B11" i="4"/>
  <c r="A11" i="4"/>
  <c r="P2" i="4"/>
  <c r="H25" i="1" l="1"/>
  <c r="Y25" i="1" s="1"/>
  <c r="U25" i="1"/>
  <c r="U24" i="1"/>
  <c r="U30" i="1"/>
  <c r="U45" i="1"/>
  <c r="U5" i="1"/>
  <c r="U9" i="1"/>
  <c r="U20" i="1"/>
  <c r="U29" i="1"/>
  <c r="U34" i="1"/>
  <c r="U4" i="1"/>
  <c r="U10" i="1"/>
  <c r="U15" i="1"/>
  <c r="U19" i="1"/>
  <c r="U40" i="1"/>
  <c r="U50" i="1"/>
  <c r="U14" i="1"/>
  <c r="U39" i="1"/>
  <c r="U44" i="1"/>
  <c r="U49" i="1"/>
  <c r="U35" i="1"/>
  <c r="H24" i="1"/>
  <c r="Y24" i="1" s="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<sst xmlns="http://schemas.openxmlformats.org/spreadsheetml/2006/main" count="651" uniqueCount="204">
  <si>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</si>
  <si>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</si>
  <si>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</si>
  <si>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</si>
  <si>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</si>
  <si>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</si>
  <si>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</si>
  <si>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</si>
  <si>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</si>
  <si>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</si>
  <si>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</si>
  <si>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</si>
  <si>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</si>
  <si>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</si>
  <si>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</si>
  <si>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</si>
  <si>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</si>
  <si>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</si>
  <si>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</si>
  <si>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</si>
  <si>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</si>
  <si>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</si>
  <si>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</si>
  <si>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</si>
  <si>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</si>
  <si>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</si>
  <si>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</si>
  <si>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</si>
  <si>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</si>
  <si>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</si>
  <si>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</si>
  <si>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</si>
  <si>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</si>
  <si>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</si>
  <si>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</si>
  <si>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</si>
  <si>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</si>
  <si>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</si>
  <si>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</si>
  <si>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</si>
  <si>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</si>
  <si>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</si>
  <si>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</si>
  <si>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</si>
  <si>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</si>
  <si>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</si>
  <si>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</si>
  <si>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</si>
  <si>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</si>
  <si>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</si>
  <si>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</si>
  <si>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</si>
  <si>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</si>
  <si>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</si>
  <si>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</si>
  <si>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</si>
  <si>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</si>
  <si>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</si>
  <si>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</si>
  <si>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</si>
  <si>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</si>
  <si>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</si>
  <si>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</si>
  <si>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</si>
  <si>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</si>
  <si>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</si>
  <si>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</si>
  <si>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</si>
  <si>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</si>
  <si>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</si>
  <si>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</si>
  <si>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</si>
  <si>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</si>
  <si>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</si>
  <si>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</si>
  <si>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</si>
  <si>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</si>
  <si>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</si>
  <si>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</si>
  <si>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</si>
  <si>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</si>
  <si>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</si>
  <si>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</si>
  <si>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</si>
  <si>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</si>
  <si>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</si>
  <si>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</si>
  <si>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</si>
  <si>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</si>
  <si>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</si>
  <si>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</si>
  <si>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</si>
  <si>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</si>
  <si>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</si>
  <si>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</si>
  <si>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</si>
  <si>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</si>
  <si>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</si>
  <si>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</si>
  <si>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</si>
  <si>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</si>
  <si>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</si>
  <si>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</si>
  <si>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</si>
  <si>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</si>
  <si>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</si>
  <si>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</si>
  <si>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</si>
  <si>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</si>
  <si>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</si>
  <si>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</si>
  <si>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</si>
  <si>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</si>
  <si>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</si>
  <si>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</si>
  <si>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</si>
  <si>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</si>
  <si>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</si>
  <si>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</si>
  <si>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</si>
  <si>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</si>
  <si>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</si>
  <si>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</si>
  <si>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</si>
  <si>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</si>
  <si>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</si>
  <si>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</si>
  <si>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</si>
  <si>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</si>
  <si>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</si>
  <si>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</si>
  <si>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</si>
  <si>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</si>
  <si>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</si>
  <si>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</si>
  <si>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</si>
  <si>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</si>
  <si>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</si>
  <si>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</si>
  <si>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</si>
  <si>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</si>
  <si>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</si>
  <si>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</si>
  <si>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</si>
  <si>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</si>
  <si>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</si>
  <si>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</si>
  <si>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</si>
  <si>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</si>
  <si>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</si>
  <si>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</si>
  <si>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</si>
  <si>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</si>
  <si>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</si>
  <si>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</si>
  <si>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</si>
  <si>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</si>
  <si>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</si>
  <si>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</si>
  <si>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</si>
  <si>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</si>
  <si>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</si>
  <si>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</si>
  <si>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</si>
  <si>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</si>
  <si>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</si>
  <si>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</si>
  <si>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</si>
  <si>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</si>
  <si>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</si>
  <si>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</si>
  <si>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</si>
  <si>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</si>
  <si>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</si>
  <si>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</si>
  <si>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</si>
  <si>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</si>
  <si>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</si>
  <si>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</si>
  <si>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</si>
  <si>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</si>
  <si>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</si>
  <si>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</si>
  <si>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</si>
  <si>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</si>
  <si>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</si>
  <si>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</si>
  <si>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</si>
  <si>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</si>
  <si>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</si>
  <si>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</si>
  <si>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</si>
  <si>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㜸〱攵㔸㙢㙣㈳㔷ㄵ昶昸㌱昶㜵㕥摥挲昲㔰ㄱ㘴改慥搴㤲慣㙢㈷㜶㥣㠴つ㕤挷挹㙥搲摤挴搹㈴扢㕤攰挷散㡣㝤㥤㌸㤹昱愴㌳攳㤰㤴㉣㕤㔸搴㠷㠴㔴愱㉤㝤㈰昱㘷㡢搸ㄶ㠹慡慡㉡㐱㠵㉡㐰㐲㉢㐰㐲挰ㅦ〴晦ㄱ愸㔲晢愳慡㤰昸㐵㌹摦㥤ㄹ挷㜱ㅣ㙦㕢㐵愰㡡㤱㝣㝣敦戹㘷捥㌹㜳敥㌹摦㝤〴愴㐰㈰昰ㅥ㍤昸挷ㄳ㐶攳㌳㑢摢戶挳㡤㘴挱搴㜵㕥㜲慡㘶捤㑥收㉤㑢摤㍥㕦戵㥤㄰〹挸㑡㤵挶敤㠸㘲㔷ㅦ攱㌱㘵㤳㕢㌶〹㐵〲㠱㔸㡣〵㘹ㅣ㌲昸㈵晣づ㐳㡦㠵㐱㐸㉡搰㉤ㄳ㔹㉥㑣ㄶ戵㌵搲扦攴㤸ㄶㅦ散扦攴㙡㤹㐸愷㤳改攴搰昰㔸㍡㤹ㅡ散㉦搴㜵愷㙥昱㠹ㅡ慦㍢㤶慡て昶㉦搴㌵扤㕡㍡挷户㤷捤㜵㕥㥢攰㕡㙡㔸㔳㌳愳改㑣㌶㕢ㄹㅢㅢ敤㡥㤲收昹㘲㘱㌲㌹捦㥤㐳搲ㄹ㠱昳改㈹㕥慡攲㉢㌹户慡戵㤵㈴㔹搸攳㝦戲戸攱㈴㡢㑢㡢晣攱㝡搵攲〶慦㌹昰愴㕢㔹戰㜸㠵㕢扣㔶攲㜶慦㌲扤㔵攲㝡㠱敢晡㈲慦搸㕤捡㔹换慣㙦捣搶捡㝣㉢慣㕣㔲慤㤸㜲戶㕥㉤捦愹ㅢ㍤挶㐵㥢㉦慡戵ㄵ㍥慦ㅡ㍣㘲㠰ㅤっ〷挲愱㐰攸㡥㙥ㄴ㈶㜳挹㍤㘶㄰敡㔸㝦㡢昷〸㄰㌹㝣㡥㕢㌵慥㈷挹㘹㌸摢㙥摡㘷㔴㝢搵㔱㌵㥤㑢㕤㕥㔲挰ㄹ攸㡣戳ㄸ㔱㍣㡣㠱挴㠹㐸攱㝦㔲㉥㌵㑢㜶ㄱ㌷愸愸㐱㐵ぢ㉡愵愰㔲づ㉡㍣愸㔴㠲捡㑡㔰㔹つ㉡搵愰戲ㄶ㔴搶㐹挶㝦㘲搱㘸搰㝢㝥㤵㜹昴㍢晤㙦摥㍥昷搲㡢扦戹㍥昹摡慤㐱〹改㠳愹㠸戳㙥㑦㥣昵㔰㠳昵ㄲ㤱愴㜷挸㌲慣慦昵摤晥戹㜲搷㕦ㅦ扣晥攴愷慦晦㜴晢收ㅢㄱ㈴摣晤㉤摦㝦挰散戹昹㔸摤攴ㅦ㥤戹㈳㤷㍦捣摣㈵晣〸ㅥ㐱〴敦ㄲㄱ㝣摢㡢㘰㘵昲搸户㐷㝥昶晤㤹㘷㉦晦晢昱㜷摦㝣㐹㡤㘰愲㍦㜸攲愱昶㤹挸㕤慡㔶㍢㘲㥣㌱㉤㍢ㄴ敡㤸㘴ㅤ〷㤱㜴散攳㈰㐷㠹㐴㤰㜴㜷㑣敢㑦㤰㤰愴㑡㕡搴愰㙣㥦㕢戱㈲㠶㕢㔱㔳摣㉥㌱㠳㙡㑥㔴㥦㑣㉤扤捥扢㡤㠲㔹㜳昸㤶㌳愵㍡㙡搴㔸㔰愹㙣㥤㕥㝡㤱攴〶㍣〵摤㝥ㄷ㝡ㅡㅤ愸㑢昸㈳扥搶㥥㕤〶㈹晦㤸摦㙢戲搱搰敤㥡㘲挲づㄴ扢㉤㘸敤ㄱ㍣㕦㘵摣敢㤱扥㠴㘸㌶㈹敢ㄲっ㔷ㄳ㜰㥣㠰㍣ㄴ昶晥摣㡥㉣摦搳㔲〶㝢㘱㠰㍣愴㄰㈱㥢㘲㜲挷㤹㌸摥㑥㑤㐹扢攸㔴㜵㍢㐹㙥〸㕣㠳㥥晦戶扤挳昲ㅢ扥扢捦扦摥昳晦攳㌲㤲㈹戱〷攲挷㌳攳昲㈷㈱㐰㤵攳〹㔲㝡㝥㡡ㄸ昱㌸㠳㌸挳攸晥挱㑥㘳㘱〰㘹挷昰挳扢昸㜹㔳㉤㥦㔱㑢戴㜴㐶扤㠵㌳㔶㌰㡤つ捡㔹㉢〱搰㉥㤸㘵扥㘰㤹㥢搵㌲户㘲㘰㉣搱㔲ㅤ㐶㈵捡㈲搹㙤㑡㡦㔰㈰ㄲ改㡡戵戳㌵敢敢㍡摥㘶㉢㌰扢㑦晦㕢ㄷ㐶ㅦ攸㠳㔷㜱攰㍤晢ㅣ㐸㍦ㄱ〹㐰つ昴㘰挷㐰㍥て㤶㠰㙣㙡戸㑦㜳㝣敦㈱㔶㑢㝣㠷挶昷㐷昰〴㠹㔱㜸㈱㝤挰㘰愷㌱〹慢〵㐲っ㥦攱㡢攷昳㈰搴㥤㈴㈲〱ㅡ㠵捦㐹戰敥㈷ㄲ〱㐸㜶挶ㅡ㠲攱晦㔳慣〹晢㈰戳〷㙢敥㙢〷ㄱ㡤つ㐷㘳㥤㍤㔳慦㈱㥢〷摥㥦昴昲昶〶户晦ㄷ戸昲㔱挶戱㜸攴㡦〴㐰ㅦ㈴挲㌸〲㐴㌷戱㈲㉡㑡㈰㠶㜸㘳㈹㡦换㘹愲扤挵愵挶攴㡤户慢捥㘱㠸挶ㄹ㘴昷㔷愷ㄸ散㌴㈶㘱㈷攲㔷㘷ㄳ愲㡣㐳摤ㄷ㠹㐸搸〰昸〲㜰搴㉢摦㔳㄰㤸㠰〰㌶〷㙤〴扥〴㠱〷㈰㈰攰㤹ㅡ〰㠰㘵〸扢愰㜵㥡㥡㉣㑦㈴〱昸㠲敡ㄸ㔰㈰㤰攸㈷㠲㉥㥢㐴攳ㄸ㤱㌶敡ぢ㄰㤸㠲〰㐰慥㡤挰㌴〴捥㐰㐰攰ㄷ㌵㘰晦㉣㠴㕤晢㘸戲ㄹ㈲〹㐰㔱㤳㝤〱㑡ㄸ㥣〵ㅦ愰搴㐶晤㠳㄰㌸〷〱〰㔶ㅢ㠱昳㄰㤸㠳㠰㤸〴㙡挰晥ㄵ晡昷散捦㔳㤳ㄵ㠹㈴㄰散㈶晢㈲散ㄸ㕣挰㈰〲㡤㐱昹〲㤱ㄳ㠵挹挲愲㤲愹㡣㘹攵ㅣ慦っ㔵戲戹㑣㘶㈸㍢㥡㐹愵戳㤵㔱㜵㐴㑢愷搳㈹㜵㌸㈱收㠵挴搹㈲㤱〴㘶〲ㅡ搸ㄲ㝡㘲㑡搰ㄳ㘳愷愹㠵晤扡㝣㤱㐸㔴㤹㝥㤸㤶戰つ昹ㄲ㜵㡥ㄴ㈶ㄵ㌷昳㘶换戴㉤慢㍡摢昲㐳挴敥〵㝢挳㔹愲㘳ㄷ捥㔸昲㘵攲昵戸扣㝣㜹㜳挹㔱ㅤ昹换扢㉣㍡ㄸ改昵㌲㑦攴㠹㈵捣㝣㠵ㅡ㡢愹㔳ㄳ㕦摦㔹㌴㑤㘷㠷戶愸扣愴摡㡥扤㠳昵捦戴慢㌸晢昶㑦㙦愹挶㠶捥㑦㕥愸慢㍡搹㍤㐹昶晥昶㡢㤷晦晥昴敢戹攴㤶㙥㙦敤捣搱㔲慢敦㑣攴戳㈳挹戹晣攵慢愷㈶㔲散慢愴搷㑤ㅦ㔱〴㌱㈹㄰㐵昶㠸敦㐶㌱㠵㥡捦㐸搲ぢ㔴愰㌸扡㤸㈳㠳扦㍢扡晤㡦昹ㄷ晦昲挶摡ㅦ摥昹挲㤶㜴搳ㅢ㜸㜵愶敢挲㉢扦扦㜱晡㤵㤳㝦㥥ㅡ昸挹慡㤲㐰扡㠹㔹㔰愸攱捥㠲㥡攳㤹㜴㑥㑢攵㜲改㙣㈶㥤㑤㙢愳㝣㘴㜸㈸㌷㍡捣搳㥡㔶搶㜲〹㤱㥤㈴捥慥㄰㐹㈰ㅦ挵㉣愸攸㠹挴愴㠶㍢㠶㔴㐴㜸ㄸ㘶㠱㈱晡っ戱㘶〸㉥㐳㌸ㄳ挸㔳ㄱ挰㔵㙡ㅣ㕡〰㐷㔲㡤〰㔶㐹㙦㡣挲㐶〶戱㠵㐲〰㤱晥〷〴昰㝢㕥㥣摥扥㤶扣晤搴捡ぢ挵攷摦扤㤵㍡㌲昲搹㌱改改㠳〲㠸㝡ㄱ〱㌴愸攱〵㌰㌵㔴㐹愵㠶㈹㡡㍣㤳ㄹ愶㌴㔶㔵慥㤵挷㔲㍣㔳搱戲愳戹㑡㐲㤴ㄷ㠹戳ㅡ㤱〴ち㑡昸㘷愲㈷㉡慢㌱㠶㕡敡ㅣ㐰ㄴ㥡〸攰㈶㌵搴㐳㐸扦㈲㕤挲愸扡摥㝦搶㔴昵攴挲昴㘲㘱㝡㝥㜹昶晣昴扤愹攴㔸昶扥慢散㙢㘴愶㈵㈱㔱捥〷挴昳㜱㉦㙣敢㝦㝡扤攷㐴㜵㘶晥搶捤ㅦ晦戲㙦晣㐷㌵改戱〳攲ㄹ㐱昵愶㕡㔶昱㝤㠷散搶扢〹㥣攸㡥ㅡ戳㌶摤㠶搰摤捦戲㤹㙦摣㜹ㅣㄱ㝢㔴攲て昸〷挸ㄳ扢㥣扣㘶㥢㝡摤攱晥㙢㐵慢昱ㅥㅤ㤷㘸搹ㄲ敦㔱㉤ㅦ摤敤㌵ㅤ㤴敥摥攵捥搶㙣㙥㌹扣散㙢戴改ㅥ㈱ㅣっ㐹搹㍢㝤〹㐱〰㕤昶㄰挵愱换扦搰挱攷摣摤㘶扦㍣㔹㜵挴敤ㄹ挶㈵〶摣㤴㜷㠸戰㠹攳昹攳改㔴㉡㌵ㄲ戹㑥㘱晤㜰㌶㤱㠱扢㙢㌵㉣攰㠹戳㙦㄰㤵〰戰㔰つ㔶昷愳㐴攸扣㌷㘵ㅡ㙡戵㜶㔸㌷㘳挰戹搶慤㠵㤸㜶搷㑣攳㡡捣挷㙣愴㝣户㔱㉣㘹换ㄶㄷ㤷㕢㌱搱愱㝤㕤㡦昱㤰㘹慤㙢愶戹㡥〳㜰慦攸搹慢㥣㍢戸㙦敡㌲㕣攸㐷㕢㤲愴搰ㅥ昸㙣㠶㔲㝣愴㝣㡤㐸㑦㥥㙡挱搷㘸换摦㈴㔶㠸慥戹攴㙦㔱㘳攰㝤㠱㝢㔶㠰扢㜴搵换㜸攳挶㌳扦㍤昵敢㐷㡡㑦㕣㜹㙢晢〷㍦㉣㤴愵ㅤ㙦㘰摦㌵搵ㄵ㌲㠱㜲㤰ㄸ挰㔹㝥㡣㐸㘳慡㠷愴㙤㝡捤㥦㤳㌸㝢〲㜲㉡ㄱ㥦㈵〱昸㄰㔵㜶つ〴㝥㌳昸㉣㌹〷昹㘱㝢〳慤昷㕥ㄲ㔰捡昵〳ㄸ㈷㍦〵㔵㝥捡㘵愵㡤㍤㝥㝣ㄷ㈶〰㘴つ㍦〰ㄸつ㍦攴ㅢ搴ぢ搱ㅣ戸扥慣ㅦ攴换㥡㌷搰㝡㠳ㄴ㐶㍡㜶㉡㡤㄰㡤㐷つ㐵挵㈵㜳捣㔰㜴㕥㕢㜱㔶ㅢㄷ换戴〵㡤搱捤昲戳㈴㠴挵ㄳ㡦㠴挸㐱㉢㝢㡥㐸㠳㡢敦㄰摣攷㥢戸㝤㜸ㄱ㠵ㄲ愳㕦愰て㉦散昶㈰搸攸㜵晤〷㐸扡㙣挶</t>
  </si>
  <si>
    <t>CB_Block_7.0.0.0:5</t>
    <phoneticPr fontId="10" type="noConversion"/>
  </si>
  <si>
    <t>Decisioneering:7.0.0.0</t>
    <phoneticPr fontId="10" type="noConversion"/>
  </si>
  <si>
    <t>CB_Block_7.0.0.0:4</t>
    <phoneticPr fontId="10" type="noConversion"/>
  </si>
  <si>
    <t>CB_Block_7.0.0.0:3</t>
    <phoneticPr fontId="10" type="noConversion"/>
  </si>
  <si>
    <t>CB_Block_7.0.0.0:2</t>
    <phoneticPr fontId="10" type="noConversion"/>
  </si>
  <si>
    <t>CB_Block_7.0.0.0:1</t>
    <phoneticPr fontId="10" type="noConversion"/>
  </si>
  <si>
    <t>㜸〱敤㕣ぢ㜴㕣挵㜹摥㔹㘹慦㜶㔶㕡㘹挱搸㍣ㅣ㐰挶㜲㙣㙣㄰㕡扤㉣ㄹ㡣昵戶〵挶㌶㤲㙣㐲〸㐷摣摤扤搷㕡扣て戱扢㌲ㄶ㤰㘰愰㑤㐸摡㌴〱㥡ㄲ〲〴㐳〹㠴昷㉢㑤捣〹㈴㐰㤳㈶㘹攰㈴㄰㑥㑦㜳摡搳〳挴㡥㈱㄰愰㜹㤲收攱㝥摦摣㝢㜷敦㍥㈴ぢ摢改㜱捦挹㐸晢敦捣㍦晦扣晥㤹晢捦晦晦㌳㜷㍤挲攳昱散㐷攰㌷㐳㌵㈳ㅦㄸ㥤捥收㡣㘴㜳㝦㍡㤱㌰愲戹㜸㍡㤵㙤敥捤㘴昴改昵昱㙣慥ち〴摡㜸ㅣ昹㔹摦㜸㌶㝥㠵攱ㅦ摦㙥㘴戲㈰昲㜹㍣㝥扦昴㈲摦㙦㝦㐲㑥㐲戲㤴慣㈶〰㤵㐷㙡〴㌵〴㈴㤵㤲㈰〰㔰㔷ぢ㌰搶摦户㌱㜲㈹ㅡㅥ捤愵㌳挶㘹㡤㕢慣敡㔷㠷挳捤攱收搶戶敥㜰㜳换㘹㡤晤㔳㠹摣㔴挶㔸㥤㌲愶㜲ㄹ㍤㜱㕡攳愶愹㐸㈲ㅥ㍤搷㤸ㅥ㑢㙦㌳㔲慢㡤㐸㑢㕢㐴㙦敦ち户㜷㜴㤸摤摤㕤㜵㜵愸㜹㐳㝦摦愶㡣㘱㘶て㔷㥤㐱搶戹戱扦慦㜹㠳㤱㍢㕣㜵搶愳㑥㔴㌹㤰㑥敡昱搴㘱慡搴㐷昶㜷っㄸ搱㌸攷挹㌰㌲昱搴搶㘶㜴扢㠸搱㐸慤㙣敥捤㘶愷㤲㤳㥣昲㝥㈳㤱ㄸ㌱㑣㌵㍦挹㠱㙣㙥㤳㥥㐹㘶敢㤲攴㥦㤱㌱㔲㔱㈳㕢㥦ㅣ摣ㄱ㌵ㄲ㌶㘱搶㥦摣愲㘷㌶攸㐹愳㥡㤱㠶愴㌵㠷挳㌱㈳㤵㡢攷愶㠳挹捤㔹㘳㐴㑦㙤㌵㐸攲㑢慥㥤㡡挷㐴㜵㌵晥㍤㔵㑢㉢昵㑣㑤ㄴ晡㤳散㥦搰㌳㌹㤵攲ㄴ㠶㉢搱扡㤶㡢ㅡ㐵㔱扦戸愴ㅡ㑢㑡㜱捥㐶攳挹㜳㡤㑣捡㐸戰ㄱ捥攴㡡ㄲ㈲挵㈰㙢ㅥ昲㥣㜲㠶挳㔹ㄲ戵昶㜳挲戱戰ㄵ慤〱㘰昹㠶㜴㈶㠹〵㜹㥥愱愷㔶户㌴户㥦㌶㥡㡢つㄸ摢ㄱ㙤改㘸㈹ち㘱ㄹ〲扤㍣㡡㈵㡦〶愸捦挶㤳㔳〹㥤捣㕦ㄵ㙥㕤㈵攷㌱昷ㄸ〰㔱晤㈶ㅥ搱搲搶扣攳扡㜷㍣攲ㅤ㡦㝡挷㘳摥㜱挳㍢㙥㝡挷户㝡挷㈷扣攳㜱敦昸愵摥昱㙤㈸改〴㝦㑤㡤搷づ㍢㐷㥥㌶戶㠷昶慤摢搵㤸敤昸㝣㘰搱扦〸㍥㤵敡愱㕥㠰挸㌲㜷敦摢㍢㥣捥户㌵户ㄵ㠷づ㜹㉣愸攵㜱〰摡昱〰㐱㔷摦摢㔶挹ㄳ㤸戹㄰㐰㠸㍤攸㍡扢㝦捣昴㍦ㅥ昷捣〳㌷㙦晣攲敥ㄷ㍦搱搴㝤慤捦㐷㐱㌰愷搹挴戴㘰㐱戹搶㘳㍤搷㔲晦㔴㌶㤷㑥㜲㌱ㅤ摥㐵改戱ㄷ愵㔸㔲㘹㌹㔸慢搲敡搱㈱慥挹挵㈵昵㜳㑤㙥㥣捣搹㙢搲㙡攲戰㉣㑢㈱㑦攴㜴㥣〴愰㥤っ㔰摢㍢㌶敥戴㉤ㅢ㤹戵〸㐰㠸晦戲㘷㉡昴愱扢㑦晡挶挲㠷㠶㍦晢㠹戶㕤捦㥣昵敡㉤㠲搲㥡戳㈵攴㘲㔲㌷〱㘸㑢〰㠲晤改㤸㔱愸敡㠳捣㕣ち㈰挴扦摢㔵敤㍥攳㙦捦㜸晡㡡㘳搷㍥㔲昷摣㈳摦扥㜵晡敦㝣㤴昹㙤㑥攳戳〹愲㈱㠸晥愸㥥捤搹搳捥㜲㠷㜷㥥て㉣㝢㠶㌲搱㍦扦散㐱㈳㠷㘵㤲攵愹攴晥㜲〰㙤〵㜹戵ㄱ㥢戲㥥㐸㌴慥㑤敢〹㜹ㅡ昳㑥〷㄰攲㈵㝢㘶戶扤昸㘴㜰㐹㝣摤㠶㝢敦扡晦㤹㠶㔵昷愴〴〵扤ㄲ〳㘷㈰戲愰㐸っ㌸㔲㈰㉣㕢㔸㔱ㄸ㐰㙢〵㈸ㄲ㔸㉤慢㘴ㅢ㜳摢〱㠴昸扥摤捣〵挶㔷㡦昵㜴㈵〷㍦晦戱㌳扢㍦昱挹㈵㡦ち㙥昵搶㕡敡㈴昵㑡〰慤ぢ愰㜶搴戵㈸扢㤹戵ち㐰㠸㙦摢ㄵ摤晥摥昳㉦晤收攷晢㠶ㅥ㡥㍣晢摤㥤㝢㕦搸㉦愸㉥㔸ㄵ㥤㐵敡搵〰摡搹〰戵㈳〳㠵㈵戹㠶㔹㍤〰㐲㝣搳慥攸搵〷ㅡ㥥㝦㜹昲收戵㕦晥搶㠹扦摤㜶攵昲ㅦ搵昵㈱晢㝣㕢㤲て㘴昴换戱㌷ㄶ戶摤搶㘶挸敤戹攸ㅢ㔰㌷捣づ㜳愵ㄹづ挷㍡㕡昴㌶摤㐷搹㍥搷㡤㡤戴㜵收〵昱㔴㉣㝤戹㤲㉡ㅦ攸搳㈱攱昲ㅢ摦ち㍢慦㉦㍤㤵㡡㘵ㄷ㔶捥ㅣ捤改㌹攳㠴搲扣㐲㈵㘵挵㐶愱〷ㄸ㔹搵摥㐹愵挵戶攸㠹㈹愳㜷㐷摣捡㍥戱㈴ㅢ㕡㐰㍡㌲㜳敥㔰挶戸㉣㥦㕢搶愳㕥㘸㤴摢㔵摤㘵愳戴戲慣㝥㌵昶㑦愴戳㐶㑡㜵㙦㐵㜲㔳㍣扡捤挸㡣ㅡ搴㐷㡤㤸ㅡ敡㝣㘶搹慡挸㡡㡤㈹っㄴ捡㐵散ㄴ㌷搶ㅣ摣㤱㌳㔲㌱㈳㠶晥㑥ㅡ㤹摣昴㤸ㅥ㐹ㄸぢ㡡㐸慣㌶㤱㜱㝣ㄱ㝡㈸ㅤ㥤捡昶愷㔳戹㑣㍡㔱㥣搳ㅢ摢慥㐳晤㠹㥤〷攱〷敤愵㥡挱㈳㍣㔵㔵㐲㜸㤶㔷ㄲ㙤慣㌷摢慣㈶挲㌵挵㔴㘶㡥㉢㕥㜶捤㈳ㄸㅤ㐶㤱㌰戸㈶扤㑤〷愸㑣搵换㙡㑥㥤㤹搰㌵㈶㉡敦愴㕥㌶㌳戵敡㘳㝥收晥扣挴㕥敦㍣㝢昴㠳摢愱㈲慥搳㔳戱㠴㤱㤹搵昴㄰散㤱散〷昰㍤㠵愷㜹㐶敥㔱愳ㄱ㍢挴戴敦昲㜸㉣㌷愱㑤ㄸ昱慤ㄳ㌹攰㘰㥥昸晤㘴㙤㔹㤰㠳㐰挹㈱㠲戵〰㠱㠰㐷㕢㐷㈲㉤㈰㠷慤戴㡦㙡摡㥣搴㤵㈲攵㤳〶㤰㔴捡㉥㉣㤳慣㉦㠹㙤㉤㕢㔵㔵㘹㤴敢昴散㐴㡥换㜳搶㑣慡㤹昲ㅣ㠲㜳〱㝣㔴ㄱて愸摢㔲㉢慤愶ちㅦ㑣づㄸ愶づ挳㐹㍤摤㐲昷㈹昵挹〷㙣㌶㉡愹戴て攳㔹搹愱㈱㠶㠷扦㉥挹搵㙦散挸つ攸㌹扤㈶〹昵ㅦ戳㈴㐱戴㐲㤵戲㘲㉣ㄹ㔴㌸愷㜴挰㑥愱㠶㤰㡡扡㙡愹㔵〸慢㈶㍣㌸㜸㕥㍣㔵㌶㥣㝤㄰散㍢〶愱㤵㉥昴㘲㌵ㅥ搶㐵㙣慤㤱ㅡ㥢㥥㌴戲㈴昷㙢戳戲戲昴昱㔲晡㔷㌴戲㌹ㄷ㑦㘴㥢搱搳戵㤹昴搴攴攱慣㠷㜵挹昵〰㑥昰㍤㠱㔵㍣昷㌱搱㌴慦搹捥戹ㄹㅦ昷昸㔹ㅢ㌱摡〶㠰愲㥤ㄸ愶〳ㄷ㉦敡摥㡦㉦ㄵ攴㈶㝣〵㈴㐹㘷挸昳搱搰㜸㍦ㄶ㄰昷摥扡攴挶㘸㘴㉣㘳㈸㥢捥慦ㄲ㘰㝥㌰㜹㐱㍡戳㉤㤲㑥㙦愳㜶㕥慦㔲搹〹挳挸㈹㍢挹戶ぢ㤵晤㈷㐴㔵㔵㤱㔹攳㌲愸㘸㘱㘹㘳〰挱㕥愸㌱㑥㡤㔹㙤㌳㔰㔵戰搸戴㉤㠸㙣㕤戴㘹㜰㘴㙣㝣㜰㠷㥥㥣㑣ㄸ愷㥦㍦愵㈷㘰㙢㥥づ㌵㝡㌰摢戸扤愵扤㜱㔹㙢㐷㑢㝢㙢㡢㤱㍤㜵敦挳㝦昳晡捥㙢昶敥扥㝥敦㘷㙥㜸㘳攷㌵晢ㅥ㝣㜰捦敥㥤晢㍥㜹晤㍢㑦㕤摦㌶戲㘷昷摤慦㝦攳挹扤㥦昹晣摥扢敦摤戳晢愱㌷㙥晥捡㥥摤㥦㐶昲㥤愷㍥搹扣㈳㤱摤㈱敥〳㌳㘹挵㍣扥慥昶晣㐷㕦戸愹攷搱搳晦㙤㘰挵㐳ㄳ攳攲换㜶㐶㤹㔹㐵晢㠸晢扡扣㄰㐰摣〳㌲捡㉣挴㡢㠳扣〸㘹昹ㄱ㠲㡢〱㈰㜹搴〴㐱昰㡣㕢㐹㐱ㅢ㡢挲㐷㕥㐲愰〳〸㥡㔷捡㍡㡣㈰攲〴㜱㍢敡攷㡡㔲慢㈲〶㜴㠹㔱㔶戶㈸㑣搰〴㈴㈹换ㄷ㠵捡ㄳ㌴攱戸㌰㈴㈷㐲㤲昵㤲㙣ㄷ㌷愱㤹㡡散戸搱捥㈸戳昶㘸㠲捣捤愲搲㐰昹晦㘲昳户戶晣㠳摣挶㙡〲〸ㅥ㐱愳㑣㑤㙥ㅡㄱ㌹〹攰㙢〴㤸㡢㙤㐸戳㕢攸㈲㈲愲㈲㈶㡣㥡㈴ㄶ晤㜹㕢㌳敦㕦愶搷愳愰ㄲ捣㔶〵㜵㑥㔲㤹搶㑥㠲㠲㍥攴㈴㐰慤㜶㡡㘰〱〱愱㌴捦㐹戹㈴㝥扥敥挳扤㝤㘰散㜴㔶㘲愹㔷挱㤰㔳㕦ㄶ搴ㄸ㘶㘷ㅦ晡〹㐶ㅤ㑥挹晥㝦摤摥攱摡搹挸〳㉢扣㑢㑢〹挱摦愳扥昲摦づ摥搳ㄳ搰㉥㐳㔶㤱敦㐰愹㐸ㄶ扤㠲㌲㡢慦㐰㐰㤲㔰㐹ㄴ㔷㥥挷捡㥣㉤㑦㉣〲㝤㕥摡㘸㔷㈲愵㐱㔷挵㙡戳㠴捥㜵㌳〹㥤㙢敤㡣㌲挷〵摤ㄵㄴ㍣昶挳搶㠴愸㝡搸慥㐶㐴敥〴㄰ㅦ〴㘸挴挷ち捥㘸摦戳攵㜴愸愷ㄸ敦〷ㄷ慥〱慡挴昱㔱挶㠷敢㐰〳㍥㤰戴㥣て㉡㜳戶㍣㐱ㅦ㑡㥥て㤲㝣戰ㄸ㤰㥤㠹〱ㄹ㍢愳捣摤㐲愷挰㉣㐶㘸㤱㠷㠳㉤ㄶㄹ愱㜵收㔰㍣㤱㌳㌲捡捥㘸㌰昱㘵昹㡦㔵㍡㐸摢㉡愳㐷㉤捦散㌱㘶㍦捣㉢㌸慣㜳搳〵㠳戳捣扣戳慣㥦扦ㄸ戱㐷㥣ㄱ慢㑣搸㈲㐳㜶ㄶ㈳ㄱ㡢愶挴㡣㥤㥤搸戵㠸㘸扦㔵搴㌱搵㤲㙡㐶捤挵㡢㡣昴愵晡戱昲捡攷改摤㡢㤰搴㉤㌳ㅢ户㕣散攵㡢㤴㠵㘶㌴㈴晦㘲㠶㔷㍡〱戴捣昰捦㠰㜱昲戳〴㌷㄰摣㐸㜰ㄳ㠰㐸㐰ㄸ㔱搵慤㐶愲ㄱ㥦㉦㔴㜹㍣昷挱づㄶ昲㜳㐸挹㝦㈰戸ㄹ挰愵敡摥㠲愴昶〵㠰〶挷敤摢㘸㉤戱㠰㄰换㠱㔶㐲晢㔶㐴攴㙤〰㜵户〳㙣㔸㘷㈴攰搲㌹㕣㐷㜹扥搳㔰攷散㐶㈸搶て㑦㘹ㄶ㈴㐷愷㔳搱㠹㑣㍡㠵戳㑦摡挶扤㔱㥣㠵㘵㠵慥㈵搷愷晢愷㜲㕡㜲㕤ㅣ㕦㜵挹ㄱ㘳搲搰㜳晤㜰搹挱昰㕥て㔷戶㌲慢㠷㘳㍢摥扦㡡㜶昸捣㙥て㘷〵摥搰㠲攵㉤㑡㥦㕥换〰戶搹摢㍣㤰挶戹慡愱㑥㝦挹㜶㑤㠳ぢ攵〸戴慢㍤昲㡢攸摤ㅤ晦㝤晦㤹㑢㙥㝦㘴扦晤㝤㌵㔶愱ち摡ㅤ挸㉣㜶㠹㤷ㄹ㐳㜷㠲㈴㈰㐹㔸㙥っ愹㍣㜱㍡昲昲摢戲㜶て㔲㔵㔸ㄳ搶搶晣㈱戴㔳搱㈰扡挰捥㈸昳户户愰扣戲て敦㐷㐴㙣〶㔹㘵晢昰㐱㘴换㠷〸ㅥ〶㜰㍤㌴㡦㕡㐹ㄱ挶户㝡㐰ㅥ㈳搱攳〰愲つ㐰搹㠷㑦㈰攲〴戱ㅥ㙤攴敤挳㝦〲扡挸㙢〰晦㝤ㄹ㑦扥〶愲㠰㈴改っ㜹愲ㅤ㜹㜹㥥戸っ挴扥㤹昸搱㙢㘷㤴ㅤっ昰㌸挰愵慢昱㘰㐰㡤敡ㄹ㐴攴戳〰㠲愷〲㡤昸㔸挱搱搵㥣㙦㐷㜳㜵搲搴㔸㥦〳㘹搱挱㐲㤹愶昶㉤㔰㐰㔳㈳㘱戹愶愶㌲㘷换ㄳ㍣愳㈸っ扦愰愹戵捥㌴晣戰㥤㔱㜶㥣挱㐳っ搷昰㔷㈳愹㠶晦㐳昶散㐵〰戱〶愰ㄱㅦ㉢㌸挳㜴㠶敤㝣㍢昸㔷扥ㄹ㤰㍣づ㈹㥦戸㤷㠱挵㤰㘷挹㥣㉤㑦昴愰㜸愵㈱㥦㌲搳㤰ㄷ搹ㄹ愵〷㉦扥㝥搴昴㍥ㅣ收捡昵㘹㙥㠹ㅢ㤷搳挳㔷㙦ㄶ㥤〱〷捤㠱昴㠶㜴㙥㈰㥥㥤㑣攸搳昳㑣㍢㜲挱㠴㤱挲㘱㐱〶㘷〶㈵戸昴攴愴ㄱ㤳收㘸㝡㉡ㄳ㌵㠶〷㡥㠴挳〴戰〳搳慣捥ㄱ扣〲攱攰晣攳㄰敥〲昳㑢敦㠲㡦㕥敤㔲㌷愷㑢㝦㉡愸敡ㄴ㐴つ〵㡥㡥挵㜳〹愳搶㔴昹㉡敥㌷挱㐵㥣挰挴㙡捣戱〹昸晢〶㠲收摡㑣㍣㤶㠸愷っ㑥〶搴㝦㥥㔵慤㌷戶攲戴㘵㔳㍡ㅢ攷ㅤ㠶愰㌹㤶搱㔳搹㐹㍡㡥愳搳㐷ㄷ愵搴㔶攸㌳晢攲愹㉣㥡㔱㈷昹㡣㌷㤸愳ㄳ改换㜱敤㘸㉡㤹㕡慢㑦㘶㡦㠸㔹ㄱ㥣ㄶㄵ搴搴〸慦昰㝡㠵摦敢㍦搸昹搱㕥㐱㘵昳慣〳搶㐶慣搳㕣㈶ㅥ㤹㈲挳㔴ㅢ慤㠰搵〴㙡づ㍤扥㈱挴㘶㔱㠱愹〸摢㘷㘰㍣摦㘱㕦㡢㡥挹㉢ㅥ㌵攴敦㜲㔱昹㤵慦戲捣㙢〰攷慣摤㍣㕣㌸昹㍣愴摢㔶㍥㥥愲㤴㉡ㄶ愵㉢㉦㝦搰㌴ㅦ挴昵搶ㄲ㈲㡥㉢ち㑦㈶㔶〲㔳愵换㌲㘰㉡ㅡ慥搰晡㐲㜴〸㘷ㄵ㜵收㝡㍤㘲㈴愰㐲㈶昵㕣扤㤵愰㌹㠰摢㌸㔹㍢慦㍦㥤㑣敡㕣㜲㕣慥愳㔱㍤㘱昸捤摥愹㕣晡扣㜸㑡㥡〰㙡㕤摡㈸㝤〷㔰晡づ㠵慡㌳㐷㜸昴慡攲慣㉢扤㔵捦挴㜳ㄳ挹㜸搴捦〴㡦㐷㡦㠸戵ち昹愱ㄴ㍣㌰㤴挱㤱㈵愵㡡慤愵攲㘱扡㥢愱㘶㤳㜵㥣㝥慣㘸慦搰昰㈷づ搲愵〹挹愳㜶ㅢ戹〷戵昹扣〰ㄴ㐵㉡扣敢㕣㌰㝣昷㙡㘰㤴㜰ㄲ㍣㔸㘳戶摣㙢㐷㤸愸㍥〷㘰搶㘳ㅢ摥〴〹慣㑦敢戱㈱㌸ㅦ搲㤹ㅡ晢㜶愰ㅦ㔳㑢㔱㤳〹昱㈰㡤ㄷ㔳㜰收扢㍤ㅥ㌳㌲㝥㈲㐶愱慣㔷昳〸㑥戳收㤰扣昱昸㝣戵晥㑡㙤つ㍢㜵㌵搹攷ㄱ敥㡢㤰挳㘵昵扦㜵㝥搷㥡攵散㔵㐰㙤㔱㍦㐵㔴敥〳㄰㍣愲攳㜸㑡〸㕥㈷挱ㅢ〰扥昵〰愵㜳㔳㝣愶㠵㤳㉦〹愲㙡㍡㘳慢改㠴昵㍢捥㔷㥦ㅡ㐸慤换搹慡㔹㑥㔶㍦捡㈰㤶捣㙡愳㔸攵㐶㉣㘰挹㔷㥡㉡㥣づ慦户ㅡ㔳慤㤵㝡㠵捡㥡㘵ㄵ愳㠶㍡㜷ㄳ昴ㄳ㙡㍦〳㔸挰㠷〵昵攳攲㘷搱㔵戵㔲捤ㄱ晡挵㕢㈰昷〴挴㈶㐰㠷〷㍣㝥戲㤹昴㜳㐴攵摢〰㠲挷㈳搴〴㕣晢㤶戸〸㐹敥㕤ㅥ敤ㅤ㠰戹捡㑡挱㔳ㄴ捡㑢昹㉥㠰戸ㄸ㠰㘲㈸扦㉣㝦㠱昸㠱㤷攵㌸㑢攰㈳㝦㘹㐷㤸㄰㤷〰㌸挳㔸㡥戸㍤㡣㕦㈱㉡㝦つ㈰昴捡〴扦㈱挱㙦㐹㄰〱攰㝣㙢敦〱捣慦挰㐷㕣㥢慢挰挶晦〱㌵搸㘸〲㍡敤扢搸昸㝢愰攵ㅦ〰〴捦てㅣ〲㐴㥤づ晥ㄱ㔱昹㈷〰㌱〹㔰㠱㘰㍦〹㌸㘰㤱㜵ㄱ摣〹㐴㈰㜰㉣昳戸㘶愴㤷〴㔷扢〸㄰㜵㥡愸㈲〱敦つ㡢㥤㤵〹㝣㈴搰㐸㜰㥤㡢㘰㍥〴㠴摤㐴つ〹晣〰㍥㍡ㄵ㘶搹㌶㘰㙥戹㕣㑦昵㈰搶捣捤愹㜸づㄲ㥤っㅤ㡡攷戰㌶敢㑣〰㐴㤵㡦攸〴㈵改㕤㠵㔶攴㌵挸㤳换戳㡡㔴捡㤳捡昳摤㍡㘶㔳㠵㙣㑢晢㜴㈹㥤〷㈲㔲㕡㘸㠵㍥ㅥ㐹㙡愹戰㝣〶戶㘶㍡敢戵挸〲摦愹㔹ㅣ㠲ㄲ㙢搹㘲㌲㠰㌵㠱戵㐹㝤㔶搶㈲㑥㥤昶戳〷㕣㈲㉥㠷㈳〵㜲㠰㝡慤㠵ぢ摡ㅥ敤攱㔴ㄶ㍢㐳挰㑥㘱摦慦户愳ㅢ愷㜲㐵㌹晡㡥㜹㜶づづ愱㌷愶愰慤㐵昵㑣散〸搹敡㌱㌶㑢㈳㔵扢昶㐱㕡ぢ愸㠴挱戵㐱㠳换攴昳つ挰扥ㅦ㕦㙤〳攸㠳㘴㜵摥㠵敢㘷㡡搷愰搵っ㔸搷愰㤵搹戶挹㠰捤㠵㕢攱〹㘳㥥㉡㤰㑦慡㉤㑤㥡扤㤱㉣㑣㠰ㅣ昵㍢㍢愶ㅥ㜲㘹㡥ㄸ扣ㅥ扤摤㠰㍡㘶挷㌶㐵㜳㌸㤹挸㔷挰㡢㘱㐷捥散㠰㈳搵昶っ〹㌵㐷摡㉣戲慤㜸㄰㝣㝥づ㜲㐶昱㥣㤸㉡扣扤㐶㝣攱ㄶ㠶晢搶㜸㥣〸攷ㄶ㤳㝢㈳慡㥦挵慡㠰㥣㜵㍢搶昹ㄴ捤㜳捥㝢㉣改愶〴㔷㥤㠳愳改ㄱ愴㠹㤸挹攱昶㈴慦散㌶昰戱㐹㐰㌷换挵愱㘵㈷愶敢捤攱㔴㌴㌱ㄵ㌳㤴㡡敥挸㙢愵愹ㅦㄱ昳愵摥㝢戱收㙡ㄶ扥搸㑣ㄹ挶换㉦捥㙤扡㠳户搳㘵ㅤ㘶㑡〹㍡搴ㄱ㤰昵戶㝣扢〹捣㝥摦愷ㄸ〱ㄴ㍡扡㜰〶愷摥戳㠰㔸㉢㐳㔱㥥搱ㄵ㥤㍦〸㔱㑦㥣㡢㙣㝤㝡㝤㥡㜶扥ぢ戵㉥㙥愱㡥㠸㜹挲㌸㉤愱㠷㔳晥㠳昵㤰㝣晣搵㤷摥扣昰㑢㑤扤扤て晦攴挲慡攷㤶昷收㥦ㄶ㑢昲㠹捦愱つ愵㝤㉡㙦㌰㌷㈰てつ㜲㙦挱㉡ㄷ㍣挴㔰㥡㘶〸㤹攲㘶愴㉣㑤搳㥡㑦㜹㌴戰戳㙡㥡㜲㥥㌵摢㠲㈷ㅦ㠸攲㍤てㄶ㐱㠴ㅦ挱愳㡥ち扡摡㝣搰挸〵〰㠲挷㈰ㄵ〸㡥㈵挱㜱慣㠹摥昰㔲㘱㌳愳㘳扦ち挴戸〵〸〳挱㥦愴愱㠴㐷㔵挳敤㍦ㅣ㕣挰搸搲㙡晤户㈳㕦ㅥ㡦㙡㕦㜸晥㜹㍡㈶㍤攲㑥〰愷㝤㤷㍡㝡〲摢㕦〸㈰敥〷㐱愹㔶晦㈰㜰㡡慦摡〷㐰㌲㘷慤㥥扥㙦挵敢ㄳ㔹昱挳㐸ㄵ㘹昵㈷〳㍢㉢慦㈹昰挴愳㈸〶㐲㡦㙣㘴㈵㜶㐲㍣㠶㠸㌳㡣攵㠸摢㕡晤㈲㄰挸㔳㐸昸㜸㘵㠲挵㈴㘸㈲〱ㅤ散㑡慢㕦㠲㔴㐵敢愸㠲㕦ㅤ摡捣㔲㤰㐳慤晦㥡慢㝥ㄷㅦ㤷戱晥㔳㔹晦㌳㉥〲㐴㥤ㅥ㉥㈷挱ちㄲ㍣㕢㤹攰㌴ㄲ㥣㑥〲㍡戱㥤㌱晥ㅡ〸㕢攷㙥㈶挱ㄹ㈴昸愱㡢〰㔱愷㠹ㄶㄲ㠴㐹㐰敦戳㔳㠳㡢愰㤵〴㙤㈴愰㐷搹㈱ㄸ㔳㌵㈸换愱㥤〴ㅤ㈴㜸ㄵ㐸㝣㝢㘴㈷㔳㜶挲㐷㌷㐱愹昵㕢收㤹愰㍢〳㡡ㅡ㝣ㄴ愳戹改〴晣㐲㡣搲ㅡ戶㘲㕣慥㔶㌶㙣昴㜴〶㘲扣扡昴㌴㌷㕦戶て㔵搵ㅥ㔳㜲攵㕡ㄵ㘳捥㙢昸昸扥昷愷昲㙢挵昹昲散㜸攱晥㈵换㌰㘸㕤挰ㅦ㜳㕥㍣㥡㐹㘷搳㘶慥㜱ㄴ㍥捦㐶㕥㘱㠷挹搶搲敢晢づ㙡慣搸㈶〷㔶㥤挲㐰㝣摢㜹愵㌳戰㉤㤵扥㍣愵㝡攳换昲㈶㍦㕢㤳㌵㌵㙣㈶㠰㡦ち㡢挱扣搰㕥㐴㐳昸挸㔵㈰〹㌶㠴㝥㡡戸ㄷㅦ敤㑣愴㤷昴昷昵㡦㡣㐷㔷戶㐴捤㔸㕢㜷㕢㑢昷捡昶搶㤵㐶㜷㘴㘵㜷戴㜳㘵㑢愷㙥挶挲扡愹㙢㘷攵㐹㍢愲挶捡戶㐸㙢㑢㕢㔷戸扢扤㔳搷扢愳㝡愷搱慥敢㥤摤㐶㈴摡搵戲㌲戴捦慥㕥慥㐶ㄹ㜹㌶㐰㠸づっ戶㈸搷㄰搵㐳ㄴ摤ㄹち㤵愷昲扤〵搴㕣扤っ㘴㠶㜳㤳慤扡愶愶捣挸㈸昳㑥攴㉦昹㙡ㅡ㥤ㄳ扥愷挱收搲敢㠵㤵ぢ愱户慥㔹㘴㘱㡡㍦㌹挰愱っ〲〴㐲昴㑤㄰愷つ㈱㜹㔴㝦摦㜸昱㥢㡣摡㕡愰敢㠰㔶㝢攷〸敥昶㙢敢㠰愹〷挶攵㡤つ扤敤搴㍣㡣㑣昵㤲㥦㝡摤㑦扣ぢ㍣㌰戸〹っ挸㠸晡晣〲ㄱ㍥て攲〹っ㠴慢㄰㜱㕣敤㐵摥㡣㑢㑢㍣〶㌲㉥慦攲攵㐱户㠵㕡ㅥ㥢㔰ㄸ换㠳㉥ち戵㍣捥㐷摡㕡ㅥ慤敤㉤㙤㥤㥤攱戶㌶㌳㠲㌹敦㡡㐶㑣愳㉤搲㘱挴㈲攱戰㘹㜴戵㜴㙡㈳㜹搲捥㡥㌶戳搵㘸㌷㍢㕢捣㐸㝢㜷㘷㤷扥㌲摡搱搹搲ㄵ敥㡣戴户㐶愳慤㉢㐳㜴㝥愸㠹ㅦ㐵ㄹ㌹〶㄰愲捦㐳愱㌶ㄳ戵㠵愸摦㍡愸㍣㤵愰㘳㠳㑢㐴摣㡢㈱㜰晡搴㌴㝣㤸㐵㉥〲〸㠴攸摢㔰㌸㑥㠳㈴搳㈵昹ㅣ愲扢㐳攱挷㠹攲敤㔸昵㉥㘲㠸慥づ㠶㄰摤ㅤっ㈱挵㐴㐶ㄴ㡦ㄹ愱㌳〳㝢㥡㐷㡢戰㈶捣㔸㤱挵慦㐵㠱つ㡥㕢晥㌲㌵扢㔹㉤〶㔴挹搴㙡㝣㌶㠳㙡〱㘴㝡㘳戱っ㑥晦㌵ㄳ愸ち㑢㘵㉢搰挵㑢㘵〲㤸㕡扥愰〴㍦ㅥㄷ㜱㠸慥ㄵ㜶挹㑦㈵昰㐴昶敤㔲㘰捥㕥㝡搱㈲㝡㈱敤戳㤴捡㌷㥣昷㝤晤扡㍤㑦敥㙡㌵戲慤敡㤲昲挵㝣㈳㈵戱㜴搱㔸晢㑡戹つ㜵愸㌷晥晣㝥挴㍣㈱㍡㘹ㄸ㐲㤰㤰㔶挴攷㐴㌴㈷㔲㠳〸㝢㈲挹ㅣ㐹㕥㐸㡥㕥㜲戸㤲〳㤴ㅣ㡥攴〸㐲慣㌵摦敢挵㈸愴㑤〱㜳㐸扤㙥㙤㤵摢㔹㝦ㄳ㙡戳㝡敤愳晤㕦晡㔴扢㑥ㄱ㕣㝥ㅥ昶㈵攴㜲〲㈹昹㜰㤴㘹㕦〸摦〸㙢㈴㐷搴㤱愰挳㔶㕢㌶攱〱㐵愳ㅡ挲㐵ㄷ㔳㐲㤵昲愰㔸戲搹㘳㔳敦㍣ㅣ㥣捤ㄸ昰㕤㡦〷㜰㙥慤㘰㑡㉡挸捦㠰㥣㐶〶㌵㉤晡㘹㐸㈳慦㈰戴㠳㡦戶捥摣つ㉢㤶㥣㔷㜰扡昳㜸㘵㐵〲㌶收ㅣ㑥戳慥㐴㔹㐱㕢㡡㜵挸慢〰㈹㡡昸ㄱ㑡㔷㈷昶愳㜶㌶愵㠸愰慥慥㈴敦戵㘰㐱㕥昲昲㤸㘲㘶挹扢ㄳ愴㘵㤲㔷㔰愷挷扦㐷㕥〳愸㈱挲㑦㠸㡡扤㤲挷搷㈲㈲慦㈳昸㉢㠲扦㈶昸㌸㐰戰㌶㌴ㅦ㕦っ㈱㉡昷㉡㐲㑤㕥㐵愸捤㌳㌴㔰晦愶愴㘷愵㠷㌵㠴愸戵㔷ㄲ戴㔴攴ㄵ晥㔳㠸愸㔷㑢搵㑢愶㐲改攱攸㠲晣㌴昰昸户㍥搴挳ㄵㅦ㌳㉥㍥㑡敥㘰搴㠳挴㘴㈵㤶㠵ㅡ㤱慤㤸㜳〳㈲搸慣愸㜹㜳慥戴ㅢㄱ戱㌶慢㐸㕢㙢㌷戶㥣㌶戳㙢愵搱摥ㅤ㙤敤敥㙥㌳㍡扡愰愸㐴㍡扢扢㍢㡣戰㜶㔳㥥㌴ㅣ㠹ㄸ㉤敤攱㜰㝢㘷㜷㕢㝢㘷㑢㘷㔷㜷㔷㘷慣扤㉤㘶戴ㅢ搱慥戶㔶㍤㜴㡡㕤扤晣㝢㐴攴攷〰㐲㡢ㅤ㔴㘱戳㙡㜲㔰㜹㉡戱ㄴ㈸戵㔹㤹ㄸ㐶㝥戳扡ㄵ㔸㜹ㅢ㐰㈰戴っ戰ㄲて愹挴㉢晣㉥搲㠶㌱㌴昵づ㙤㠸ち㍣㐳㠸㑡扣㡡㔰㘳㔷ㄱ㙡敤㉡㐲ㄵ㝤慥昲㤸㥡㝣㕥ㅥ昳㉡㡤昶〰㌰㠷㈴㡦摢㕢攵㠳愸㐳扤愲㙢敦㈲戴〹㔴搷㘸ㄷ愸〸㡤〰ㄵ㘹㜳㈲敤㠸戰㈷摡挳㠸㤴㙦戱㡦〰㕢戲挵㍥ち㔴改ㄶ晢ㄸ挹㡡户搸挷㠱慡戰挵㍥〱㜴昱ㄶ晢ㄵ㘰㡡戶搸づ㈰昲捣㌹㡢㝤晢㉡㌰慢て㘵㡢㙤㤵㕦㐳ㄵ敡慤㘳㥢㌷㥤㐸慢愵晣㈴㈲挱〶ㅦ戵昳㌳㘷扥㡤敡㔲ㄵ㔷挰慤㔴昴㤶敡㈰摥㍡㥤收㘳㔰㠵ㄳ㑢敢㥣慦摡扢敡攰敡攲㉥㔲㠷慡昸昱つ㘱昵ㅥ㐲㍤ㄸ㤱㑢昴戳挶㤳昱㤱㕦〷摥㐷扤扦愲摢㙡戶摦收愰㉣㥢㥦ㅣ捥㐲㠹挶㔵捥戱㜴㙦晥〷㐲㡥㜲㤴敢ㄵ捥换㤳㑢ちㄸ挷㉢散ㄴ摢㤸挹㤷挳换㠸㌰愶㤰戱㠲慦㕡捥㉦愴㕣攷愴ぢぢ㔸ㅣ〴挰㐵㘹挴㥣ㅡ戳㌸㉣慣昶㔶㤵摤㠹㔴㑡㠷晤㔳㈰㍣ㄸ㘵㙤㜸㌱㜸㌸㔶㡦ㄱ㉣慣㜰㑡摣ㄷ捦愹㕢ㄶ㜴㥤ち㜹㈶㤸愳㍤㑤戰扡㘹㑢㔳戸挵搷㠷㠹㈸㜵捦捣搸〶捡戹搸捥ㄶ㈹㔱〲昲㥢挸㄰㌴挸挸㝢㈱㘹搳㘹捦ㄲ慣㙥ㅡ㐴㈳攲㙣㌴挲㠶戸㤲〲昲㥦㐹戴〶㠰㈸㔶㈰㝡散〴昳ㅢ〶㤰愰敦愹㘴㝢㜱慥㤳㜹㝡㤰㠷攰敦㔱㕦㥥㔰㑦挳愰㔳攲㘲戱攸挶㕥摦㉢㔷㤷摥扥戴㝣捥㍦㕥㜳慢敤㠴ㄶ戴㠴㡥㐱昹搲户挹扡搱愳㡡㤷㈷扢散㡣搲㤷敢㐲戴㥤搴挳昶㍤㐴㠲つ㠲戶づㅦ㌸搱㠹ㄲ㕣攵㙡㘱㝥㥦㤸㔱〰㡢㐱㌴㠰戴ㄷ〰㝣㥣㠵づ搱ち㍡㠷ㄹ〱昹〳ㄲ㡦攵㠹㐷㐸晣愲㐵㍣〸攲㘶㥢搸㘲收㡦㐸捣ㅤ挳㈹㉦戶搸〹挵捣て戳ㅣ〶㍡㜷㘶㕥攴㤴㤸㠹㤹㡡敤㍢㠷㝡ㅥ戸㥦㈱搰㈳挶㔱愲ㄲ㌳㑦㐵㐷㉢㌲㜳㤹㥤㔱晡㙡㥥搸㔶㔴搳㤵㥣愰㉤〰愲㘹愶㥡ㄶ摢ㄹ㘵敦摢㙣㥦愱愶㤳㘷慡改㈴㍢愳昴挵ㄵ㐱㙤ㄲ晦ㅥ昹ㄳ㍢挲㐴攸ち㐲〴㜱愵㡤㤵㝢ㅣっ戰㈱㙡㝢㙡㔵散㐵㐴晥ㄴ㈰㔸ㅦ晡愸㠳摣挷㜴㐳㠸捡㤹㈲㝡ㅤㄱ昹〶挱捦〸摥㈴㜸㡢攰攷〰挱㠰愰扥愶搶搴搱攸㈴搷搴㐹㘸〳㔶㥡愰づ愷㌲㡥戲㌳昸㐸晡敤戹㝥㙦扦愰㝡愷昲㐳㜶㍥㡦挶㕣昹搴晣㔴㝥㠳㥤扦戰㌸㥦㑡愱捡慦户昳搵㘲晥㈵戰㠲㥡㔸㘱搲敦㐱㌹㙢慡㈴㈸㉢㑥扡摦捥㈸扤㝥ㅣ愲敥愶搸昰㍢㐴昰〴摤㠰㉦搵愸收㙥昴昷挰ち慡㐱搶ㄳ㐴慤㑣晢㈳㠰㝡㠲扡㠵ㄷ戴捥ㄳ㄰㤰晢㐹㑣愵捡㈲扥㠹挴〲捦〳㠸〷㥢扡挵㥦晥攸ㄶ㐷㔵挸㘸戸㤵㔵㘱㄰㜳㝦㑥愸㙤愹ㄲ戳㍥㈷㄰㑦愸ㄵ攱摤㌵㠲㡡㔷㠱㘵㥢㠱戴㔸昶㍢㜴愷㈲换摥戳㌳捡㙥㈸㔳ㅢ㉡搴㔴㜸㑥㝥㌵㔳㑤扦戴㌳捡㉥晢㔲㜷愸㔴搳㍢㌳搵昴戶㥤㔱㜶㠷㤶捡挶㠱敥搰扡㝥攷㠳㉢搱㘷搲㝤㕡㙢㕡㘸敡〷敡㈰㍣愱㝣㡦㜵戸昲㤶挱㉦㙤慣挷捤㑥㕣㜴挳㙦㘴搹捥㉦摣昸攴〱㠱㜳愹㑡慡ㄴぢ㙢收挶っ㙥㔹搵㤸挳㔹㌸㔳㘲㝥晣㔲㐰づ㉦㡤愵㡥〴㔳ㅢ摥攰㙡ち㘴散㤸晣㜵づ㙦㐵㐷㙣ㅦ戲㉢敥挵敡〲㐹㜳㠱ㅦ捥㤱㥦㤷㌷攵づ捥搰搶收愱㍢捥挹㐷捣㜵昷戳㕡扣㠵㈹戶㙣捡㥤ㅥ摢㜱攵昵㐸摥㤲搱ㄶ〰㔴攱㤵㜷㈵ㄱ〱〲昲㔸㘰慣扢㜶扣㌲攴昱㝤㥤ぢ慡挴戳㑤搷昸㄰攸㍣㈵㍦㠳㔱㕢摢挷㌲㜶愸愶ㄶ㌱㥢〶㐳㔵愱㈶㌹慥昳昷晦晣挹昱㠴㤱摡㥡㥢挸晦收ㅦ搴㙡扣㄰㈲㡦㐷㍢㙣㡡ㅦ㐱㑤㠳戵捡ㄳ摣㔸敥搴㕣慤摡㐲㘰㉢戳㘰㑦㐵ㄶ㥣〸㝡敤㈴㠰㘲ㄶ㥣っ㡣㡢〵㠲㥢㍤搹攰〴挱つ㕤㜵㘳ㄱ㈸昱㙦㜵㡥㍢户挲㥥攲挲㠶戸换㔴㠳㐴㉥〶㌶㔸ㄵ攲戶㐲改ㄸっ〹敥㈵㑡㌰晥㈷㝡挷㙤㘰〱昰㜰㝦〹敥㉦㉡攳㍦散っㅥ㝡昸晤戸敤扥㕦㜰慦㔱㠳晤㈰敡㉢扣搴戴㥤捡㘹搶㉢㝥散っ昴捤搶攳ぢ㜳扤っ戴摡愹〰㝣慤㠴㠲ㄳ扣挴㕣㉦㐷捣㍤㔰敥㕢慡摤㤷敤㜶㤵㌶㈸戸㤳㈹昴㡦㙣昴㔱㈸ㅦ㄰摣摢ㄴ晡㈵ㅢ捤敥〷〴㜷㍢㠵㝥搱㐶戳昳〱挱晤㑦愱㝦㘸愳㤷㈹㌴㜷㐴㠵晥㠱㡤㍥㔵愱戹㈵㤱攵昷慤㜹愳攷㘳㍤㥦敡ㄵ摣㑢搴戰㕢搱攷捡㜳晣〲㙡㈸㕦收敤愰搷㍡〰㡡攷戸戳㘴攸扦户ㅢ㐴敢㉡㠸晤㐰愸搹散〲㈵晥慤㌹收摥愲戰摤㉥慣㡦㡦搲㥣㥦㜳搴㝢戰ㅥ愸㔵㘸㐷昰〱㘵ㅤ昲㑣㔷ㄷㅡ昸㤸㄰敢攷㤴㌵昰昱挸愷〴㤷㌹扢㈸捦㈲㥡慢㕢㤵㕦㡤〸晥搵愷㠱㉢㌹㕦愲㠱㉢㌸㥦ㄲ㕣戹㙡㡥㥥戳攷㘸つ㥢㕦㐳ㅡ㉥㉣㔵㜵て㔳㕣㑦慡敡㕥㐴晣散つ㍥㠲㌳愰㘸晡㤸㑤挶㉢㥡㝥㐴昰㙦㌵㑦㈶攷ㅢ㙣㈰㜳昳㈹愱㐶捤ㄶ〷㐸㙥㠷㄰㐷慦戴㡣㐱㐴㈴愵㔱戰㕥愸〱㠲㐲慥㜵㤳㜲愰㡡㜴ㅤ㐹㠷ㄵ㘹〳扢㝦〱㐸扤㍢㐴昴㤲搸㈵㤷扣搷㔰摤㜸㐲昵㠷㝡敡㙥㜹攵㕦㕦扢昱攵㡦慣摥昷㠷摢㙥㝢㜹捦㡤捦晦攱愹挸敡敦摣㜵搷户捥戹攳昹搷㡥㌶㜷㜹扦晡摥晡㕤㔷㠵户㕤㜵㤹戹㜹昹摡慢㉥扣昴晣昰愶愳㔶㔴㔵搵搴㉣㥤昷摤攳㤶㠵㜶㕥戶㕢㍣晢攳㘳㔳㐲㜱㠴㝤㌹〷㉤㌱㔰昳つ㤱㌳慡㉦攷㈲㈲搷ㄳ㥣㐷戰㠱㘰㈳挱㈶㠲昳〹㐶〰㠲㝥愱搸㠶戲㜲ㄴ㘹㈷㠴挸㍥㔵搱ㄸ㐹㌷㤳戴㍥㐴づㄱ〹攱㐲戶愸㐹扢摦㥥㌴㐵㝣〱戰㠲捣㔲㔹㕦戶戳晡㔰〴㜲㈷㐴慥搹挵挹㉡㐵㜳慦扢昸㠷㠱ㄵ㘴愰捡晡㔲㐹㜱づ搴㉥捥搱㈹㥡扢摤挵㉦㘶㜱㡥㔹㘵摤㘵㘷㔹㐲㠶㕣㔰攸㍢㙤戴㈵㘴挸ㄷ㠵摥㘵愳㉤㈱㐳㑥㈹昴ㅤ㌶摡ㄲ㌲攴㥤㐲㝦搱㐶㕢㐲㠶摣㔴攸摢㙤戴㈵㘴挸㕦㠵扥捤㐶昷搹㝣㈰愳敤㠱㤰扢㡡收㔶㥢㐶戱㔱昱㠱㍣㔷㔹户ㄴㄷㄷ㘴㌲ㄷ㝣㐰㤰捥㡡㜱攸㡣挹〹〰愱〰ㅡ㤳㜱愴㥣㄰㘲挲㙡戶昶㝦〱搳㤴て晤</t>
    <phoneticPr fontId="10" type="noConversion"/>
  </si>
  <si>
    <t>㜸〱敤㝤〹㥣ㄴ挵昹昶搶戲摢㙣つ㉣㍢㡡㈰㉡㉡攸慡㈰扡㤹㙢㘷㘶㔱攴㐶㐰㤴搳㌳㌱㌸㐷て慣敥㠱扢ぢ㠲㈷愸㌱㜸㈴ㅥ㌱㕥㐱㠳挶㍢摥㐱㈵ㅥ㠹㐶攳ㄵ昵慦挶㤸愸搱愰挱㌳摥ㅡ敦挴敦㜹摥慥㥥改㤹改㔹挰㤸敦昳晢晤晥捤捥㑢搷晢㍥昵㔶昵㔳搵搵搵搵敦昴㔴愹慡慡慡慦戰昱㝦㙥㌵摣ㄹ㍡㜷㔹㜷㡦摤摥㌴戱戳慤捤捥昴戴㜶㜶㜴㌷㡤敦敡㑡㉤㥢搱摡摤搳〷〰㙢㝥㉢散摤戵昳扢㕢㡦戶敢收㉦戱扢扡〱慡慤慡慡慢搳搵戰㙦㘵㍥㐱㌷愱㤹㑢搷㔰〰㔵愵㉤㡡扥ㄴ㜵ㄴ㥡㈲㐰搱㡦愲㍦㐵㍤挵〰㡡〶㡡㈰挵㘶ㄴ㥢㔳っ愴搸㠲㘲㄰挵㘰㡡㉤㈹㠶㔰戰㝣扤㌵挵㌶㄰晤㠷㐲捣㥢㌸㘱㘶晡㜰ㅣ捤摣㥥捥㉥㝢户㘱〷㌸㜵ㅥㄳづ㌷㠵㥢㈲搱㤶㜰㔳㘸户㘱ㄳㄷ户昵㉣敥戲挷㜴搸㡢㝢扡㔲㙤扢つ㥢戵㌸摤搶㥡搹挷㕥㌶慦昳〸扢㘳㡣㥤づ㐵搳愹㔸㌲ㅣ㙢㙥捥戵戴㈴晢㙦ぢ捦晢㑤㥣㌰慢换捥㜵㝦㔳㍥户愳捦㤹ㄳ㈷㌴敤㘷昷㝣㔳㍥户㠷㑦戸㥣搴搹㥥㙡敤昸㠶㥣搶戲㑤挳㤳散㑣㉢ㅢ摦戶扢㕡㍢ㄶ㌴愱摡㐵㐴㈳㤵㘸〲收㠰㔴搷㐴扢慤㙤㡥㥤㘳㠳て㘸摦扦摢㥥戸戸扢愷戳㝤扦㔴扢摤扦㥤〴摡㕤㜶㐷挶敥ㅥ搰㍥㜹㘹挶㙥㌳攸敥扡㜶㘴㈵愸㠶㍢つ敤㑥㈳㑥换摡ㅤ㍤慤㍤换敡改㘸㑥慡㘳㠱㑤㐸㙤晢摥㡢㕢戳㔵㌵㌵慡愶愶慡㡦摡挹慦㙥搲㔴愶㐶戲捦㈶摣愸愳㈸慡ㄶ扢搴㡥㈵晥搹㘶㌳ㄷ昵散㘳㜷㜵搸㙤愶〸㌶收愸ㄲ㥣㜰攴㌴㐵㥥㉣昷㠰搸㔰慡㥦㌹晦㜸㌴㉣㐸改㘱㤰㝡㌸㠴戵〳㐴扦㌹㜳收扢㍥昵㡥㌴㌵㐲愸㥡攷㜱㈲㝢昳昲㘴慡㥥㥦慡㥥㥦慥㥥㥦愹㥥㥦慤㥥㙦㔷捦捦㔵捦㕦㔰㍤㝦㘱昵晣搶敡昹㠷㔷捦㍦〲ㄸ㜷慢敢摢户摡㙣㘷㍣搳敦㑡ㄵ㝡㝦收捦慦ㅡ戹搳㕥愷っ昸戲㤶攷㙥戳㕢㘸㙦㡤㍤扥扢㝢㜱晢㈲づㅡ㥥〶搷敤㤳扡㝢㘶愵扡摡扢扦搹戶㐶㐳㑢㕢敦攲㔷㌳愷愹挷㜷户㑦㕣㤸敡敡昹てㅢ㝢㔸㐹〹㙣散戹慤敤愶戱㔱挸㌷搲搲搶捥愰㜹挴㝥㥤㕤敤ㄸ㝤昶戵㔳ㅤ㘳㈲愱摤收昶㘴㈷搹㑢挶㠴㥢攲挵㕢㐲敦〲戴ㅥ〱㘱㡤㠴ㄸ搰摤摡扥戸㉤㐵敡㐷挷㐲愳昵慥戴㡥㠲㔰敡㘹昴っ昶㡥扤㡥改㍢晣㤶搹㈷㑣㔹晢搶㤹慦扤昵攷昸攳戵ㅣ㡤愳㈵㠷收㝢づ㑦挱愸㤹㐹㜵昷㤸㐶攵搸晤捤㌶攵㠶㕢㜲㑡㔷收扦摦㤲㈸攴ㅢ㘹㐹扤㍢搹㙦㠲戰扥〳㔱㌳㘶㝣㜳㔲㠷愸ぢ㐳㈸昵戸㘹㤱㈱捤昷㐶敥㕥搰㝦挶㡤捦㑤㜸攷㥡㑢昵㌲挵㑢㈳㑦㌶㉢ち㌱捡摢ㄵ㐲㑤㠹㘶户㌳㠴㥡㐲攱攲摥㤰搴㌱㘴搰捤捣ㅡ㠷昰昶㠶㘴㜸戴㑥搰㥡㠴㔰敡㐱㔳昶慡㜷㘷㥦戸晢ㅢ㕦㑣晦挵戶晤㡥㝥㙢扢㠷摦㔰㙣㔵㈹㝢㌴㜶㐶㝡换㡥㌴ㄷ晡㘱扣愴㈳㈶昵ㅥ昴扤㈷㠴㌵〶挲㕢㜲〴㈵敦㐵敢㔸〸愵敥㌱㈵㙦㌳昸昰摤㍥ㅢ㍣㘳晣㠵户㙦㜵散㑢挷㍦㝥㤷攲㔵㐱㑡ㅥ㡦㥤摤扣㈵㠷㥡㥡㝢㌹敡㜸㔴㑦愰晢㠹㄰搶㈴〸㙦攱戱挸㘸㍤㤹搶㈹㄰㑡晤摡ㄴ扥㜲挱〳户摦晢搹愵搳㉦ㅣ戱挷敡㐱昷扦扥戳攲昴㐳ち㥦㡡㥤㔱昳扡㕡㜱㐱挱㠹搴戵摢扥慤ㅤ㘳愲戱㔰㘸户ㄹ慤㐷搸㙤慤㜶㜷捦ㄸ愴㐲扢敤㥢㕡㍡㈶ㄶて㠵昴㌴㝡㥦づ㘱敤㐳ㅦ攳愷㐶㘲㝡〶㜵晢㐲㈸㜵㡢㈹㜱晣扦昵㥣捥㉦挷㑥㕤㌱昹挴挱慦て晥㘲て挵戹㡥㤴㌸ㄳ㍢㥢㔴攲㉣㝡㥦つ㘱捤愱㡦昱㔳挳㈱㍤㤷扡㜹㄰㑡晤搲㤴昸愳㙢晦攷昰扦㐶慢愷㥤晢换搷晥㔵㍢㝦㤷㥤ㄵ慦〵㔲攲〱搸搹搲㑢㜰戸搰戲晡㐰㝡㍡〸挲㍡ㄸ愲摥㌳愰㈴㐶敢㐳㘸晣㉥㠴㔲㤷㥢㘲慥扣㘰㠷㤱㔷慣晤捤戴搳摦晥晣搵挳ㅦ㍢昹户㡡㔳㌷㈹收㔰散㡣㉣愱㌲㔱挴㘴搲㄰ㄹ〶愳晡晢昴㍤ㅦ挲㍡っ愲捦昸愹㌱㥤愲㉡つ愱搴挵愶戸㍦㙥㝦㝡搵散㕡㌵攱敡㔷敥扤㜱攸ㄳ㜷摣慤㌸㐹㤴攲戲搸搹捡㝢㔴㔱㜸㌷〳㘷㜳㐸摢昴㤵㠳戰ㄶ㐰㜸晢㐸戸㘵戴㕥㐸㙢㉢㠴㔲攷㤹㤲敥㕣㜵攱㥥㑢搲㤷㑦㕤扤攳摥㔵㍦㍤晦昰㥤ㄴ㘷愲㔲ㄲ㉦㤸㐵愷〶敡敦㤶ㄴ㙤㡡ㄶ㙦捤扡㡤扥摢㈱慣づ〸㙦挹㤱收搱扡㤳搶㐵㄰㑡㥤㘹㑡㍥攸㠸㔹挷づつ㉣㤹㝡敢戰攷㉥㌹昰愴㈳㑦㔵㥣晥㑡挹㕤搸㈹ㄹ㄰㤲㐹户㘸扦〱愱㥢摥㝢㈰慣挵㄰摥戲愳搱搱㝡〹慤㐷㐱㈸戵搲㤴㍤慢晦㉦㐲て昷ㄹ㌸晤攴ㅤㄷ攴㙥晣敡㠷攷㉢捥扡愵散㘵搸㈹扡㉥㐵昳㈷愵捦㐱ㅦ㑤搷挷㐰㔸挷㐲㜸ぢづ攳愰㡦愳昵㜸〸愵㔶㤸㠲㍦摣㙦㔵㔷晣搳㐷㘶晣㜸捡㡡㜱㑤挷晤敥㈹挵㤹扥ㄴ扣ㅣ㍢㐵〵挷㝡㉢㜸〵搰晡㐴〸敢㈴〸㙦晦㡤㡤搶㈷搳昸〳〸愵㡥㌶攵ㅥ扦捤㠵ㅦ㝥㜴攱㌹㤳捦扦㙦㠷㐰攳捡㉢慥㔷扣戹㤰㜲㝦㠸㥤㤲㜱愸㜰挸攵㘴㈷愲㝡㈵摤㥦ち㘱㥤〶攱㍤攸㔸㜲戴㍥㥤搶㌳㈰㤴敡㌶㠵㉦㝦晦昳㘱㤹摢㔷㑤扣㙥㤷ㄵ㍦扤㙦挸戳㔳ㄴ㙦㙡㌸愹㔶晡挷㐴㥦〹㘱㥤〵搱㙦㤲㘷扥㜷㌶㑤攷㐰㈸搵㙥ㅣ㍤㜸㕢摢㈹㐳攲㙢愶摣㜹搹摡㑦㍦戹㘰挴㠵㡡㌷㐶㡥愳㜳㠹晥㈹㠴㜵ㅥ㐴挳㈴扢扢㜵㐱㐷㘱昲㜸㍥捤ㄷ㐰㈸戵挰㌸扢㜱昶扦㠷㝥昶晣挷ㄳ㉥ㄸ㜶挹搰愹㕢摤㜱扦攲つ㤶攳散㈲愲㝦〶㘱慤㠲攸户晦扣㠲愳㡢㘹扡〴㐲愹㤴㜱昴㐶搷搲晢摦㍥㝦慢㠹搷㝦昰挵搸攸戴愷㕢搴㘰㤸㙢㠹㕢㑤㜱㈹㠴㜵ㄹ〴㉦㡤㜱晤ぢ敡㉥㠷㔰敡扢挶㐱㘷㝣户㐷〶㉤㝢㙤扦慢晦㜲昷攱晦昳晥慥㑢搵㤶㌰㍢㌵戹㤲攸慢㈰慣慢㈱晡㑤昴昰㜳つ㑤搷㐲㈸戵扦㜱昴搰扥㜷慣㐹㕥昶搵捣戵扢户㡣慣昹攳㜹㍦㔱扣㐹㤴㥡㕣㐷昰昵㄰搶つ㄰昵㔳㕡敤戶㉣㘶㝡㌹摣㈷㜶敢ㅢ㘹扣〹㐲愹㤹挶搳㍤搹愷ㄶㅤ㌶昱摤㈹攷摦戲㜲扢㠱改㑦㉦㔲扣搳㤴晥㜲ぢ㜶㡡晡㘹愱户昸㥣㈰扦愲敢㌵㄰搶慤㄰㠱挲㌸慢㙦愳攵㜶〸愵愶㥡㐲〷㜴㈶挶慦ㅣㅥ摤敦收㔷㔷㕦扣搵扢㉦扦愰戶㠶㔹慡晦㙢㠲敦㠰戰敥㠴〰㤱昱㤰扥㡢扡扢㈱㤴㥡㘰ㅣ扣扤扣改㠱㌳ㄷ晣㘲收㠵ㅦ㕥ㄵ摡㉣扥㕤㡢摡㠶㘸㝣慣摦㐲㙣挲㈸㝤て攰晡㕥㘶晣ㅤ〴㉦㍥㜱㝤ㅦ㜵昷㐳㈸戵㠷㈹㙦㜴捥ち敦㜸昹㠴㈹㈷㠷㜷㌹㜰搹㐳㈷愹摡㘱㌰㙦摣摤ㄸ㘷㍦挳㈶㉥散散戶㍢㘴挲㍥慡㝤㔶㙢收〸扢㙢慥捤㤵〸㍢㍢户㈷搵㘳て愲挹摣㉥㡥㥡搹㠱㐹㈱㙥〰戳㍢㜸戵戹挹㑢㝢散㡥慣㥤㥤搵搵戹挸敥敡㔹㌶㉦㤵㙥戳〷ㄷ㐱挶㘳㘹㘳㠹つ挳㔶㐵敡㈹㥤㤹挵摤ㄳ㍢㍢㝡扡㍡摢㡡㉤攳戳㑢㔲戸㐵捤敥摢㤹戵慢晡昴㔱慡慡㝡愰戹㔵㥢扣〴㌷愴㔳㔳ㅤ搹㌶扢慢搷攵ㄳ戵㉤㡥搰ち㘰慢慡ㅤ㡥摤㑤扦昵慣㐶㉥㉤㜷扡㔸㤷攸慥㙤挷捣扣扢㑦ㅦ扦㐲愷愶扡ㄷ昶昰戸㝢㌷搲摦〳ㄴて㐲搴敥〸戱㌱㜷戶散昹㉡愵搲㉡愳戲捡敥摢㡥㍢摦㝤ㄷ㜴搵捡つ㝤㙤㍢〶㥡㡣收ㅤ晢㌴㌴挲㔲ぢ㝢㙤㡢㜱㥦㑦㕡敤愵㍤㤳㔲㍤愹扥敤戸ㅦ〴㘹〳㤰ㄱ戸㔱挶㐱㝦㌷㈹ぢ〳㙥㠲敥㠲㙥挲昵㕡㕦㔰挰昹㐰㌷攵㈹㈳敦摢㈹㑡㑢㌹㜴散散搱㙢扤攸㕣㤷〱㤳㠲扦愰散㝡㥣昵ㄳ㠵攳〹挷㡥晥㡦づ㔰搵〷昷㉤昲㥦㈳㉤㙥扤搳㠷㝡㠲愸敤攰愰捥敡戵㘱ㅡ㑢敥换㘴㝤㈱㤳摥扦愷戵慤扢〹㤵搹扢慢㜳昱㈲晡昹扦㕤摥㌷㔵㙦搶摤搹敡挶㌹晦〷㑢晥㝦㡦户つ搸敡挶〵慣㠷昰扦㜷攵挳㝡㔸㑣ㅥ愱ㅦ㐱㈲㄰搰㐴敡㔲慢㘳散捤㔶摢㠸㝣㥢戲㔸挳㌱戸㝦晢捣㑣㝡㕥㤷㉤ぢ㔰㜵㤲㔸戶挸慥㙦㍦戰戳敢㠸㜴㘷攷ㄱ散㙤〳㈴搵扤搰戶㝢戸愴搳捦㉣㘲㜱㕦㈹搵愷㑦搱㥡㡤㘷敤㘷㝢昸户㥥㠴愸ㅦ摦搶㌶捣昵搸㙤㍤㐵㍤㍡〷晡㠰昵㐷散㉦ㄸ㍥㙢昲㥣㜹昳㈷㉦㑤戵㉦㙡戳㜷㥦扤㌸搵㠶戵戱摤搱搱㈶㜷て㕢ㄲ㡡つㅢ㠱摢户㔸㈴㘴㜷㡦㝣攵㠶搳㕦㕦扥攲㤵戵㉢㕦㌹昳散㌷㤶慦㜸敤扡敢搶慦㕤晥摡愹㉢摦扤㙢㘵㜴捥晡戵㤷扦晥㥢㕦扦㜲收〵慦㕣㝥搵晡戵搷扦㜱晥㥡昵㙢㝦㠴攴扢㜷㥤摡戴戴慤㝢愹摡捤っ昰户㑣敤㌷晢愶挷㝥㌲敥愶摤㥦㤹㌴敡晡㠵昳搵㈸㘳㈸㕤㌶敡晦っ慡㌷摢ㅣ搲愴慥搴㔱㔸㈳㉣㉣㍦㐶㥡㌰㤱摡㤸㜵㔷㉣扢收㥡㜳㠹㕣㌸㥣㙤づ愵愲愹摡㕤攰㜶㘳搷㝣㌸㠷敤㥦㍢戰戵㈳摢㜹ㄴ〷晡敥愱ㄳ㔲㔸㝤捣慦〹㡤㌲戶〹㥤㡢㍢戲摤摢昸ㅢ攵扡戳㜵愹慤攰愴㉣摢㕣慣㠷摡摤㔲摥㜶愵搹㘴㌰ㅣ扦戴搵㌱㙦㕢㘲挶㘲㘸㘷扡戲㜵㑡㤷㝤㘴摥㕡㔶㈳攷㥡㐶㝢搹㔱㍡㈶愷㕥晦㕦㕣㘲戱㠸㕢挳慤㑡㌹ㄷ摢㕤㑢挶㐳㔹愷ㄲ㠶㥢愴㈱㍣㑤捣㡢散㤰攲㙥搷㌴〷ㄳ〸㑣ㄴ摡㙣昶挹敡搲挱戵搴㤹昸愵㥢㤱㤵㑢㈵挶㑣㐳昸㘴㠴攸ㄱ㤵搱㔲挷㝣换晤㜷挱搵㕦㜳㘲愲晦㡣㘳愸ㅤ㠱戳戹㈲㝢㥣㌷慡愵㙡㔹敤㔱慤搹㥥㠵搶㐲扢㜵挱㐲摥㘳攲搹㑦㕤ㅤ愹㉤摢昴戳㔰改攷㈸㥥㠷挰捣㐷〶㘷㉢愰㕦㜰㤲㙡〴晥攷㘴㐸扦㐸昱㌷㠸摡㕤㈱㌶戸收㉡户挶㕣㕡慥挷㠴㈳㤷挲搳ㅢ㌹戵㔴㙡搳愷㈱摦摣摣〰扤搶㍢㈳攸晤㈰㔰㜷㕥〵慤搲㕥㔶扣扣㡣㈷ㅣ搹扤敤㡥㜹戸戲㜴ㄳ晥㑤㕤㠰扦㈹㍦慣㤳㕥〷攱㙥戵摢愳ぢ㙤晣㌱㘱〲㔵搵㜷〹愷㠸昳攷㔷搵搱ㅢ㌵搶换㄰㐵昷搱㔸搴收㘵ㅤ扥扦挲㝦戲改昵昸㉦愰〹慤㘰㔳愳㘰攳愵㕤昳㔲㙡扤〱搱〷敢昵㥡㔷㑥㌵〸慥戸㌰㕥㜶㐵摢挲ㄸ捡㔶捣㜷㐷戶㕥㉥㍤㐵㡢搴扣て㉦扡昴昴捦㑤㘹㙤敢戱扢㘴㜴㘹挸攱㍦攷改㤹愴敢㜹搳搲㤵捡㌸㡦㉡戶挸㑤挴㝤ぢㅥ搷昵㉣㉢㕣㘶捡〶㜵㘷捣晢摦㑢搷户散敥㔰慥㕢㈵㤷慦㕥㉥つ攸㌴㈵ㄷ慦摥挱㥥㑥挴敢㠸敦㥣㔵扡㔴ㄳ㍣ㄷ㜷㌲攲㑢㑦㑣捦戵て㜸㙦㈷㈴㍡㔴昹㤲挶捥㕥摥㐹㤹愹攲攵攳㝦㉦扥㝥㐱ㄵ戲㉡愰摦〶㜱晡ㅤ㡡㜷㈹摥愳㜸ㅦ㐲つ挰㘰挴㡢㌲昶㡢㌷晤㈱搲晡㈳㡡㝦㐲㜸㉥慤㥦㈰㘹㝤ち搱攰㍥戹ㅢ收㜴戱㠰㔲㑤㔰换攵昶㌳散攸捦㈱晡㝦〱戱摦㔴扢つ㙢㈵摦㔴㈰㐳㙤〸㍥㝢扦晡愱晦㙣づ搰攰昶戹换㍡㌲ぢ扢㍡㍢㄰㑥挲戵㠱昱ㄹ〴〲㜴慢㤴搵㍥愳㜳攲攲ㅥ慢㝤㙡㉢晥敢摦㍥挷㕥㘴愷㝡㈶㘲愲㡥㉢晥っ㍣㡤㤴换晤戴散搲晦㤷搷㝢㔹㐹挳敡ㄷ搷〲㡣㉣㍤㝢㥤㕢㜶㐳㙦搳愴㑥㐴㤵搸ㄲ㔰㐳摡㉤ぢㄳ愷㙦㘸㈵攰㥢昲挳㑢㜰㤵晥ㄲ攲攷敦㕦扢挷㑥ㄷ摦昸㤵昹晦〴昴㐲搹昴㜷㠸㈸扢ㅡ戳㡢〶㝡戳愹㌰㄰㠵慢㌱攳㡤晡愰ㅢ㌸㔷攳捦晦㕤攱㙡晣㤹㌱㤴㍤㉤㡤挱ㅢ㙦〶㜵ㅤㅣ愹㑦〰昳㍦㑦〲㌰敢㝥ㄴ晤㈱㍣攷挹〰㈷愹㥡攱㘴㌸ㅤ㌵㄰ㄴ㠴㔰〹㈴㌹つ搵㥢㈱攵㙥敡ㅤ㤴戱㍤㈸愰捥ㅡ〸改㥤愱昰㐱㙢ㄹ㈷㠳〰ち㘸㐲㉢搸㔴ㄲ扥昲㥣㘸捥㔰ㅣ㍥搶㔷攲攳敦挶㔰昶〴㜷て攴ㄵ㍥戶㐳㜱敡愵㡡㝣っ㘳㙤㠶㔳散〰攱攱愳搱㐹慡㍤攱㘸㌸㉢戲ㄳ㐱㍢㐳愸扤㤰ㄴ㍥㜶㐱捡摤搴㕦扣㝣㡣㠴挵换〷ㅦ晦㤶昱㌱ち愰㠰㈶戴㠲㑤㡤㠵㜷㍦㍥ㅥ慦挴挷㘳挶㔰昶㕣㜹〲㍣〹ㅦ㌱ㄴ愷晥㔰㤱㡦㌸㙢㤳愰㐸㐲㜸昸ㄸ敤㈴搵㐴㌸ㅡ㡥㡦摥㠳愰㍤㈱搴㘴㈴㠵㡦㌱㐸戹㥢晡㥤㤷㡦戱戰㜸昹攰ㄳ改㌲㍥挶〳ㄴ搰㠴㔶戰愹㈹昰敥挷挷摡㑡㝣摣㙥っ㘵㡦扡愷挱㤳昰㌱ㅤ挵愹㕢㉢昲㌱㠳戵搹㤷㘲㍦〸てㅦ戳㥣愴㥡づ㐷挳昱搱戳〹㥡〳愱㘶㈰㈹㝣捣㐵捡摤搴㜵㕥㍥昶㠷㠵㑦挹㐳攵㐷㝡㈰㑣〱㑤㐰〵㥢摡ㄷ㍥晤㔸戸慣ㄲぢ㤷ㅡ㐳搹攳昷㔹昰㈴㉣ㅣ㠶攲搴捦㉢戲㤰㘶㙤㌲ㄴ㔹〸てぢ㌹㈷愹㘶挳搱㜰㝣昴〲㠲ㄶ㐲愸戹㐸ちぢ慤㐸戹㥢㍡捦挳㠲㥥〳㜵昹㐱戶〳ㅦ攸捤愶收㈱㥦ㅦ〱㘷㔴㈲攰㜴㘳㈸㡢〶㌸㄰㥥㠴㠰㈵慣昲愹ㄵ〹㔸ち㌳㘲㔲㈰㡥㘶敤ち㜷敥挷㍡㐹㜵㄰ㅣつ攷攱ㅣ㐷搰昱㄰敡㄰㈴㠵㠰ㄳ㤰㜲㌷戵摣㐳㠰戵〲ㄶ敦挳㔹〴ㄷ㤴㥤ㄵ㈷〱ㄳ搰㐴㔶戰愹敦挲戹ㅦㅤ㑢㉡搱戱搸ㄸ捡愲ㄶ扥て㑦㐲挷ㄹ㈸㑥㜵㔷愴攳挷慣捤㤹ㄴ㘷㐱㜸攸㌸挷㐹慡昹㜰㌴ㅣㅦ晤ㄳ㠲捥㠵㔰㈹㈴㠵㡥㥦㈲攵㙥敡㜰㉦ㅤ攷挳㈲㈱て㘵㈴㕣〸㑢㐰搳㕥㑥㠲搸㔴ㅡ㉥晤㐸㌸慣ㄲ〹昳㡤愱㉣㤶挲㠶㈷㈱攱㌲ㄴ愷づ慤㐸挲攵慣捤ㄵㄴ㔷㐲㜸㐸戸摡㐹慡ㅣㅣつ挷㐷㕦㐳搰戵㄰㙡㈱㤲㐲挲㉦㤱㜲㌷㌵捦㑢挲昵戰㜸㠷㑡〶㘶㤴昱㜱㈳㐰〱㑤㘸〵㥢㙡㠵㜷㍦㍥愶㔷攲㘳㥡㌱㤴㐵㝣戴挱㤳昰戱ㄶ挵愹扤㉢昲㜱〷㙢㜳㈷挵㕤㄰ㅥ㍥㝥攳㈴㔵㍢ㅣつ挷㐷晦㤶愰㝢㈰㔴㈷㤲挲挷扤㐸戹㥢摡换换挷㝤戰㜸昹㘰戸㐸ㄹㅦ扦〷㈸愰〹慤㘰㔳㡢攰摤㡦㡦㔸㈵㍥愲挶㔰ㄶ㠷搲つ㑦挲挷攳㈸㑥㠵㉢昲昱〴㙢昳㈴挵㔳㄰ㅥ㍥㥥㜶㤲慡〷㡥㠶攳愳晦㐴搰㌳㄰㙡〹㤲挲挷㥦㤱㜲㌷㌵挲换挷戳戰㜸昹㘰〸㑢ㄹㅦ捦〳ㄴ搰㠴㔶戰愹愳攰摤㡦㡦敤㉡昱戱慤㌱㤴挵挶ㅣつ㑦挲挷㝡ㄴ愷戶愹挸挷慢慣捤㙢ㄴ慦㐳㜸昸㜸搳㐹慡㘳攰㘸㌸㍥晡ㅦ〴扤〵愱㡥㐳㔲昸㜸ㅢ㈹㜷㔳㥢㝢昹㜸ㄷㄶ㉦ㅦ㡣慣㈹攳攳㝤㠰〲㥡搰ち㌶㜵㍣扣晢昱㔱㔷㠹㡦扥挶㔰ㄶ戲戳〲㥥㠴㡦捦㔱㥣慡慤挸挷㤷慣捤扦㈸晥つ攱攱愳慡㕡㤲敡㐴㌸ㅡ㡥㡦㔶㔰攸㙡〸㜵㌲㤲挲㐷ㅦ愴摣㑤㝤昹㉦捦㔴扣ㄶㄶ敦㌵〵〱㍦㘵㜴昴〵㈶愰㠹慣㘰㔳㍦㠰㜳㍦㍡㍥㐰㔱扥敢㠴敦ㅢ㐳㔹㈴搱㑡㜸ㄲ㍡昸㈵〸昵㉥㘰晥㜷㈶㥢戳㌶〳㈹戶㠰昰搰㌱搸㐹慡㔳攱㐸攸搸㤲愰㈱㄰㡡挱㐴㐲挷㔶㐸戹㥢㝡搵㑢挷㌶戰㜸扢〷㘳㤰捡昸搸ㄶ愰㠰㈶戴㠲㑤㥤〱敦㝥㝣晣戵ㄲㅦ捦ㅢ㐳㔹㜰搳㡦攱㘹ㄸ㍥㑥散㠳㍡ㄳ扢㜲㔴㍢戳昴㕤㈰搴搹㔰㌱晡挰搹敡挶㌹晦昷昶㐸㜸〴戲ㄵ〵㐷昱〸扤㥢摥ㄵ〸㍣ㄱ㈶㔰づ戱摣搸㥢㑤㥤〳㝣攱昰㥦㐲捡戹㌱㝢戴搲攱晦挱ㄸ捡㐲戲捥㐵摥㘱昸昴㤵搰て昵㔳散捡攱挷㔹戳〴㠴㍡ㅦ慡挲攱扢㑦扥㍦㜵ㄷ㝤挶挱㡣捤搵慦晢㙤㐰㥦㠷㜴㜹挳㡤㜶づ戹ㄷ㘳㙦ㄹ搵〵㜰敡㜷挸㜷㔵㍡攴㍢㡤愱㉣㜰散㈲㜸ㅡ㠶㡦㌹攴㥦㘱㔷づ㜹ちて㜹㙦ㅥ昲挵㔰㤵ㅦ㜲搵㌸愸戱戹㍤挰㝢挸っ㍣㉢㍦攴改捥㈱昷㘲搴扤搸搴㈵㜰敡㜷挸搷㔵㍡攴㕦ㅡ㐳㔹㠸摢㙡㜸攲〳〲㝤〰㡦昱㐰㡡㠳㈸づ愶㌸〴㐲㕤㠱慣ㅣ〸ㄸ㍢挰㙤昳㥡慡慡挵㌰㔴改敦ㄱ㜳㈸挵昷㈱㍣〳挱㘱搴㜱㈹て㑢㜷㤷攲㍦㈱㌱㑤㘵〶㐲晤〲㉡㉥戵攱㈶〵挹㡡敢㌵㤷ㄱ㔱㌶〲㉣㐰㤶㠰敥挵愶㉥㐷扥〲㌹㌵ち㕥攴挹挹㌹㤵挸㌹摢ㄸ捡挲昷慥㠴愷㘱昸㤸ㄱ攰㉡散捡愱㉣㐲ㅤ昴㤱㄰敡ㅡ愸捡晢㠳摢晥㔵攳㘰挶收愶ㄹㄴ搲㠵㙣㐵攱㝦㘵㈳㐰て㄰ㄸ〱〸㉣ㅦ〱挴搸㥢㑤㕤㡢〲ぢ㠷㕦ㄸ〱㑥慣㜴昸㉢㡣愱㉣攸㤰戱㠶搲㌷㤶戳㉡㉢㈸㑥愴㌸㠹攲㘴〸㜵っ戲扡㝤攳㔰愰ㄷ昷愹慡㙡㠳愱㑡㥦㐲捣て㈹㔶㐲㜸晡挶㘹㐸㕡愷㐳昸㉣昳㕥㡦㥣㐲昰ㄹ捣昸㈳〸㜵㈳㔴㑥㕦昹㌱㤲ㄵ晢捡つ㉣戳慣慦㥣㡤㉣〱摤㡢㑤摤㠴㝣〵戲ち㝤㘵㘱㈵戲ㄶㄸ㐳㔹㕣攵慦攰㐹慥㥥ㄷ戱摡戶㈱〶捡攲㑤慦㠲㔹㕦㑣㜱〹㙢㔷戸㐱㕤敤㈴搵ㅡ㘴㄰ㄲ㉥㈵攸㌲〸㜵ㅢ㔴㜲昵晣〵㔲敥愶扥㠷㌲昲敢㝡㔷㌰户㈷㉡戳㡣㡢慢〸搰㠴㤵昳㈴㌶㜵㍢㍣ㄷ戸㜸〳㈹攷扣㤹㔳㠹㡢搹挶㔰ㄶ敥挹㈸㑦改㌸㌷戱戸㥢㈹㙥愱昸ㄵ挵ㅡ〸戵㡦攱愷㜴㔰㔱晡㌶㘲㙥愷㔸ぢ攱攱攷づ㈴慤㍢㈱㝣㍡捥ㅤ㈸㔰㌸扢㡢ㄹ敦㠶㔰㜷㐱攵㜴㥣摦㈰㔹戱攳摣挹挳㉣㈳敢㕥㘴〹攸㕥㙣敡㙥攴㉢㤰㔵攸㌸挹㑡㘴㈵㡣愱㉣戴昵ㅥ㜸㤲㡥昳〸慢摤㙣㠸㠱戲㜸搳㡦挲慣ㅦ愳㜸㥣戵㉢㜴㥣㈷㥣愴扡ㄷㄹ㠴㠴㈷〹㝡ち㐲摤〷㤵㜴㥣㍦㈲攵㙥㙡㌷㤴㤱敦㌸㝦㠲㠵㜱戱戱㜲ㄶ晥っ㔳㐰ㄳ㔰挱愶敥㠷捦〲ぢ㠵㉥戳㐳㈵ㄶ㠶ㅢ㐳㘹挰㙤つ挳㌹㝢㡤㉤散ぢ㐰㘰㐶㘷㉡㍢〵捦㥢㍢扢晡㥡慦挳搶㑤散㙣㕦㠴戰捣慥㈰㘳㐷㈷㈲捥ㄵ挱㐸㑢㕡戳㜶㔷ㅤㄵ㜳昱㝣愶㠶㔱愷㤶㍣㜸挱ㅤ㘱㥦㍥㔵戵戵晤敡晣捡㥡收晡㙡㌴㠱㌸摥慦ㄳ㑦㉢昳晦搶散㈴㤷㝤搱ㄴ晤㈰昵㍡昲昴ㄲ㠴㝡㄰㐹ㅥ㑦〹攰㘵〲晥㑥挰㈳ㅥ㐰〴㡡㐰㘰㑢㝡㔸㑦挰㉢㄰戵㝦㐶㜲ㄳ㠲㠷愴晣摣〱慤昶㔱っ戸ㄸ㤰㉢晡慥㙡㝤㙥㔲攷㝥㥤㍤㤳㕡扢ㄷ戵愵㤶つ捣㤹㥤〳ㄷ摡ㅤ㠸ㄱ敢㐲㠸㜲㠹慥㜳搱㈲㍢慢㜳㜳㍢ㄷ㜷㘵散㘹㤳扥ㄵ戱换攰愳ち㜱㠷ち〱捣〸㐰㔴㕦㉦㠸戹ち㌹挱戵㐴㌲㌳挲㘷愳㈲慡㠲〰㌶ㄴㄸ㥤搷摡搳㘶昷换㐹㠰㠳散搷攵挰㈲〲扥戳㝤㜳昳ㄶ㈲慡㜲㔲㝤㙥敦慥搶㙣㕢㙢㠷捤挶㐰㔰〴攳昶㘶搸ぢ㄰摣㍤慢戳扢㤵㕦㜶慣捦捤敢㑡㜵㜴戳摦㜶㘴㤶㙤㕥㤴㤲㝥㕡㥢㥢搰摡搱㡤㘲攴ㅢ挷摣㙦挸捤㕤搸㜹ㄴ㍡攴攲昶㡥扤㔳㡢扡扦ㄵ慤愲搸㉣戲㐹搳愸㙡㔵㕤慤敡慡敢扥㙥晢㔸慦愲昳て㜴扥ㄴ㌵っ晤戴愷慢㌵扤㤸㠴㐹ㄹㄱ挸ㅡち㘹挳慡摡攷戰搷㑢㘰〰挳〹㍣戱㙥慣㙢搱昷㍦㝤〳搰昳㉦つ搸ㄶ㜰晤ㅡ慡搳晦㜵㠸改㝢敦㍦慤㄰〵晡ㅦ㝤〳扦昶㜹㜸㉥㝤摣敡㠹㘷㈸づ扡ㅢ〴昰〰愷ぢ㌱㄰㡦㍤ち㘷㈶㝡〲㔳愵摤㌲㤰ㄳっ㝢攸㠰挲敥ㄴ㐴戰昷捦捤㐸愵敤㌶㍣㔸㙦㑦昵っ㜰ㄲっ㤲挰㤷㜶扢㡤つ㘳㕦㝢㡡㕤㡥摤㜵㙥㈶搵㘶搷攵挶㉦敥改挴㌷ち㜵づ㐲晡愵㔱愵㤶㐲㤵㕡㉡慡晥戹㌹っ㐳㜵㠶㔷昸敡㕣㤰敡㙡敤㔹搸摥㥡愹㘳㠲愱愲摦㡡扥㡡昱愳〶㘴扡㥢㍢㤶㤴㍥敥㜷ㅥ㝣愳戹㥢㄰㝣㐰敡搸晣攸搱搵捡挲㍦昵㌵愳ㄴ㌱昲挸㈵㔴扦〹㙦㕣捤㤱愱㐸敡昲摥㔷收㉣㝡㡦㑦ㅦ㥣㝢敤ㄷ〸挰㐷晦〳㔰敥挸攷㐵散戸㤷ㄵ㕥搴捤㜵攷㉤㘰昴摢〴晥捤ㅦ昰づ〱敦㐲搴慥〳愰昴㠰㡢攳昶㄰摤愷〱慡㘱㄰㜸つ扦㙤㔰㠷㤰㙤昹㐶㐴慤戴㜰㍦捦搷ぢ㉣攷㥢〵㜵挸㠳扤昶㙥㙢㉥扡㡥㥤つ㌸㠳ㄶ愳㈲㌰摣㔶㔵㔷搷㠰㍦慢㌴〰慤慣㔸扡㤸㙢㑢㙣愱摡づ㔵戰摥㐳㡤〷戳〷挲㍦㕥摢㔱昴㐵昱搲〹ㅢ㙥㤷㍥〰ㅣ昷㥢敢㈱㕤㤲昶愳挶戹㌸㝦〸慢晥〸愲昶㙤㈸㝢㌹晤昰㘴摦ㄳ搸㌴〰㘰㉢户㝦㐷㙢て捥っ搶㘵㑡㙢て慡搳㍦〷㠱㕤㠹㔸摡㕡捥ㄸ㑦愶㔱昹㉢昱昶攵愶愲㑢昳㜶攵㜶敦戵扡搱挷散㕣挵㍤ㄷ敦つ㠱攴㙡敥㔳挷㙦搳攵㕤㌹ㄱ㈹收ち摦敢㙢㌰ち扣㜳㠴晥て㈶〳㜲㍥㔶改㡦搹㙤㍣昳㠲㜷㌶搸㍤㍣愱㙣㥣㜷〵㌸㌷㜰㜴昵㈶㔶㜲㕡㐷㌷㈶愰〱㤳挲搸㌹挰散捥㕣摣㔳㘴㐹㉤ㅤ㘸㉣昸扡挴捣づ㕣昱㌲愹慥散户㘴戸挴戱㌹㔷㜵ㄹ昹扥收㡣ぢ㑥戸㜹〶㌹㜳昱㝥ㄷ摡㑤㠹〲㙣〰扥㥥㔴攷㠳〳敢㤸攲ㅢ㈷愴〵㥣㙦㑥换搴㜷㤶㡤㜹㉢㕥戶搲㘶て㤴っ昹愴㡣㘰㍡㌷㍥摤㡤㘹㔴て慦㤱㘶㑦㑥㜰㥤㥢㘳昳㕤ㄴ㑢㙣㕣搲捣摥慣㑣て㘲㕥昳づ昸㥤㡡㙦㑦敢㠰㤱ㅡ搳㐲㑡摡挸敡㘵㕣㉢㍥〸㥥㍢㕦戳㐵㌱愴攷㘴㝢㘷慣扡攸㐲㙥搷㡣慤㜲㜷捣攴晡㍤戸敦㘵㘶㠶㌱搶ㅢ戲挹戳㘸愰ㅢ㐹散㡣㙣㌲㘸昵㜷㜵晣慡㐲㍤愷搹㕤㍤昸㌶づ摦攷搱挰搳愶つ户㠰㍤慤㤸愹戴㉤ㅢ㤰㥢搶㤱㘹㕢㥣戵㘵㥡攳㡥搵㌲摢昹㔶戴ㄷ搷〷捣搹搴ぢ㉦㠶㤴㘹㜸㔳㤵晢敤㡣慦㝦慦愳㍦攱㈵㡦ㄷ㑡昸〸攸捦㤰挲㥡㐱㉤愳㌳㌷㌹㍥㌶㠰㑣㥢ㄷ愲扢攵昵㐵ㄸ搶捡㔴ㅣ捦ㄸ攴㤸て戱㤵㌳捥〳㥢搱㌹愳㤳昷㑡ㅥ搵搴㔶㐷昵慤㘸㈷ㅣ愷搳㑣昸㑥攴搷扥换愴ㄳ㡣㜸昲㕦搵㝢㈷㤸晦戱㔴攰㑣敥㍥㠴㠲㜷㥦㔵搶攷㘸㤳扥收扢㙦㌲挷攳捤㑤㜵攱づ㐷㝤㠴㌴敦㜲昴ㄷ㐰㉡挶换昲收〱戳㐱㘷㌲昹㉦㘸㝢㥤㑣敡㝦㍢慤慥㍥㤱㕣㜰昴ㄵㄴ㥣〶昳愳ㄸ㑣敢捥㤵㌶挷扥㤹㉢昱ㅢ敢㕡㐱愸捦晤〱搵〴㘰ㅤ愵慡昶㑢〰㑡〷㥤㡡愱愳挸㔰㠵敦搹㘲㕥㔸搷捥㜵ㄹ㥣戲ㄶ扥㕦㡢搰㔸慣敤㔸晤敡扥㠰㕤搷〰昵搸愳㡦㡥挱㝥㤵㈲㠷㙥〵㍤㤳㌹扥挷㑢㕢㄰㡡㌱㤴㕣㉢昱㕣挱ㄵ〳㈷ㅤ㝥晢〲戲戱㜷㤳㡡愱㤶挲㜵ㅤㅤ㌳收搲攱摡㑣摣〳搰昶捡㌵㔷ㄵㄴ㘳㌳昱㠷挰㑤㍡㘱扤昸㘹㠰㜴て挳㌳㜱敦て㡣慥㈷㤰挱㥢㍥㠰〱〴㌴㄰挰㜸捥㜵㜰㘵〵㤱昲㥢ㄴ晢㠵㜱㘲㔲扣㌹攰㤸ㄴて昲昸昷昰㌸㤰晥户愰㝦挶㕥㤶昲㌸っ㍡㠷挷㐱㠰㙣㌴㡦挳㤱㑤㜸ㅣ㑣挷㡣搵㉣攲㜱〸戴ㅢ收戱ㄱ搹昰㠷昷攲搱〹㜶攴挳挰㑥ㅦ㥡戶〶㐶㙦㐳㈰㠳㍥㝤〰㐳〹搸㤶〰挶㠱慥㠳㍢㙢㍢愴晣㜸昴ぢ晦〴㡦挳〰〷㡦㡣〳㜵晤㝢㜸ㅣ㑥晦㍢搰㍦㘳㌶㑢㜹㘴愰愶挳攳㡥㠰㙣㌴㡦〹㘴ㄳㅥㅢ改㤸㌱㥥㐵㍣敥っ敤㠶㜹㘴㉣㈸晥昰戸㥡㑥戰㈳ㅦ〶㠴扡㠷攱改㡦㈳㠰搱㈳〹㘴戰愸て㘰㔷〲㐶ㄱ挰昸搱㜵㜰㘷敤㠶㤴ㅦ㡦㝥㘱愳攰戱〹㜰昰㌸摥攳摦挳攳㜷攸㍦㐴晦㡣昵ㄴㅥ㜱㘲换戰㠹㜳㡢〱㥥づ㡦㘱㐰戶㉣扣愹㘷㠳㉢㐵㙡㕦㘴ㄵ㉥㈳㜴捥昸搰㈲㉥㘳搰㙥㤸㑢挶㤱攲て㉦慣愲ㄳ散挸㠷挱愴㉥㔵㝣摣㘰挶搰㌸㌰㍡㐱㈰〳㑤㝤〰㐹〲㕡〸㘰散改㍡攴戴㐶㈳搵摦扤攱㤵ㄷ㌳昹摣收敥〹㄰ㄸ㍣搰攳搵挳攰ㄸ㝡摤㡢㕥て〳愰㤴㐱〶㠷㍡っ㡥〵㘴㤳ㄸ㘴㐸愹㌰㌸㡥捥戳㐸ㄵ㌱㌸〱摡つ㌳挸ㄸ㔴晣攱摤㔷㜴㠲ㅤ昹㌰㄰搵㠷愰㐹挰攸挹〴㌲㐸搵〷㌰㠵㠰扤〹㘰摣敡㍡戸戳愶㈲攵㘱㌰ㅣ㤱敢㈴㥥㕤㥢㡢㌱㥢㐷㑦〷〸っ戶㝢扣㝡ㄸ摣㠷㕥㘷搰㉢〳㑤㑢捦㘵㐶㤷㍡っ敥ぢ挸㐶㥦换换㤰㑤搸摢㡦㡥ㄹ㤸㕡挴摥㉣㘸㌷捣ㅥ〳㔸昱㠷昸㘵㍡挱㡥㝣ㄸ挵敡㤲攳㌹㤷攷〰愳攷ㄲ挸〸㔷ㅦ挰㍣〲昶㈷㠰换㑥敢攰捥㍡〰愹㐱㙥晦昳㉣戸昸挴扡㠲挶㠳㠰〶㡤っ㝡㜵摤㝢㘸㍣㤸敥て愱㝢〶愸㤶㜶㐴㐶愵㍡㌴㝥ㄷ㤰㑤敡㠸㘷㈲慢㔰昹㍤㍡㘷㔰㙢ㄱ㤵摦㠷㜶挳㔴㌲昸ㄵ㝦㜸㝦ㄷ㥤㘰㐷㍥㡣㠰㜵て愵㤱〷攷㉣ㅤㅤ〶㡣㑥ㄱ挸攸㔸ㅦ㐰㥡㠰っ〱っ㤸㕤㠷㥣㔶ㄶ愹㝥㉥㤵㝣㌵㤸捦㤹㥣〳〶〴㌲㈸搶㜵敡㈱㜰〱㥤㉥愴㔳〶户㤶昶挳换愱ㄳ〲㌵慦捤戲㜱摡攸㔹ㅤ㔷㡣㜷ㄵ愲づ愷ㄳ〶扥ㄶㄱ搵〶敤㠶㠹㘲㠰㉣晥昰昶ㄶ㍡挱㡥㝣ㄸ㈵敢㔶搹搳攷㍡㠰搱㥤〴㌲㠲搶〷戰㠸㠰㈳〹㘰㔰敤㍡戸戳扡㤰昲扢㝥昸挵搲愲搳挹扢㝣〳敡㐶㡦㝦て㘷㡢改㝦〹晤㌳〰戶㤴㌳㐶扤㙥㠰㌳挶挴ち㘷㑢改㠴挱戱㐵㥣ㅤつ敤㠶㌹㘳㄰㉤晥昰㍡㌱㍡㜱㌹㘳㈴慤て㈵挷〲愳㡦㈳昰ㅥ㝦挰昱〴㥣㐰挰扤〰〸㘷换㤱昲攳捣㉦摥ㄶ㥣㥤〸㌸晡ㄹ〳㙦摤ち㜸㌸㍢㠹晥㑦愶㝦〶挹㤶㜲挶挸搸つ㜰挶戸㔹攱散ㄴ㍡㘱〰㙤ㄱ㘷㉢愱摤㌰㘷っ戴挵ㅦ摥㐶㐶㈷㉥㘷㡣戶㜵慢散改㘷愷〱愳㑦㈷㤰㤱戸㍥㠰㌳〸昸ㄱ〱っ捥ㄵ捥㝥㡣㤴ㅦ㘷㝥㌱戹攰散㉣挰挱ㄹ㠳㜳㕤晦ㅥ捥捥愶晦㜳攸㝦㍤〰愵㥣㌱㝡搶ㄹ摣㝥〲挸㐶㕦㈳ㄸ㙦㉢㍣㥥㑢挷っ扣㉤攲昱㍣㘸㌷捣㈳〳㜴昱㔷愵捦愷ㄳ㤷㐷㐶改扡㠷攱攱昱〲㘰昴㠵〴㌲㠲搷〷㜰ㄱ〱㍦㈳㠰㐱扤挲攳㉡愴晣㜸昴㡢攵〵㡦㤷〰づㅥㄹ搴敢晡昷昰昸㜳晡㕦㑤晦っ挰㉤攵㤱㔱户づ㡦㤷〲戲搱㍣㌲㑥㔷㜸扣㡣㡥ㄹ戰㕢挴攳攵搰㙥㤸挷㉡摥㙦㤳挷㉢攸挴攵㔱㐱敢ㅥ㠶㠷挷㉢㠱搱㔷ㄱ㔸敤て戸㥡㠰㙢〸攸〳㠰昰㜸㉤㔲㝥搷㕡㥦ㄸ㘰搰㜸ㅤ搰愰戱慦挷扤㠷挶敢改晥〶扡て〲㔰㑡攳收搰㌹愷㌰㙦㍦㘴㉢扤㔴㌰㤶㔷㈸扢㠹㑥戶㐰慡㠸戲㕢愰摤㌰㘵㠳㤱㑤㈸晢ㄵ㥤愰ㅣ昹㙣〹慤て㘵㙢㠰搱户ㄲ挸攸㘰ㅦ挰㙤〴摣㑥〰〳㠶搷挱㥤戵ㄶ㈹扦慥攷ㄷ㈷っ捥敥〰ㅣ㥣㙤敢昱敦攱散㑥晡扦㡢晥ㄹ捤敢㔶〰㌹摣慢晥摤〴晣㠶㠰㕤晣〱扦㈵攰ㅥ〲㜶昵〰ㄸ㤹㙣愲㌹敥㈵攰㜷〴挴㍤〰㑦ㄱ昷ㄱ㜰㍦〱〹㝦挰敦〹㜸㠰㠰搱ㅥ〰㘷㝣愶㠸〷〹㜸㠸〰㐶愸晡ㅣ挵挳〴㍣㐲挰摥晥㠰㍦㄰昰㈸〱搳㍤㠰挳ぢ㐵㍣㐶挰攳〴ㅣ〰〰ㅦ㥥挹㕣愶㑡㍦〱㥤㔹㜶搱㑦㘲㥦换ㅦ〷〲昲づ㡦搰㙣㘵换晥㡡戱愵㕣晡㘷敦搸搰㌲戲㘲っ㉡㤷㤲ㄱ捣挴㕡攴搷㌲㥦㌶挵ㅤ〲㍢搷㌳㥤慤昲㡡ㅢ攳㔴㥤㤱攴㑦挸㘹捤㥢㍣㜷㕥㈸㉣㔵攰㤹攰㕤㜰㍢ㄴ㐸㌹ㄳ㥥〱㔰㌱慡搵㌹ㄳ㌶㝡挱敤㔹㔳戵挳㤰㤵㈷㠰㝥づち〶戹昱愳搲搰扡慤攴㔹㜰㝢ㅥㄸ晤㔷㤶㤸昱〷扣㐰挰㡢〴㌰㘰㤶㡢㙥晡㙦㐸攵搷挹ㄶ㜸戲㜹㍡昹㍡㘶㝢㠹搹ㄶ㜹〰挸敤㜶昲㤷〹昸㍢〱っ㘶㜵㙢收〱慣㈷攰ㄵ〲ㄸ㜷敡〲㥡戰㙦㝡攰慢〴扣㐶挰㜲㈸㍤摤攳つ攸挰〰敦摥昵㥢搸㘷昷㔸〱㐸挵敥愱晦㘱㔰㈷〲戵搱㕤攴㈴㠰㥤㉥昲ㄶ戲ㄷ扡挸㍢挶ㄹ愳㔴搹㐵挲㠷散扢㙡慦ㄱ攷㡦㕤晤搹㜹㍢ㅥ㌷昰晡戱㙥摦㘳挵㔸㌵㠶慢㍡愳攴つ㍣㝣戶㕤㘹摦昸㈱㈰搲㌷摥㠳㙦挵愸搶愲扥昱〱戴扤㡥㤲晡㐳㔳愷搳㤰㔵晡挶㐷㜴攴ㄴ㠶晢㈴㘸㕤㠲㔹〳㜳昷昱㑦㘰昴挷〴㌲ㅣ搶〷昰〹〱㥦ㄲ挰〰㔹改ㅢ㥦㈱㤵敦ㅢ㡣㠱㜵戳敤㔶昰晢㌹戳㝤挱㙣ㄷ〱㔰㝡搱㘰㤰慡㜳挶㝣〹挸㐶㕦㝢㉦㐶㌶愱攸㕦㜴捣昸搶愲ぢ挹㔷搰昶㑡㤱㌴挵㙡㘴ㄳ㝡戸㐸㥤愷攷㔲㘸摤挳昰㕣㝢ㄹ搳愱ㄱ㘱㠰摢㈴㝦㐰ㅦ〲昰㐶㉥㐴㥤〳戰づ〴㔸晣㘵㠰捤摤㥢戳挲㝤慥摦㍤㕡㕦㐰㜱ㄱ戹捡攳摢㜳㝥搵搱㌷㝦㈳㐴摤〴㠰愷昳昷㘳㌶攷愱戲敥㡦㝤昶㌰㐶挱㔶散晣㜲攰户〰戱搱ㅤ㥦愱戴㑥挷慦㘷㉤昲㘳㘳㠳㈹㡥㔱戶ㅢ㌳㌶摥〶㥣搳搲㐱攴㜴挶挶㈸㉡㕦摥晦㙦〷㔲ㅡ㜷㌳〰ㄵ㠳㜳㡢晡晦㐰㘸㝢㙤㕣扤㠵愹摡ㅤ挸㉡つ㍣㠸㔹挰㤴㡣㡤㡣摣㜵ㅢ搸㌳㌶づ〶㐶㙦〹愱敥昶〷っ㈱㘰㉢〲ㄸ攷㉢晤㝦㙢愴昲晤晦㕥㑦㌶㑦摢㙤挳㙣㐳㤹敤ㄱ〰愴晦㝢搶ㅡㄹ㙢敢戰戲㉤㈰㥢戴㐰挱〸㕤愱㘹㍢㍡㘷愸㙥搱㌹㌰っ摡㕥㘹㤲慥昰〴戲〹㐵挳改㠴㥤㠹ㅦ挶昵扡ㄴ㜹搶ㅡ㜷〰㐶敦㐸攰㔳晥㠰㐶〲㜶㈲㠰㘱挰敢攰捡摡ㄹ㈹敦㑡㔹摣慦昷㡦〰〸扤晦捦ㅥ慦ㅥ〶㐷搲敢慥㄰挱㜵〰㜰ぢ扥攴敥扣散敥晣摤摤㘱㙣㙢㕦㘰慣㔱捣㌱㜱挲晣愲㐰ㄸ㙢㌷㘸敢攷㍢㤱㐳㑥㈸㤹戵㍢㔴〳〰昴挴昱㔹㑤㠴㐱㠷愰愴昱搹㙣ㄷ㕥戹㘲㝤〷慡捤愰㉡晥㤹ㄵ㉢〴㜵㝦㐱攲ㅤ㕤㜳昰づ㐵㉢っ㑤㍦扥晦ㄹ㤹ㄹ㐷ㄷ㝣挵㔴愹㡥捦㐷㠷戱㙥㔱㐰挶散昲摤攱㡣〳㌶愱㥡晥敦愸㝣敤捥㤳搶晦㝡㜵挴敥㡥挸㙢㈶て攵晢㜵摢㜶ㄹ㍥㉦愱㘳㜰愱㠷挳㔹㕤㥤戴搹㙢㈸㠴㍢㍡づ㠳㘸㤰愸㝤ㄳ摡搲㐰慣戲挸㌳㘴㐰㜴〹㘳搰收昶㉣㙢㐳摣ㅦ㜷攵㕤戰㡥ㄲ㡦搰ㅣ㌳愲㐲㍢扢㙡㄰㐴㔳晡づ愳㝣摥㘷攰慡摦ㄶ㈵慦ㄷ㤴㙣戴㌰挴慤昶攱㉦捡㕦愱㤷捦捦㡡ㄷ㕥㜷挶㍣摣慣㈴慡戸挵扥慤㤹慥捥敥捥㕣捦戰戹㠸㘹ㅤ挶搷㌵收昰㡣㜹㝣敤㠳昰攸㕢㈶て慣愶㠳㍦㝦戳㠴㙦㔰ぢㅣ搱搱㜹㔴㠷搴愶戶㥢㙦㑢ㄶ扥晡昶㘵㌱〱㤶挳㙤㐷㤰ㄷ㘴㌸㕣㄰〹㍤ㅡ㉥敡ㅢ㠲っ㝤挳㕦㤵戵〷搲㍢㑤㥣㠰户㙡愷㈳戹㔰㉣㥤㐸愴㔲搱㐴捣㡥愴㤳㜶㉡㠳摦㍦捡挵㜲戱㜴㌲㥣捤㔸㝢收愱搱㐴㍡㤱挵扢㌹攳㠹收㐸㉣摣ㄲ㑦挶戳改㜰㌴㤲㑢㠶㌲㘹㍢㤷㑥〶ㄹ㔴㐷昷㝡っ昲攸扤㈰㠲㡣愵ㄳ搵㔸慡挶㔱挵挸扡㘲㔴㉤㘳搱㌶㌶攰つ㉥㌰㌱㜴摥㐹㕣搳户㙦㔹昰㔳㔹愰ㅣ晢慥扣㔳捦戲ㄸ㈷㔷㝢㌷㘸㉥㝤㔵戵㝦愶攲㔶㘴㘶㕣㤰慢昴㈴ㅥ捡㘴㠸㐰㤰㘱㜲搴㔹㔳㤰昴㌹慢昶㠶扡昸慣㥡ち㑤挹㔹ㅡ㘴㥣㥤㜸㥥〶愳晣摡㡢晣敥㑢敤挷搰㤷搶搴ㄳ昹敡㠹愹攳㐸ㄱ昴〴摣挹㌱㙦㤶㌳捦捡㘷㈲晡愳㠷慡㙦㐳捣㐰㡤ㄳ㠳戳挱收㤶㐳昸敥愱㘴扤㤴㠳攲搶㌲挷㈶㑤晣昵㘲㜴〲戵㙢㌶搸㈷摣㔲晣晢㐴㐰敦㡢愶挳戴愵昶ㄳ戴搹挶㠷慣搰摢㐰㥣挹收㐷搸ㄸ晣㍢慡㡤㍦挱收昷㜵㡢攲㔸敢晤㔰愰㘲㤴㡡㥣晤㌳㤱挲扥㝣㤴㐴㍦㈰愱㘷ㄱ㠳ㅤ㜶㉥昵㉦搸㌹㡥慡ㅢ㜱戰ㅣ扤愰挴㙦㡣〰㔲㜱㐸㔲搷〳挶㘱愹㘸㔸㔱㡣㤲㤰㔲攷㈱戳㐵㉦昸〴ㄹ㉡㈱㠳捤晥搰敡〳㈸づ愴㌸〸愲扥㝦㤰㤵㘰㈶敢㘰愴㥤戱㈷㤷〹搹愱㔰捥㙥㡥㠵㕡㘲ㄸ㐷㔲㤱㘴慡㌹㤵㠹㘶㔳㤹㜴㑢㉡ㄴて㉡㤳㐷ㅦ㠲㍣挱㙡㌷昵㕤愶晡戸㈹摡ㅡ㙡㤰㘲㈵㔹㤳㙦㜴ぢ搶挲㌳晥昰ㄳ㌳㈸㐷昳㠴搶㍣㠷㠳㤶慢㍦㡣慡㈶㈲㜶㠷㔰㜵搰ぢ㌹ㄹ攸戹㈳㥦〰戴㐲晥㉡㉦昹㌶㈰㤵挹扦挸㡦晣㘰㍦㜸ㄲ㥡ㄷ㈰㌳挶昴晥㐸㠳昹㉡㙢㈱搲づ慦愱㜴㌸㤲㙤㑥㠷㔳㉤㠹㜴慣戹愵㌹ㄹ㘹㑥㘰㐰㡦戴愴㥢愳昸㠹愷㤴搵㥡㠷㈶㥡㌳㤹㙣搶づ攷㘲㤹㜰㉣㥤捡戶㠴㕡愲愱㘴㌶㥡捤愴攲搹㜰㈶ㄴ慣㌷敥昵攱挸愳㡦㠰〸づ㜰㔵㙤㔴戵㔳挵愰ぢ㔶㐲〰〲㔵㥢㐳挵㜱㕤㥤㠵挳攰㤸㡢㌴㥥㘶㌰㑢ㄷ㐴㈰㌸㄰ち敡慣㙥㈴㝤挶捥ㅥ愸㡢挷捥挵搰㤴㡥㥤㕢ㄸ㉦㝡〹㡣昲摢㐸昲㉢㐹㙡㌰昴搲っ换愰捦㌷挳㄰㘸愵ㄹ㑥昱㌴㠳收㘵㤹㔷㘰㜵戲㉦攳㕢㈱㤳㌰㝥ㅣ㜰㘰㝣㙢愴㠵昱攳㤱㜶ㄸ㑦㐴搳攱㜸㌴㥣戵敤㜸㈶㤶换㈵搳㠹㌸㔸㑣戶攰㑢〴愱㐸㌲搱㘲㥤㤰㠷㠶ㄲ搹㘴挸㑥㈷搱㈸挹㔸㍡ㄷ㑥愳戵㘲搹㜸㉡㤷㡤愵ㄲ捤㌱㍢戸㡤㜱慦㤷㈳㡦㕥〱ㄱㅣ敡慡㑥愴敡㈴慡戶㜵㔵㜹㤴ㅡ〶㤵㌰㝥戴㤷昱ㅦ㌲换㑡㠸㐰㜰㌸〰昸㉢敢捡㍢戸晡㌳㠸摤㤳㠸㍤㈰㔴㈳昴挲攱㤹搰攷㌹摣ㄹ㕡攱㜰㤱㠷㐳敢㙣㐰㉡㜷攵づ㕦㘲㜷㠱㈷㈱昶㈷挸っ㘲㐷㈰㉤挴㥥㡢戴㈱㌶㤳㡥㘷㐳昱收㔴㉣ㅡ㡢愱㈷户攴㕡㜲搹收㜸㉣㘷㈷㐳愹ㄶ㍢㙡晤㌴て〵搵㜶㉡㘷㐷㜳戱㘸㉡㤶㠸㠶搳昱㔸挲㑥㐵戲改㤰ㅤ戶㔳搱㐸㜰愴㜱慦捦㐳ㅥ㝤㍥㐴㜰㔷㔷㜵〱㔵ㄷ㔲㌵捡㔵ㄱ㈰㔰搵〴㤵㄰㥢昵ㄲ㝢㌱敤㤷㐰〴㠲っ挴挰㕦㤵昵㜳㈴㝤扡昲㙡愸㡢扢昲愵搰㤴㜶攵㤰昱愲㉦㠳㔱㑦㘴㌳㑣㘰㌳㐴愰㤷㘶戸〲晡㝣㌳挴愰㤵㘶㌸挴摢っ㔷〱㔲戹ㄹづ昲㙤㠶㘶㜸㤲㘶戸〶㤹搱っ㜱愴昱㔷㘵㕤㡢戴搳っ㤱㜰㍣㠲㈱㈵ㅣ挷〸ㄲ挳散㉦ㅤ换㈵㌳㥣〷㠶㤳ㄸ戹戳ㄱ敢㤷㜹㘸㉥ㄶ捥愴搳搹㑣ㄶ昳捡㔸㌸㤷㙡㠹户愴㕡搰〴戹㘸㈶㤹戱㔳㘹敢扡㍣搴挶慣㌱搴ㄲ㠹愶愳㜶㍣㤶㡥㘴㔲改㙣愲戹㌹摤㙣㈷㌳搱㜴㈸搲ㅣ㘴㐰〸㙢愲慦㐷ㅥ㝤〳挵㡤㄰挱愴慢扦㠹慡㥢㈹㙥愱扥挵搵ぢ㥥㔰挹愴昶㠴㕥ㅡ㜰扡㘹㐰昶㌲㝤㍢敤㙢㈱〲挱㌱㙥挶㤲㐱㝥㉦㔷㝦ㄷ戱搳㤹㙢ㅡ㠴ㅡ〷扤㌴挹㙦愱捦㌷挹〴㘸愵㐹挶㜹㥡㐴戳㐹㘴㜴搹换㤷晤㠹挸㈴散摦〷ㅣ搸㥦㘴㡡戴敥㐷摡㘱摦捥㠱敡㙣㉣ㄳ挹㠴㈲戱㐴㍡摣㠲ㄹ㜷㉡㘱摢㈱散㘰戶ㅥ戵㝥㥦㠷㘶搳ㄸ㔷㐲攱㘸㉣ㄷ㡦挴㌰散愷㜲捤戱㌴㠶晣㑣㉣ㄱ捥㐴㕢㤲搶〳㜹㘸ㄴ昳晢㐸㌸ㄲて户㌴摢戱㄰ㅡ㌴ㅥ㐲㌹㤹收收㤶㘸挲挶㤵㌸㌸搹搴㐴㍦㠸㍣晡㈱㡡㠷㈱㠲㔳㕣㝤〹晢㝢扢㝡愲ち㤹搴㜴攸㠵晤㤰㤷晤㈷〹㝡ち㈲㄰摣挷捤㔸挲晥っ㔷晦っ戱戳挹晥㉣戲扦ㅦ昴挲晥戳搰攷搹㥦〵慤戰扦戳㠷㝤敢㜹㐰㉡㥦㄰㡤扥㑤挲㠰ㄱ㘹㤲ㄷ㤰ㄹ㑤㌲〷㘹ㄹ㤷㕥㐴摡㘹㤲㘸㍣ㅢ㡢摡搹㔴㑢㍡摢ㄲ换愶戲改㑣㈶㤷㑤㌶攳㍥㈸㤱㙡㐹㘶㐲搶摦昲㔰摣㕡愱ㄱ攲㙣慡㔸㉣ㅢ㑥㘰㈷㘲㠷㐳㉤㤹㜴っ㕤㍤ㅥ〹捥㌵敥昵㍡攴搱㉦㐱〴攷戹慡㤷愹晡㍢㔵晢扢慡㍣㑡ㅤ〴㤵㄰扢戵㈱ㄶ㘹慣㉥㌳换敢㄰㠱攰挱㔰㠸㡥攳㤲收㈸愴㌹昰〴て㜱昵㙦㔱挵㌷扣挹敦挲愹敦㐱㉦挴扥ぢ㍤㜷㤸㔹㝤ㅦ㔲㠸つ㝡㠹㝤ㅦ㤰捡挴づ昰㈵㜶㍥㍣〹戱ㅦ㈲㌳㠸㍤っ㘹ㄶ㘱㝤㠴戴㐳㙣㉥㤲㐸攴㈲搱㘸搶㙥㐹挵㌲戸㌵㡤㘵㥢戳捤ㄹ㜰ㄷ㑤㈶愳攱㤸昵捦㍣ㄴㄷ㠳收〸㙥㐸挱㘳㈲㤶㐴㡦戵㈳戱㤶ㄸ慥ㄱ搹㔴〴㍤㌹㙣㝤㥣㠷㐶愳戱㌰挶㈴㑣㠷散㔰㉣㥡捤㠱晣㔰㉣ㅣ㑡㘴挲ㄱ摣敦㘶戲挱㤴愹㠹晥〴㜹昴愷ㄴ㥦㐱〴搳慥晥㜳慡扥愰昸㤲晡㡣慢ㄷ愸㘴㈲㕥攵愰㤷㈶愹㌲㑤㈲㈳㡤挲㡡㥤慥㠶〸〴ㄷ戸ㄹ㑢晡晡㐲㔷㙦ㄱ㍢㥦㑤昲㝤㤲㝦㌸昴搲㈴晣㔹攵㝣㕦㙦㠳㔶㥡攴攳捦ぢ㜳昹挲㍣收㈳㘸换愶敤挱㜶㘴ㄲ昶敢攱ち散㜷㈰㉤摤㝡〰搲づ晢㉤戶ㅤ挳〵㌳ㄷ㡥挵㥡㘳㤸捥㠰㥢㐴㑢㉥㤳㑤摢㤱㜸〴ㄳ㜳慢㈱てつ攷散㜰㉣㥥㐸㐵㌰㘳㡣㐵㜳昱㔴㍡ㄹ捦㘵愲ㄹ㜰㥢捣㘱戰〹㌲戲㐵㡥㍥㠸㍣㝡㌳㠸攰㈲㔷㔵㤸挷㌰扣㐵㔰〴㘸㐲㔵て㔴挲攱㥢㌸㡣晣捣㜱㑢摡㠷㐰〴㠲㡢〱挰㕦搹㍣㘶㠹慢ㅦ㑡㉣ㄶ㔵慡攴㘷〱搵㔲攸㠵挳敤改㥥慣昲㜳㌴戴挲攱㍡㕦づ㕦昴攵昰ㄸ㘴ㄲづ㜷㠴㉢㜰㜸㉣搲挲㘱㈳搲づ㠷㠹㙣㉥ㅢ㙡㑥挴㌳㤹っ㝥㔹ㄲ㔳㡦㜴㑢㈶搲っ㕥㌰㠲愳ㅢ㐷慣㥤昲㔰昴挴收㑣㈸㤹㘸捥愵戱愲㤲㠸攳㘲㤹挴攵㌵㤵〸摢㤱㔰㍣㥢っㅥ㘷摣敢㥤㤱㐷敦〲ㄱ㍣摥㔵ㄵ㌸㍣挱㔵ㄱ㈰㔰㜵㈲㔴挲攱搳㕥づ㜷愷扤〹㈲㄰㍣〹〰晣㤵㜱㜸戲慢㡦㄰摢㑥〴㕦㤳愷㑥㠱㕥㌸㙣㠶㍥捦攱㑡㘸㠵挳㐷㝣㌹㝣挸㤷挳㔳㤱㐹㌸㙣㠱㉢㜰㜸ㅡ搲挲攱㘸愴ㅤづ㜹㠶㠶攳愹㐴ㅡ㔴挴㘲搱㘶㥣户㔹っ戴捤㉤挹㜴㍣ㄲ捦㌶㕢㝢攴愱戸扣㜱搵㉡㥥ぢ户愰搳㠶昱〳摥ㄱ㍢搶ㄲ挵㠵㌰ㅣ挱昵㌱ㄱ㍣摤戸搷㝢㈲㡦ㅥ〳ㄱ㍣挳㔵ㄵ㌸晣㤱慢㈲㐰愰敡㉣愸㠴挳摦㜸㌹㥣㐸晢㈴㠸㐰㤰㜱㉤昸㉢攳昰ㅣ㔷㍦㤵㔸扥っ㑦攳㐵ち㠸㠷㠳㕥㌸摣〷晡㍣㠷攷㐱㉢ㅣ慥昱㜲挸敢㤶捣ㅡ㙥昱攵㤰昱㉡挲攱㑣戸〲㠷ㄷ㈰㉤ㅣ捥㐲摡攱㌰ㅥ戲㤳㉤㜶㌲摥㤲挹挴㘳戱㈴扡㘱㌴㤷戵㐳戹㑣㌸㤹㡢㐶㕢ㄲ搶散㍣ㄴ挳㘶挴㡥㘴㕡戲㍣㤷㐳㘰㍤っ晡ㄳ戹㔰㍣ㄳづ攳㐷㜹㐲挱ぢ㡤㝢㍤〷㜹昴㕣㠸攰㐵慥㙡ㅥ㔵晢㔳昵㌳㔷㐵㠰㐰搵㈵㔰〹㠷㔷㝢㌹㍣㤸昶㐳㈰〲挱㥦〳㠰扦㉡㕤㜲㠹㕡敤敡扦㑦散㌱㐴ㅣつ愱㉥㠳㕥㌸㑣㐱㥦攷昰㜲㘸㠵挳㑢㍣ㅣ㕡ㄹ㐰㉡㕦愲㔶昹ㄲ㝢〵㍣〹戱㌶㌲㠳搸㉢㤱ㄶ㘲㜳㐸㍢挴挶搲㉤戹戰㥤捣戶㈴ㄳ㌶昶敤㤶㤶㘶戰ㄴ捦攵戲戸扥攰挷攳慣〵〵㘸㈲㡢搹㜱㈲搴ㄲ㑥攰㙡ㄶ戶㕢ㄲ㜶㌲㥣㠹㘳愱〳戳㠰ㅣ敥㐹慥㌲敥昵㐲攴搱慤㄰挱慢㕤搵攱㔴ㅤ㐱搵㌵慥㉡㡦㔲搷㐱㈵挴㥥攳㈵戶㤳㔹ㄶ㐱〴㠲搷〳㠰扦戲捥㜹㠳慢敦㈱昶㐴㈲㔶㤰搸㥢愰ㄷ㘲㡦㠲㍥㑦散㉤搰ち戱㉢㍤挴㙡摥散㐹攷㍣挵㤷㐳㐶戴〸㠷挷挰ㄵ㌸㕣㠳戴㜰㜸㉣搲づ㠷搱㔸ㄶ㍦昴㤴㐸攷㤲挹㔸㉣㥤㑥㈷搳ㄱ摣ㄵ㈷㜰摡㠶㜱扡㠷ㄲ搶㜱㜹㘸ㄶ㑢㐳愹收㙣㈲㤱戵㤳戱㕣捡㑥㘵㥢㈳愱㔸〶㐴㐷搲戹收收㕣昰㔶攳㕥ㅦ㡦㍣晡〴㠸攰㙤慥慡㜰㕦挷攰ㄸ㔶㐲〰〲㔵㜷㐰㈵ㅣㅥ敢攵昰〷昴㜲ち㐴㈰㜸㈷〰昸㉢敢㥣㜷戹晡搳㠸㍤㤵〸扥っ㌰㜸㌷挱摣昹㡤扢昳㕢㜷攷ㅥ㜷攷㕥散㜰戹㔶昳挱㡥摥㡤㘲㜷ち㍥慡搱摦愱攰愳ㄸㅤ㠶〸晥捥㘰攵㠹换㡦㤱挹晡㈹ち摣敢㍦㜹攲ㄲ㑥攸昳㔸改㌳攱捤㜹攴ㄲ扣捦慤摡晤敥捥敦摤㥤〷摣㥤〷戱㈳㡦愳㉥㐰收昲挷㔱ㄷ㐲㕢昲㌸敡㈲愸㑡敥㜰慤㥦ㄱ㔶晣㌸㙡ㄵ㔴㍥㜷捣ㄷ㐳㕤㝣挷㝣〹㌴㐵㡦愳ㅥ㌲㔵ㄲ㜲昸昲㍤㙢㌵㈰晦ㄹ㌹ㄱ㝤㈹㝣挸捦愹ㅡ㜲ㅥ㜶ㄹ㜸挴摤昹㠳扢昳愸扢昳ㄸ㜶愴㐹㐹㡥㈶ㄷ㥡㐷慦㜹戸㥡〷愸㜹㌸㥡㐷㄰㝣摣㘰愵搶ㄷ戱搶扦㠴晡㍦慡㜵㌴愲慦愳晦㥦攵㥢㔴㍤㠱㔲昸昴㈰愰收愰㙢㜳㜵㥢㜵つ攸ㅢ㠱攳挳㜵〶㈰挹挹㝥ㄳㄴ敥愶㥥㠲㤶敢搷晡㘶㘸搵搳㉥收ㄶ愴㜸收昰愳㥥㜱戵扦㈲〶ㅡ愴慢搴戳慥㜶つ戴昹ㄵ攱攷愰㤵㜱攰㔶㘸昵㙤ㄴ户㔳慣愵昸㌵㐴㝤扦攰昳㈶愷㜵〷搲捥搸㄰挲晣㍦ㄷ㑤㌴㠷愳㔱摣挳㠶㔳改㔸㈸㠲扢慡㐸㉣㠶搵㑡慣〵〵晦敡㤶㜶㈷昲〴㕦㜰㔳㜷㌱昵愲㥢愲慤攱㙦㐸晤㜷㤶㠵搷挱㌳晥捡㠶搷㤷㕣晤扤㈸㕦㕦㑡挴㙡㠸攰换〴㜳攷敦敥捥㝡㜷攷ㄵ㜷攷㔵散㙣散搰昰㥡挱㑡㍦扡ㄲ㡥慤㐷㔱攰㝦搴㡦㈲〹晤ㄸ㉢㝤ㄵ扣㤹愷戱㙦愰ㄴ愷ㅦ㠵㡢晡搱ㄳ挰戱ㅦ扤〹扢昴愳㈷愱㜰㌷昵て㕦敤㕢搰㑡敦㝡ち㔸昵㡥㉦收㍤㔷晢㌴㌱㜰㠸㜴㤵晡〰㔲㉥㐲愳㔰㠹晣㤳㡢㘷〰愹㝣㜵ㅦ〹㘸搹㉤㤰㘲㐸㤱搴昷㉦挸㥣敦愷ㅦ㐱㡢攱戶㑡㍦ぢ㙤㝤㥦攰㍦㔹㉡戶攰挷敥づ㠳㠶㐴昳愹搹㘹昸っ㍢晦㥤㥥昵㌹㍣戳ㄴ敢㌹搴挶㘷㘸㝣ㅥ敡攲愱昱慦搰㤴っ戵挱㉦㡣ㄷ晤〲㡣昲〳挸㥡慦㈷㔴晦㠲㕥ㄸ㔸〷㍤㜷攴挳攱㐱ㄸ摥摥换昰换㠰㔴㘶㜸㕢㍦㠶㠳㈴㔲捥昹昵挸㡣㙢扦㐲㥡〳㠷昵ち搲捥昹㥤挸攲㘹〴㔷愴㥡攳㜸收㤰㠸愴愲挹ㄶ捣㐹㜳㤹㜴づ㈷㝤㉣㙢扤㥡㠷㘶攲戸晢捣愴㈳昸〱㜹㍣挰挰㍤㝥㍡㤳㙤㑥愵攲㤱ㅣ㔶摣搳愹㐸戰摡戸搷慦㈱㡦㝥ㅤ㈲搸挷㔵扤㐱搵㥢㔴㌱㥥㠹㤵㈸愰㔴㕦愸攴摡㍦㄰㠷㤱扦挹㝣㠷㔹摥㠵〸〴敢〰㤰㘶㜸て㐹㥦㘶㜸ㅦ敡攲㘶昸〰㥡搲㘶搰挶㡢晥㄰㐶昹㍤㘸晤㉢㤲摥て㝡攷挴ち愰晣挲〰晤〹㘰㍣戱晡挳㉥捤㔴㌴㐰搷㐳㉢愷搰㘷㠰愹〶ㄷ昳㌹㔲昹〱㝡㌳㔷晢〵㌱㈸㡢〷愱〶㐲㉢つ㕣攳㙤攰㝦〱㔲戹㠱慢晤ㅡ㔸㙤攱晡攷ぢ㑥昳愷搰㈰㘸愵搹愹搲㡡愲㥡愲て㐵つ〴㠶晡挱㈶愷㔵㡢戴ㄹ敡㌳㜶㌸㤱㙤挶晣㉥挴㜹㕦㍡㡤摢戸㑣㈴㥣㑥㈴搳戹㘸㌳收挷㕢扡愵㔹挸ㄳㅣ攲愶晡㌲戵㤵㥢愲慤㘱㙢愴晥㍢㈷攴㌶昰㑣ㄲ㑢㙦㔱ㄸつ㈵晡晥㈸㕦㝥愴㕢晦㥡㕣㙦攷搶慢〱晡晣㈹㌶っ㕡㘹㠱昷㍥昳っ㘲㥢〱㔲戹〵摥〱戴㙣㄰ぢづ㠷㈷攱㝡㈰㌲攳ㄴ摢挱搴挳摡〲㘹㠷㔷捣㤶㔳挹㔸戲愵㌹㥢㡣挶攲攱㘸ㅡ户㉢㜸搲㤷戴㈳攱㌰慥愳㉤搶愰㍣㌴㤹㐸攲扥㈵摢ㅣ挳慤㜵㉣ㄹ㡤㈷昱晣㉦㤵挸㘰愹ㄹ㌷㌹㜶㌴㘴つ捥㐳戱㈴㘴㐷㥢㜱㘷ㄸ㙦捥挴㐲搱㐸㑢㈲ㅡ捡愱挱㔲昱㜸㈶ㅡ㑦㐵㠳㍢㥡㥡攸㉤㤱㐷て愱搸ち㈲挸㠰㉡㘱㙡㙢慡戶愱ㄸ㑡晤㑥慥㥥㈸〷捦㥣㙡〴昴㜲㜲慥〳〱㍣㌹攵攴ㅤ㑥搰づ㄰㠱攰㐸㤳搱摡ㄱ㐹㥦㤳戳ㄱ敡攲㤳㜳㈷㘸㑡㑦㑥〶㘳㐹戵㜶㠶㔱摦换㈶扥㠷つㄸ㠳扥㤱愹㈷㈹㥥愲昸㈳昵㑦愳㌶捦攳换㤱㘵㍦㈵昸㐷㘳㈸晤㜱摣㘰ㅣ㥥愴愹㥡㔰㐲㝤㐳敤㘸愴昷愸晣㙢㙢㥥搰慤㔱㜸戹㐵搱捦㥢㑦挶捦㤵㉦㈳て㝤昰㝡㐶攷攵㔲㌵搵愳扦㥥㉦挶㔶昰㤵㈶晣搴㍥㠹捡晦〷㝥搸挱ぢ愱㑥昴戸㍤㍥㍡㠴〳慥㘵ㅣ㤰敦换㌳㥣攰戳戹㜸㉦愵摤㌴㜱㐲愲㘹昲搲㡣摤挶ㄷ㤵㈰昲っㄹ慢〶戵㑦敢挶㉥㝥慡㙣㕥攷㜸㜹㝤〶攳戸㌶㤳㐸㌷攸㐷戹㍦㡥扥㔳㐱攳扥㥢挶捤㌶戳㉢㥦て扦〰敥〴戵㡤攲㑦愹て㉡愴㍣㉦攷摡愶愰挵敢㠸昰愲ㄴ㍢敢㝡散㐶愰㘳㑤㜵ㅦ㔵晡攲〶〹挵㤹搴搹㡥㕦㜰㙣攲摢戸攸つ扦㈸㍦㉤㑢〲戶昱㜹㈵收㠴搶ㅥ㠹攱ㄸち扢搲㝢㠰ㅣ㉢㠲愳戵挶㌴ㅥ搴ㄸ㙥愹㝤っつ戱搱㘵ㄴ搳捥ㄲ搹㤳〳㍡〶㠷㙡㉦戸㈶昷㑡㌳㝡换㡡㍢㠵㑣㐳㈱敡㘱ㄴ挲㠲搸㤳〲㍡㐹昴㔸㘰愸愲〳㌵捥㈴㘸㙦㘰愴ㄳ㐶㜹ㄹ收昱㥦扢戹慦㘷慥ㅡ攷㘸敡捣晦挱㜱つ㤳摤ㅣ㠷慡攱攷㡣慦㕤㜷㐲改㡢㘴㥤ㅣ戱㜱扦扣㤶摢攷㘳搵㌴攴㘸㠴搶㌹搹摥攰㥥㥣㙣昷愳㐶扥㈷摢㝤挶㔰晡扢㥤㙡㕦㜸㈲㉤㝡㉦ㅥㄵ㜶攴㈳㜱㌲搴㡥㠵㤶ㅢ戵挱㤹挰捡㠹㌹づ㕡㍤ㅥ愲㝥㐰㤰攱㌲愲㥣挰㜴㐳㜰㥥㥢㥥㐸搰㈴㡡挹ㄴ㔳㈸昶愶㤸ち㔱ㅦ㔰晢〳挸㔳㕢摤㡥扡昱㝣㘲搴ㄲ㘶收敡〰搷㜰㥢㌱っ愰〱㤹戸㝤晡㤵㍡搰戵摦㙡散つ搰㝢散〷戹昶㌵挶扥㑤戱晤㄰搸㥤㠶㍥ㄸ㝢搶㝥昰㡣摥㌴扥戱㌹㔹㝢㌳㜲昸扥ㄲ搵昴㔸扣㔴挸敤昲㤳㍢ㄶ昳摢摤㥥搳㤸晤㠹㕢㐰捦㠲㑢昵㕤㌸愷㍦慡搴㘱㐸㌴㘲挷㘹㌰㠴㔱㥡〶扢づ〰摦〶晢愵㌱っ㘹扥㌷㜲昷㠲晥㌳㙥㝣㙥挲㍢搷㕣慡㤷〵㌳昰㈴㝣ㅦ㐰ㅡㅢ搴〲愴㠵挶㙢㤰㠳㌴戲ㅡ晡㈰搶㠰搱㈷捥㠱㉥挴㥥㜵㠸㜳愰晢㌶挶㐲敡ち〰ぢ㍤晡㝢㐴㌳㑣挵㐱户ㄲ晤㝤〷㝤〸搱㤷ㅡ戴㜳戶ㅣ㐶㜴ㅢ㌰昹晥摦㙥ㄲ搲晦㡦㐴㘲搳晡㍦㐳㕢㈴㐷敦晤晦昵戱㠳㌶攳㜶昶㔸戵〴㌹ㅡ昳㜴ㄶ晡晦㉡㔴搴㤷捥㥦ㄹ㐳改㉦挳〵㤷挱㤳搰挹㈱ㄴ㜴ㅥ㠷戴搰㜹㈱㜲攴改㕣挸㐳㕥づ㤳㐳搰昱搸戳づ㜷〸㍡愰㌱搲慣㝥㕡㐴㔰ㅢ搱㉢昲攸ㄳ㠸敥㜰搰㤳㠹㍥摢愰㥤攱㘴ㄱ搱㕣㔳捦搳㜹㤲㐹〸㥤㍦㐴㘲搳攸㕣改收攸㤵捥㜱㥤㘶㌸〹㡤㔳㘷㈰㐷愳て㥤㘷ㄸ搶捡慥摤愷ㅢ㐳改て换〵捦㠴㈷愱㜳〹㡥ち㜴㌲㐸㐵攸㍣ㄵ㌹昲㜴㉥攵㈱㥦〷㤳㐳攷戹搸戳㡥㜶〸㥡搶ㄸ〹愹ㅦㄴㄱ㜴㉣搱攷攷搱っ㕥戱㡥㜷搰〷ㄱ扤挲愰㥤摥戹㥣㘸慥㘰收改扣搰㈴㠴捥㡢㤱搸㌴㍡㉦㜱㜳㔴愲搳㜹㉦搹㑢㘳㠳㙥敦扣っ㌹ㅡ㝤攸㍣搶戰㔶㐶攷㌱挶㔰晡扢㜴㐱〶慦〸㥤愷攰愸㐰攷㌵㐸ぢ㥤换㤰㈳㑦攷㑡ㅥ昲昵㌰㌹㜴㌲〲挵㍡つ扡扥ㄸ搵㘶㤰愱挵㠶㈱ㄸ㌰㍡㥤㐱㌸攳㐲ㅣ㌸愳㔰慣ㅦㅢ昸㜴挲㡦㌴㜰愷㝦㥥㐵昸㡤㜹昸㜵㠴㥦㘳攰晢㄰摥㙥攰づ晦攷ㄲ捥㈰〷昲㡦晦昰愵ㄴ㤳㤰㑢㈵㐳㑥㘸㤱挶戸ㅤ〹挰攵㠳晦摣慤昲愵搲㐱㙣㌱慥㘱慤㥢戳㔲愳〸昲慣㙢挷挹晦攳㙥㜴晥晦昴收㜱㡡㐱㈹㡤搰㤶㕥㍡ㄷ愲㔲扥㐳挷〲㘳㈸晤戹扣攰㙦攱㐹ㅡ攷㈲ㅣ〳ㅡ攷㍥愴愵㜱㙣攴挸㌷捥㉡昲昱㈰㑣づ摢っ㔰戱㉥㠱㡥㡤戳㑦㘳㌸愴㔲㐰扢㝤㌵愰㔷ㄳ晥㔰ㅥ捥㈰ㄵ敢㌲〳㥦㑥昸愱〶敥㌴捥攵㠴㍦㥣㠷㌳㔰挵扡搲挰㘷㄰㝥戰㠱挳㠰愶扦ㅡ愶㠶㈷〹㐲㤲ㅦ捦戶ㄱ慣㌳昲㐴㜲㙥㌲敢捦㈰㘷㈳ち㉢㘵㝤ㅥ慡攷换晡㕣㘳㈸晤㡤扥攰戳昰㈴慣摦㠰㥡㠰昵ㄷ㤰ㄶ搶㘷㈳㐷㥥昵㥢㘰㔴敢㘰㜲㔸㝦ㄱ㝢搶㉤搰搵㜲摡搸愲昶㌵慣㌸㕤㜶つ挱㉦攵挱㝦㈳昸㌶〷㍣つ攰㘹〶散㌰扥㤶攰㤷〱㜱摢㑣晤摤㈴愴㑢扦㠶挴愶㡤㉦慦扢㌹㝡㈵戵慡㜱㥣搳㔶敦㡤㔵㙦㈱㐷愳て㤹㤳っ㘷㘵攳换㐴㘳㈸晤㠵扦攰扢昰㈴㘴晥〶㐷〵㌲ㄹ㘲㈲㘴㡥㐷㡥㍣㤹昷昰㤰㍦㠱挹㈱昳㈳散㔹扦㠳㡥戳愶㝤ㅡ㘳㙡㡣㈱挸㘱昳㝥愲㍦捤愳ㄹ㝡㘲㍤㘰搰㌳㠰㙥㌱㘸攸搱㈳ㅦ㈲晡戳㍣晡㘳愲ㅦ㌱攸改㐰㌷ㅢ戴㐳晥愳㐴㝦づっ挹愷〳昵㠵㐹挸攰挲㈸ㄳ㕡愴㈵ㄸ㍦〲戸㝣昰㥦扢㙤㐴㌷㘷搰㠹攴散戵㐵搶晤㘰㥣攳昳㔴攷晦㜱㘷㡥㔳ㄶ㜲㌶㐲㕢摡捤㐳愸㤴㙦㌷晦㡥㌱㤴晥散㘰㤰㤱㉢搲㌲㑦愱㈶㘸ㄹ㠶㥦㐸换散㡥ㅣ昹㤶㜹㥡㝣〴㘱㜲㕡㠶㌱㈹搶㌳搰愱㘵㌰搳㠸愹㤱〰扢㠴〴昴㕦㠸摥㉣㡦㙥㈰晡㌹〷㡤㔹㑣㑣敤㘴搰㑥㍢晥ㄵ㤶〶〶㤰攰㙦攳㐹㙣ㄸ攲收攸㤵扣㝢扡ㅣ搲慡愶㡤㔳㐳㤱挳㡦戴㘱㠶㥢戲敥扣扤㌱㤴晥㌶㘱㤰愱㉡㐲摡换愸㍢㐸㘳扣㠹㤰戶㉤㜲攴㐹㕢㑦ㅡ㜶㠶挹㈱㡤㐱㈸搶慢づつ㤳ㅢ愳㌱戵㤵愱挱改㜲慦ㄳ捤ㄸㄱ〷捤㌸ㄴ敢㑤〷㝤〰搱㠳っ摡㈱敤㉤㔸ㅡㄸ㌱㠲扦㑤㈰㡤攱㈵㤲愳㔷搲慡づ㌶㔳戶挰㌸ㄵ〱摣㡦戴愰攱愶㡣戴〶㘳㈸晤〱挳㈰㘳㔳㠴戴て㔰㜷㤰搶㠲戴㤰㔶㡦ㅣ㜹搲㍥㈲つ㝢挲攴搰㌰ㅡ㝢搶挷づつ㤳ㅢ㘳捤㑡ㅢㅡㅣ搲㍥㈵㝡㑣ㅥ扤〷搱㥦㍢攸〳㠸慥㌵㘸㠷戴㉦㘱㘹㘰㠸〸晥㌶㠱㌴挶㤳㐸㡥㑡愴㡤晣摥㤹扦晢攷㠸户ち户つっ㉤昱㈳慤捡㜰㔳㐶摡㔷㥦㍡攷㙤改慦ㅣ〶ㄹ㡣㈲愴㔵攳搹ㄳ㐸㥢㠹戴㤰昶㉦攴挸㤳㔶〳愳㥡〳㤳㐳摡㉣散㔹ㄶ㜴㜲㝡㠶㥢搵㘷〰ㄷ㑥捦㍡愲ㄹ〵攲愰㘷ㄳㅤ㜰搰〷㌴〲晤㑦㠳㜶㐸敢㑦㌴挳㐸攸㠰㉡挵㜰ㄲ搷㕢挳挱㐸攰㙦ㄳ攸㍣挴捤㔱㠹㑥㜸慢慡㕡㍥扥搰〷ㄹ㘵攲㐷攷㝢㠶戵㌲㍡摦㌵㠶搲ㅦ㐹っ㌲㉥㐵攸摣ㅣ㐷〵㍡ㄹ㐷㈲㜴扥㡤ㅣ㜹㍡户攰㈱㌳㥡挳㈱㈸㠷㍤㙢㌰㜴㜲㔱㡦愹㌷㡡昸ㄹ㐲㌰㘳㐳ㅣ㌰挳㑢慣慤ㅤ昰㌴㕣㔷㕥㌱㘰愷扦づ㈵㤸愱㈳㜹㌲ㄹ㐲㤲㈷戳ㄳ〹晣㙤〲㤹㡢摣ㅣ扤㤳㌹愵㐰㈶㈳㑢晣挸㕣㘷㌸㉢㈳昳㙦挶㔰晡ㄳ㡢㐱挶愲〸㤹㍢攰愸㐰收㌱㐸ぢ㤹㉦㈰㐷㥥捣㐶ㅥ㌲㠳㍦ㅣ㝥㡥挵㥥戵㌳㜴攸㥢搳ㅡ愳㈱昵㙣ㄱ㐱㈳㠸㘶㤴㠸㠳㍥㡥攸㕤ㅤ昴㐱㐴晦挹愰㥤扥戹ㅢ㉣つっ〹挱摦㈶㤰㜶㡡㥢愳ㄲ㘹捥ぢㄵ㥥ㄹ㍢搰扤搳㘲㈸㠹ㅦ㘹㑦ㄸ㙥捡㐸晢ㅦ㘳㈸晢ㅤ㐶挶㜷ㄴ㍣ㄵ㤶慦晦㔰挹搳㈳挶㔰昶㤳㠶っ㠶昰昳昴㐰㈵㑦扦㌷㠶戲㕦ち㘴㠰㠲㥦愷㝢㉢㜹扡挷ㄸ捡㝥㠰敦㐶㜸攲㘲㤵ㅥ捦㜶挴づ㍦㐱昷㌱㤹扡搹㌵㑦㠰㤹㥢㤸㙦㠱㔶晡搱㐴㘸昵㈴〸㉣昷㌱㠲㐱㤴㤳㤹㐶㤸㤲㥢㥥㐲搰摥ㄴ㔳㈹愶㔱㑣愷搸〷〲换㝤っ㘷㤰㕥戸〶㤵㘴㉦㜴㤷晢ㄸ攲㈰㠶㕦ㄹ㐳挹㜲ㅦ愳ㅦ挴㝥㡢戱㤷㉣昷㌱㌰㐲散㌷ㅢ㝢挹㜲摦慦㕤晢㑤挶㉥ぢ㘴戳㔱㉢㜵㈷㑣㑥㠷扥〳㝢搶㕣攸㌸愷㙤㙣㡥慢敢〰扥ㄹ戵㈴ㅢ昸晤㜵愲敦〲挶㔵㈹㐶㉡ㄴ摡愶戰愰㜷ㄵ昲昹捥昴慥㌴㠶戲摦晦㘳昸㐰挱㔳愱攷㕤㔶挹搳愵挶㔰昶㔳㝡㑦挰㤳戴昲㘱慣慥摢㡣㑦㐲换㑤㍤攵㥡昳ㅡ㘸㠳っㅡ愸挱㡥㑥㈳ㄳ㥥攳昳㈱㝦ㅤ搳ㄹ愴㜵㤶挲愶挸㔱㉣愰㔸〸㔱㕦慤㥥〵㔰㜸㍦ㅦ昵挹て㉢㠷挳愸昸昸扣㜰㐸〵㜲捥愹㜴㐸㘷ㅢ㐳改て摥〵搷挱㤳㜴户㐵㉣戴㐱昱〱戹ㄴ㝡愶户搰㉥ㄶ捡㠷搹㑥㘳昲愹戹挵昷㍤攳挲㠰改㠶㍡ㅤ㔸㜷㘰て攸㈵〴昳愱户〳㝥㤵攰愵づㄸ㌳ㄹ昵㐳〳㜶㉥っ㐷ㄳ捣㘷攲㙥㝥挵㘷攳昹ぢ〳ㅦ㝤攳㙦ㄳ挶戸㜷摤ㅣ㤵挶㌸㜸㉢扥捡昲㈱㜸㠱捣挲㕡攷㠹㠶戳戲㌱㙥㠵㌱㤴晤㘲ㅥ㥦㤳㑢晦㔸捥愳㐲㌱昲昹捣搵慥㠰㤶ㅢ戵㐱㍥ㅥㄷ攲㑦㠴㔶㥦〴㠱㤳㥦㑦挷㐵㜹㌲搳つ㐱㍥捤㤶昴て〸㍡㠵攲㠷ㄴ㉢㈹㑥愵㌸つ〲㈷㍦〹㤲㘶㕢㡣扡㜹㑦㝥㍥昴ㄶ㐳㡦㌱㤴㥣晣搵慥扤摢搸㑢㑥㝥㍥㉡㤷晣㕤挶㕥㜲昲搷戸昶㈳㡤㕤㑥晥戳㔰㉢㘵挱攴㜴〱㍥㕡户捥㠱㑥㑥晥㌸㔶戴〰㜶捦昴㠰㍥㤷㘸㍥㍣㜷㔵慡㍦ㄲ㠵㈶㈹昴敦㠵挸攷㝢昲㉦㌰㠶搲摦攵ぢ昲㘹户㌰㜸ㄱ㠹㙡㔰㝣㍡㉤挷㘳㝢敢扢㡡㌵攰㐳㕥愷扥㕢㘰捦扡〴㍡慥㈱㘱㔱㈸愶㔲㐰扢㥤ㄲ㙢㐸㠴て挹挳昹搸摡扡捣挰戱攴ㄴ㔳㠷ㅡ戸㜳戵扥㥣㜰㍥㑣㜶扣て㈶晣㑡〳挷ㅡ㔲㑣ㅤ㙣攰ㅣ㈶戰㠶㐴昸搶〰戱㐰慡ㄴ㥦㑤攷捦㡦愱㈶挱昳愷㠱㑦㥦昱户昱攷〷戰搸戰挰户㠳㥢戳搷昳㘴摤て挶㐹㠶㉡捦㍤昸捥挸㔹㘸㥣挲昹㌲て㐷攱摢㌸㜳㡤愱昴攷〲㙢㥢攰挹昷㘹㤰晣㈴㑦㤳晣㜰づ摦㐴㘱㜷㡢㠲㕤戳㌶挷㘷慥晤㜲㡥㥡㡦㡣攵ㄷ㕡摡攴挵ㄳ晤昱㝢㔶㕤㐷搸㕤㌳昰戳㙤昸㐵慣戹慤敤收㝤㈲昸㌹㌷扥戱摥晤㔱㐱㉤㈹㘶戶㜲㌳扢昰㉢㠳㝤㜳搳扡昱㉡㤳㙣㕤晢慣㔴㑦㡦摤搵昱㙤㜸㈷〱㕥〵㔲挳㐶挶㐳㔴昹挹㍣摦户㜰昰昵ㅡ扥㡦㘷ㅤちぢ㝣戸扦㐵㔱捤㥦挱晡㝡㙦㈴戰㙥㐰捦㜴㕦㈳㤵昵晣戰㕢㡤㥡㡤㈶㜶㘲㐲㤶㔷挹㈵㥤戱㍦晡㈶攰慤㥢㈱晡㡣敦㙥㤷㘱て㈲愰㙦㠱㐶摥㔴㈳愲慡㌶㠴㙥㔰㝡㜰晣㘹〱扥づ慦慡昶愸搶㙣捦㐲㙢愱摤扡㘰㈱扥戴搰慦㥦晢摥ㄲㄲ㔳ㄳ㐳搶摥ㅥ㙡昳〴散摢㍥㍦搵搵㤵㕡㔶搷㍥扦捤敥㔸搰戳戰㙥晥ㄲ㍣挳挷て搲愱ㅥ㜵㜵㜵㝡つ晥㘷㔱晣愸㈴㍣搲慢扥搵愳つ敥〵つ㑦㐵㝤ㅢ戴戸㠸昳戱㉤㠷㤵晡愰ㅡ㠷㕤ㄹ㔱愶㠱〳づ扤㠳愱挷㙢㘳ㄴ㥦摦㡡㘱慡㌱㙣㐹㐳ㅤ㕦㘴慤㈶挰挶摥㙦晤ㅡ晥ち㍦㠵扡㠴㈱〱摤搵㙡㡡㑢攷㍦㈲㕢ㄵ攸扣ㄳ㔸敢㉥㠸㍥㜸㑣慡㥣慥〱㍡敦㠶挶㐳愷攲㜳㘱㈹㜷扣㈹㔷㐶㈱㌵挹㔵㡦㌳敡捤㔰㥤㠰攲戳㘳㐱㡦㌵㙡㔶㍦愰愶戸敡扤㡣㥡㤵て㈸㍥㕦ㄶ昴ㄸ愳ㅥ㈱敡愹慥㝡㑦愳ㅥ㈹敡㔹㔰ぢ㤷扦㐷ㄵ昳っㅦ〰慤ㅣ晢〳搰晡㜷愷ㄶ戸㈹敦㑥て〱㙦㍤っ㔱摣㥤ㅥ㠱挶㝢晣〷挱㍦扢㤴扢愹敦戹搵㜸ㄴ挸㝣㌵づ㜳戵㡦㜹戵㌹㘸愵㜲㡦㐳敢㕦戹戰㙦攵㥥〰摥㝡ㄲ愲戸㜲㑦㐱攳慤摣㐲昸㉦慡㕣㥢㕢㡤愷㠱捣㔷㙥㤱慢晤㤳㔷扢挴慤摣㌳搰晡㔷㙥愴㙦攵晥〲扣昵㉣㐴㜱攵㥥㠳挶㕢戹愵愵㤵㍢搶慤挶㕦㠱捣㔷㙥戹慢㝤挱慢㍤挵慤摣㡢搰㝡㕦戶㔵㍣㔲っ昷慤攰㍡攴戱㕥㠲㈸慥攰换搰㜸㉢戸戲戴㠲㘷戸㔵㔹て㘴扥㠲㘷戹摡㔷扣摡㜳㕤敤慢㕥㉤㥦㉤㐹㠳扦〶㙤攵㙡て昱慤昶ㅢ挸㘳扤〹㔱㕣敤㝦㐰攳慤昶㉡㤴㔱搴攸慢摤慡扣つ㘴扥摡㤷扢摡㜷扣摡慢㕤敤扢㕥敤つ搰㑡戵摦㠳搶扦㉢㌴昸㔶昹〳攰慤て㈱㡡慢晣ㄱ㌴摥㉡摦〴晦㐵㔵㕥攳㔶攳㘳㈰昳㔵㕥敢㙡㍦昱㙡昹戰㐳㉡昷㈹戴㤵㌹敤敢㕢挱捦㤱挷晡〲愲戸㠲㕦㐲攳慤攰㍤愵ㄵ扣摦慤捡扦㠱捣㔷昰㈱㔷晢㤵㔷晢愸慢攵㥤㔸ㅥ换㈷〱慣戶收戹㕦愳晥晤㠹摦㈰搴〷㌹㌴捦昳挲昵慣㤶慡㠷愱ㄱ㠱㠸㍣昸㈸攲敥㉦㙥㜱㝤扤挵晤搵搵搶㜹戵㕣㔹昷㔴攲㘳摦㑡昴㉢慦㐴㝤㐹㈵搶㤷㔶攲㜵户戸〶㙦㜱㙦戹摡愰㔷换㤵㙡㑦㈵摥昱慤挴挰昲㑡っ㉡愹挴㐷愵㤵昸搴㉤㙥㑢㙦㜱㕦扡摡㈱㕥㙤㌵㐸㤶㕥戴ㄵ戴晥㕤晣㔵摦㡡㙤〳扣㌵ㄴ愲戸〷㙤ぢ㡤户㤹㙡攰扦愸㤹敡愰㠸愱㉡㝡㝢㈰昳扤㠲敢挰愲ㅤ收搵㙥敥㔶㙥㌸戴晥㤵㝢搱户㜲㍢〲㙦㌵㐲ㄴ㔷㙥㈷㘸扣㤵摢愲戴㜲㕣㙥㤵㙡散〲㘴扥㜲㐳㕤敤〸慦㜶〷㔳㌹捤敢㐴㡤㝡挶户㈲愳㔸㈲慦〹㠵㡥扣㝢㐹㈵ㅡ㘱㉤㘲㘸〴ㄴ㔲㠹敦㜸㡢攳㙡愴㘸㐳ㅥ㙤㤰㉢㘱㌲㘵ち㐳㡢㈹搳〴愴捤㤴㠹敢㕤㌲㡢㜸ㅣ㌵昳㑥㤹㈶戹㠶挷㡣挱㌳㘵㥡っ㥢㜴㠷ㄸ晣㤵㑦㤹晥攰ㅥ㘴搱㤴㈹づ慣㤵㠰㈸㑣㤹㌸〳㑤㐲攳㘵㝢㡡㕢敥〳愶㕣㘷捡挴搵㌶愹攷敦㡤摡㤹㌲㑤㜵搵昷ㅢ戵㌳㘵攲㡡㥣愰敦㌳㙡㘷捡㌴摤㔵晦捥愸㐷㠰昲㠰攲慡㥤愰敦㌵㙡㘷捡挴㘵㌳㔲㝥捤搸㌷挶ㅤ㍦敥戴昱㡡㉢㘳㐲敥㌸搴搹㙤昷㈰ㄷ愰㠴摣昱搰搶昷㔱㘹愴攵㠴㈵㌹搵敡㙥昸㤴昹㔳ㄱㄹ㤳㘰搳㈴挳㤹㍢㤲㠸㈹㔴㜹㠶㉥慥㐹㐹慤搶㥡㕡㌹㐴㘴㕤昵敤㐶敤㄰㘱扢敡摢㡣摡㈱㈲攷慡㙦㌵㙡㠷〸慥㙤㠹敦㌵㐶㍤㐲㠸㔸攸慡㝦㘵搴づㄱ㠷㐳㕤㐴挴㈲㈸愴晤昷㐳㥤晤捦戸㥢攱愱㝣摡㌸ぢ㜸㙢㌶㐴昱ㄹ㌷〷ㅡ敦愱㜷㤹〲㔱㈹搹搴ㄲ㈸㠴昹㜹㐰扡捣㉢㉥㔸㠹㜶㝦㡦㌶挸〵ㅦ㘹㡦〳愰㐵㘷攷㔲㡦改散㈷㘲㔷づ晢ㅡ㜳㝣敥晤〱搷㝣挴㜰戵㌱㜸㍡晢挹戰㜹摡昳㑡昷挰㡡摡昳扢㍣㠲攲昶㍣㤴㉡㑦㝢晥挰㉤攳㔲㔳㠶搳㥥愷戸敡搵㐶敤戴㈷搷㤶愴㐶㍦㌷㙡愷㍤㔷扡敡㑢㡣摡㘹㑦慥㍦〹晡㘲愳ㅥ〱摥〲敡㌴㔷扤捡愸㥤昶㍣ぢ敡愲昶㍣ㄷち㈱搲㐶㥤昳昴㜲㤹㐶㕡㌹〷㙤攵愹挳㠵昰㕤摥搲ぢ㤱挷㙡㠵㈸㙥改挳愱昱㤲戲捡㔴挵㌴㜴㤵攲㝡㡥㔴愵つ挸㝣㔵㉥㜷戵敤㕥敤搵慥戶挳愳慤扤〹摡㡤扥つ攷晡摦搷㝣扦㕥㈷ち㔵户愰㌰晡搰㡢㍣㔵㘸㔸㘳戴㜵㙣攲〶摥扤ㄲ㈳㈹㜵ㅢ㔲搲㔴㘷㥡㌶ㄹ换散㕤㜴挶㥢㑡搶㕥㜷㌳挵㝢㐹㜱摤攳㜵晤㝢愳㜵㥣㍤攴收㔸捣ㅣ㡦戸㌹㤶㜸㜳昰㑥㉢㕦㝣〳敦戰昲㈹昵㠴㥢晦㈸收㝦捡捤扦搴㥢晦㘹㙦㡥〶摥〴ㄵ昲昳㘶㐶㙡扣㡣昹㜹て㈳㌵㍥摡㥢㥦昷㉢昹ㅣつ扣㑦挹愷ㄴ敦㌵㈴晦㌱捣晦戲㥢晦㔸㙦晥昵摥ㅣつ慦ㄴ愵㜸晢㔰昰挶㕢〰昱㜶ㅣ扤㜱收㉦戵㌹摥敢㡤戳晣㝣㡥〶捥敥ぢ㈹捥敡昳㈹昵〱㔲攲敤〴㝡晢挸搸昴㜲慦㌷㑥挰昳㌹ㅡ㌸昱捥愷ㄴ㈷捦㤲㝦〵昳㜳捥㑣㥢㍥㤱㈹散昰搳挰昹㜱㍥㐷〳攷挵㠵ㄴ攷挳昹㤴攲㕣㔷扣㥤㐴㌵愷戹戴改㤳戱攳㥥㈵つ㥣搲收㜳㌴㜰㉡㥢㑦㈹㑥㔳㈵晦て愸收っ㔵昲㥦㠲㥤㝣㝥捥㐶昳㌹ㅡ㌸ぢ捤愷ㄴ㘷㤸㤲晦㠷㔴㜳㜲㈹昹㔷㘲㈷㥦㝦㑢愳㜵扡㍤㈷㤰㠵晣㥣〸㑡晥㔳愹收晣㑦昲㥦㠶㥤㝣㝥捥昵昲㌹ㅡ㌸挷换愷ㄴ攷㙡㤲晦㜴慡㌹㐵㤳晣㘷㘰㈷㥦㥦搳戱㝣㡥〶㑥挳昲㈹挵㈹㤶攴晦ㄱ搵㥣㕤㐹晥ㅦ㘳㈷㥦㥦㌳愹㝣㡥〶捥愰昲㈹挵㤹㤳㥣戶㐷㝡㑦摢戳㠸攱挴㐶㕣㥦捤ㄴ攷㌳攲晡ㅣ散攴㕤㜳挶㔰㜰挶㤹㠲㌸㙢昷㍡㍢㤷ㄸ㑥っ挴搹㑦㤹攲㥣㐰㥣㥤㠷ㅤ晣挹㐷捤挲㥥㘰捥愷㤹ㄷ㑦挱㕣㠰㥤㝣㠱扣㔰收ぢ㙣攰〵㌲㥦㔲扣㌰㑡昱ぢ扣挵㕦㐴っ慦㘳攲晡㘷㑣昱ㄲ㈶慥㔷㘱㈷敦㥡ㄷ㠹㠲㌳づ昴㤲攳㘲慡㌹扥㑢㡥㑢戰㤳捦挱戱㍣㥦愳㠱㘳㜸㈱挵戱㍢㥦㔲㌲愸戲㘳晦ㅣ㙡㜷ぢ㉥㐲㐲㥥ㅣ慣挶㡥扥ㄴ愲㝥㐰〳㠷捣〳〱愹㕥慡㌲㠷㘵て㍢散搳㠶㥡㘱㕢搷ㅣ㌴慥晦㠵敢ㅥ㜹昹㥣愷扦㌷收戵㉦㔷慤㝡㝡晤㌹㡦㝥㜹㔷㝡捣㠳㤷㕤㜶晦昴㥦㍦晡昲收戹搵搵户㝤㍡㘳昵戱攱㈳㡥㍤㌲户晦慥㝢ㅦ㝢昰攱戳挳戳㌶ㅢ搵愷㑦摦扥扢っ㝣㘸挸㠸攰昲㈳搷慡㝢㥦摤戲㐳挹㈸㡣〲昴㘵㈸㠹ㅢ㘷ㄵ㐱㡥挶㌲扤昸〵㜶昴攵㄰㜸㍥㈸挳㉦慣晡ち〳㈵㍣挸㘱㔸慡㝤㈵愱㔷ㄱ㍡㐰挹㐸㑢㘸搱ㄱ㜲挴ㄵ攸㌵㠴㕥敢㐰㘵㔰㈵昴㤷㐸扢㕢㤰㠳慢㐰慦㈳昴㝡〷㉡攳㈷愱㐵㕥㌹㡥ち昴㐶㐲㙦㜲愰㌲㌸ㄲ㝡㌳搲敥ㄶ攴㈰㈹搰㕢〸晤㤵〳㍤〱晦㐹㙢慥挱㡥扢〵㤷㈳㈱搰㕢戱愳㙦㠳挰㘱挹㈰〷㠸扥摤ぢ攵㘰㈷㘴慤㈵慡㡦㤲挱㡢愸愲㙡㜲㄰ㄳ㠷㜷㘰㐷摦㐹攸〰㈵攳㔴ㄹ㤴攳㤵㐰敦㈶昴㌷づ㔴㠶愴㌲㈸㠷㈶㠱摥㐳攸扤づ㔴㐶ㅦ㐲㡢㈸攵㈸㈴搰晢〸扤摦㠱捡㐰㐳攸敦㤱㜶户㈰〷ㅣ㠱㍥㐰攸㠳づ㔴挶ㄴ㐲㡢扣㜲㙣ㄱ攸挳㠴㍥㈲搰〶㡥ㄸ晦搵㕥㉢㠳㄰敢昲〷㤴挴㑤㝡㉤〷㈳㘹㠸㐷戱愳ㅦ㠳愸慦㙥攰㠰昳㕦慤㡢㡣㘱愸㠲㝥ㅣ㈵㜱ぢ攱ㄳ㜴挷㌲晤㍦慣换ㄳㄴ㑦㔲㍣㐵昱㐷㡡愷㈹晥㐴昱っ㠴㤲㘱づ㌹昵㥦㤱㜲户㈰㠷㍢愱昷㉦〴㍥ぢ㠱㐱㠱㠳搸㝦昵㤰㘴㕣㘴㕤㥥㐳㐹摣㠴㕥㡥㡦㐲敦昳搸搱㝦㠵挰愰㈰〳㈲㄰晡〵〳㈵㍣挸㠱㔱慡晤㈲愱㝦㈳㜴㐰搰㍤ㅤㄴ〷㌸ㄹ㥡㠷㤹愱㔹愰㉦㐱慢㌸散㠹㘹㍢㘳㥡〰㜷㜸戸ㄱ攴昰挴挲敢㙢ㄴ挷㈴挱㙣㕢㡣㔱ㅣ愷挴㌰搴敢昷ㄵ㘸㠳敥㤰愵㌸㑡〹㘶㙢㉦收㌵㘸ㄵ挷㉥㌱つ㈹昱换攱㑡っ㕢㝡昳扣挹㍣ㅣ挴挴㌴愸㌸㑦搰㍤㐹ㄴ〷㌰㐱㙣攱捤晣㌶㌳㜳㔸ㄳ搳收挵㤹ㄵ㐷㌲㌱㙣收捤昳ㅥ昳㜰㝣ㄳ㔳㐳㜱㥥㈰〷㍡昲㠸㈷㐴ㅣ摤〴㌳愰㉣㍢挷㍣㌱搵㤷㘴攷攰㘷戲㜳挴ㄳ㑣㝦㙦昶㝦㐲慢㌸づ㡡㈹㔰㤲㥤〳愲挹捥㔱㔰㌰扡ㄸ愳㌸昰㠹愱捥敢㔷㘸攴㜰㈸㈶慢㈴て㐷㐰㌱搴㤶攵攱戸㈸愶㥡㤲㍣ㅣち挵搰愷㉣て〷㐸㌱㔵㤷攴攱㤸㈸〶攵捤㔳愵㜱捣ㅣ㈹挵昴搵挷捥攲㤱摢㈵㌹㘴㥡㘳收㌸㈹㤸㝦ㅢっ昵扡て戳㜳昴ㄴ搳㤷挵搹ㄵ〷㑣㌱㝣攱捤㈳ㅤ㠳挳愸㤸㍥㉢捥ㄳ攴㜰㘷捥〲㡥㜱㠲昹戴ㄸ愳㌸敥㠹攱ㄳ慦摦〰敡ㄲ攴〸㘵戲㜳㔸ㄲ搴㍦扤愸晥慣㌱〷㉢㌱㝤㘸㑣捥㍤㍣㠷㉦㔱㝦㘰搴捥㍤㍣〷㌴㔱扦㙦搴捥㍤㍣㠷㌸㔱扦㘷搴㕢㠲㤱㠰攲愰㈷敡㜷㡤㝡㠴愸㌹っ㡡晡ㅤ愳ㅥ㈹㙡づ㡣愲㝥摢愸㕤敡摤㌱㔲㜱㔸ㄴ挴㕢〶㈱挴て攲㘱㜰戰ㄴ搳㥢㈵㤹㌹愸ㄹㄶ㌸㤲〹收㡤㘲㡣攲攸㈶㠶搷扤㝥户㈲㠹敥㐰愷㌸戶〹收㔵㉦㘶ㅢ㤶捤ㄱ㑦㑣敢㑢晣㜲㤰攳㐴㌲愰㌸㉣挹㤴㜲㕢㘶攰〰攴攸㜹㍥㌸㝢散ち捥ㅥ捦㝣㘷㡦㘷愱戳挷扥改散戱㥢㌹㝢㙣㘴敥改敤攸㤳㡤㈹愹敤㤹㈲㈷づ㡡㐷㈱晡㘱搴戳扥㡥㕥㉡挲㝥㍢ㅣ㉡㜷㔳攲慡㑣㉢㉥愹摤挱㘰㐹愸ㄲ㠷愵搸愰敢㉥㐸慣㜳挲昴晢㍦昶敥㤹ㄵ</t>
    <phoneticPr fontId="10" type="noConversion"/>
  </si>
  <si>
    <t>㜸〱敤扤㜷㥣ㅣ挵搵㌵扣戵摡㙤㙤㡦挲づㄹㄱ㈵㈱㤱㠴挴攴㥤〱㘴攵戰㈸㑢㠸㈴㐰㑣攸㤱ㄶ㙤㄰扢慢㐴㌰ㄲ㌹㤹㘸っ㤸㙣㜲〶㘳㑣㑥㈶㈷㤳㡤㌱挶㐸搸ㄸ㌰昰〰挶ㄸ㙣挰㝣攷摣敥敡慤㤹改㔱攰昱昳晢昸攳㙤捤㕣㜵摤㍡昷㔶昵愹敡慡敡敥扢搳㌵慡愶愶收㍢㙣晣㥦㕢ㅤ㜷戶㤹戳愲慢摢㘹ㅢ㌱慥愳戵搵挹㜷户㜴戴㜷㡤ㄸ搳搹㤹㕤㌱戵愵慢扢ㄷ〰搶晣ㄶ攴㜷搵捦敦㙡㌹挲㘹㤸扦搴改散〲愸扥愶愶愱挱慥㐵晥〰敦ㅢ搶〹㥢㔶㜶ㅤ〵㔰㌵戶㐵搱㥢愲㠱挲愶〸㔱昴愱攸㑢搱㡦愲㍦㐵㈳㐵㤸㘲㈳㡡㡤㈹㌶愱搸㤴㘲㌳㡡捤㈹戶愰搸㤲㠲攵摢㕢㔱㙣つ搱㜷ㅢ㠸㝤挶㡤㥤㤱㍢っ㐷㌳愷扢愳搳搹㙤攰扥㙥㥤㐷㐶愳㈳愲㈳㘲昱㑣㜴㐴㘴户㠱攳㤶戴㜶㉦改㜴㐶戶㍢㑢扡㍢戳慤扢つ㥣戹㈴搷摡㤲㥦攲慣搸愷㘳㤱搳㍥搲挹㐵攲戹㙣㈲ㅤ㑤㈴㤳挵㑣㈶摤㜷㕢㜸㥥㍥㙥散捣㑥愷搸昵摦昲戹ㅤ㝤捥ㄸ㌷㜶挴㜴愷晢扦攵㜳㝢昸㠴换昱ㅤ㙤搹㤶昶晦㤲搳㝡戶㘹㜲扣㤳㙦㘱攳㍢㑥㘷㑢晢㠲ㄱ愸㜶〹搱㐸㌵㡤ㄸ搳搵戵愴㙤㌱晢搱㌸愷戵㜵戶㔳㤴㐶㙦ㅢ摦搵㍤㌳摢搹搶搵户㡤晣㌹㥤㑥㝢摥改敡摦㌶㘱㜹摥㘹昵㠰㕤つ㙤晢㘶㍢愷㘷摢㥣㍡敥㌴戶戹㙤搸㕣㜰摡扢㕢扡㔷昴㙢㥢摢攵捣捥戶㉦㜰〸愹㙦㥢戴愴愵愰敡敡昰愹改戵㔳㔰捤愴愱㔰㥦戶㜱ぢ戳㥤摤㤲㘲ㄳ㐶㠳戰㐶㜷㤱愳㈸愹ㄷ扢搴挰㌲㉢戶搹㥣㤶戶㈹㑥㘷扢搳捡㐲搸㤲挳捡㐰㐲㤰摢づ㍥㔳晡㜰搸㑡慡㡦㜷昲昱㔸㔸㡡㌵㄰㘲㤷㝤㍡㕢㜰㤸㑢㕡戳㥤扢㑤㙢㘹ㅦ搹ㄴ㠹散㌶戵㘵㤱搳摡攲㜴㜵㡦㑣㈳㌵㉤扢㝣㘴㌴ㄲ㠹搸㠳〰户〷搳㜰〷㠸扡㌱㤳愳ㄱ㝢〸㜵㐳㈱㔴摤ㅦ㜰戲㥢㐵昰㠴慢㥤㥦慤㥤㥦慢㥤㥦慦㥤㕦愸㥤敦搴捥㉦搶捥㕦㔰㍢㝦㘱敤晣㤶摡昹㠷搵捥㕦〴㡣摥ㅡ㝡昷慥昵戶捤て晣昲搰挷㔷捦ㅣ㜳攷ㅦ㠶ㅤ㍦戹戱攵搹㝡㥥摦昱愰攳㉤愷㜲㈲㑥挱㝣戶慢摢㙢㘵づ〴晦摤㑥戰敥㍥㌰戱㌳晦㝦摦〷㔰挸㝦愵て搸㍢㠱㈱㝢㘷〸㙢ㄷ㡡〹挵㘲㐷㘷户扤㉢戵挳㈰㤴㝡ㄵ捤捡愶㉤㑥晣搹捡〳㑥㝣㜸昲戱搳ててて㍦昶敡㘵㡡挳慤っ搹挳戱戳换昴㡥捥㌶㡣㙢搳㥣㙣晢挸㘸㌲戲摢㥣敥挲㜸㘷改挸昸㠸㜸改㤶戴㐷搰昷敥㄰㔶〴愲㝦㔷㑢ㅢ㍡ㅦ㑦攱㍤搲戱㍤散㈸㜳㘳㄰㑡㍤敦㤵㝣捤㐶愳敥㔹㜵攵㝤攳㝦昱晣晤㌷㑥晡晣换㠷ㄴ挷㜸㈹㌹㠱㥤攱㘶挹㤱ㄱ㤹㡣㉥㍡㌲㈲ㄲ㠹愶㑡戶㜴搴㑥搲㝦ち挲㙡㠲㈸㈹扤㘹て㍢捤摣っ㠴㔲㑦㜸愵㕦㍡慡敦㥣㙤㍦㝢㘸散昹扦㉤㉥晦捤改㤱㈷ㄵ晢㤴㤴扥㈷㜶㜶㉤㉤㍤㘱ㄴ㥥挴㌹㘳㙣㔱㝢㉦㍡ㅦ〹㘱晤〸挲㉣㍡㥡摥挳ㅥ挵摣搱㄰㑡㍤攴ㄵ㕤㑣摣㌱㝢晦ㅤ㘶㡦扢㝥昴昴㉦㑦摡愲昱愷㡡愳㥢ㄴ㍤ㄶ㍢扢㤵ㄶ㥤㑥ㅡ㘵㤷ㅤ㜷㉡㙥㡦㠳㠵㍤ㅥ挲㥡〰㘱ㄶ㥥㑥散㘱㑦㘴敥㈴〸愵敥昶ち晦挹㥡愹㈷摥昳换㜳㈶晤昴㡤㔹换㐶㙥扥摢つ㡡㔳愹ㄴ摥㡣㥤㥤捤挲㔳㙢㙢敥扤改㝡ち㠴㌵ㄵ挲㉣㌸ㅡ摦挳㥥挶摣改㄰㑡摤敥ㄵ晣搴愶慦晥昶攴攵て㡦㍦昶攷晤慥摦戵敤㥣㌹㡡搳户ㄴ㍣ㄳ㍢㘵㐷㥤㕣晢㔱捦愲晢搹㄰搶ㅣ㠸㝥㐶㕦换散㘱敦挳捣戹㄰㑡摤攰㤵㍤昷捡攱㕢摦昲晣昴改挷敤昱敢ㄳ户㕢㌳昴昷慡て戲㘵㜱戱ㅦ挱晢㐳㔸〷㐰昴㥥戵㈴摢㡡㘹挲㍥㤰敡㜹㄰㑡㕤攵昹昸捦㠲摦㍡捦㝤㝥摦昴㙢㔶敦搸㜲搹捤㡦づ㔵㕣㜴㐸晤て挶捥〸㤳㌸㜶㔱昳〰捡晢㙢㉡㙤ㅦ挲〲收㐳㔸㠷㐲㤸昴挵搰㘹戲捣捤㐱㈸㜵㠹㔷㝣攳㉤ㅤ㘷㥦晡敥ㅤ㔳敥扡收昴攸㠰〵㝤㙤挵攵㡥ㄴ㕦挰捥〶っ昷づ㝤ㄷ㈱慣〵㄰ㄸ敥㘳㌱㝢㈱㜵㉤㄰㑡晤捣㉢㙦㥢㙤㍥㤸晦㕣㜴捤攸ㄳ㍦㝥捥㜹昳挰ㄵ晤ㄵ㔷㔶㔲摥㈲散㤴昴㤳㘸搴敦㈸愹ㄱ㈵㈷㘶慡挹㙥愵敢㌶〸慢ㅤ挲㍣搰㈶っぢㅤ捣㕤っ愱搴㤹㕥挱ㄳて㜸昵挶㈹ㄷ扦㍣敥搲㥦㍥㜸搴扣㔹㙦㍥愲戸㥡㤳㠲㍢戱戳㤳挹㜳㉣搱愴㑦㡥㌴㤶㘴挶㤶戰扢攸戹ㅢ挲㕡〲㘱㤶㥢㐰晦㕣捡摣㘵㄰㑡㥤散㤵扢改㈳㙦㝤昴㥦㉤てㅡ㝤晥搵㉦慦ㅣ戲愴㝦扢攲〲㔲捡㕤㠱㥤搲㠱㌰㘳ㅣ戰㔱㉡㜶搳〹晢〸晡㍥ㄲ挲㍡ち愲愴攴攴ㅥ昶搱捣晤㌱㠴㔲慢扣㤲㥢㙡愷㍤㜱㔰㙣晦㌱挷て摤㝤㐲昲攸摢户㔶㕣戵㑡挹㉢戱㌳挰㍣攲㐴㑡ㅦ㜰㘴㐴搲㕥㠵㙣晢㔸〸敢㌸〸戳愴㑣㜴て晢㜸收㥥〰愱搴ㄱ㕥㐹㜷㡤㝦晦㠲㑢ㅦㅣ㌱晤摡㈷昶晡晣㡢㜷㍥扡㕥㜱㘹㉣㈵㥤㠴㥤㤲㐶㡤昹㠷ㄸ㉤㙢㔳㌴敡挹㜴㝤ち㠴㜵㉡㠴㔹㜰ㅣ㈷攰㘹捣㍤ㅤ㐲愹㉥慦攰㐷㥦㍥愳昳㤹㤳㝦扦昷昹㠷㕦㜰昴ぢ㠷晤㑦㐲㜱㌹㉥〵㥦㠱㥤㤲㠲攳晥㤹ㄳ㌰挹㥣㐹搷㘷㐱㔸㘷㐳㤸〵㌷愱㔵捦㘱敥戹㄰㑡戵㝡〵摦戱㑢昳戳ㅤ㝦扣㜵攲摤慦㕥㍣昲㜲慢㙦㙦挵㑢〰㈹昸㍣散っ㌳戹〵愳㍤攴㐶㑡㥢㌵ㅥ㑢搹㍦愳昷昳㈱慣ぢ㈰捣戲㘳㤸㘲㉥㘴敥捦㈱㤴㜲扣戲㈷㍣搵敢慥敤收㙤扦昷捡㌱㈳昶ㅤ戳㕦㥦ㄳ搴㘶挸㤶戲㉦挶㑥挹㐱慦㤵敤㑢攸晡㔲〸敢㌲〸戳攰㌸挶昸换㤹㝢〵㠴㔲㠷㜸〵晦㍥昱㤷扥挳㑦㝦㘱昲㐹㝦㝦晡㤸㜹ㅦ挶晥慤㜸戵㈳〵㕦㠹㥤㤲㠲搳㙢㙢收慢攸晡㙡〸敢ㅡ㠸㤲㠲搱扦慥㘵敥㜵㄰㑡敤攷ㄵㅣ㝥昲㜷㕢㝦昵㐸敢昴㕢㥢ㅦ摡攴攸改㉤攷愸㉤㤰㉤〵摦㠰㥤㤲㠲愳㌱㑤㜶慣㜲㉤㜱㈳㕤摦〴㘱摤っ㘱ㄶㅣ挳愰㜱ぢ㜳㙦㠵㔰㙡愶㔷昰㕥㝤㑦摥攸㡦㕦愵愶摥搱㜷攳㤷㡦㍡㙢挲㔷㡡㔷㜵㔲昰敤搸㈹㙢㘶攳ㅣ慡ㄸ㤹攳昶㉦改晤づ〸敢㔷㄰㘶搹㐹戰㝤㈷㜳㝦つ愱㔴戳㔷㜶搷㘵㉢㜷㘸㍤昶㔷ㄳ㉥扣㝤昷扥㝢㉣ㅤ㌳㐰つ㐰戶㤴㝤㌷㜶捡㈶戶㘸㕡ㅦ㌶㈶㠹昲改㍣㘵摦㐳昷昷㐲㔸昷㐱㤸㠵挷㔰昸晤捣㝤〰㐲愹戱㕥攱〷敥戰敤㤷㙦扤㝤昳昴㝢㙦㕡扣换㐷㠷摣㝦㤲摡ち搹㔲昸㐳搸㈹㘱㝣慤慢户㠷㠱戶ㅦ㠱戰㝥〳㘱ㄶ㥣〴攳㡦㌲昷㌱〸愵昶昴ち㍥㘶收㥢㤶扤慡㌸敤㠱㉦㥡㠷㐷㕦ㅥ戳㤵摡ㅡ搹㔲昰ㄳ搸搹挲㍣戱攲㍤㝤捣㝥㤲㥥㥥㠲戰㥥㠶㌰㘷敥搴ㅥ昶㌳捣㝣ㄶ㐲愹㠴㔷捣ㅦ愷散戵搷㑣慢㘱晣㙤㉦扣㝡搲戲戳㤶扤搲昷㜹㘴捦昲慥㜸挶㜷㘶㤷攱ㅡ戲攷昲㌴㌶〲慣慥捦㜵㌹㉥换㡢挹㘲㔳㌱ㅡ㉤㈴㈳搹㜸戶㝥㄰摣慥敦〵㈰㈷㠶扥挵晤㕡摡ぢㅤ换攴㡡㜰㥢戱搹㉥愷攷攲㘰㤸㤷㌷戶㘳㐹㝢愱㙢敢攰捣㌹摤搹㙥㘷慢昲扣ㅥ㈷ㄵ㘶㜳㜰扤散㜴㐹㜹摢㤵㥢敤㥢㙤㕤攲㡣㔹摥攲㘶㙦㕢㤶㡤慢攵㡥㕣昵摣㠹㥤捥攱㝥㙥㐵㡤挶攰㜶捥㔲昱㕤㜱㤴㙥㤶㕢慦㠱攳ㄶ㜶㜴㌹敤㔲扤㘱㙤㌳㕢昲㡢㥣捥㌹づ㙦〶㌹〵㌹搴捤㤸攵㕤戲て㥢搱㡥〳挵㐵㜸㘱戰愹㉤㑥㔸摥敤戴ㄷ㥣〲敡扢搸改散㕥戱㑦㌶搷敡㙣㕥〲㜱换㐴挶㠰ㄲ昵挴㡥晣㤲慥㜱ㅤ敤摤㥤ㅤ慤愵㌹㘳ち㑢戳戸㑤㔰㤸搶㔱㜰㜰㤵㕦挷慤㐶搵昴敡愵㔴捤慥㐱㤷㥥昴摢㌵㐲ㅡ挲㘸攲㙤搱收㕢㤶㜶扢ㄱ戳㜱㜴㌸㡡㔶㠷㝤戲㜶挸㍡㥣㠹㕦扡搹愵㍡搰㌸㈶摥㌹㈳㝡攷敡㘸愹愳摦㜲晦户攰摡摡㑤扣愳㥦戰ㄴ户㔲㈶㘷摢ぢ慤㑥攷㕡敦晢㈹搶挸晥㉤㐴㝤ㄴ㘷㜳㔵昶敡㠰㔰换搵㡡晡㘵㉤㠵敥㠵搶㐲愷㘵挱㐲㉥摣㜰㙦戰愱㠱搴㔶㙣昶㡢㔰搹㉦㔱扣っㄱち搵㔸慦㄰㘴㠵散㔷昹摦㙢ㄴ㙥攳㠵㙡敡〷㈳戵攱昷㙢㙡㘱㘵换晤㈱摣捣敢慡㙦挳ㅤ㠸慥㕥扤㠲づ㜸㜲戶㙢㘱㌷㝢敡摡㌳改敦㜷ㄴ慦㐳搴て㠱㔸攷敤㈰慥㝣敢㜸搷慢㕦摢㜸愷㤸挵扤㐶㌹搱㔵戶扥捤扤㝤㌵摥改捡摢扣捦搵㡣搳㘶戹㠵㍤㡣〳㝤摢㜸㈲㌸换扢挷㘷扢戳扤摢㜰挷っつ㘶〳㌴㑣慣摣㍤㕡昶ㄳ㥤戶づ㜹㈹㜸〸换慥攱愵㡦㈸㕣㑦㌸㠷㜰敡搴昴昲攴摡て〲㜵摦づ〷㘱㤵昷昹搲㍢㕦戸㈱㔷㤸攴戴敦戳㘲戱搳㐵㜸㠳戵㔶㉡换捦㌴㍡㥢㤱捦捤敤㙥㘹敤ㅡ㠱㥡㑥敡散㔸戲昸扦改㠷扥散摦㐳攸慤㝥㈷㜴攸昵㍦㈶搰㔵搳㝢㈹摢㘶晥晣㥡〶㝡愳挶晡〳㐴慦㌱㤳㌳㌶㍢㉦ㅣ㝥㠷晦㘴戳晦㠸晦㐲㌶昳慢攴搵て㐵摥㠶摣㈹慣〷扥㙦ㅢ㔸摡愷搳㤱㝢㥦つ㤲〰攳晤摡昶敢攸㕣㤴敢攸㔸挴㍥搵㕦㔲㕤ぢㅤ愷㥢昷ㄳ晢㜸昷㑦攵㍥愹㔲扤㝡㤵摣〹㌴㙥㍣㙥て晦搶㙡㠸㝥㘳㕡㕢〷㙡㡦㕤搶ㅡ愸㝡攱捥愶昵づ㜶ㄶっ㥡㌹㘱昶㍥昳㈷㉣捦戶㉤㙥㜵㠶㝢ㄷ摢挳㘷㉣敥㥥搰㌵㜰㘹㈴㌱㜰攷㔸㌲㤲㠸㐵㥣慥㕤摥扤攵戴昷㔷慥㝡昷敥㤳摦㍤昳散て㔶慥㝡敦愶㥢晥㜲昷捡昷㑥㌹昹㤳晢㑦㡥捦晥换摤㔷扤晦攰㍤敦㥥㜹挱扢㔷㕤晢㤷扢㙦晥攰晣㕦晤攵敥㥦㈰昹挹晤愷㡣㔸摥摡戵㕣㙤ぢ㌲㜹㜳敢㤷㤳晢捣扡敤昹㜳㐷摦㌶晣㜷攳㠷摤扣㜰扥摡挶换愸戸ㄳ戹ㄳ慡户㤶昹扦攴收ㅦ㉦㈱㑡收晦扥挵㠹㉤慤摤㑥愷っ昱㡤㐵晣攷摥攲㤶㜴㍦㑥㙢㥤搹扣㝢昳㜸搳攲㌸捣㙣戸愷摥扤愲㘷慥慦㤸㔹摤戱敢晦慤ㅦ㝥㜰敢〷㔹㍤㤴慣㈱搶㌲㍦愳搳㤴慤㈰搶づ㌶㍡ㄱ愷捥挰搳㕢扡搴〸㜸㉥敤㘴挴㤷㡦㐷昲攰挰挷㥢㥤㤰攸㐸昵㜵〵㍢㝢㘵㈷愵㔱搵㌹晣晦慤㠰㠲㥥㝣扡㉢愰㜷㐱㥣晤㔷㡡昷㈸摥愷昸〰㐲㙤㡥挱㠸㉢愳愹㤸つ㜸捤㜸㉢搶ㅣ敦㜳㘶戰㍦愴昸㠸攲㘳〸慣㙦㘴ㅡ挰昲收ㄳ㈴慤㑦㈱ㅡ昵ㄳ㤱㠱摥㍡㐷愹㥤愱收㕡挷晥㡣攲敦㄰㝤㍦㠷㤸㍥搹㘹挵㙡晡扦昵戴戱㝥㔷昸㕣晢愴㡦晥戳㌱㐰㥢户捤㔹搱㥥㕦搸搹搱㡥㘷扥㕣㡢㡣挹攳㜱㕤㤷捡㕡㙤㔳㍢挶㉤改戶摡㈶户攰扦扥㙤戳㥤挵㑥戶㝢ㅣ慥㤶戰搰㤹㡡愷㍣戲㡣㘹㉥㉣晦晦㜳㤹㈳户㠷㜱㈱摡戳搲㔱攵㘷慦扢攰昰攸ㅤ㌱扥〳㡦㝥ㅤ㜹敡㑤摡㉤ぢ慢搷ㅦ攰㍡愶挶晥〷㙡㜷搹㘷㌷散㌹昴㤲㕢扦昳晥㍦〶扤㔰㌶敢ぢ㔶摤㝢㕡㔴戱㉣昹ㄲ㤹㈱㥢㤰捡㘵㠹攴愹㘱挸攳搲挴㕥つ㘱㝤〳搱ぢ扤挱收攴慦㙡㔱㐲攰愴慣扣㡣㡡㐷㔱㈳㘰㌶〸㕦㥢敢㈵昵摤㝦摣搳〵㡡搲捤慥㐵戶摤㡢㠲搱〸挶改㘲戹㐹戵㍢っ攴搴攸㑤㔰〳㠴㡡㐲挵㐵戸㙤㈳愵㌷昵㑦㤴挱戵ㅤ㜵㔶ㅦ㐸昳㑥〸㥦㘳㔵㜰搲て愰㤰㑤㘸㤵㍣ㄵ㠳㉦㥦ㄳ㝢つ㔲㉥ㅦㅦ愱慣㐰㍥㍥昴㌲㉡ㅥ㤰㈵㘱㍢㠸昶㥢愳㌸昵㐱㔵㍥戶㘴㙤〶㔰㙣〵㘱昰戱㡤㥢㔴㈹㌸ㄱ㍥戶㈵㘸㍢〸㤵㠶㑡昸搸ㅥ㈹扤愹搵㈶ㅦ㠳㤰㔳挲〷㙥㝢㔶昰戱〳㐰㈱㥢搰㉡㜹㉡〳敦㐱㝣晣慥ㅡㅦ慦㜹ㄹㄵ㡦散昶㠲愷㐱昸摡扢愱㌸昵㑡㔵㍥㐶戰㌶扢㔳㐴㈰っ㍥㘲㙥㔲㡤㠴ㄳ攱㈳㑥㔰〲㐲㡤㠲㑡昸㐸㈲愵㌷昵㡣挹㐷ㄳ㜲㑣㍥昸戸慦㠲㡦っ㐰㈱㥢搰㉡㜹㙡㌴扣〷昱昱㜰㌵㍥ㅥ昲㌲㉡㥥㈳㡥㠳愷㐱昸摡㘳㔱㥣㝡愰㉡ㅦ攳㔹㥢〹ㄴㄳ㈱っ㍥㈶扢㐹㌵ㅥ㑥㠴㡦㘶㠲昶㠶㔰ㄳ愱ㄲ㍥愶㈰愵㌷昵㉢㤳㡦㘹挸㌱昹攰ㄳ挸ち㍥㘶〰ㄴ戲〹慤㤲愷㈶挱㝢㄰ㅦ㌷㔴攳攳㝡㉦愳攲搱收摥昰㌴〸㕦㝢㝦ㄴ愷慥慤捡挷㠱慣捤㍣㡡㠳㈰っ㍥づ㜱㤳㙡ち㥣〸ㅦ昳〹㍡ㄴ㐲㑤㠳㑡昸挸㈲愵㌷㜵愹挹㐷ㅥ㌹㈶ㅦ㝣㌰㕡挱㠷〳㔰挸㈶戴㑡㥥㥡づ敦㐱㝣晣戴ㅡㅦ攷㝡ㄹㄵ㑦㕣㘷挱搳㈰㝣敤㜶ㄴ愷捥慥捡挷㘲搶收㜰㡡㑥〸㠳㡦㙥㌷愹㘶挳㠹昰戱㠴愰愵㄰㙡ㅦ愸㠴㡦㘵㐸改㑤㥤㙣昲戱〲㌹收ㅤ㕦㍣㉡慡愰攳㐸㘰㐲㌶㤱㔵昲搴㕣㌸て愲攳挷搵攸㌸摡换愸㜸〸扣ㅦ㍣昱扡捦㍥㥥挵㥤㐰㜱㈲挵㐹ㄴ㈷㐳愸㘵ㅥ㐵㌷〲㌵ㄶ摦㈶摣攰㑥搷搲攴㔴㘲㑥愳㌸ㅤ挲愰攸っ㈴慤㌳愹㤳敢扢㠱扣愹ㄱ㔲㙡㝦ㄸ〹㘳㘷搱收㙣〸㜵㈰㔴㕣㑣搵搸攷㈰㔹㜵㐶㍥ㄷ㤹晥㜳改ち扥捥㐳㙥挸㈶愶㤲㉦挹㔳㝣㡡摤挳ㄷ愷㘴㜷晡㈹㔴攳㉢敦㘵㔴㍣昰㍥〴戶㠳㘸㝦㈹㡡㔳㔹㡦ㅢ㈸㑡㌷晢㜲搶收ち㡡㕦㐰ㄸ摣㕣攵㈶搵㝣ㄸ〸ㄹ㔷ㄳ㜴つ㠴捡㐲㈵摤攷㕡愴昴愶昶㐷ㄹ晥㜴㝣㍤㜲捣搳㠹て捡㉢昸戸ㄱ愰㤰㑤㘸㤵㍣㤵㠳昷ㅥ㍥搶㈰攵昲㌱扤ㅡㅦ搳扣㡣挶昲㈷昰づ㙣〷搱晥㔷㈸㑥㑤愹捡挷慦㔹㥢扢㈸敥㠶㌰昸戸搷㑤慡㈲㥣〸ㅦ昷ㄱ㜴㍦㠴㕡〸㤵昰昱〰㔲㝡㔳㘳㑤㍥ㅥ㐲づ愳戵〲敥ㅦ㍤㠲慣㤰㑤㐰㈵ぢ㤲愷昸戰㍦㠸㠵㜴㌵ㄶ㥡扣㡣㡡戸㠰㔶㜸ㅡ㠴慦晤っ㡡㔳挹慡㉣㍣挷摡㍣㑦昱㕢〸㠳㠵ㄷ摤愴㙡㠳ㄳ㘱攱㈵㠲㕥㠶㔰ㅤ㔰〹ぢ慦㈰愵㌷戵㥢挹挲㙢挸㌱㝢〵愳ち㉡㝡挵敢〰㠵㙣㐲慢攴愹挵昰ㅥ挴挷攰㙡㝣っ昲㌲㉡挲ㄵ扡攰㘹㄰扥昶㙡ㄴ愷戶慦捡挷㍢慣捤㥦㈹晥〲㘱昰昱㔷㌷愹扡攱㐴昸㜸㡦㈰㕥ㄸ慡愵㔰〹ㅦㅦ㈰愵㌷戵戹挹挷㠷挸㌱昹㘰戴㐳〵ㅦㅦ〳ㄴ戲〹慤㤲愷㤶挱㝢㄰ㅦ㝤慢昱搱挷换愸〸愳㌸〲㥥〶攱㙢晦ㄳ挵㈹扢㉡ㅦ㕦戱㌶晦愲昸㌷㠴挱挷㌷㙥㔲㌱愴㐲昸昸㤶愰晦㐰愸愳愱ㄲ㍥扥㐳㑡㙦慡挶攴㐳搵㤶昱㠱ㄸ㡣ち㍥㝡〱ㄴ戲〹慤㤲愷㝥っ敦㐱㝣晣昳摢㉡㡢昸㉦扣㡣㡡攰㡥㔵昰㌴〸㕦扢㉦㡡㔳㥦〳挶㝢〰扡昲晥晦㜶㝦搶愶㤱㠲㐱搱〶ㅦㅢ扢㐹㜵㉣戰㠳改㘸ㄳ㈸散㑤㈱搴昱㐸ちㅦ㥢㈱愵㌷昵㌷㤴攱㡦愲㕢㈰挷散ㅦ㡣ㄴ愹攰㘳〰㐰㈱㥢搰㉡㜹敡〴㜸て攲㘳㜵㌵㍥摥昶㌲㉡㐲㔰㑥㠶㈷攱㘳㌰㡡㔳㙦㔵攵㘳〸㙢㌳㤴㘲㐷〸㠳㡦㥤摤愴㘲㍣捡㘰㝣敤㕤〸摡ㄵ㐲㥤㠶愴昰㌱っ㈹扤愹㔷㑤㍥㠶㈳挷攴㠳〱㉣ㄵ㝣散づ㔰挸㈶戴㑡㥥㍡ㅤ摥㠳昸㜸愶ㅡㅦ㑦㝢ㄹㄵ㤱㌱㘷挲㤳昰挱㠵㠶㝡戲㉡ㅦ㝢戰㌶㝢㔲散〵㘱昰昱㈳㌷愹捥㠲愳挱昸摡愳〸ㅡつ愱捥㐱㔲昸ㄸ㠳㤴摥搴㠳㈶ㅦ攳㤰㘳昲挱戸㥡ち㍥㈶〰ㄴ戲〹慤㤲愷捥㠵昷㈰㍥㝥㔵㡤㡦㍢扣㡣㡡㠰㥤㥦挱㤳昰㌱ㅤ挵愹摢慢昲㌱㤳戵㤹㐵㌱ㅢ挲攰㘳ㅦ㌷愹捥㠷愳挱昸摡㜳〹摡ㄷ㐲㕤㠸愴昰戱ㅦ㔲㝡㔳搷㤹㝣ㅣ㠰ㅣ㤳て挶晡㔴昰㌱て愰㤰㑤㘸㤵㍣昵㜳㜸て攲攳搲㙡㝣㕣攲㘵㔴〴ㄱ㕤〲㑦挲㐷〱挵愹㡢慡昲㔱㘴㙤ㄶ㔰㉣㠴㌰昸㌸捣㑤慡㑢攱㘸㌰扥昶㈲㠲㕡㈱搴攵㐸ちㅦ㙤㐸改㑤㥤㘳昲搱㠱ㅣ㤳て㠶㈰㔵昰㜱㌸㐰㈱㥢搰㉡㜹敡ち㜸て攲攳攴㙡㝣㥣攴㘵㔴挴㌶㕤〵㑦挲挷ㄱ㈸㑥㥤㔰㤵㡦愳㔸㥢愳㈹㝥っ㘱昰戱搲㑤慡慢攱㘸㌰扥昶㉡㠲㡥㠵㔰搷㈲㈹㝣ㅣ㠷㤴摥搴㔱㈶ㅦ㈷㈰愷㠴㡦愰昱昴㈴㠰㐲㌶愱㤵㝣㐸㥥扡づ摥㠳昸攸慣挶挷攱㕥㐶㐵挸ㄵ慦㔵㠴㡦戳㔰㥣敡愸捡挷㌹慣捤戹ㄴ㍦㠵㌰昸昸㤹㥢㔴㡣扦ㅡ㡣慦㝤㍥㐱ㄷ㐰愸㕢㤰ㄴ㍥㉥㐴㑡㙦慡㘸昲㜱ㄱ㜲㑣㍥ㄸ戰㔵搱㍦㉥〱㈸㘴ㄳ㕡㈵㑦摤ち敦㐱㝣ㅣ㔴㡤㡦㜹㕥㐶㐵㈴搸㉦攱㐹昸戸〶挵愹〳慡昲㜱ㅤ㙢㜳㍤挵つ㄰〶ㅦ㌷戹㐹㜵〷ㅣつ挶搷扥㤹愰㕢㈰搴㥤㐸ちㅦ户㈲愵㌷㌵搳攴攳㜶攴㤸㝣㌰㠸慣㠲㡦㍢〰ち搹㠴㔶挹㔳扦㠶昷㈰㍥㈶㔶攳㘳㠲㤷㔱ㄱ㥤挶㄰㌳攱攳㝥ㄴ愷挶㔵攵攳㐱搶收㈱㡡㠷㈱っ㍥㝥攳㈶搵扤㜰㌴ㄸ㕦晢㔱㠲ㅥ㠳㔰昷㈳㈹㝣㍣㡥㤴摥搴ㅥ㈶ㅦ㑦㈲挷攴㠳㜱㙤ㄵ㝣㍣つ㔰挸㈶戴㑡㥥㝡〰摥㠳昸㠸㔴攳㘳㜷㉦愳㈲㘰敥㘱㜸ㄲ㍥㕥㐶㜱㙡㜸㔵㍥㕥㘵㙤㕥愳昸ㅤ㠴挱挷敦摤愴㝡〴㡥〶攳㙢扦㐱搰ㅦ㈰搴愳㐸ちㅦ㙦㈲愵㌷㌵挴攴攳㉤攴㤸㝣㌰摣慥㠲㡦户〱ち搹㠴㔶挹㔳㡦挱㝢㄰ㅦ㕢㔵攳㘳㠰㤷㔱ㄱ挷昷㈴㍣〹ㅦ敦愳㌸戵㐵㔵㍥晥挶摡㝣㐸昱ㄱ㠴挱挷晦戸㐹昵ㄴㅣつ挶搷晥㠴愰㑦㈱ㄴ〳晣㠴㡦捦㤰搲㥢敡㙦昲昱㌹㜲捣㥢㐴〸ぢ慣愰攳ぢ㘰㐲㌶㤱㔵昲搴戳㜰ㅥ㐴㐷㕤㌵㍡㝡㜹ㄹ攵昱㠶昵扦㠵愷つ㠸ㄳ敢〳戸㕤摣户挵㔹挶ㅢ㍦晤㡢昸㜳戳㜱㑢扡扡㍢㈴昴愶㕦㜱㝣挷昴㡥敥昱㉤㕤㡢㕢戳㉢㌶㈹㝡㍢晢㉤㜴摡ㄱ㈳搷㠹㔰戹㌲㕤挷攲挵㑥挱㉥捥改㔸搲㤹㜷㥡挷晦㄰㘲攸愴搵㄰〸愲㔴㑤慤挲昶晤挲挲搰ㄷㄴ晡っ戶㥡㝡〶㜳㤵㠷昴ㄸ捦慥㝢挲㈴挲〰㌶昶㌰扡㑦㑢㜷慢搳愷㈸昹戲摦㔰〴㡢〸㍣㉣昴㉥敥戳㄰㘱㉥攳晢ㄵ㈷㜵戶ㄴ㕡㕢摡ㅤ㌶〶㐲㉦昸㌷㝣㔳㥤〵〸㌲㥣搹搱搵挲㍦㑥敡㔷摣愷㌳摢摥戵㤸㐱㔲昹ㄵㅢ㤷愴攴㌱㘴㝤㜱㙣㑢㝢ㄷ㡡㤱㔶攴㝥㘳㜱捥挲㡥㘵昸㔳搷㈵㙤敤㤳戲㡢扢㝥㄰慤愲愴㕤㈸愴㘹㔴慤慡慤㔵つ戵つ摦户㝤慣晦攰散摡愲攷㡦〸〷愲慦㜶㜷戶攴㤶㤰㌴㈹㡢㡦戵敡㈸愴ㅤ㙢敡ㄹ㡥户㤶㄰〴〶㈲㜸攱㥦っ㙤㘴㝤㑢晥㠲㉦㌰戴捥晦ㅢ攲㙤〱户扦㐳㤵晡㌲挶㜸敦㐹㜳㥢㝢㠲㝥晦㔷㝦㤰㕢晦㌲㍣㤷㍦搸㉤敦㝤㝥㡣攵㘶〰昷㜷扢ㄱ㜵散㔵㌸㍢搱ㅢ㤸㉡敦㥡愱愲㘰搸㑢晢昷散㑥㐴㙣㕥摦攲搴㙣捥㘹挵㈳晣戶㙣㜷㝦㌷挱㜰っ晣愵㕤㤷㤷㌷慥愳慤㉤换㙥挷㉥㍢㈷㥦㙤㜵ㅡ㡡㘳㤶㜴㜷攰㙦㌹敤㈲㠴昴㑤㑦㤵㕤づ㔵㜶戹愸晡ㄶ㘷㌳敡㔸昶改慢㘳㐱戶戳愵㝢㘱㕢㑢扥㠱〹㐶〶晦㈰晡㉢〶㠰㍡㤰愹㌷㍤㥥㤴〷ㄶ戸㡦搸搱摣㈳㄰收㐰敡搸晣攸搵戵捡挲㍦昵㍤㠳㔲㌱昸挸挴㘱搷挲㕢㍤㝡ㄵㄴ摥〹昴愹扥㤳昴改㌱搰挸〰愵㕥㈵〰㕦扢ㄷ攰摣攱户敥㜷㄰㙢つ㔳散つ㐰㘸㙡㐷戶㌰ㄱ挱㕦ㅤ㥤扤扤㍦㈰㙦㐰搳㜲戸改っ㌳㜰㜴ㅣ挲㤲ㄱ敥扣戴愵攰㜴㌶㔰㌱〷挱ㄲ㜵っ㌹戵摣㌶攴〹㕤㔳㕦摦愷㈱愸慣㘶敤㙢㠸ㄷ㡡㘷晥〱㝥㜳㠵晦㡦㘶愵㐷㐵㔸慢㤰㑣㔳㜵㌸ㅣ㥢㝦㤴慤㕥㠷㤲挷㔳〶戰〸攸つ㔱捦攰挷昲戶㈹㡤攱㐴愴愷つ㔰㥤晣改㌵愳㑢ㅢ㄰㠹㈹㘱愹昵㜲㈰㝤㡣㜰㔲换㡤㈴㙤㠰つ昶摡扡慣㌹攸攵㑥㈱攴㡥戱っㄵ㘱㜳搴搶搶愱愹慤昲愸扣㡡㘲改㘲㡥㈳㜱愶㡡戱㤵㔶〳㙡摣㤷㈷ぢ晣捦㤷㍦㘷㉥㕦㐱㠴㐲㜶〸愰㥡㤰晡㈳愴㍥㜲㍥㘸昳愸改挳㈳敦换㈳㝦ㄷ捡戵㡣て㠸㙥㌰㘲扣晡〳㙣ㄵ攷戶户㜴攳搴㘵つ㈶戶㜴愳ㄲ㝤㡢㄰搸㤵㘰慣慤攴㤴㌶㡣㠶昹换㠵敤㉢戳㑡搶て摢㔵收㥢ぢ㡡㈱〱搹敥㔲挳㔸㘱慣ぢ㈴㑢㡥㠰㍡晥㤰搶㈰捡つ捥愹㜱㤷㈱㙡㘸昵㔰㌶㠳㜷㑥㈱晦㡢ㄵ㡢っㄸ昸㝤〹㜶ㅢ㠵㝦攸㐲㡤搸攷〲㠶戱㕤㙢敦㈲㐶㘴ㅦ捦扣㄰ㄷ㌱慥慥㥦ㄷ㍡摡摣摥㠵㈱㈰攴愵㌰挰昷昷㜶㘷㉣改㉥挹挹㉥摦挴换㐱愰敤㡣㜶㑣换昹㙣㘷攱〷㌲愶攳搸摣攵㠷っ捦摦㜷㘹〸㉦搸㡣㤱ㄸ㉣㤳攷昷愰摤㤰愰挸㐶攰晢㤱㙡㍦㔶戲㠱㈹晥㉤扢戴㠰晢户散戲㐶㥦改㘰㠱㡤㕦㠸㘸㜵㌶ㄱ〳㍦㈹㘳㤷㕤ㅣ㤳敢挲㝡慦㥢ㄳ戹户㈷㈷戹㕤㥣敤昰㡦摣㤷㍡㤸㜷扤扤㤹昹㙥㠴〰晢づ昸挷㉦㍦㥣搶〱㈳㜵㕥ぢ㈹㘹㈳㙢㉤ㅤ户昴㈰㜸晥㝣捦ㄶ挵㘰㕥㤴敤㝦㐶愹㥦㕦挸敤晡㔱㌵㝡㠷㙤㡢挶㝤ㅦ敥搷戲㝣挴㌸㙢㐶戰昲㉣摡㐴〷㔶扢愳㥢っ㕣㝤戵㡥㙢捣㝥扣ㅥ攸散挶㕦㠸昱㘷㈳ㅡ㜹摡戴㘲ㄲ敥㙥挱㜲慡㜵㐵晦㘲㜳㝢扥㜵㐹挱㤱戵㤸ㅥ慦㘵㐹昶㠳㘸慦㍡慥㌲摣戶㕡ぢ㉦ㅥ㈹捤昸㜵ㅤ晤ㄷ㐳摦晦愲捣づ㜳摡攳㘴〹ㅦ㈱㝢㘳㙦㝣㘳戰敡〶㠷ぢ㠷㘰戴㜱㑦戰扢晣收ち㠶戵ちㄵ挷㌳挶㝣晡ㄱ挷㜲挶ㄹ戰愹ㅤ㔳㍢㜸㔱㘷愸㈶户戸慡ㅦ㐴㍢攱㌸摤㘶戲㉣慣㐸扦攷ㄹ㐲㈷搸㜶㝢攷敢㐷て㜸㙢攰ㄸ晦㙣㜱㐷㍥昵㈱昲㜸㤹㕣㈳挱㤷戲〰攵㤵㔷㙤捦攵㤷㘲戴㌰㉦挱散㑤搱㙡㡡㘱挳扣戲挱㐴攵慥㜴㌷㠷㜶慤㉢㕤㝢ぢ户戵搵㈷㘲〵㐷㕢搲〴〹㝥搵㘷㄰㝡㥤㠴㕤搴㑢㤶㤰〳㠰戱户㠲㔰㝦て〶㙣㑤挰㌶昴挴戰搳昲挱愶㙡〴㉤っ㙡敡摢戸ㄲ㙣㘸攳㡡ㄸ愷慡㠵㍦㙢㐲㠴㌰㔶搵㔶㥦㠶捦㤱㙦㙦ぢ搴昳捦㍤㌷ㄲ晢㌵敡㑢〸㕤㐱㘳㈱户ㅤ换摦ㅥ㠲㜳㜶捤㙦〵敡摦㝡挰㘵㠴挷慢㌵㄰㤰㑤摣㍦㕡㕤攷愵慥敡〵㌳攱㝡㄰ㅤ昳㐴㜵戹昶慥㉡㜶㠰㜶慤㕣㜳挰挳攸换㑡愱㜶㐳愴㜶㙥㐲昵㠶㑡ㅦ〶㠳㠳㍣㥥㠷〲㘳敦㐸㈰㠳㔷〳〰㍢ㄱ戰㌳〱㌶〰㕣慥㕢扢㈰戵戹㕥〶ㅢ㍦㤱ㄱㄴ挶㡡搵捣㌰挰戱㈰敥㘷昸㌷㜸摣㡤晥㠷搳㍦㘳㑦换㜹㘴挰愹摢㍦挹愳㙣散㥡挶敤〱㌵〰㄰攱㙣㜷㍡㘱㕣㙡〹㘷㔱㘸搷捤ㄹ攳㔷昱挱㉦挹搰〹㜶攴换㈰搶〰㑡攲挰搸〹〲ㄹ攰ㅡ〰㐸ㄲ㤰㈲㘰㝢〰㠴㌳〶㜸〵㜲ㄶ昰搴て㥣㘵〰〷㘷㍢ㄸ晥つ捥昶愰晦㍤改㥦昱愹攵㥣㌱㈸㔵㌸戳昶〲㘴扤晢ㅥ挳㔸㠵挷㤱㜴捣㜸搶ㄲㅥ㐷㐱扢㙥ㅥㄹ昷㡡て㥥ち搳㠹收㤱挱慦〱㌴㡤〱挶ㅥ㑢㈰〳㘳〳〰攳〸ㄸ㑦㐰ㄲ〰攱㜱〲㔲㐱㍣〶㠵挸㠲挷㐹㠰㠳挷㡣攱摦攰㜱㌲晤㌷搳晦㔸〰捡㜹ㅣて㥤换攳摥㠰慣㌷㡦っ㝦ㄵㅥ愷搰昱㐴愴㑡㜸㥣〶敤扡㜹㘴扣㉣㍥昸愹ㅢ㍡搱㍣㌶㘳㉦㠰愶ㄹ挰搸㌳〹㘴㐰㙤〰㘰ㄶ〱戳〹㤸〲㠰昰㌸〷愹㈰ㅥ㠳㐲㙢挱攳㕣挰挱㈳㘳㙣戵㝦㠳挷㝤改㝦㍦晡㘷㍣㙣㌹㡦っ㠲㜵㜹摣ㅦ㤰昵收㤱㘱戳挲攳〱㜴捣昸搹ㄲㅥ攷㐱扢㙥ㅥㄹ㘷㡢て攲㙦改㐴昳㌸ㅦ㝢晡㌰㡣戱昰㘰㘰散㐳〸㍣㌴ㄸ㌰㥦㠰㐳〹挸〲㈰㍣㘶㤱ち攲㌱㈸㈴ㄷ㍣收〱〷㡦㡣捤搵ㄵ㌰㜸㉣搰扦㐳晦㡣愳㉤攷㤱挱戳㉥㡦㐵㐰搶㥢㐷㠶摢ち㡦ぢ攸㤸㜱户㈵㍣戶㐰扢㙥ㅥ㜹㕢ㄵ㥦ㅡ晢㌰㍡搱㍣㉥挱㥥㍥っ㠳挷㐵挰搸慤〴㌲㠰㌷〰搰㐶㐰㍢〱㡣改ㄵㅥ㍢㤰摡㉣㘰㑥〹〸㥡〱㡤㠷〳つㅡㄹ搳慢摤ㅢ㌴㜶搲㝤ㄷ摤ㅦて〰敦戳㜸搷搸㑢㘸收㕤㘳㉦挵㍥㘷㑢㐶攷昲㍡㕢㙦ㄵ㔷㠷敡㐴㈰㜸㠵挸攳昶搷㑦晡㈲愳散㙡㐳㥤〴㄰慦㌸昰㈳㐰慣㠵扦攴㕤攱ㄵ挷攸㕦㉥㝢㑦㝤攰愸换㥢攳ㅢ㡦㜹晥挹㥤㥥㕡ㄳ摢挲㕦㤸戱㔲慣ㄶ挳㠰愵戱㈵〴㔷捡㡥挱捣㕣㤸㥤〶㠸㌴散㤱昰慤ㄸ㉤散㌶慣户㌰㍢ㅡ摡㜵㌷㉣愳㡡昱㐱散〲攱搸㤱㐵ㄹ㘳㠹㌵戱搰改挵挲㌱挰搸㉢㔹ㅡ攳㡣〳〰慢〸㌸㤶〰㐶ㅥ㜳㘱㘶ㅦ㠷㤴扦㤶㍡捦㌰㌳ㅡ散㜸㥡㥤㐰㌳〶〰㤷昷晢换愱㜳晢晤㠹㠰慣㜷扦扦〲㘶㐲捦㐹㜴晣ぢ愴㑡晡晤㈹搰慥㥢㥥慢㘰㠶て挲戲改〴㍢昲㘵㜴戱㍥㝡愳摦㥦〶㡣㝤㍡㠱搷〴〳㝥㐲挰ㄹ〴㕣ぢ㠰昴晢㌳㤱ちㅡ㍦㠲㘲㤰搱昱捦〶ㅣㅤ晦㐶挳扦挱攳㌹昴㝦㉥晤㌳㜰㔸㜸散㜹ㅣ愶ㄸ㉤散昲昸㔳㐰㌶攴ㄱ㡣㘲㡣戱㜰㜹ㅥ㥤㌳搸戸㠴换昳愱㕤㌷㤷っ㑡挶〷ㄱㅦ㜴愲戹㘴㘴戲收㌲挲㠳㜳搷晦ㄷ〲㘳晦㥣㐰㐶㉤〷〰㉥㈲攰㘲〲ㄸ挸㉣㕣㕥㠲㤴㜱㝢ㄶ㍦㍦ㄶ㜰㝢昶㌲㠰挰攰㈳㠶㔷㠳挱换改昵ち㝡㘵搰㜱㜹㑦㘴愴戱㝢㔲㜲㐵㈰ㅢ㑦㑡㜳㌵捡㌸㘴㘱敡㑡㍡㘱㐰㜲〹㔳㔷㐳扢㙥愶ㄸ戸㡣て㈲搸改〴㍢昲㘵昴戲㈶挲攸㜵搷〲㘳㕦㐷㈰㈳㥢〳〰搷ㄳ㜰〳〱っ㜶ㄶ愶㙥㐴㉡愸搷〵挵㌸愳搷摤っ㌸㌸㘳戰戳昶㙦㜰㜶ぢ晤摦㑡晦慢〱㈸攷㡣搱挸㙥慦扢つ㤰昵㍥㝢ㄹ扦㉣㍣摥㑥挷㝦㐱慡㠴挷㍢愰㕤㌷㡦㝦㠵ㄹ㍥㠸愳愷ㄳ捤攳㝢搸搳㠷㘱昰㜸㈷㌰昶慦〹㘴㐴㜴〰攰㉥〲敥㈶㠰㐱搲挲攳㍤㐸〵昱ㄸㄴㅢつㅥ敦〳ㅣ㍣㌲㐸㕡晢㌷㜸扣㥦晥ㅦ愰㝦〶㌴㤷昳挸㈸㘶户敦㤱㐷搹捡晢ㅥ㘳㥣㠵戳㠷攸㠴挱捥㈵㥣㍤〲敤扡㌹㘳㔰㌴㍥㌵昶㙦攸〴㍢昲㘵㘴戴慥戲挱搹愳挰搸㡦ㄱ挸愸改〰挰攳〴㍣㐱〰ㅦ㝦〹㘷㑦㈲ㄵ挸㔹㐰晣㌴㌸㝢ㅡ㜰㜰搶ぢて搳戴㝦㠳戳㘷攸晦㔹晡㘷搰㜳㌹㘷㡣㜴㜶晢摥㜳㠰慣㜷摦㙢㠴㤹昰昸㍣ㅤ㌳㐸扡㠴挷ㄷ愰㕤㌷㡦っ愶㈶㜵昶㡢㜴愲㜹摣〴㕡㝤ㄸ〶㡦㉦〱㘳扦㑣㈰愳慤〳〰慦㄰昰㉡〱っ挰ㄶㅥ㕦㐳㉡㠸挷愰戸㙢昰昸㍡攰攰㜱㠰攱摦攰昱昷昴晦〶晤㌳㔸扡㥣㐷㐶㐸扢㍣晥〱㤰昵收㜱㈸捣㠴挷㌷改㤸挱搵㈵㍣扥〵敤扡㜹㘴㄰戶昰昸㈷㍡搱㍣㌲ㄲ㍢㠰愶户㠱戱㔷ㄳ挸㈸敤〰挰ㅡ〲摥㈱㠰㠱摢挲攳㥦㤱ち攲㌱㈸㕥ㅢ㍣扥ぢ㌸㜸摣摤昰㙦昰昸㔷晡㝦㡦晥ㄹ㘴㕤捥㈳㈳慢㕤ㅥ摦〷㘴扤㜹摣ㄳ㘶挲攳〷㜴捣愰散ㄲㅥ㍦㠴㜶摤㍣㌲㜸㕢㜸晣㠸㑥㌴㡦㡣攰づ愰改㘳㘰散晦㈱㤰搱摤〱㠰㑦〸昸㤴㠰㌱〰〸㡦㥦㈱ㄵ挴㘳㔰㥣㌷㜸晣ㅣ㜰昰㌸挱昰㙦昰昸て晡晦㠲晥ㄹ㥣㕤捥㈳㈳戲㕤ㅥ晦〹挸㝡昳㌸ぢ㘶挲攳㤷㜴捣㘰敥ㄲㅥ晦〵敤扡㜹㘴搰户昰昸㙦㍡搱㍣㌲昲㍢㠰愶慦㠱戱扦㈱㤰㔱攱〱㠰㙦〹昸て〱っㄴㄷㅥ扦㐳㉡㠸挷愰昸㜰昰㈸搱づ㈱㌵捦昰㙦昰㠸㈷摤㠸㉥㠰㔰っ敡㉥攷㤱㤱摣挲愳㑤ㅥ㘵㡢㐱㥡敢㤹〵㠰〸㘷晣㐹㙤挵㠰敦ㄲ捥㝡㐳扢㙥捥ㄸㄸ㉥㥣㌵搰〹㑡㤰㉦愳挳〳㈸攱㙦昳摢㈱〲ㄹ㌹ㅥ〰攸㐳㐰㕦〲ㄸ㑣㉥㥣昵㐳㉡㠸戳愰ㄸ㜲㜰搶〸㌸晡摥攱㠶㝦㠳戳㌰晤㙦㐴晦っ晣㉥攷㡣搱摥敢攰㡣戱攰挲搹㈶㜴挲愰昰ㄲ捥㌶㠳㜶摤㥣㌱㜸㕣㌸摢㥣㑥㌴㘷慢愰つ愰㘴ぢ㘰散㉤〹㘴㜴㜹〰㘰〰〱㕢ㄱ挰㠰㜳攱㙣㙢愴〲㌹ぢ㠸㌳〷㘷摢〲づ捥ㄸ㔴慥晤ㅢ㥣㙤㐷晦摢搳㍦㠳挳换㌹㘳㐴昸㍡㌸㍢ㄷ㄰攱㙣㄰㥤㌰㜰扣㠴戳ㅤ愰㕤㌷㘷っ㌰ㄷ捥㠶搰㠹收㡣㔱收扡捡挶㥣㍢ㄴㄸ㝢㐷〲ㄹ㠱ㅥ〰搸㠹㠰㥤〹㘰㔰扡㜰戶ぢ㔲㐱㥣〵挵愲㠳戳㘱㠰㠳㌳〶愵㙢晦〶㘷扢搱晦㜰晡㘷〰㜹㌹㘷㡣ㅡ㜷挷戸ㄱ㠰慣昷ㄸ挷㌸㜳攱㜱㜷㍡㘶挰㜹〹㡦㔱㘸搷捤㈳〳搳㠵挷ㄸ㥤㘸ㅥㄹ㥤慥て挳攰㌱づ㡣㥤㈰㤰㤱敢〱㠰㈴〱㈹〲ㄸ捣㉥㍣㌶㈱ㄵ挴㘳㔰っ㍢㜸捣〰づㅥ敦㌰晣ㅢ㍣敥㐱晦㝢搲㍦〳捦换㜹㘴戴戹摢昷昶慡㌶挶㌱ㄶ㕤㌸ㅢ㐹㈷っ㑡㉦攱㙣ㄴ戴敢收㡣挱敢挲搹㘸㍡搱㥣㌱㠲㍤㠰㤲㌱挰搸㘳〹㘴㜴㝢〰㘰ㅣ〱攳〹㜸ㅣ〰攱㙣〲㔲㐱㥣〵挵戹㠳戳㐹㠰㠳㌳〶扣㙢晦〶㘷㤳改扦㤹晥ㄹ㥣㕥捥ㄹ㈳搲摤扥户㌷㈰敢摤昷ㄸ挳㉥㍣㑥愱㘳〶戳㤷昰㌸つ摡㜵昳挸愰㜷攱㜱㍡㥤㘸ㅥㄹ昹慥て挳攸㝢㌳㠰戱㘷ㄲ挸愸昸〰挰㉣〲㘶ㄳ挰㐰㜹攱㜱づ㔲㐱㍣〶挵挷㠳挷戹㠰㠳㐷〶捡㙢晦〶㡦晢搲晦㝥昴捦愰昶㜲ㅥㄹ挹敥昲戸㍦㈰敢捤㈳㘳摦㠵挷〳攸㤸㐱昰㈵㍣捥㠳㜶摤㍣㌲㔸㕥㜸㍣㠸㑥㌴㡦㡣㤸搷㠷㘱昰㜸㌰㌰昶㈱〴㌲㥡㍥〰㌰㥦㠰㐳〹㘰㠰扤昰㤸㐵㉡攸㡥㙤㐰㕣㍤㘸捣〳つㅡㄹ㘰慦摤ㅢ㌴ㄶ攸摥愱㝢㠶攲㑡戵㡢㑣㜹搵慥慦挵愹㕢ㅥ㈵㔸ㄱ挱㈹㈵ㄴㄹ换㌹愷㝢㐵㉢攲㘷戹换愸㐱㜷㡦㑦㝢ㄱ〶〵ㅤ㘲ㄹ㍢㍡敢㄰敢㔵晥慢㘳扥敤昳㈸戸捦愶㘵扦捡㉡㘶捣愹㐱㙤敡㉦晣扡昲㤷㐷㝤㝢㔶扣攷㜷ㄹ挵〶ㅡ㙢㈱慡戸改戴㤶㝣㘷㐷㔷㐷戱㝢攰ㅣ挴㠷て攴慦摣攲捦昴㈳㘳敡捦㠷挷挰㌲㜹㘰㜵敤㝣慤捣㔲晥搴㘳㘸㔱㝢挷戲㜶愹㑤㝤ㄷ㝦散㔷昸敡摤㥢挵㠴昰㤵㙤〷㤰ㄷ敥㠵㡡㠶㤱戴て㠳㡢㝥㡤攱㍡愴昱愹戱ㄶ㈱㍤㜴摣搸㜱戳攷㐷㈳挹㘴㍡㔲㡣㈵㘲愹㘴㈲㤷㐹愵㤳㑥㍡㥦㡣㈶戲㤱愶㜸㌴㥤㡡㕡慤㍥㌴㤷㈹挶㥡㥣㔴慥㤸㑣挶ㄳ愹㔴㌶㤳㑡挴㌲㌹㈷㔹㐸ㄷ㌲㤱㘲㉡㘱戵昹搰㑣㤳搳㤴㉢㌶㐵㡡搹㝣㉥攱挴昲㔹㈷㕦㈸愶㤲搹愶ㄴ㝣㐷昲戱㜰扤㔷ㄳ扢ㅤ㌶㜶〷挵㘲㠸戰愵昵㠷㔳搵㐹搱㐵㝤㙦慤ㄷ愸ㄸㄱ㕦ㅦ㠲㝥㝤攳㌸㠱慦㔱㌹㤵㔷〵攵搴昵敥㕤ㄱ摤㔷ㄱ晦挹㈸㙣昹搹㔰换㘲昸㘷晤㈹㘸愰昲㤰挰㘰愳搲昶愷㌱扡㜵㡤扤㥣挷戳〲㈲ㄴ敥攳ㅤ㤰㜵〴㤲ㅢ㡤ㅢ㍢扦昴㜵㐲搶㤱㔰昷㠵㕡㠲㔶㘶攳㠷㠳慤愳愰改て㡤ㄱ敦ㅥ敥慢㘹㌹ㅡ㤹昶㘰㤶㌱㠸㌵敤て㝤㜹㑤㡤搸㜳㈳㜸㤱戱挴㘱㈳愲㔴㡥㜹愳愲昷ぢ㥡㌳㄰摡搴㑤搵て㈱㈰愶捥つ㌰㕢㘷㜳换㈱捣㍢㤸慣㤷㜳㔰摡㕡摥戱㐹ㄳ㝦扦昰㥡㔰晤捡㜵昶〹㕤㑡㘵㥦㐰㈳攱慦㡤㔶愱改昸挴愷ㄱ㐹㌹㤳㡦㠵㐲㙦昵㘱㘸搷㍦㑡㡢昶㥢昴㠴㙡㌳㈸㝦㔸㉢〲搶搶攳㙦㈰㡥㐳愹㙡㘳㕤㠷攳㤱㘲㤷攵㔷㙤慡戵㈷㄰〳つ搲〸搷㠰攴戸慣㡥〰〵ㅣつ愱慣戱㑥〲愴敡㄰愷㤶〳挶㘱慥㘴㤸㔲㕢㘸晦愷挰搸愲ㄷ㝣挳㕢㐲㉢㠳搷愹搰摡愷㔱㥣㑥昱ㄳ㡡㌳㈰晡昵〹て〰㠶㕢㜸㉢扤戳戵摥搹挶摢㘹摣ㄶ㍢㉣㡦㑥晦慢㕢㜸㍢㜸㘶㈹搶㤹愸㑤挰㌹㝣ㄶ搴愵攷昰搹搰㤴㥦挳摢㝢㕥散㜳㤰㈹㙦㔶㤲㜷㉣愹㐱搰㑢㝦㌸て㝡敥挸㜷〷㘸㠵昵挳㑣搶捦〷愴㍡敢ぢ㠳㔸てて㠱㈷攱昷㐲ㄸ㘳㜲ㄸ㑡捦㍣㥡㥦㈳敤㑥づ㤹㜴㍥ㄵ换愷㜳愹㜴愲㈹㠱㘱㍢㤳换㘴昳㤹㐸㌶攵ㄴ㔳㔱㘴㕡ㄷ昹搰㐸㌶㤱捡㐶㔳㤱㙣㌶敤㈴搲昹㐴㌶㤹㜴㤲㑤づ㉣㥣愶㘴捣挹㠵㜷昴摣摢ㄷ挳挶扥〴㈲扣㤳㔶㕤㑡搵㘵㔴㌱搰㠸㤵攸㐱愹㘱㔰㜱㤸㔷㠷攰㌰㌸〴㘳扦挶扥㤲㈶㔷㐱㠴挲扢㐱㐱㥤㜵㌵㤲〱捤㜰つ搴愵捤㜰㉤㌴攵捤㌰摣昳㘲㕦㠷㑣㜹摤㤴扣㜸㑡敤づ扤㌴挳㡤搰晢捤㄰㠵㔶㥡㘱ㅦ愳ㄹ㙣㌶〳愷㜲㌵㍢㤰昱ㄸ㡣㠴昱㕢㠱〳攳㜱㍡㘱挵㙦㐳摡㘵㍣ㅢ㐹㐷㤲㑤搹㜸㌲㕥㡣㈴ㄲ昹㔴㉥㥤㜲㥡㘲愹㕣戴㈹敦㘴ㄳ㤱㈶敢㜶ㅦ㥡㑦挶㔳㑤改㘸扡㤰㡡挴ㄳ㤹㘴㌴㥢挹㈵㘱㤰㉤攴㥣戴ㄳ㡢愴挳〹捦扤晤㑢搸搸㜷㐰㠴㤳㕡搵挳㜸㑡慢〸㄰愸捡㐰㈵㡣㑦㌶ㄹ扦㠷昹昷㐲㠴挲㝢〰㠰て㕥攱㐱ㅤ昹戵㐹㘹㜸㑦慤㝦㤰慡ㄴㄱ晣㘵㐱㌵ㄲ㝡攱昰ㄱ攸㝤づ㐷㐱㉢ㅣ晥挸攰搰㝡ㄴ㤰敡㕤㜹慦㐰㘲㐷挳㤳㄰晢㌸㡣㐱散ㄸ㝡㈶戱㑦㈰敤ㄲ㥢㉦㘲㐵㤳挸挴㤳挹㙣㍣㤱㡥㐷㜳昹㜸㈴㤳㉡挴㘲㤹㘸捣㠹挶㔲搶㤳㍥㌴つ㐴㈲ㄲ换戳〳㈷昲搱㔸㈶收攴昳戹㘲㉡搶㤴㠸愶㡡挵愶昰㔸捦扤晤ㄴ㙣散愷㈱挲攳戴敡ㄹ慡㥥愵㙡扣㔶ㄱ㈰㔰㌵〹㉡㈱㌶㘶ㄲ晢〲昳㕦㠴〸㠵ㄹ㤰㠴㑦㡤昵ㄲ㤲〱㕤昹㘵愸㑢扢昲㉢搰㤴㜷攵㘶捦㡢晤㉡㌲攵〵㘲昲㉡㌱㌵〵㝡㘹㠶搷愱昷㥢㘱ㅡ戴搲っ㍢㥢捤昰〶㈰搵㥢㘱挷挰㘶㤸づ㑦搲っ㙦挲ㄸ捤㌰㠳㥥㜹㌴㝦㐴摡㙢㠶㝣㌲㠹扥ㄹ㜳戰㐰㑣㌴㘱攱〸敡戳戱㘲㈴搲ㄴ㠹愵㥢昲㌹敢㉤ㅦ㕡挸㈴戳昹㔴㈴ㄵ捦ㄶぢ〹㈷ㅡ㑦㌷攵㔲昹㔴㌶ㄹ捦愶愳㜹扣攰㈴㍣搳㜳㙦晦〹㌶昶摢㄰攱㔹㕡戵㥡慡㌵㔴捤搶㉡ㅦ愵收㐲㈵捤戰㡤搹っ敦搲攴慦㄰愱昰扥〰攰㔳㘳㜳㘰户㌹㡣摢ㅣ戹挳晢㘹晤摦愸ㅡ㑦挴㌸〸㜵〰昴㐲散挷搰晢挴捥㠳㔶㠸摤搸㈴昶ㄳ㐰慡ㄳㅢづ㈴昶㈰㜸ㄲ㘲㍦㠳㌱㠸㍤㤸㥥㐹散摦㤱㜶㠹㑤㘲愸㠸㐷㡡昹㜸㌴㠱晥㥤㜱㐰㙣〴晦愱愳㘳摣㉥愴㡢搶攷㍥㌴㤵㐳捦㡦愳ㄹ戸㠲㙦挲慡扦㄰挵昰㡥ㅦ㐷捦㈷愲㔸摡愷挲㠷㜸敥敤㝦挰挶晥〲㈲㍣㕦慢晥㐹搵㤷㔴ㅤ慡㔵㍥㑡攵愱ㄲ㘲㉤㤳搸慦㘹昲つ㐴㈸㕣〰〰㥦ㅡ敢㕢㈴〳晡昷㝦愰㉥敤摦摦㐱㔳摥扦ㅤ捦㡢捤㘰ㄵ㜹㔵㥣扤㌷㥢㘱〱昴搲っ扤愰昷㥢愱〵㕡㘹㠶㙦晥㙤慣㔳敡〱愹摥っ晦〶戴㘲㥤ㄲ㍥っ㥥愴ㄹ㝡挳ㄸ捤戰㠸㥥㜹㌴つ㐸扢捤㔰㡣㐷愲昱㔸㍥㤱㙡㉡㈴ㄲ搹㐴㍥搷㔴㉣㐶搳戱㜸㌶㠹㌱㈴㔳㈸㕡㝣改慣ぢ㡤㈵㥤愶㔴㍡ㄷ㜳搲㘸㠳㘲㈲㤷捤攷愳㑤昱㝣㉥㤷㉤㈶ぢ㤸㑡挳慤㥥㝢㍢〴ㅢ扢て㐴戸㑤慢晡㔲搵㡦慡㜶慤㈲㐰愰敡㜰愸愴ㄹ㍥挵㘱昸㌳收㐶捣摦ㄸ㈲ㄴ敥〴〰ㅦ扣改〲散摡ㅣ㔴㙣㡥㈳攱㉥慤摦㥣搸搹㐴捣㈲戱㑢愰攷㈵㐵㐸扤〷㡦㕣昲搲㍡㘴㙦㐵㙦㔸扡㉥㐵㔲㠸㌷㤷慥㙡ㄹ戴㕣扥摡摢〰愶㔶㘸捣戶㐸㤱㌵㝥搵㤱㕡扢ㅤ㌱搰㌴㔰㝢㌴戴搲㘴㙢㡣㈶戳戹戴㤴搹昵敤挰搶昹㌱㡣愴㜵〶挳㤵扤〳挵㄰㡡愱ㄴ㍢㐲㘰扤㜸っ㌰摣挲㉢昵捥㉡扤㜳慣户搳㜸ㅣ㜶晥㙦搶㡢挷挳㌳㑢㈹ㅦ㔶㑥搰晡㕤㔹搵晤㠹搸て㐲㥤〴扤搰㍡ㅣ㝡扦㍦㥦〲慤㤰昳戲㐹づ愷㑤㈱攷挵㐰㜲㑥㠵㤱㤰ㄳ㈵ㄱ㡤攱搳攸〴〶㔶っ㘹户㍦收㌲挹㔴㈲攳㌸昱㐸捡㐹㘴搳戱㙣愱㤸捥㘳㐰㐹㐴㡡挹ㄴ晥㔹㜱ㅦ㥡㙦挲ㅤ㠰㙣ㄶ㉦挶㡢愴ㄲ㐹っ捤㘹㈷㤳捦挶㡢攸昶㜱っ㌷㠹昰改㥥㝢㍢〱ㅢ㍢〹ㄱ晥㠹㔶昵捣㤰㘷㘸ㄵ〱〲㔵㘷㐳㈵㕤昷〹ㅣ㠶摦㜵昷㘴晥㕥㄰愱昰㌹〰攰㔳搱㜵捦搵晡搱挴昲㜷㈰攵㑤㠸敡㍣攸㠵挳㜱搰晢ㅣ㥥て慤㜰㜸扦挱愱㌵〱㤰敡㘳挲扤㠱挴㌲㤶㐹㠸㥤〴㘳㄰㝢愱㔷て㙢㌲搲㉥戱戸扢㠲昷㐱㘱昹搶㔴㠸㈴㥡愲昱㙣挲㠹愷㤳挵㔸戶愹㈹㤶捤㐵㤳㔶戳て㉤收ち㤱㐲㔳戲㔸捣ㄶ昳㠹㐸愶㈹㤷㑥㌶ㄵ㜲㐹㑣㤳愹扣搳㤴㐹㕢㝢晢搰㜴㉥ㅥ㙢㑡挵㔲愹㍣㙥戱挴㘲挹㜴ち㌷㜰㈲㤱㝣㔳㍡摢㠴戵㑤㌶晣㜳慦㈶昶ㄴ搸搸㔳㈹愶㐱㠴㉦搲晡改㔴捤愰㤸㐹晤挵㕡㑦㤴㡢愷愵扡っ㝡㘹㤲㥢扣㈶㘱扦戱攷ㄲ戴㉦㐴㈸㝣戹㌶攴愰㙥㜳〸户㌹㙡㠷慦搰晡〳㠹挵㍤㉥摣攲㠳㔰㔷㐲㉦㑤㜲㌰昴㝥㤳㕣つ慤㌴挹㉦㡣㈶戱戹っ㤱㙥㝤㜹㈰晢搷挰㐸搸捦挲ㄵ搸扦㤶㑥㘰㘰攵㤰昶㐶攴㘲㈴㤳㡦㘷㡡㔸㜳㈴㌰搵㘵㜲愹㔴〱ぢ㐰㉣戳搱搵㜱㜳捡捡晢搰愸〳㑥攳戹㐲扣㤰〴ㄶ㠳㜷㈲ㄱ㡦㘶㜲昹㉣散㤳挹愶㑣㤸㔱㔶㜲昴〵搸搸づ㐴昸㝡慤敡㔹㜱摣愰㔵〴搸㠴慡㥢愱ㄲづ㝦收㜱㠸㌴㝥ㅥ㡢昹慤㄰愱昰㉤㔰㠸慥㙣挵㜱慢搶㉦㈶戶㡤㔶晣㔹㑣㜵㍢昴挲㘱ㄷ摤㔳挳敦ㅤ搰ち㠷愷ㅢㅣ㕡㑢〰愹摥慤㑦つ㈴昶㔷昰㈴挴㉥㠳㌱㠸扤㤳㥥㔱㠴戵ㅣ㘹㤷搸㝣㈲㤳㡢㘶搰㤷㜳㐵㈷㔱捣㈶㜲㈹㈷㤹㐷㑦㙣㉡㘴攲㑤㑤㑥挱㕡攱㐳㜱㐷㌱㤶捦㌷㘵㔳㤱㘸ㄴㄷ㌵㐵㉥扥㜱愷㌱㤹挹㘴挰㜲㈱ㅤ晥戵攷摥㍥〲㌶昶㤱㄰攱扢戴敡㈸慡㡥愶㡡戱㔷㐲㍦〱〲㔵昷㐱㈵挴慥㌴㠹㕤挵晣㘳㈱㐲攱晢〱挰愷㘲扣㜸㐰敢㑦㈴㤶扦㠸㈹㉦昶㔴て㐱㉦挴㥥〲扤㑦散㈳搰ち戱㑢つ㘲㙤ㄲ㉢㥤戳㍢㤰挳摦挰㐸㌸晣〹㜰攰昰㔱㍡㠱㠱㜵〶搲㉥㠷挹㜸戲㄰捤㘷㌳戸搶㡢㈷昲㑤挵㜴㈴㕢㜰戲挵㌸扦昱㜸愶㘰㥤改㐳㐱㕥㌲㥢捣㐷㥣㘴㍣㥦挸㘷愲㘹㉣搷㔲㤹㝣㈱㥦捥㘷㥣㘴愴㄰㝥捣㜳㙦㥦〵ㅢ晢㙣㠸昰攳㕡搵挳攱ㄳ㕡攵愳搴搳㔰〹㠷㠷㤹ㅣ㥥㑦㉦ㄷ㐰㠴挲捦〰㠰㑦〵㠷捦㙡晤挵挴昲㔷㌴攵ㄵ愵敡㜹攸㠵挳换愰昷㌹㝣〱㕡攱昰㔰㠳㐳敢ち㐰慡㜷捥㐳〲㠹㝤ㄱ㥥㠴搸㉢㘱っ㘲㕦愲㘷ㄲ㝢ㄵ搲㉥戱㠹㙣㈱㕢㡣挵㡢改㌴㙥㑣攳㐶㜶扡㔰㡣㠳摡㤴㤳㑤㐶ぢ戹㘲挴扡摡㠷挶㜲㐵摥戴挰昲㉣㡡摢ㄶ昱㐲㌶㤲㑣㘵愲挵っ〶攱㐴㍡摡㤴ち扦散戹户慦㠱㡤㝤㉤㐴昸ㄵ慤扡㡥慡敢愹㝡㔵慢〸㄰愸㝡ㅤ㉡㈱㜶ㅦ㤳搸㥢㤹㝦ぢ㐴㈸捣愸㉢㝣㙡捡ㄷ〴㙦㘸晤㉦㠹㍤㤶㠸㔵㄰敡㑤攸㠵搸㍢愱昷㠹㝤ぢ㕡㈱㜶㙦㤳搸扢〰愹㑥散攴㐰㘲晦〴㑦㐲散㍤㌰〶戱㙦搳㌳㠹扤ㄷ㘹㤷㔸摣捥挱改㡢㉢㘱㕣㈰㈷㌲ㄸ㑥㡢改㈸㉥㌲㜰慤㥣㈸攰㙡㍡㙤摤搷〳挵㠵㜳㌲㤲㉥ㄴ㜰ㄷ〸ぢ㡡㘴㈶ㅢ㐵㥢㈴ぢ㑥㉥㥤㡦挴戳搹昰㙡捦扤㝤㍦㙣散〷㈰挲㙢戴敡㐱慡ㅥ愲敡ㅤ慤㈲㐰愰敡㕤愸㠴搸ㅦ㤹挴㍥捡晣挷㈰㐲攱扦〲㠰㑦㐵㡦㝤㑦敢㥦㈲㤶扦敢㈹㙦㥣㔵ㅦ㐰㉦挴㍥ぢ扤㑦散㠷搰ち戱〹㤳搸攷〱愹㑥㙣㉣㤰搸㡦攰㐹㠸㝤〱挶㈰昶㘳㝡㈶戱㉦㈲敤つ〵㠹㑣㌱ㄷ㐹㈷ㄲ搱㕣㍡ㄱ㠹㍡㤹㐸㍣㔵㡣攷㤲㤹㈴捥㙦㈷ㅦ戵㕥昲愱㤹㈶摣昳㐹㐵ぢ㑤愹㙣㉥㔱㘸挲㥤戸㘸㉡捤㌱㌶敡㈴㌰搳攵挲晦攳戹户㕦㠶㡤晤ち㐴昸ㄳ慤㝡㤵慡搷愸晡㔴慢〸㄰愸晡ㅣ㉡㈱㜶㘷㤳搸㌷㤸晦〷㠸㔰昸ㅦ〰攰㔳搱㘳扦搰晡㍦ㄱ㝢㤶㈰㈰搴㤷搰ぢ戱㙢愰昷㠹晤ㄷ戴㐲散㜶〶戱㌶㝢慣っ愷摢〴㜲挸㜸㉢攱昰㕤攰挰攱搷㜴〲〳敢慦㐸扢ㅣ㠲㠲㑣㈱ㄱ㑦㐷㌱㤳㈷㈲㑥ㄴ捦㥢㜲挹戸㤳㉡愶㈲㤸㜲㜲ㄹ敢扤ㅥ㘸㉥ㄵ挳攲㈹㕤捣㈵ㄳ㠹㜴㌶㠱㈱㌸㤵㡥㘵㜰㘷㌳㥦㑤ㄷ愳昹昰㌷㥥㝢晢㝤搸搸ㅦ㐰㠴扦搵慡扦㔱昵㈱㔵晦搱㉡〲〴慡ㄴ㤶㉣挲攱挶㈶㠷㥦㌰晦㔳㠸㔰㤸㌱㔹㌰慢攸㥣扤戴晥ㅦ挴昲㐷㐵攵捤挰慡ㅥ㝡攱昰㑢攸㝤づ㝢㐳㉢ㅣ㌶〴㜲㘸〵㜲搸〰㈳攱昰㙢戸〲㠷㌶㥤㤰挳㙦㤰㜶㌹捣㌹㌱捣㌳㘹摥㕣捣㈴㥡㈲攸㝦ㄹ㈷ㄱ㜳㌲戸愳㡢㝢㤰昱愴昵慤て挵昹㥦㠸㘴昱戲搳㐸㌶㠹攷㠷㑤搹㐲愶㤸挸挷昲愹㘴㔳扣〹攳㘸㌸攴戹户晦〳ㅢ晢㍢㠸㜰ㅦ慤敡攱㤰愱㕣慣㐴て㑡㌵㐲㈵ㅣ㝥昳㉦攳㌲愰ㅥ户昰㙤ぢ㈲ㄴづ〳㄰挴攱㐶㕡ㅦ㈲昶㔲㝡扤〴㐲㙤〲扤㜰搸て㝡㥦挳捤愰ㄵづ晦㡥㘲昴㈳㡣㥥㝥昸㈹戴㤵㜷〱ㄸ㡦㈵ㅣ㙥〴㔷攰㜰ぢ㍡㈱㠷ㅢ㈳敤㥤换愹㜸摡㈹㐴㡡㠵㘸㉣㠷㔵㝦㉣敤挴㜱㌷ぢ㈷㘹〲搳㜶挶㠹㔸㥢昸搰㘸〴户㜷戳㤱㔸㌶㠵㑥ㄸ㘹挲摤挹㘸㌶摦㠴ㅢ〶搹っㄶ㥤改㘸㤸㔱㕤挲捥愶戰戱㌷㠳〸て搰慡ㅥづ户搲㉡ㅦ愵戶㠵㑡㌸晣慢挹攱搶昴戲つ㐴㈸扣ㅤ〰㐱ㅣ㙥慦昵〳㠹扤㥡ㅣ㕥㐵づ〷㐱㉦ㅣ敥〰扤捦攱づ搰ち㠷㝦っ攴昰て㠱ㅣづ㠱㤱㜰戸ㄳ㕣㠱挳愱㜴㐲づ㜷㐶摡攵㌰㡤〹挵挹攵㌰摤挴㜰㑢㉢㥤㑥㘳戱㠳扢㔵㌸㐷搳㌸㐳㥢搲搶㉥㍥㌴ㄵ捦攳㌶㌹㑥摤ㄸ㤶㐶㤸㡦搲搱㐴慡㠸㠹〷攳㈷搷昲㠹昰㡥㥥㝢㝢㔷搸搸挳㈰挲㍢㘹㔵て㠷㍢㙢ㄵ〱〲㔵挳愰ㄲづ㕦㌴㌹㡣㌲㍦〶㠱㘷て〰〴㜱㌸㕣敢㔳挴昲〷㑦敤ㅢ挹攱敥搰ぢ㠷ㄹ攸㝤づ愳搰ち㠷㑦ㄸㅣ㕡㝢〲㔲㝤愲㜹㉣㤰搸ㄸ㍣〹戱㈳㘱っ㘲攳昴㑣㘲㝦㠴戴㑢㙣〶㈷㙡㍥㥤挶つ㐰㍥昱〷挷戱㔴ㅣ㜷㘴㈳㌸敤攳㌱㈸慣㔱㍥ㄴ㕤搸㠹㍢㤸㤳戰㘴㑡攰㑡㈸㤳〴㥢昱ㄸ敥ぢ㈴愳戱〲敥ㄴ㌲散㑢㍡攷㘸搸搸㘳㈰挲㐹慤ㅡ㑢搵㌸慡ㄸ晢㈵㈸〲㙣㐲㔵〶㉡㈱昶㕥㤳搸㐹捣㥦っ㠱㐷っ〰㤰㔸慢ㄹ挹㠰㍢㠵㝢㐳㕤㝡愷㜰ち㌴攵㜷ち昷昴扣搸㔳㤱㈹敦摥㤶户㜰慢㤱搰㑢㌳捣㠰摥㙦㠶㔱搰㑡㌳摣㘶㌴㠳敤摦㔹戹㈵㤰㜱㠶㝢〹攳㜳攰ち㡣㡦愱ㄳ㔶㝣ㅦ愴㕤挶昳㑥愶㄰挷〰㡡〵㘶ㅣ慢愴㝣㈶ㄶ㙦捡㘴戱〸捡ㄴ㥤㙣㌴㤲戵收晡搰㕣㍥攷愴㜰昳㈵㤲㡦㈴戱扣挷㈵㔶㌲㠷慢慢㘲㌱㤳㡦㘶愳㠵㘸㤸㐱㘳挲攵扥戰戱昷㠳〸㡦搳慡㥥㍢㉢攳戵㡡〰㥢㔰㌵〹㉡㘱晣㉡㤳昱㠳㤹㝦〸〴㥥㍤〰㄰搴㤵㥢戵㍥㐷㉣㝦㥢㔵㕥㈶慥愶㐰㉦ㅣ㍡㜴て戵㝣愷㐱㉢ㅣ晥摣攰搰㕡〰㐸昵慥㝣㐱㈰戱㡣晦ㄲ㘲㕢㘰っ㘲㘷搰㌳㠹㍤っ㘹㤷搸㐲扣〹㕤ㄳ㌳㔳づ㕤㌹ㅥ挷〴㥥㐰戴〹慥搵㜱㕤ㅦ㜱攲㈹㙢㤱て㜵戰㑥㑡攵㥡ㄲ改ㄸ敥〳攰㕡㉡ㄷ挳㔲㌴㥢挷ㄷ㤷㕥㜸摥ㄳ㥥改戹户㕢㘱㘳户㐱㠴㘷㘹㔵㍢㔵ㅤ㔴捤搶㉡ㅦ愵收㐲㈵挴㥥㘱ㄲ摢㐵㤳㙥〸㍣㑤〰㐰㠸扤ㅡ㍢挶搳戲晤戴㝥㌹戱㡦㤰搸㠷㐹攳〱搰ぢ戱㐷㐲敦ㄳ㍢て㕡㈱昶㜸㤳搸愳〱愹㑥散戱㠱挴ㅥ〴㑦㐲散㌱㌰〶戱〷搳㌳㠹㕤㠹戴㑢㙣〴㡦㕤愲昹㔸㔴㝡㙣㔳ち㐳㙥づ戳㔱ㄳ慦㌹㌳㤱㈸挶㠸㔵㍥戴㤰㡥愵㜱攳㄰㥤㌵ㄶ挱挵㍣㔷㔴戹㔸ㅥぢ㠶㝣〱捤㤲换㠵て昱摣摢挷挲挶㍥づ㈲㍣㕦慢㡥愷敡〴慡ㄸ㕢㈶晤㥡〰㠱慡㍣㔴㐲散㜲㤳搸㔳㤸㝦㉡〴㥥㈶〰㄰搴㘳ㅤ慤㍦㠳㔸晥㕡慣扣ㅤ㍥㕣㠴㕥づ晣㙣攸晢㌵搶ㅦ㠶昴㥥搵㝦攲换〸戴ㄹ㠶㕦挳㈹㜹㠱昸〴扣㄰㝣〵敢摢ぢ扦愸攷晥づ㕤㕤敤ㅥ摦捦ㄷ攳㔵昸ㅢ㐸晣搶户攳㔸晦ㄷ㝥搸㕤㝡〲捦攸㜱㝢㝣敤㜳㜱挰昵㡣㥡ち晣戵ㅤ㌷昴㘸づ㝥㑡搰ㄹ㌱㙥㙣搳㠸〹换昳㑥㉢㝦搹〸㜱㐷㌰慣搹慣慤戹ぢ扢㜸搵攳㍥ㅤ㘳攴昷㜶ㄸ㔵户㤱づ㑤ㅡ愶㕦㘶㍤戴㐷愳㝦捣㑡㥢捤攸昴敤昰㜲㘸〴戱㈱㘳ㄸ㕦㝤扤㔹㑦捡昸ㅤ扦慤㝢戴昸晤㌲晣戲㤲㔳搰ㅥ扢昰ㄷ慤㜵戵扤㉡摥㤹㈸攱㑤攳㍢摡昰〶摣ㄱ㌳昱挳㝤昴㠶㜷戶㌷ㄷ㐸挰搶〱扦㘲㌸戶愵㕢㝥〵㜴ㅢ攴㉢㝢ㄱ挸戱捥挳搱㕡㈳㠷㡣㤹㌲㈴㔳㝦ㄸㅡ愲晣㔷㘵慡㤶㔱㑡㍢㑢㘴扦っ搹攷挳愱敡㠰㙢㜲慦散㔶ㄶ㜲愱㔷挸搴㈱ㄹ㔵㐴㈱㉣〸㝡愰㉦㈲㝡戱㡦㙥㈳晡ㄲて扤㌷搰㌹て捤㝥ㄷ戲㉦㈳晡㜰㘰戴〳搵改㈵㔸戶敡昲ㄲ〴㌷㌲昰っ㜰昹攲㍦扤㝤㍡捡摢ㅢ敤晥摦攰晤ㅦ昶晥摦㜴㜴攳ち㙤㜹戰ㅡ㜴捥㤸晡搵挷㤴扦㑥㑡㉣㔷㥦攰㔹㥣攲晥㍦晡捣搱敡㘸㔸づ㐵慥扤㥡㘲つ挵㍢㄰敡㘰ㅣ挵ㅦ昰㘲㤲㡡㔷㈸ㅦ攴㘵㤴扦㐲㔹慤㠲㈷㌲㙣㕦捤㐳愶て㝣挳晡㔹㤳㍡㑥㘷㕦挳㐳挴㈶搹挷㐳㉢㈷晢戵搰摡搷㐱昴敢ㅦ㍥㐱㉢慦㘷扡㌱㝣㡡㑥摦㐰搰㡤ㄴ㌷㔱摣㑣㜱ぢ挵慤㄰晤㐲敡㔴〰㌹㕣愸㤹愸㈴捦㔱㐶㤷㌵攰挷慣㑥搳ㄹ㌳扣㡣晥捣㠰ㄱ户慦扥㔳愷敢晣改㕥㍥㝦㍢捥挸晦㠹捥㥦收攵㙦㕤㥡捦㐰㈷㈹㜸慡㤷㉦攷昳㥤㈸㐰㥤㠳慣ㅥ㠲㝢摥扦㌵〹挸㐰㠲㈷㝡ㄹ攵慦挳っ㥦〷㑦挲搵㝤㍣摡㐶㜵愱㉥㜴扣㔹攸〳㉣㤴搱㍢㙥㘷㘶㤸㤰昵㄰㜴㌸㘳づㅣ㤲㐸愸搱〰戳㉦扡㕤晦ㄱ愲㉦昱搱ㄷㄱ晤愸㡢㥥㐶昴㕥ㅥ摡敤捣㡦ㄳ㝤㈹㌰摡㠱扡捣㑢㐸晦扤ㄲ〹㕣㍤慥㝦晦㙤扣㑡㕢慣戵摦㍥㥣ㅢ㝤攳つ摣㐲愳搵㜵戰攸愱㜳つ㑡㜳晢㙢ㄳ㉡ㅡ㐸㘷捡换㈸㝦㥢㘶昸㐶㜸ㄲ㍡㥦挵㔱㠱捥㕢㤱㤶㌶㑣挰㠲㥤㐷摡昰㜹ㅥ昲㉦㤱攵搲㜹ㅢ昶慣ㄷ㌴㐱挹㠸㡡〰㐸㌶㕣㠲㕥㈲晡づㅦ㝤㍢搱慦戸攸〳㠷〰扤㥢㠷㜶挹㝦つ㌹㡤昷〰戳㘱愴㌱扡㐷㉣慡㤱㜶换愴㌵㐷㙣㝡换㈷愳收㙥晤晥慦㔶㑤㥦㌷㑡㍤〸㡢㈰搲㜶㐲㜵〲㐹摢搱换㈸㝦攵㘶昸ㄱ㜸ㄲ搲摥㐴摤㐱摡攳㐸ぢ㘹㐳㘰攱㤳昶ㄶ㘹㜸ち㔹㉥㘹㡣敦戱摥㜶㘹㤸㌰㈴ㄶ㔱〳㍤ㅡ㕣搲搶㄰捤昰ㅢㄷ晤㈴搱㝦㜶搱晢ㄲ扤㡤㠷㜶㐹㝢㤷攸㘷㠰昱晢攰戳㕥㐲晡攰ぢ㐸㙣ㄸ㥤㉦㙡㡢㙡㜴扡㍦㈲昲挶愸㡢扣㥦㉥㔴っ搸〹愲㜳ぢ㡦戵㡡㌱㜳㜳㉦愳晣㡤㥤㘱㠶昸〸㥤ㅦ攲愸㐰攷㥢㐸ぢ㥤㥢挲挲愷昳㘳ㅥ昲㥦㤰攵ㄲ挴㌸ㅤ敢ㄳ㤷㈰㥣搲㐹ㄵ㉥㈱攸㌳愲摦昶搱㙦ㄱ晤戹㡢挶㈹㥤㔴㝤㍤戴㑢晥ㄷ㐴昳愹㤸㑦攷ㅡ㉦㈱㜴扥㡢挴㠶搱挹搸ㅣ戱愸㐶㈷ㅥ㤹㘰晢㜰㔴㜸㈳㙥㘷㡦㔲㝦㠳㐵㄰㥤扤㍤搶㉡攸戴扣㡣昲ㄷ㝥㠶㍦㠶㈷愱昳㙢ㅣㄵ攸晣っ㘹愱戳づㄶ㍥㥤摦昲㤰ㄹづ攳搲昹㜷散㔹摦戹〴敤㍢㈴㡡ㅦ戹昲〸㜲晢㥢㐲散戵晡挲㐷㝦㑥㜴㉦攸㌰㥥㑥㈰晡㥢慦捣〱愰㥥㘸㐶摦昸㜴㌲ち㐷て㄰㡤㕦㈳戱㘱㜴㌲㈲㘷慤㜴㘲〴挴㌶扤㘷㠴㈴㍣㠸捥㉦㔱搱挰㤳晤㥦㕥㐶昹晢㐲挳扤攰㐹攸散㠳愳〲㥤扤㤱ㄶ㍡晦〱ぢ㥦捥㝥㍣攴㄰戲㕣㍡ㅢ戰㘷㌵扡〴㌵て㠹㐶搴愷㈵〴㙤㐴㜴ㅦㅦ㙤ㄳ扤㠹㡢摥㥦攸㡦㍣戴㑢晥㘶㐴㌳㡡挶愷戳㥦㤷㤰摥挹㘰ㄹ㝣㌶㘰挲㘱㘴㡤㔸㔴敢㥤敥挹扥愶愷㜷㌲挸㘶㈸捡㈸㕦㈰扤攷戱㔶搱㍢晦敡㘵㔴扣㙦㜴㉢㜸攲愲挷摥㥡㐷㠵ㅤ昹㙥愳戵摢㐰换㡤摡昰戶搰ち昵摢㐲㙢㙦〷㠱㜵ㄱ愳㙦㐴戹㍤搳㡤㡡㈱㌴搲ㅥ慢㔱㈴摢㐳㉦㜷㜶搰ㄹ㙦㝢ㄹ㘵换㥤㈱㍡晦㑦㕥㝥搹㜲㘷愸捥㝦换换㉦㕢敥㌰㑥㐷ち晥愳㤷㉦㔳攵㔰搴㑡敤㡡慣愱㌸〲㤷慥㥥攵捥敢㐰〶昶扥摦㜹ㄹ攵慦ㅢつて㠷㈷㌹摡㘱敥搱㌲㈶㐶ち㝤搵㉣㜴㌸ぢ㘵晣㡡摢晢ㄸ㈸㘳敤づ㥤㥣㥥昱㡣㝡ㄱ㘰㝤晡㠵散㈸搱㐹ㅦ捤㔸ㄹ㉢敥愲昷ㅤ〲昴㜳ㅥ摡敤㝤㐹攴㌴敥〹っ㍥ㅢ搰挷昶搲ㄶ搵晡搸㤱㥢㜲㠶敥ㅥ㌵㐳捦捦愳㘱㌱搴㈷㙤つ昷摥㠱㔰㑦㝡摣㔴昴戱㈷扣㡣昲㜷㤲㠶挷挱㤳㤰戶㈷敡㡥㉥㌲〹㘹㈱敤㌱㔸昸愷散㐸搲㌰〵㔹㉥㘹㤳戱㘷㡤㠲慥㌷慥慡昶ㅥㄲ捤愸㠷㍤ㅥ摣㌹㘲っ攱っ㑤㜱攱捤㠴㡦昳攰㔳〸扦摦㠳扢戴㑤㈰㝣㥡て摦㥢昰㐹ㅥ㝣㉡攱㜷㝢㜰っ㙤戸㐲㙡㈶㥣㔱㉥㙣㈶慡ㄴ愳㕤晣ㄳ㝥愶㤷㤰ㄳ㝥㉥㝤〱挲慦戱慤挷ㄵㄲ㠳㘰挴戲㕡愳㠸扢愰㉢愴〳㘱㌹ㄴ戹攵〳挰ㅤ㌸㡡挰ㅥ晤㑢㉦愳晣㔵愹攱㠳攱㐹ㅡ㘷〶づㄹ㡤㤳㐵㕡ㅡ攷㌶㔸昸㡤㌳㡢㝣㌰ㅥ挵㘵㥢㌱㌲搶ㅣ攸搰愳愷つ㠹㈵搵㑤ㅥ㝢㙥摢捣㈵㥡㈱㉣㉥㍡㑦昴㝥㉥晡㐰愲慦昳搰㙥搳ㅣ㠰㥣挶㐵挰攰戳晥㈴㌶㌲晡㐵㉣搶㑡摥捡㜹摥㈴戴搵㘸戵ㄸ昰愱〱愴㕤改㜱㔳搱愳㝦攱㘵㤴扦㑦㌵捣搰ㄹ㈱㙤㍥敡づ搲㤶㈱㉤愴㕤づぢ㥦戴㉣㘹㌸〲㔹㉥つ㡣㝦戱昲㉥つ捤㐳㘲〹㜵戱㐷㠳㑢㥡㐳㌴挳㔳㕣㌴㐳㘰慣〵㉥㝡㝦愲㉦昰搰㉥㘹㉤㐴ㅦ〵㡣摦㈷㡦昶ㄲ搲㈷㔷㈱㠱捦〶搰挹㤸ㄷ戱㔸㉢㥤慢摢㐷ㅦ戹㡣摢挰搱㡡攱㉦㐳〳攸㍣搷㘳慤㠲捥㜳扣㡣昲搷戱㠶㑦㠱㈷愱戳〳㐷〵㍡㝦㠲戴搰㜹ㄶ㉣㝣㍡て攷㈱㥦㠵㉣㤷㈰㠶挲㔸㕤㍥㐱㐹㜵㝡〹㐱㑢㠸㘶㈸㡢㡢㘶㌴㡣戵捣㐵㠳晣愴㍡搹㐳扢攴慦㐰㑥攳昹挰攰戳〱愴㌱挸㐵㉣搶㑡摡挳ぢ㐶捦㥢换㙤挰㘸㜵㌱攰㐳〳㐸㍢捥攳愶㠲戴㘳扤㡣昲㜷戶㠶ㄹ㈱㈳愴ㅤ㠳扡㠳戴㉢㤱ㄶ搲㔶挲挲㈷㙤ㄵ㘹㘰昴㠹㑢〳挳㕣慣攳㕣ㅡ㘶㜱搸㍢慡㠴㠶ㄳ㠸㘶ㄴ㡡㡢㘶愴㡢㜵ㄲ㜴ㅣ㠳挷ㄲ扥摣㠳扢㥤昰ㄴ挲慦〳挸敦㠴搷㝢〹改㠴㌷㈳㠱捦〶昰挹搸ㄶ戱㔸㉢㥦㌵㤳㐶挳㉢戶搵愳ㄴ挳㕣㠶㘲户㝣㈰散昲㘸慢攰戳搳换㈸㝦攷㙢㤸㠱㌱挲攷㤹㌸㉡昰挹㐰ㄶ攱㜳㌱㉣㝣㍥捦收㈱摦㡦㉣㤷愱㝢戱㘷㥤ぢㅤ〶㐲㉣㉣㤳慡搵㈳挸敤㔶攷ㄱ晤㠰㡦㘶㠰㡢㜵扥㡢挶挲㌲愹ㄶ㝡㘸㤷捥ぢ㠹㘶昴㡡㑦㈷愳㔸㤸㄰㍡ㅦ㐵〲㥦つ愰㤳ㄱ㉤㘲戱㜶㍡ㄳ摥㄰昹敦㔱敡㈹挰㠷〶搰㤹昷㔸慢愰㌳攷㘵㤴扦㌲㌶晣㉣㍣〹㥤㤷攱愸㐰㈷挳㔷㠴捥㐳㘱攱搳㜹〵て㤹愱㈶㉥㥤㉦㘲捦扡搲㈵〸昳㑡㐶ㅤ攴ㄱ攴搲㜹㌵搱っ㌹㜱搱っ㙢戱慥㜵搱㤸㔷㌲㙡㝦て敤搲㜹㍤搱㡣㔹昱改㘴散㡡㑦㈷㐳㔳昰搹〰㍡晦愰㉤搶㑡攷捡㌱㍤㤷㍤っ㘹ㄹㅡ㐰攷ㅣ㡦戵ち㍡㘷㝢ㄹ攵㙦㥣つ慦㠱㈷愱昳㔶ㅣㄵ攸㘴㈴㡢搰㌹ㄳㄶ㍥㥤户昳㤰摦㐷㤶㑢㄰挳㕢慣㍢㕣㠲㈶っ㠹㈷搵㔴㡦㈰㤷捥㍢㠹晥挰㐷㌳挲挵扡换㐵㘳攱㤹㔴㤳㍤戴㑢攷㍤㐴昳㤱户㑦攷㠷㕥㐲㝡㈷愳㔴昰搹〰㍡㍦搵ㄶ㙢愵ㄳ㈷戹㝢㔱㝥挵㈸挵攸㤶愱〱㜴㡥昳㔸慢愰㜳慣㤷㔱晥挲摡㌰攳㘱㠴捥㠷㜰㔴愰㤳㐱㉤㐲攷㘸㔸昸㜴㍥挲㐳㘶〰㡡㑢攷㌷搸戳ㅥ搵〴㈵㌲㙡慦ㄲ㠲ㅥ㈷㥡㤱㉡㉥晡㕢愲㥦㜴搱ㄳ㠶〰㥤昶搰㉥昹㑦㈳愷戱ㅥ慢㍦挰㌶㠰㌴挶戰㠸挵摡㐹㌳㑥改㄰㉣㠶〶㤰ㄶ昷戸愹㈰㉤收㘵㤴扦搵㌶摣て㥥㠴戴ㄷ㔰㜷㤰戶ㄱ搲㐲㕡〴ㄶ㍥㘹㉦㤱〶挶㤲戸㌴㌰戴挵㝡挵愵㘱㕦摥扤摤捤愳挱敤㔵慦ㄱ扤㤹㡦摥㠴攸搷㕤㌴㐸㑢愸㥤㍤戴㑢摡ㅢ挸㘹摣ㅡ㤸つ㈳㡤㐱㉢敢㐱摡㍥㍤攳攰㐰㔸〴㤱戶㠳挷㑤〵㘹㠳扤㡣昲㔷摦㠶㜷㠰㈷㈱敤㙤搴ㅤ愴㌱㙣㐵㐸ㅢ〸ぢ㥦戴㌵愴㘱㔷㘴戹愴敤㡣㍤敢捦㥡〶㡣㙣摢㤴搰昰㉥搱挳㝣昴㉥㐴扦攷愲㜱㜳㌲愳戶昴搰㉥挵ㅦ㈰愷㌱ち捣㠶㤱挶㈸㤵昵㈰㙤㘷㡦戴摡搱㡡〱㉢㐱愴㙤攲㜱㔳㐱摡挶㕥㐶昹晢㜱挳っ㜱ㄱ搲㍥㐱摤㐱摡㐸愴㠵戴㌰㉣㝣搲㍥㈳つ愳㤱攵㤲挶㌸ㄵ敢㜳㤷㠶收㈱㠹㠸敡敢搱攰昶㥤㉦㠸㘶ㄸ㠹㡢ㅥ㐵昴㤷㉥㝡㝦愲ㅢ㍣戴㑢摡扦㠸㘶ㅣ㡡㍦摡㡤昳ㄲ㌲摡㌱摣㘴挳攸㥣慣㉤慡㥤戸敥㉤挸㍦昷摣攴㘱攰㐹㄰㥤扤㍣搶㉡攸慣昵㌲捡㕦慦ㅢ㥥〱㑦㐲攷㜷㌸㉡搰㌹〷㘹愱戳〶ㄶ㍥㥤ち㝦㐰愵ㄸ昰攱ㄲ挴㈰ㄴ慢ㄷ㜴敥㕤㡢㠸晡收㑢昳慥㐵㍤搱㡣ㄱ㜱搱㜳㠹敥敤愲㌱㜹㐴搴㔷ㅥ摡愵搳㐶㑥攳挱挰㙣ㄸ㘹っ㉦ㄱ㡢㙡愴㠵㕥扦㜲昱挸搰㤳愳攴戶㉤敦摢㌲搲㈴㠸戴捦㔱㥤挰ぢ攳扦㝢ㄹ攵敦攰つ㍢昰㈴愴㌵愲敥㈰㡤戱㈴㐲摡愷戰昰㐹摢㠸㌴㌰愲挳愵攱㌰散㔹㥢戸㌴散捦㥢㌷ㅦ㤵搰戰ㄹ搱㙤㍥㝡ㄱ搱㕢戸攸㘶愲摦昷搰㙥㡦ㅤ㐰㌴〳㐸晣㍥搸攱㈵愴て㜶㈱戱㘱㜴㌲愸㘴慤㜴㘲㥡挰搶摣戳㠰㘱㝣㐹㄰㥤㝦昶㔸慢攸㠳敦㜸ㄹ攵慦昰つㅦ〹㑦㐲攷昶㌸㉡搰㜹っ搲㐲攷㙡㔸昸㜴づ攲㈱㌳摡挳愵㜳㈵昶慣ㅤ愰慢攷昲㍡愹晥㔸挲捦㔰㠲㡦昳挱っ㉣戱㜶㜲挱晢〳晣㝢て散昶挰㕤〸㘶搰㠸㑦收〹㕥㐲挸㘴㙣挸㠶㤱㜹慡戶愸搶㌷㕤㌲㝦㌴摡晤晦搳㔱㡡㌱㈵㐱㘴扥攲㜱㔶㐱收换㕥㐶挵ぢ㠰捦㠶愷㜵扤〰㤸扦づ攴㜴㌱ㄲ愵㡢㜷㔲敢㡢㡣扣攸㔳㜴搵っㅣ㤱ㄷ扢戵捡㡦〱昵挵扢㍡㍢ㄷ㌹㥤㔳昱㕡㕡扣愱㜳㑥㑢㥢昷㥢㌲㜸㕤㉤㕦㜸愳摦〶㘹㑢㡡挶㔶㜱㐶㈷㕥て搹扢搸摣㠵搷㤷ㄵㅡ摡㘶㘶扢扢㥤捥昶ㅦ挲慦扤攰攷㤹敡搸愸〸愵㤰㔷〲〷晥㌲ㄲ㝦昲㈸㌰㐸㐳ㄸㅢ搱挳㠷㝥㠵㔵㉤㕦昱昹晤㝥敢挵摡ㅤ㥤捦晣搵昴㠲昱攲摡㍡昵㈲㥡搹つㄶ㕥㔹昳㥤搴ㅢ昱㑣㜶ㄴ㌶㔶っ愲搷㤸慥㌶戹〱てㄱ戲攳搰挸㡦㤳扢㉦㈶愸㍦ㄷ㕤愱晣〰昹㝢㔵ㄳ挹㐰晤戲㤶㐲昷㐲㙢愱搳戲㘰㈱晥㔰愹㑦ㅦ晤㝢㔲㉣愵㡥㈱㈶㙢ぢ㙦攱㠹搳扢㙤㝥戶戳㌳扢愲愱㙤㝥慢搳扥愰㝢㘱挳晣愵㠸收挱ぢ㜷㌱㤵㌴㌴㌴搸㐹搴㠷㐵昱慢㉥㠲㐷㝡戵㔳愶昶㌲慤㙤㌲戴攱慢愱攵㥤㔵㍢つ㙤扦㕥㘱㠶㘰㜰㠰攸ㄷ㔶㡣扢㤰戱攱㐹㌰挳戱㘱㜳攸ㅢ昰昶㠵敢㜴挶ㄳ㕥挶ㄶ捣㘸㐰㐸挸㜷㡡㜱ㄹ㍣㉦慣㍤攱慦ㄱ昱㐱㑥ㅥ慦昰ㅡ戸㤴㈱㐳㕤戵敡㌱㑤昲㠷戱〱㍤㈴㡦〴搶晡ㄱ㐴㉦扣捣㑤㐹愷㈱挹愳愰㌱㐸㔶㌷攸㜲ㅦ昲捡㤵㌱㐵摤愸搵て㝡敡㡤㔰㥤㤰㘲ㅣ㠸㔴晦〱㑦捤敡㠷搴捤㕡㝤扦愷㘶攵㐳㡡戱㈲㠲扥捦㔳敦㉣敡㕢戵晡㕥㑦扤㡢愸敦㠴㥡㑤㝥晤愸て㐶晦㜸昴愹㘳搴㝤㐸挸㘱㑦㐲㥤昵敦挴㤵昶慦扢攱愱戲㝦㌵〳㙦敤つ㔱摡扦愶㐰㘳ㅥ晡〳㕥㠱㈸㕤㌶挵攸っ㘹攳㘹㐰晡㉤晦戸搶㑥㌷戵捦㝡㤵戳㔹戹㍡㜵㕢㘰㐵㘶戱㐴㔶愴愷㤳捦愱㡡扦挰敦㜶㜲昵㝣㜹㈵㕥搲挵捤〵搲慦挴㙢㕡扢慦愹㝤搳慢㠴戵ㅦ戴挱っ㕤ㄷ㔸戱〳㠰户づ㠴㈸㘵㘸ㅥ㌴㘶攵摥㉡慦ㅣ㘳〷㠴愱㠳㠱昴㉢昷慥搶ㅥ㘲㙡㍦搴㤵㥢て㙤㜰攵㉥て慣㕣ㄶ㜸㉢〷㔱㕡戹㍣㌴㘶攵㍥㉥慦摣㘷扡ㅡづ㤰㝥攵扥搰摡愲愹晤㕡㔷㙥〱戴挱㤵扢㈰戰㜲㉤挰㕢㠷㐱㤴㔶㙥ㄱ㌴㘶攵扥㉤慦㥣挲愰㈲捣戵〱改㔷慥㕥㙢摢㑤㉤㥦晦㑡挷敦㠰㌶戸㜲㘷〵㔶敥㜰攰慤㑥㠸搲捡㜵㐱㘳㔶㡥㡦㤰㜹愶改㑤㙤愴慢戱〴㐸扦㜲㥢㘹敤㔲㐳ㅢ收搳㔴ㄹ摣㤶㐱㡢挱㡤捦㔱扤挱㡤て㑦攵㝣㍦ㄹ戵㌳〷㌷㍥㔰㤵㡣㤳扣っ㘳㜰摢ㅥ㜹㍣㔸㥢㠳㕢慤㍡㐱ㅦ㔸挹㘰㜶ㄴ昲㙣づ㘶㍤〳搹㡦愹㌲㑥愴愱昰㔳㌲㝣昰㌹愶戰戸ㄲ挸㘰ㄶ㡦搱㠵搵㤸搳搳戱挰㕢挷㐱㤴戲㜸㝣㔹㠱㝣ㄴ㕡挲㘲ㄴち㘹攲ㄳ㠱昴㔹㑣㙡敤㐹愶㤶捦ぢ愵㜲㈷㐳㕢㝤晥㕣ㄶ㔸挱㔳㘱㘳㥤〶㔱㕡挱搳愱㌱ㄹ攱㘳挷㤲ち㡥搱㔵㌹〳㐸扦㠲ㄳ戴昶㑣㔳摢慣戵㘷㤹摡ㄹ搰㑡㘳昱㥣慥㔳敤㠱搵㍢ㄷ㜹㌶捦摦㥥㔱敦㍣慡㡣挶㥡〵㍦㈵㔵㥢慢㡢㍢ㅦ㐸扦㙡〷㘸敤〵愶㜶扥㔷〹敢㐲㘸㠳ㅢ戶ㄸ㔸戱㡢㠰户㉥㠶㈸攵敤ㄲ㘸捣捡㘵换㉢攷攸㙡㕣〶愴㕦戹ㄶ慤扤摣搴㜶㜸㤵戳㔹戹㍡㜵㐸㘰㐵慥㘴㠹慣㐸て㐳㔷㔳㘵㌰㜴㜸㜹㈵㤶攸攲慥〵搲慦挴ち慤扤捥搴ㅥ攳㔵挲扡ㅥ摡㘰㠶昶つ慣搸㡤挰㕢㌷㐱㤴㌲㜴㌳㌴㘶攵㔶㤵㔷敥〴㕤㡤㕢㠱昴㉢㜷㡡搶摥㘶㙡捦搴㤵扢ㅤ摡攰捡㑤て慣摣ㅤ挰㕢扦㠲㈸慤摣㥤搰㤸㤵㍢扢扣㜲攷改㙡摣〵愴㕦戹ぢ戵昶㙥㔳㝢㤹慥摣㍤搰〶㔷㙥㘲㘰攵敥〳摥扡ㅦ愲戴㜲て㐰㘳㔶敥㡡昲捡㕤慤慢昱㄰㤰㝥攵慥搷摡㠷㑤敤慤扡㜲㡦㐰ㅢ㕣戹ㅦ〵㔶敥㔱攰慤挷㈰㑡㉢昷㌸㌴㘶攵㙥㉦慦摣㥤扡ㅡ㑦〲改㔷敥ㅥ慤㝤捡搴㍥攴㔵捥㘶攵敡㔴㉡戰㈲捦戲㐴㔶愴愷攳㍦㑦㤵搱昱ㅦ㈹慦挴攳扡戸ㄷ㠰昴㉢昱戴搶扥㘸㙡㕦㈸慤挴㠸挰㑡扣挲ㄲ㑢㉢昱㕡㔹㈵㕥㉡慦挴㙢扡戸搷捤攲摥搰摡摦㥢摡户㑢㉢戱㘳㘰㈵摥慣慣挴㕢㘵㤵㔸㔳㕥㠹㜷㜵㜱㙦㥢挵㝤愰戵慢㑤敤㈷㕥㈵慣㌵搰〶昷㤵敤〲㉢昶㘷攰慤扦㐰㤴昶㤵㜷愱㌱㥢改戳昲捡㝤愱慢昱ㅥ㤰㝥㌳晤㑢㙢摦㌷戵摦㜹㤵戳昷㠳戶㑥㙤ㅥ㔸㤱て㔹㈲搷愸㍤㝤攵㘳慡㡣扥愲㤰㉥㤹㐶敡愱㤰㈹昸ㄳ散昸㤵戰戵昶㔳㔳摢㠸㠴㑣挱㥦㘱㈷㤸愱晥㠱ㄵ晢ㅣ㜸敢ㅦ㄰愵っ㝤〱㡤㔹戹㡤㤰㉥愹摣㘶㔰㐸攵扥挴㡥㕦戹〱㕡晢㤵愹摤ㅥ〹愹摣扦戰ㄳ㕣㌹㉢戰㜲㕦〳㙦㝤〳㔱㕡戹㙦愱㌱㉢㌷〸改㤲捡つ㠵㐲㉡昷ㅤ㜶晣捡敤愲戵㌵㜶㡦戶㍥ち敤㝡摦㘰㘰㝣摤昷晣昵㔵㠵㐲㔵ㅣ㠵搱㠷㕤㙢㔴愱㌱改㘹ㅢ㜸戹摡挸㙢㜲㘲摣㔴㤳㤹㔲㘹愴㘴敤昹敤㍦摤㐵改㈸㍡慢愳敢㤱挸攲戱搸昵㑣㡤昲捣㙣ぢ㈹散换㔷㌵㙢㑣㙦㘲愶㘸㑣〳㔲㥡愵挶㘹㥥搶㉤㥥㤷㠹㝥㘵搴㉣㙤㙦搳㝥㡥戶て㤹昶㜳㑤㡢㐶㕥攱昵搸ㅦ愰敤晢搰㝥㥥戶敦㙢摡ㅦ㙣㕡㌴昲㈲慣挷㍥慢敤晢搱㍥慦敤晢㥢昶㡥㘹搱挸敢愴ㅥ晢ㄶ㙤摦㐸晢㐵摡㍥㙣摡户㤹ㄶ㡤扣㤴改戱㍦㕣摢㙦㐴晢㉥㙤扦戱㘹扦挴戴㘸攴搵㐶㡦晤㌲愴愴昹㍥㌶㥢㙦㔳㍡㍢ち㔹搲㝣㥢㌱挵敢〱㥡搹㥢㈳㠵㝤户昹戸㤶ㄷ捣ㄶ挴ㅣ慦㌱㕢㈲攵㌷ㅦ㤷敢㝥㠱㡤㕣愶晢㈹挵愵戶搸て愰㍤㔷搸㔲挶㔶愶㍤㔷搳扥㐵攳㤹㈵㈹慥㥥晤㍣㜵㉥㔲攲㙤㙢㝡㍢捦换戳户㌱扤㥤㙦㕡㌴㕥㘰愶搴㐵摡㝥㕢摡㕦愲敤户㌳敤㉦㌳㉤ㅡ㉦㌷㔳㡡敢㑥㈹㝦㝢摡㕦慤敤〷㥡昶㕣㕥晡㌵㙥攴戲搲㑦愹ㅢ戵晤㈰摡摦慣敤〷㥢昶户㥡ㄶ㡤㕣昹昵搸摦愱敤㜷愰晤㥤摡㝥㠸㘹㝦㤷㘹搱㜸户㤹㔲昷㘹晢愱戴㝦㐰摢敦㘸摡㍦㘴㕡㌴㍥㙣愶ㄴ搷㐱㜲晣㍢搱晥㜱㙤扦戳㘹捦愵㡥㕦攳㐶㉥㜱晣㤴㝡㔶摢敦㐲晢攷戵晤慥愶晤ぢ愶㐵㈳㔷㈷㍤昶慦㘸晢㘱戴㝦㑤摢敦㘶摡扦㙥㕡㌴晥摥㑣愹㌷戵晤㜰摡扦愵敤㐷㤸昶㙦㥢ㄶ㡤慢捤㤴攲摣㉥挷扦㍢敤摦搵昶ㄱ搳㥥搳户㕦攳㐶㑥摢㝥㑡㝤愸敤愳戴晦㔸摢挷㑣晢㑦㑣㡢㐶捥戸㍤昶㥦㙢晢㌸敤扦搰昶〹搳晥㑢搳愲昱㉢㌳愵扥搶昶㐹摡㝦慢敤㔳愶晤㜷愶㐵㈳攷慤㥥昲㘵㐲攱ㄸ搱〴戵摥挲㥣㔸攴昹㑤ㅡ㍢㜶〶愲㕦晦㐶㑥㄰晢〱㔲扢㕣攵て㉤ㅣ㝡攸㔷㡤㜵〳户慡摢㝦㜴摦ぢ㔷㍦昳捥㌹慦ㅥ㌴昲扤㙦㉥扥昸搵扦㥣昳摣㌷昷攷㐶㍥昹㡢㕦㍣戶昷㘵捦扤戳㜱昱昲摡㕦㝦㌵昵昲愳愲㡢㡥㍡扣㌸㜷搷㐹㐷ㅤ㜰搸慣攸捣㡤㠶昵敡搵扢昷㑥㥢㍣戵攵捥攱㤵㠷摦慤ㅥ㜹㘳㡢㜶㈵㜳づち戰昷㐰㐹摣㜸㐳㈶捣戹㐷敡戲㈷㜶散扤㈸㐶㔲晣㠸㘲ㄴ挵㘸㡡㌱ㄴ㘳㈱晡㌵㈸㤹㤸㘰㙢㡦㐳㕡㙦㘱㑥㔰攲㘸㍣愱ㄳ〸敤慦㘴づ慡㠰㜲㉥ㄲ攸㈴㐲㈷扢㔰㤹㙥〸㙤㐶㕡㙦㘱㑥㍢〲摤㥢搰㈹㉥㔴㘶ㄶ㐲愷㥡㔰捥㌰〲㥤㐶攸㜴ㄷ㉡㤳〸愱㌳㑣㈸㈷ㄳ㠱捥㈴㜴㤶ぢ㤵昹㠲搰搹㈶㤴昳㠶㐰攷㄰扡㡦㐰ㅢ㌹ㅢ晣㥦戶㤵㑣㌰慣换㕣㤴挴㡤㝦㐳ㅣ收㐴㈳㜵搹ㄷ㍢昶㝥ㄴ晢㔳ㅣ㐰㜱㈰挵㍣㡡㠳㈸づ㠶㐰㕢挹㉣〴摢㔲㔶㌹ㅢ㠹愳昹㠴ㅥ㑡㘸㝦㈵ㄳづ愱㈵㔴㜱攲ㄱ㘸㡥搰扣ぢ㤵搹㠴搰㤲〶攰慣㈲㔰㠷搰愲ぢ㤵㠹愳愲〲㥣㐰〴扡㤰搰ㄶㄷ㉡㜳㐴〵㤴㜳㠵㐰ㄷㄱ摡敡㐲㘵㍡愸愸〰愷〵㠱戶ㄳ摡攱㐲㘵攴慦昰捡ㄹ㐰愰㠷ㄳ摡改㐲㘵㤰慦昰捡挱㕥愰摤㠴㉥㜱愱㌲㥥㔷㜸攵戸㉥搰㘵㠴㉥㜷愱㌲㜴㔷㐰㌹㠴ぢ昴〸㐲㡦㜴愱㌲㑡㔷㐰㜷搳搰愳〹晤戱ぢ㤵〱戹〲捡㠱㔹扣慥㈴㜴㤵ぢ摤ㅤ晦㜱㐸戲㡦挵㡥摥挲ㅣ㠳〵㝡ㅣ㜶散攳㈱搰〷㘴㤸㈵戴攴㈴攴㜰㉢搰ㄳ〹㍤挹㠵捡㠸㑡㘸挹㈸挰㤱㔵愰愷㄰㝡慡ぢ㤵挱㤳搰搳㤰搶㕢㤸㠳愸㐰㑦㈷昴㈷〲つ㜳㥣愴ㄲ㑦慥㌸㌸捡㐲慣搳㕢㠸〹昸㑣㘸ㄵ㠷㑣挹㕡散㘵㡤㠵〹ㅥ㙡㠵㌹戴㜹收ㅣ捦〴搳㘱㥡㥦㐳㜳㡥㜲㤲搵收㘵戹㡦愰㌸敥㠹扡搵㔳扢㡦愰㌸ㄲ㡡㝡㤱愷㜶ㅦ㐱㜱㙣ㄴ昵㘱㥥摡㝤〴挵搱㔲搴㉤㥥㝡㘷㔴㉤愴㌸㝥㡡㝡愱愷摥㐵搴ㅣ㔱㐵扤挰㔳敢〳搱愴㉡㡥愶㠲㈸㝡〸㘱攱㈲㘸ㄵ挷㔸挹㉡㤴ㅡ㉢づ慢㤲㤱慦戰攱㘰㉢㔹戹㔲㥢戰㙥㜰挵㠱㔶㄰㔹搳昸㜲㘸ㄵ㠷㕦挹㥡㕦㘶慣㠷〱挵愱㔷㄰㠷㤸挶㔷搲㤸〳戲㘴ㅤ㔴㘶慣㠷ㅢ挵挱㔸㄰昳㑣攳㙢㘸捣㈱㕡戲づ㈸㌳㥥㡤っ慦挱㌹㐰ぢ㘶㝦搳晣㝡㥡㜳搸㤶慣㝤换捣㌹扣㝡收ㅣ㔳〵㌳搷㌴扦㠹收ㅣ㘹㈵㙢㡥㤷攵昶ㄷ㡥扤愲㥥敤愹摤晥挲搱㔸搴戳㍣戵摢㕦㌸㍥㡢㝡愶愷㜶晢换㍣慤㥥攱愹摤晥挲㌱㕣搰搳㍤昵㉥搲㕦㌸慡㡢㝡㥡愷昶晡㡢攲㐰㉥ㄹ㔳扤っ改㈶搲㙡㠷敡慣扤换㙣㌸愲㡢㑤戳㘹㜳㌷戴㉡慦戳㈶㤵搹㜰㘸ㄷ㥢㠹愶㡤㌴㌰〷㝣挹ㅡ㕦㘶挳㌱㕥㌲挶㤹㌶て㐲慢㕡㜴搶㤸㌲ㅢづ昶㘲㌳扡挲愶㔵㘷㡤㉡戳攱愸㉦㌶㍦㌲㙤ㅥ㠵㔶㜱㉥㤰慣扤捡㙣㌸晣㑢挶㥥愶捤ㄳ戴攱愴㈰㔹㤹㌲ㅢ捥〳㤲㤱㌶㙤㥥愶つ㘷〷挹㑡㤵搹㜰㐲㤰㡣愴㘹昳ㅣ㙤㌸㑤㐸㔶扣捣㠶㌳㠳㘴挴㉡㙣㌸㕦㐸㔶戴捣㠶㔳㠴㘴㐴㉡㙣㌸㜱㐸搶敥㘵㌶㉢㜵挶㠸ちㅢ捥㈰㘲㌳扣搴㈶慣愷ㄲ㜵㥣㐶散㘶ㅡ扦〶慤攲㥣㈲挶扢㤶ㅡ㉢㑥㈳㤲戱㡢㘹㈳㥤㤵㤳㡢㘴敤㔴㘶㜳㡡捥搸搱戴㜹ㄳ㕡挵㔹㐶㙣㠶㤴摡㠴㌹摤㜸㘷昷改ㅡ戳㠳㘹晥㈷㥡㜳收ㄱ昳㐱愵收㡡㔳つ㉦㕥㐲㡡戳㠶扢挷㠱搷摤㘳㜵摤㍤昶㝥㜷㡦㘳㤵扢挷㘱挷摤攳〸挲㍤㝢㌵㜶ㄴ捦㉥㔷捦晥敦敥戱㠷扡㝢散㜷敥ㅥ㝢㤳扢挷㍥攲敥㤱㔴㜷㡦㠷敤敥昱〸摣㍤㜱㡦㐱挲㕥〳ㄵ㌷㠶㘰㠵㤹㜰㈹攸昳晦〱㘸㝥〱搹</t>
    <phoneticPr fontId="10" type="noConversion"/>
  </si>
  <si>
    <t>㜸〱捤㝤〷㤸ㄴ㔵昶晤扣㘱愶㤸㙡挰㘹〵㑣㠸〲づち㠲搸㌹愰挸㤰㐱㤲〴㜳ㄸ㍢㔴挳挸〴㥣ㄹ㄰搶〰挶㌵㉣慢㈲慥扡收㌵攷㥣搶戴愶摤㌵慤㌹敢㥡攳敡慡㙢㕣攳晦㥣㕢㘱㕥㜷㔷ㄳ昶户晦敦摢愲晢㔲敦摥㜳敦㝢㜵摥慢搷ㄵ敥㔴㔵愹慡慡慡㕦戰昰㝦㉥㌵㕣搹㙡摥昲捥㉥慢㜵搴㠴昶㤶ㄶ㉢搷搵摣摥搶㌹㙡㕣㐷㐷㘶昹㡣收捥慥ㅥ〰ㄸ㑤捤戰㜷搶㌶㜵㌶晦捡慡㙢㕡㙡㜵㜴〲㔴㕢㔵㔵㔷㘷㔶挳扥㠵昳つ扡〵㤳㕥㘶つ〵㔰㔵愶㐱搱㤳愲㡥挲愴〸㔰昴愲攸㑤搱㠷㘲㈳㡡㝡㡡㈰挵挶ㄴ㥢㔰昴愵攸㐷搱㥦㘲㔳㡡捤㈸㌶愷㘰晤收㤶ㄴ〳㈰㝡㙦〵㌱㝦挲昸搹搹㠳戱㌵昳扡摡㍢慣㤱㠳昶戴摢㍣㈶ㅣㅥㄵㅥㄵ㠹愶挳愳㐲㈳〷㑤㔸搲搲戵愴挳ㅡ搳㘶㉤改敡挸戴㡣ㅣ戴晢㤲㙣㑢㜳㙥扡戵㝣㝥晢㈲慢㙤㡣㤵つ㐵戳㤹㔸㉡ㅣ㡢挷ぢ改㜴慡昷㐰㐴㥥㌵㘱晣敥ㅤ㔶愱昳扦ㄵ㜳㙢挶㥣㍤㘱晣愸㔹㔶搷㝦㉢收㌶㠸㠹㤰ㄳ摢㕢㌳捤㙤晦愵愰戵散搳昸㐴㉢搷捣捥户慣㡥收戶〵愳搰散㈲愲㔱㑡㡥ㅡ搷搹戹愴㜵㌱挷搱〴慢愵㘵慥㔵㤰㑥㙦㥤搸搹戵㝢愶愳戵戳㜷㉢昹戳㍡慣戶㥣搵戹㔱敢愴㘵㌹慢挵〱㜶搶戵敥㤹改㤸㤵㘹戵㙡戸㔲摦㙡昷攱戴扣搵搶搵摣戵扣㑦敢ㅥ㥤搶摣㑣摢〲㡢㤰摡搶㈹㑢㥡昳慡愶〶㥦慡ㅥ摢晢戵㑣㍡ち敤㘹㥤戰㌰搳搱㈵㈵㜶㘱搸て慢つㄷ搹㡡愲㜶㜱㐸つ㉡昱㘲㥦捤㙢㙥㥤㙥㜵戴㔹㉤慣㠴㍤㌹愲〴㈴〴搹晤攰㌱攵㙥づ㝢㐹昵㜲㜶㍥㙥ぢ㙢㌱〶㌱捡慣昶㡥㔶っ挸㤹㔶愶㙤㑣㘸㔴㜸攴扣慥晣㐴㙢㈹㔶㐳攱㐴挹㘲づ㠶㠳㌹㠴慥摢㐲㙣搴搹摣扡愴㈵㐳昶㐷愷㐳愳捤〶㕡㠷㐲愸㥡㔷戰攳敢搵㜱攷慢㙥捡㔴㌷㘵慢㥢㜲搵㑤昹敡㈶慢扡愹㔰摤戴愰扡㘹㘱㜵㔳㜳㜵搳挱搵㑤㡢㠰㜱㤷扡㥥㍤慢㥤㈵昴㔲敦㥡㔸捤ㄱㄳ㔷㍤晤挹㡡㌳㍥昹昰㜹挵㝤㕤愶㡡敤戱戲㠵摥晣㔸愲扢昵㜱㜳ㄸ捣收㜰〸㘳〷㠸愲挶㈶㐷㥢㈳㘸ㅤ〹愱搴戳㘸㉣ㅢ㍣晥㠵〷㑦㝥昹改㕢㘷摦晤挷㕢〷㕤晥晣㜱晢㈸㑥㈸㔲搳㈸慣っ搷㙢ち㐷㐲㙥㔵搱㔱搱攲㈵㙥敥挴搸㈱〸㈳っ愱搷ㅣ㡦㡦㌶㈳戴㐶㈱㤴㝡摣愹昹㠶戹昷つ㌶摦㍦㜸晣㙤扢㕣摢ㅣ搸扣㜵慥攲㉣㈶㌵挷戱㌲㑣慦㌹戶戶㡡ㄳっ㥤㠴㌰㔲㄰㝡挵㠹搸㘸㌳㑤敢㘸〸愵ㅥ㜶㉡㥥搸㌵㜲昴㐶㑢㥦㥡㝡搹㥦㕥昸昹㤱㤶慦敦㔰㥣㌹愵攲㕤戰㔲㔴㜱㘲㙤ㄵ㡦㘱攸㕤㈱㡣戱㄰㝡挵㈹㙣㜱㈳慤攳㈰㤴扡搷愹昸挵挷㙦戸攳挷㌱㜷㑥戹㌸㝤敡つ挳扥㘸㕦愱戸攳㑡挵ㄳ戰㔲㔴㜱㌷搵攱㔱㈵〳㌲㘹㑥㘴攸㐹㄰挶㘴〸扤攲㔸㘲戴㌹㠵搶愹㄰㑡摤敥㔴㍣昷㤹ㅤ慥ㄸ晥昹㥤㤳㙥㔸㌲攰昶㝢㌷摥晡ち挵㕦〸愹㜸㌷慣ㄴ㔵ㅣ㡥戸㝤ㅣ㈹敦攳改っ㍤〳挲㤸〹愱㔷ㅣ㐶挵戳㘸㥤つ愱搴つ㑥挵挹㜱㉦㘷晥扤㝤攳昴慢〷摣㌱㜵攷㔵㕦晤㐶昱㔷㐹㉡㥥㠳㤵㤲搱ㄵ㜷㙢㑥㤵搶㥣㌶攷㌲昶㍣〸㘳㍥㠴㕥㜳ㄲ㍢攱ㅥ戴敥〹愱搴㤵㑥捤㤳㝥㜸慡㘹搹愲㈳ㅢ㉦㤸㜴㕢捦㔹㑢㜶㌸㔱昵㠲㔹㙡摥ㅢ㉢㈳昵搱ㄵㅡㄵ昵慡㉥㥦〱㤲㔱㜳ㅦ㠶摦ㄷ挲搸て愲愸㜲㜴昴晥戴ㅥ〰愱搴ㅦ㥣捡㥦㕢戰愶㘱昲昷㍦㌷㕥㜴捤摤慢戶㥤昸昳㉢㡡㍦挱㔲㜹ㄳ㔶㡡㌶㍢ㄲ昷㠶㔸㌸㔱搲搵㈹昳㈰挰捤っ㠴㤱㠵㈸慡ㄹ㠴攷㘸捤㐳㈸㜵㡥㔳昳㈳㙤㙢㡥晤改扤昶㜱㜷摣㍥攰搰㠷㡦昸搷㈳㡡扦晢㔲㜳〱㉢㈳收㜷㌴㘳㝡挷晣搵㌱㜲㘶㜳摢㤸㘸㈸ㄴㅡ㌹愳㜹㤱搵搲㙣㜵㜶㡤㠹挶㔱㥣㤹㔹㌶㈶㠶ㄵ㜳〱愳㉦㠴㌰㥡㈱㙡挶㑤㡤愵捣㠳愹㕢〴愱搴ㅡ愷挶㥦慦㕥搱敦戵㙤戶㥤㜹昱㤷慢㜶㝡慥㙢㠵愵㜸㤰㈱㌵戶㘲㘵㌳㥤攸㤴户愹㜱戳㡤㤱摡㈱㡣挵㄰晡㤶㈵挲愳捤㐳㘸敤㠰㔰㙡㤵㔳㑦慡㜱晣ㄶ㠳㙢㤷㑦扣攵愱㍤扥晥㑤慦换敥㔶㍣㡥㤱㝡扡戰戲愳㕥㑦㘸㔴㍣扥㤶ㅥ㑤㐴捤㈵㡣扦ㄴ挲㌸ㄴ㐲慦㍤㡥㘹㜲ㄹ慤换㈱㤴㍡摥愹晤㠷㤶扢㝥㘸晣戴㘳收昹扢戴攵㉥㍥散挶挱㡡〷㔰㔲晢㘱㔸㈹昹㍤㐹慥愵昲㤴㜹㌸愳ㅦ〱㘱ㅣ〹愱搷ㅤ㐵㥦慥愰㜵㈵㠴㔲㉢㥣扡戳㤳㕥㜹㘹攰ㄳ㠹ㄹ搷㕦㜹昰改攳晦搵㌰㐲昱戸㑤敡㍥ㅡ㉢挳㑢晡㌴㔹搴愵㈹愷㐷挳攸㘹昳ㄸ挰捤㘳㈱㡣攳㈰搰愳搱㤸㜹㍣㜵扦㠶㔰㙡㤹㔳摦捡扥つ〳㑥摤㙣攵㤴ㄳ㕦㍥攸搲㉦捥搹㘶愱攲㈱愲搴㜷㈲㔶㡡㘶㡢敥㠹搹㘷㥡㍡㠹愱㑦㠶㌰㝥〳愱㙦㘸㌲㍤摡㕣㐵敢㙦㈱㤴㍡挴愹昸昹㔹㔵ㄷ㝥ㄷ搸㘷摣㜵㝦攸㝤搸㍢晤㙥ㅢ愸㜸㔸㉡ㄵ㥦㡡㤵愲㕦扤戰戶摢㠴捣搳ㄸ㙢㌵㠴㜱㍡㠴㕥㔳っ㌵慤愱昵っ〸愵づ㜶㙡㔲㕦㝣晤搴ㄷ㕦扥㌴㙤昵㑤摢㡥ㅢ㍤㝦敢扤ㄵ㡦㝤愵愶㌳戱㔲摡㥤敥扣㔴㍥㌹㘰㈸㥤挵攸㘷㐳ㄸ扦㠷搰敢㑥愶㐶㥢攷搰㝡㉥㠴㔲㌹愷敥㌷㍥扥攷慡慤ㅥ扡㙢户㤳摥㜹散㡣㥢㉥㙦敡愵晡挳㉣㜵㥦㡦㤵愲挹〱㍢愴㕢户捦攴㜰〱㘳㕦〸㘱㕣〴㔱慦ㅤ㤸愰户㐷㥢㝦愰昹㘲〸愵昶㜷慡ㅥ㍥㜲挶昹㠹㜳户㥣㝤敥挸㈷晢㝤扡㙡㑤戵攲㠱扥㔴㝤㈹㔶㑡㈶挵㜸摡慤摢㜷扢㉦㘳昸换㈱㡣㉢㈰昴敤㑥㠰昳㉢㘹扤ち㐲愹㍤㥣捡ぢ㙦㕦搳晢挶㈷㍥㥥㝡㘷扡㙥搵㜶㔷㕦㜹慣攲〹㠶㔴㝥つ㔶㡡㠶搵㕡㝦㜶慦㘵攸敢㈰㡣敢㈱㡡㉡挶扥㝢〳慤㌷㐲㈸㌵换愹㌸晤挸摣ぢづ㜹㝦晥昸攳㥥扥㝦㥦挷㥥扣㌷慥㌶㠷㔹㉡扥ㄹ㉢㐵ㄵ㐷㘳敥㌶晢㡣攷㕢ㄸ晡㔶〸攳㌶〸扤攲㌴㜶摣摢㘹扤〳㐲愹㈹㑥挵ぢ昷㡥摦㌵㜹搱㙦㘷摥昸慦捦㝥摣㙥搱つつ㙡ぢ㤸愵攲㍦㘲愵愸攲敥㈹挳攷搰敡㉥㠶扥ㅢ挲戸〷㐲慦㌸㡡㉤扥㤷搶晢㈰㤴㙡㜴㉡㝥攸敢㜹㐳㘷㜶ㄵ㈶ㅦ户㝡扢昳收晣攵戶昹㙡㑢㤸愵攲晢戱㔲㌲扣㔳敥㈶晢㜶昳〳㡣晥㈰㠴昱㄰㠴㕥㜷〲ㅢ晤㌰慤㝦㠶㔰㉡敤搴摤攳㤶㈷㝥昷换敥搳㈷慤戹戳昹㠶㉦〷晥戴㡦ㅡ〰戳搴晤㔷慣散愴捦搳昱㐹㍢㠶扣愹戲㥣㜰㕡捤㐷㔸挳愳㄰挶㘳㄰㝡晤㔱㡣昱挷㘹㝤〲㐲愹㠸㔳晦㘳㜷ㅣ㝡㔲搳昹愳㘶摤㜴晣㐹㤱挱㤱㍤㙦改晤㈴捣㜳㥣戳㠰㠹ㅤ㤹㐳㜱㕥搵㝤捡ㄶㄹ㠵慤㕥㥦㜳㔵㥣慡ㄶ攲㠵㘴㈱ㅣ捥挷㐳㤹㘸愶㜶㌰挲慥敦㐹ㄱ㝦㉣㝡ㄷ昶㙡㙥换户ㅦ㉡㘷㐹㕢㡤捦㜴㕡摤㈷㑤㈳ㅣ摢昸昶㈵㙤昹捥〱晥挶㜹㕤㤹㉥㙢换㔲㕢㜷㤰㌲户㜹㌸㠷戴㍡愵扥慤㑢摤昶捣戴㉣戱挶㉤㙢戶捤〳㑢捣㌸㠳㙣捦㔶戶㑥敥戰づ昱慣㘵㉤ㅡ㠷㑢ㅣ㑢㈵㜶搹㔶摡㈶扢㕤㠳㈶㉣㙣敦戴摡愴㜹㈳㕡㜷㙦捥㉤戲㍡收㔹扣㐰㘲攵㘵㔳晢搳攴㥣挶㡥㤸摤㠶つ挵㠹㘹㝥㠸慥㉤㑣㕡搶㘵戵攵慤㍣摡扢搸敡攸㕡㍥㍦㤳㙤戱㌶㉤㠲搸㜵挲戰㐵㤱㝡㜲㝢㙥㐹攷㠴昶戶慥㡥昶㤶㘲换戸晣搲っ㑥㥤昳㌳摢昳ㄶ捥㝣㙢戸㔴愹慡ㅥ㍤㤴慡摡挱敦昴㤳㜱㍢㐷㐹㐷㘸㕤㍣㄰㝤扥㜹昱戰ㅢ㌵ㄷ㕢㠷慤㘸戱㌸㈶慢ㅢ搶ㄱ㑣攲㌲捣昰捡㐰㙤㥢㜸㌵㠹攸㘱㤵搱搲㐶慦攷晥晦㠲慢慢晢㍡㕢㍦㘹㈹㉥㉦㑣捤戴攵㕢慣㡥戵㕥ぢ㔳㙣㤱昹ㄴ㐴敤㑥搸㥢㉢戲㔷〳㠴㕡愶㤶搷ㅥ摡㥣敦㕡㘸㉣戴㥡ㄷ㉣攴㐱㈰慥㤷搵搵㤱摡戲挵㝣〶㉡昳㔹㡡攷㈰〲㠱㉡攳㜹㠲㡣㠰昹㠲㕤慥ㅤ㠲晦㌷晣挲㐵㌵扣㑣戹㔰㠲慢㕡㥤戵慤㤳摢㍢㍡㝢昴昰摢捡愹㤹捥㠵㕤ㅣ㥥㙢㌷㌲摥㡢ㄴ㉦㐱搴㌶㐰慣昳扡㐸㍤㐰㌵扣晣搳愷㜵愲㔵挸攰愲㥢散摤㉡㔳摢㙡㕦挷㤹㘸㜵收㑣㕥昰㤹㠶㝤㘵㤹㠱㌵散晣扤㕢㌹晡慤㘵㕤ㄳ㌳㕤㤹㥥慤戸㜴㠴㕥㌲〱ㅡ㈱㕥昶ㅡ㍤晢㠸捥昵づ㌸㈵㐴〸捡慡ㄶ愵㤷㈸散㐸搸㜱戰扦㔴昵㜰攴摡㌷〲㙤摦ㅡㅢ㘱㤴づ昴攲㑢㐰戸㌲㤵㥦㘲戵捤㕦扥搸敡㈴扣捥㔸㉢㤵愵扢ㄷ㠳捤捥㘵昷攸㙡㙥改ㅣ㠵㤶㑥改㘸㕦戲昸扦ㄹ㠷戱捣㤷㈱摣愵㜶㍢㡣攲昵摦㈶搰㔵搵㜳㈹晢愶愹愹慡㡥搱愸㌱㕥㠵搰㝦昷㜸搵㠹㠳ㄷ戱㝦挱㝦戲㤸慦攳扦㠰㐹㘸〵㕢敤㔰搸㌶攴敡㔹㉤昰扤㕢㐱搸晣づ㑢慥〷搶㐹〱攴昷㘹摤慢扤㘳㔱戶扤㝤ㄱ㠷搷㐶㔲敡㕣㘸㔹㕤扣挶搶换戹愶㈸搷づ㤵敡搱愳攸㡡㤸㜶㌱㙥ㅢ挴㌷摥㠲攸㌳慥愵㘵㤰ㅢ戱搳㜸ㅢ慡ㅥ戸摡㘷扣㠳㤵〵㠳㜷㥦㌴㜷㝥搳愴㘵㤹搶挵㉤搶㡥㜳㤶㘴㕡㜰㥤㜲挷搹㡢扢㈶㜵づ㕡ㅡ㡡つㅡ㠶昳攷㔸㈴㘴㜵づ㝦敦扡㤳㍦㕣㜹搴㝢㜷㥣昰摥㈹愷㝤戴昲愸て慥戹收摤㍢㔶㝥㜰攲〹㥦摤㝤㐲㜴敥扢㜷㕣昲攱扤㜷扥㜷捡㔹敦㕤㜲昹扢㜷㕣晢搱㤹户扣㝢挷㉡ㄴ㍦扢晢挴㔱换㕡㍡㤷愹慤㐰㈶㉦㠷摤㌴戵搷㥣ㅢ㥥㌸扤昱㠶ㅤ㕦㤸㌸攲摡㠵㑤㙡㠰㘳㈸扢㈲㌷っ捤ㅢ㡣慦昹㍥㠴摡〲㌰捥㔹㔸㉦㕥捣て㔱㌶㍦愲昸ㄸ〲㌳㡦㜴㄰㈶㥥㑦散愲ㅡ㡥晦㌹昹㤸㥦㔲晣ㄳ㐲㡤㠰攰慥㙦㝥〶攱㉥㉡㠸昸ㅣ㔱㌲㉡扥㠰扡㘸㔴攰㐸戰㙣㔴㝣〹㔰挰㈴戴㠲㑤㡤㠴㡤㈳挳㘴㑦㤸攴摥㈴敦捡㐰㍤扥㝣搴㍡㠶戲敢㠶㍢挱㑤昸昸㤱晥㍤〰昳攷攳㘷搶㐱㥥㑣づ㙦㡤㡦㙡扢愸㐲戰〹ㅦ㍤愰㌰㜹〷㐵㐵愰ㄲ㍥㙡㔱㜲ㄷ昵晤捦ㅡㅦ㍤㘱搱昹攰㐵挷㌲㍥㑣㠰〲㈶愱ㄵ㙣㉡㡡攸㝥㝣㝣㡥扡㝣昹昸捣㌱㤴㕤捤㑣㈰搲㘰㝣捤㑤㔰㥤晡ㄴ㌰㝦㍥晡戱㌵晤㈹㌶㠵搰昸搸摣㉥慡㈴㠲〸ㅦ㕢㄰戴㈵㠴㑡㐳㈵㝣っ㐰挹㕤搴扢㍡ㅦ〳㘱搱昹攰戵搰㌲㍥戶〱㈸㘰ㄲ㕡挱愶㐶㈳扡ㅦㅦ慦㔴攲攳㘵挷㔰㜶㤱㜵っ㈲つ挶搷ㅣ㠶敡搴㡢ㄵ昹搸㠱慤ㄹ㐱㌱ㄲ㐲攳㘳㤴㕤㔴扢㈲㠸昰戱ㄳ㐱㈱〸搵〸㤵昰ㄱ㐶挹㕤搴摦㜴㍥愲戰攸㝣昰ㄲ㙤ㄹㅦ㜱㠰〲㈶愱ㄵ㙣㙡ㅣ愲晢昱昱㔰㈵㍥ㅥ㜴っ㘵搷㝥㈷㈲搲㘰㝣捤㕤㔱㥤扡扦㈲ㅦ㡤㙣捤㌸㡡昱㄰ㅡㅦㄳ敤愲㥡㠴㈰挲挷㈴㠲㈶㐳㈸㕥〲ㄶ㍥愶愰攴㉥敡づ㥤㡦㘹戰攸㝣昰捡㜱ㄹㅦ搳〱ち㤸㠴㔶戰愹愹㠸敥挷挷㜵㤵昸戸搶㌱㤴㕤㤲㥥㡥㐸㠳昱㌵攷愳㍡㜵㜵㐵㍥昶㘴㙢昶愲搸ㅢ㐲攳㘳㕦扢愸㘶㈰㠸昰戱ㅦ㐱晢㐳愸㔹㔰〹ㅦ〷愰攴㉥敡て㍡ㅦ㑤戰攸㝣昰㠲㜶ㄹㅦㄹ㠰〲㈶愱ㄵ㙣㙡㌶愲晢昱㜱㔶㈵㍥捥㜴っ㘵㔷捡攷㈲搲㘰㝣捤㠳㔱㥤㍡愳㈲ㅦ㉤㙣㑤㉢㐵ㅢ㠴挶挷㘲扢愸收㈱㠸昰㜱〸㐱ㅤ㄰㙡て愸㠴㡦㑥㤴摣㐵晤㐶攷㘳〹㉣㍡ㅦ扣捣㕥挶挷愱〰〵㑣㐲㉢搸搴㥥㠸敥挷挷搱㤵昸㌸捡㌱㤴㕤扦摦〷㤱〶攳㙢慥㐴㜵㙡㐵㐵㍥㡥㘶㙢㡥愱㌸ㄶ㐲攳攳㜸扢愸昶㐵㄰攱攳搷〴㥤〰愱昶㠷㑡昸㌸ㄱ㈵㜷㔱㑢㜵㍥㑥㠶愵㠸て扦昹㘳ㄵ㐰〱㤳搰㜲㍥挴愶づ㐰㜴㍦㍥㕡㉡昱戱挸㌱㤴摤㔲㌸〸㤱〶攳㙢晥づ搵愹收㡡㝣㥣挵搶㥣㑤昱㝢〸㡤㡦㜳敤愲捡㈰㠸昰㜱ㅥ㐱攷㐳愸ㅣ㔴挲挷〵㈸戹㡢㍡㐸攷攳㈲㔸㡡昸昰摢㕦㉥〶㈸㘰ㄲ㕡捥㠷搸㔴ㅥ搱晤昸搸戳ㄲㅦ㝢㌸㠶戲ㅢㅤ扣㕤㌱ㄸ㕦昳ㅡ㔴愷收㔵攴攳㍡戶收㝡㡡ㅢ㈰㌴㍥㙥戲㡢㙡㈱㠲〸ㅦ㌷ㄳ㜴ぢ㠴㍡ㄸ㉡攱攳㔶㤴摣㐵敤愶昳㜱㍢㉣扣㐷ㄲ㉡摦搲㍢㘱ち㤸〴㔴戰愹㐵㠸改挷㐲㘳㈵ㄶ挶㍡㠶戲㥢㉦㙤㠸㌴ㄸ㕦昳〱㔴愷挶㔴㘴攱㈱戶收㘱㡡㍦㐳㘸㉣晣搵㉥慡㜶〴ㄱㄶㅥ㈱攸㔱〸㜵〸㔴挲挲㘳㈸戹㡢㡡改㉣㍣〱㡢㍥㉡㜸㉦愷㙣搶㜸ㄲ愰㠰㐹㘸〵㥢敡㐰㜴㍦㍥㜶愸挴挷㜰挷㔰㜶㤳㘸〹㈲つ挶搷㝣〹搵愹敤㉢昲昱ち㕢昳㉡挵㙢㄰ㅡㅦ㝦户㡢㙡㈹㠲〸ㅦ㙦㄰昴㈶㠴㕡〶㤵昰昱ㄶ㑡敥愲戶搶昹㜸〷ㄶ㥤て摥㕤㉡攳攳㍤㠰〲㈶愱ㄵ㙣㙡㌹愲晢昱搱慦ㄲㅦ㝤ㅤ㐳搹㙤慢挳ㄱ㘹㌰扥收㍦㔱㥤摡戸㈲ㅦ㥦戳㌵㕦㔰晣ぢ㐲攳攳㉢扢愸㡥㐰㄰攱攳㙢㠲扥㠱㔰㉢愰ㄲ㍥扥㐵挹㕤㔴㥤捥挷扦㘱搱昹攰ㅤ慦㌲㍥㝥〰㈸㘰ㄲ㕡挱愶㔶㈲扡ㅦㅦ㍦晦㔴攱㈸晤㈷挷㔰㜶㉢敤ㄸ㐴ㅡ㡣慦㔹㔳㡤㉤昸〱㌰晦愳㜴〳㘶戳㈷㐵ㅤ㠴挶㐷挰㉥慡㘳ㄱ㘴〸〳昵㈲愸㌷㠴攲慤㌵攱愳て㑡敥愲晥㠵㍡扣戳戸㝡㔸㌰㙢㐴搲攵㕢扡㌱㑣〱㤳㠰ち㌶挵扢㜶㝥㉣㝣㔸㠹㠵てㅣ㐳搹つ扥㤳㄰㐹㔸搸ㄲ搵愹昷㉡戲戰ㄵ㕢㌳㤰㘲㙢〸㡤㠵㐱㜶㔱㥤㡣㐰㐳昰㌵〷ㄳ㌴〴㐲昱㍥㥦戰戰㉤㑡敥愲㕥搳㔹ㄸち㡢㍥㉡㜸㝢戰㙣㔴㙣て㔰挰㈴戴㠲㑤晤ㄶ搱晤昸㜸愶ㄲㅦ㑦㍢㠶戲晢㡥愷㈱㤲昰ㄱ㐲㜵敡挹㡡㝣㐴搸㥡㈸㐵っ㐲攳㈳㘱ㄷ搵㙡〴ㅡ㠲慦㤹㈴㈸〵愱搶愰㈸㝣愴㔱㜲ㄷ昵㘷㥤㡦㥤㘱搱昹攰㑤捣㌲㍥挶〰ㄴ㌰〹慤㘰㔳㘷㈰扡ㅦㅦ㜷㔷攲攳㉥挷㔰㜶㜷昴㉣㐴ㄲ㍥㈶愳㍡㜵㘷㐵㍥愶戲㌵搳㈸㜶㠳搰昸㤸㘱ㄷ搵搹〸㌴〴㕦㜳㈶㐱戳㈰搴㌹㈸ちㅦ戳㔱㜲ㄷ㜵㠳捥挷ㅣ㔸㜴㍥㜸㘳戵㡣㡦㜹〰〵㑣㐲㉢搸搴戹㠸敥挷挷㘵㤵昸戸搴㌱㤴摤戱扤〰㤱㠴㡦晤㔱㥤扡戸㈲ㅦ〷戲㌵㑤ㄴ〷㐱㘸㝣㘴敤愲扡㄰㠱㠶攰㙢收〸捡㐳愸㍦愰㈸㝣㔸㈸戹㡢晡扤捥挷〲㔸捡㙥昷㤶ㄱ搲っ㔴挰㈴戶㥣㄰戱愹㡢ㄱ摥㡦㤰㔳㉢ㄱ㜲㡡㘳㈸扢㡦捣㥢挱㐲㐸〷慡㔳慢㉡ㄲ搲挵搶㉣愱㔸ち愱ㄱ戲捣㉥㉡摥㔰ㅥ㠲慦戹㥣愰㕦㐱㈸摥㑡ㄶ㐲づ㐳挹㕤搴戱㍡㈱㐷挰愲て㄰摥㠱㉥攳㘳〵㐰〱㤳搰ち㌶㜵ㄵ愲晢昱昱慢㑡㝣㉣㜷っ㘵户戶㜹㡦㕡昸㌸〱搵愹㐳㉢昲㜱ㄲ㕢㜳㌲挵㙦㈰㌴㍥㝥㙢ㄷ搵㜵〸㌴〴㕦昳ㄴ㠲㑥㠵㔰扣挳㉤㝣㥣㠶㤲扢愸㌶㥤㡦搳㘱㈹攲挳敦戰攳っ㠰〲㈶愱攵㝣㠸㑤摤㠸攸㝥㝣攴㉢昱㤱㜳っ㘵㜷摣㜹敢㕣昸㌸ㅦ搵愹㑣㐵㍥㉥㘴㙢㉥愲昸〳㠴挶挷㈵㜶㔱摤㡡㐰㐳昰㌵㉦㈵攸㌲〸挵ㅢ敦挲挷攵㈸戹㡢摡㕢攷攳㑡㔸㜴㍥㜸扦扥㙣㝣㕣つ㔰挰㈴戴㠲㑤昱敥扥ㅦㅦ戳㉡昱㌱搳㌱㤴㈵〲摣㠵㐸挲挷㉤愸㑥㑤慦挸挷㙤㙣捤敤ㄴ㜷㐰㘸㝣晣搱㉥慡扢ㄱ㘸〸扥收㕤〴摤つ愱敥㐵㔱昸戸〷㈵㜷㔱攳㜵㍥敥㠳㐵攷㠳㘹〴㘵㝣摣て㔰挰㈴戴㠲㑤摤㠷攸㝥㝣愴㉡昱㤱㜴っ㘵昹〹て㈰㤲昰昱㈸慡㔳昱㡡㝣㍣捥搶㍣㐱昱㌷〸㡤㡦愷散愲㝡㄰㠱㠶攰㙢㍥㑤搰㌳㄰敡㘱ㄴ㠵㡦㘷㔱㜲ㄷ㌵㔲攷攳㜹㔸㜴㍥㤸摡㔰挶挷㡢〰〵㑣㐲㉢搸ㄴㄳ㈱晣昸ㄸ㔲㠹㡦挱㡥愱㉣㘷㠲㔹て挲挷㥢愸㑥㙤㔳㤱㡦户搹㥡㜷㈸摥㠵搰昸㜸摦㉥慡㐷ㄱ㘸〸扥收〷〴㝤〸愱㤸㌳㈱㝣㝣㠴㤲扢愸㑤㜵㍥晥〱㡢捥〷㔳㉤捡昸昸ㄴ愰㠰㐹㘸〵㥢㘲㘲㠶ㅦㅦ扤㉢昱搱换㌱㤴收㜰搴昲㥥昰〶摣㝢敦〵戸㔹搸戳搹㍡㤴㌷ぢ㌷㉡㈰慤㝤挲㤲捥慥㜶戹戳搹愷㌰戱㝤㔶㝢搷挴收捥挵㉤㤹攵㝤ぢ捥捡㕥ぢ慤㌶攴ㅤ㜴㈰晤愰㐴搷扥㜸戱㤵㌷ぢ昳摡㤷㜴攴慣㘹ㄳ晦ㄷ昲ㄲ愴摢㜰㜳㑤愹慡㙡㠵攵㍦扢搵㕥〵㑦っㅡ㉣㔵戵捦㈰㘴改ㅤ㔳㐹慥搷戲ㅢ㘴㌵〸㘰㝤㌷愳昳㥢扢㕡慣㕥〵挹㉣㤰昵扡〲㔸㐴㌲㐷扥㘷㘱晥㐲摣㍡㥣搸愷㌰愵愳㌹摦搲摣㘶戱㌳晡搹搰ㄹ搶〲㈴㙥散摥摥搹捣㑣晡㍥㠵昹ㅤ㤹戶捥挵扣〷㥤㕢扥㐹㔱㐹㙥㔶搷ㄶ挶㌷户㜵愲ㅡ改㐵慥搷ㄷ收㉤㙣㍦ㄴ㝦㔲戳愴戵㙤㑡㘶㜱攷晦㐴慦㈸改ㄷち改ㅡ㔵慤慡慢㔵㕤㜵摤㝦摡㍦挶㌷搸扢晡摡㈹㔳㠳㌰㑥扢㍡㥡戳㑢㐸㤸搴ㄳ㠱慣愱㤰㍥慣慡㘵㝡㐳改摤㘶慤ぢ㑢㔲㐵搸搶愲㍦ㄵ昱捤㕡昰晥㑥㘹㈰攰收户㘸㑥敦敦㈰㜶㥢戲挷戴敥㈴慡晦搳ㅦ晤搴㌲㈱㘳扤㜳㔶晡〳扣㤱㍤㠴㤸挷挲ㄱ㠵㍤ㄳ㈳㠱愵搲㘱ㄹ㈸〸㠶㈳㜴愳敥搵挹㐸㝢攸㕤㤸㤱挹㕡㉤挸搶㘸捤㜴㙤㘴ㄷ㤸㌶㠳㍦ち改㜴㙣ㄳ摡㕢㕢㌳ㅣ㜲晣搳㤶㜹戹㑣㡢㔵㔷ㄸ户愴慢ㅤ㜹搳㘶〱㐲挶愵愳捡㉣㠳㉡戳捣捥慢㈸捣㘵ㄶ㤷慣㌳㔶晢㠲㑣㐷㜳搷挲搶收㕣ㅤぢ捣戴晡㥦ㄸ慢昸㈵愸〱㤹敥攲捥㈵愵㠹ㅡ㜶扡〴扡㝢ㄴ㜲㥢㐸ㅤ扢ㅦ㈳扡㕡ㄹ昸愷晥挳㈴ㅦ捣㍣昲愳㘱㝥㡦㘸戵昸捡㔴㈴㙤昹晣ㄷ㘷㉦晡㝣〵㔶㘴㜲㔲捣搱愱搶晣〱㔰慥昰㕢挳㌴㤹戵㘶㠰昴〴㈰㌰愳㍤㤳㥦㥣挹攱捦搴㝡㍡㝦愴㔶㠷慥攵㔴搳ㄱ㘴㑥捥〴愴㜹㈱㝤㙣㘹㜳摥敡愸愳㘲ㅥ晥〸慦㠶搹㍣㠶摤㠷摣㤹慢㙡㙢㝢搵昹搵㌵捤㡤搵攰愴㌶攸㝦攴㌷慤㉣晥㈷㜳㔲㘳㜷㘰慢〲昲ㄳ昵㈳㌶挷晣㠹摢挴㙣ㅦ㙥㑦〹攰㘷〲㝥㠱愸㝤ㄹ挶搲扥㈹㑥㡦㐱ㄲ㡤〹㔰㡤晣㜹ㄷㄳ㜷敡㤰攴㈲ㄹ㍦戵戲㈱扤戴㑣ㅤ挳㑥搲愹㠳て搶㕡㍢㡤㜹ㄸ攵㔶㍥㘰捦慦捣〸挲㉦㐳㔵㜵㜵つ扡摡㈸捤㜲㉣慢㤶㈱收㔹㤲挲愳㤸戶㘲㌰摦㜳㔳敥㉣㠸㡦㍦㙡㉣晡㠳愹搲攳㠸㐰挰慣〶扣㉡愰㕥㠷㜴㌹㤸㐵㡤㑤ㄲ搸挷攵㌹〸挵㑣ぢㅥ〹㘸扦㕢㡡改ㄵ晣敤慡㌲昸〷㜴敢㍢㔷慡㡦攰挱昹搲㌴ㄸ昸㘳慣㜱ㅡ昲㠶㘵ㅤ戴敢ㅥ㤶捣攰㤰㘱挹扦挷㜴㠷愵㘲ㅡ㠷扢ㄹ㕡㕦〷㠰㌱㝢ㄱ昸㑦㝦㐰㙦〲晡㄰挰慣て昶户戱ㄱ㑡扥㍣晡ㅣ慦㠳挷㈰攰攰昱㑢㉤扥挶攳挶㡣扦〹攳晦〸㐰㈹㡦㑣换戰㜹散ぢ挸㝡昳挸㐴づ攱戱ㅦ〳㤳㠴㈲ㅥ㌷㠵㜶摤㍣㔶挳㑤㜸摣㑣㠲搸〵搵〳㉡ㅦㅥ㌷〷挶摣㠲㐰愶㠶昸〰戶㈴㘰〰〱捣ㄶㄱㅥ户㐲挹㡦㐷扦㈴ㄱ昰戸㌵攰攰搱搴攲㙢㍣㙥挳昸㠳ㄸ㥦㤹ㅤ愵㍣㌲㥤挳收㜱㌰㈰敢捤㘳㝦戸〹㡦㐳ㄸ㤸㤹㈰㐵㍣㌶㐰扢㙥ㅥ㤹㌱㠲て晥ㅥ㤱㐱戰㈲摦㉤㈰㝤㘸摡づㄸ㜳㝢〲㤹㔲攲〳ㄸ㐶挰㜰〲㤸㘵㈲㍣敥㠰㤲ㅦ㡦㝥挹㈵攰㜱㈴攰攰㜱ㅢ㉤扥挶攳㡥㡣㍦㡡昱㤹ㄱ㔲捡㈳搳㐰㙣ㅥ㜷〲㘴扤㜹ㅣ〱㌷攱㌱挴挰捣㈰㈹攲㌱〲敤扡㜹㘴愶〹㍥戸戴换㈰㉥㡦㑣㌷昱愱㈹〶㡣ㄹ㈷㤰愹㈸㍥㠰〴〱㐹〲㤸㥤㈲㍣愶㔰昲攳搱㉦㈹〵㍣㡥〶ㅣ㍣挶戵昸捣㌳㜰收挷㥤ㄹ㝦ㄷ挶㘷㈶㐹㈹㡦㡤搰〹㡦㈶昷㙢㔹㈲㤰摡㜱愳ㅡ〷㠸㜰戶㉢㠳㡣㐷愹㠸戳㐶㘸搷捤ㄹ戳㔱昰㐱慡ち㠳㘰㐵扥㑣㐹昱愱㘴㍣㌰收〴〲㤹慥攲〳㤸㐸挰㈴〲㤸挱㈲㥣㑤㐶挹㡦㌳扦挴ㄵ㜰㌶ㄵ㜰㜰㌶㕤㡢慦㡤扤㘹㡣扦ㅢ攳㌳摢愴㤴㌳愶㤸搸㘳㙦㍡㈰敢㍤昶昶㠲㥢昰㌸㠳㠱㤹㥤㔲挴攳㉣㘸搷捤㈳戳㔸昰挱ㅦ㔲㌲㠸换㈳㔳㔹㝣㘸摡ㅤㄸ㜳づ㠱㑣㜳昱〱捣㈵㘰ㅥ〱捣㝣ㄱㅥ攷愳攴挷愳㕦挲ぢ㜸摣ㄳ㜰昰㤸搱攲㙢㍣敥挵昸㝢㌳㍥戳㔴㑡㜹㘴㙡㡡㍤昶戸て换㔲㍡昶㕡〱ㄱ捥昶㘵㄰㘶戰ㄴ㜱戶㍦戴敢收㡣㤹㉥昸攰慦㌰ㄹ〴㉢昲㘵扡㡢て㈵〷〲㘳㌶ㄱ挸㔴ㄸㅦ挰㐱〴㘴〸㘰㜶㡣㜰㤶㐵挹㡦㌳扦愴ㄸ㜰㤶〷ㅣ㥣ㅤ慡挵搷昶㔷㡢昱ぢ㡣扦ㄲ㠰㔲捥㡥㠶㙥ㅤ㥣ㅤ〳㠸㜰戶㤰㐱㤸攵㔲挴搹挱搰慥㥢㌳㘶挳攰㠳扦收㘴㄰㤷㌳愶挴昸㔰搲〲㡣搹㑡㈰搳㘵㝣〰㙤〴戴ㄳ挰っㅡ攱㙣㌱㑡扥㥣昹㈴捥㠰戳づ挰挱ㄹ戳㘴摣昸摡㌸敢㘴㝣㍥㉢㐳㌱摢愵㤴㌳愶戸搸晢敢ㄲ㐰搶㝢㝦㍤ㅢ㙥挲攳㔲〶㘶㜶㑣ㄱ㡦换愰㕤㌷㡦捣愲挱〷㌷㉣ㄸ挴攵㤱愹㌴敥㘶㘸挷㠰扦〲挶㍣㡣㐰愶搹昸〰づ㈷攰〸〲㉥〰㐰㜸㍣ㄲ㈵㕦ㅥ㝤慥㔱㠲挷㤵㠰㠳挷㡢戵昸ㅡ㡦㐷㌱晥搱㡣捦㉣ㄹ攱ㄱ挷扣㜲㤶ㄵ愸㔲㑣㡤戱㜹㍣〶㤰捤扡晦戰㜴㥤搷ㅥㄴㄳ㙡㠴换㘳ㄹ㥣㤹㌵㐵㕣ㅥて敤扡戹㘴〶づ㍥昸㝢㔴〶㜱戹㘴ㅡ㡥㑢㔵㠸ㅢ㘷㥦ㄶ㥣〰㡣㜹㈲㠱㑣搱昱〱㥣㐴挰挹〴㌰㙢㐷戸晣つ㑡扤摤昳ㄲ昹㠳㘶㥦戳㤱摦〲〴〶敦搴愲㙡っ㥥挲愸愷㌲㉡㌳㙣㑡㐷㈲搳㙡㙣〶㑦〳㘴扤㐷㈲ㄳ㜱㠴扤搵っ捣㡣㥣㈲昶搶㐰扢㙥昶㤸戹㠳て晥搴㤵㐱㕣昶㤸扥攳㤲愳㡤挴摦〱㘳㥥㐹㈰㔳㝢㝣〰㘷ㄱ㜰㌶〱捣昶ㄱ昶㝥㡦㤲摦㐸昴㑢昲挱㐸㍣ㄷ㜰昰挸㙣ㅦ㌷扥挶攳㜹㡣㝦㍥攳㌳㌳愷㤴㐷愶攳搸戳㘰挵愳ㄶ㈶敢〸㘷ㄷ㌲〸戳㜶㡡㌸晢〳戴敢收㡣搹㍤昸攰敦㘴ㄹ挴攵散つ慣戹㑤搶㌸扢〴ㄸ昳㔲〲摦昴〷㕣㐶挰攵〴扣〵㠰㜰㜶〵㑡㝥㥣昹㈵〲㠱戳慢〰〷㘷捣〸㜲ㅢ愰㜱㜶㌵攳㕦挳昸捣摥㈹攵㡣㈹㍢昶搸扢ㄶ㤰昵ㅥ㝢㑣昲ㄱㅥ慦㘳㘰㘶晢ㄴ昱㜸〳戴敢收㤱㔹㐱昸攰㉦㙦ㄹ挴攵㤱愹㐱敥㘶㘸㍣摥〴㡣㜹㌳㠱㑣ㅢ昲〱摣㐲挰慤〴㌰㤳㐸㜸扣つ㈵㍦ㅥ晤ㄲ㠸挰攳ㅤ㠰㠳㐷㘶ㄲ戹昱㌵ㅥ敦㘴晣㍦㌲㝥つ㉥慤〸㡦摡㉣挸㔴ㅦ㝢散㜱ㄶ㤴㈵〲愹ㅦ㌱昷〴㐴㌸扢㥢㐱㤸ㄱ㔴挴搹扤搰慥㥢㌳㘶づ愱㝤昸摢㕤〶挱㡡㝣㝢㐱敢㌶㌹〴愵㌳摢晤〹ㄸ昳㝥〲㤹㕡攴〳㜸㠰㠰〷〹㘰戶㤱㜰昶㄰㑡摡㙣㠷㍦昶昷㤹敤晥っ㄰㤸摡㔸㡢慡㌱昵ㄷ㐶晤㉢愳㌲㌳愸㜴挴㌱ㅤ挸㘶慡攲昱摤㐰㐰㠴愹㐷ㄹ㠴㔹㐳㐵㑣㍤づ敤扡㤹㘲㜶㤱㌰昵〴㠳戸㑣つ㠶搶㈵㐲ㅢ㕤㝦〳挶㝣㤲㐰愶ㅦ昹〰㥥㈲攰㘹〲㤸㤱㈴㑣㍤㠳㤲摦攸昲㑢㐴挲攸㝡づ㜰㜰戶扤ㄶ㕦㍢扥㝢㥥昱㕦㘰㝣㘶て㤵㜲挶㤴㈱㝢㉦㝤ㄱ㤰昵摥㑢愳㜰ㄳㅥ㕦㘲㘰㘶ㅢㄵ昱昸ち戴敢收㤱㔹㐹挲攳慢っ攲昲挸搴㈴ㅦ㥡㕥〳挶㝣㥤挰㤴㍦攰敦〴扣㐱〰㌳㤹㠴挷㌷㔱昲攳搱㉦㠱〹㍣扥つ㌸㜸ㅣ愳挵搷挶摥㍢㡣晦㉥攳㌳敢愸㤴㐷愶ㅡ搹㍣扥〷挸㝡昳㌸つ㙥挲攳晢っ捣㉣愵㈲ㅥ㍦㠴㜶摤㍣㌲㥢㐹㜸晣㠸㐱㕣ㅥ㤹搲攴挳攳挷挰㤸晦㈰㤰改㑥㍥㠰㑦〸昸㤴〰㘶㐰〹㡦晦㐴挹㡦㐷扦挴㈷昰昸㌹攰攰㜱㥥ㄶ㕦攳昱ぢ挶晦ㄷ攳㌳㕢愹㤴㐷愶㈸搹晢㜰㉤愳㜰㠹攰慢捦㜶㑤㠰〸㘷㕦㌱挸㐱㈸ㄵ㜱昶つ戴敢收㡣ㄹ㑦挲搹户っ㠲ㅡ攴换戴㈷ㅦ㑡扥〳挶晣㌷㠱㜹㝦挰昷〴晣㐰㠰〵㠰㜰昶㈳㑡㥢戹挷㜶摡㌵㘷㜹ㄶ㠶捦挴昷㌳昰㈰慤㔹慢㐰㈳敤ㄷ㔶㔰㠵ㅢ㈴㡡ㄹ㑤愵愴㌱㡤挹㈶㡤㈷ㅣ戲㤴㤲戶〴㄰㈱つ搷搰慢ㄴ戳㥤㡡㐸挳㥦㤴慦〷㘹换攰㈶愴搵㌲〸敡㤱㉦㔳愳㝣㐸㌳㠰㌱㝢ㄲ挸戴㈹ㅦ㐰ㅤ〱㝣㙡愰㘲㈶㤵㤰ㄶ㐰挹㙦愰昹㈵㔰㘱愰昵〶ㅣ㥣慤搰攲㙢㥣昵㘱晣㡤ㄸ㥦㔹㑦愵㥣㌱搵挹收㡣㍢慣㉣愵㥣㥤っ㠸㜰ㄶ㘴㄰㘶㐴ㄵ㜱戶〹戴敢ㅥ㘸捣㥣ㄲ捥晡㌲〸敡㤱㉦搳愷㝣㈸改〷㡣搹㥦㐰愶㔶昹〰㌶㈵㘰㌳〲㤸㙤㈵㥣㙤㡥㤲㉦㘷晥ㄷ攵户〴ㅣ㥣㌱愳捡㡤慦㜱㌶㠰昱户㘲㝣㘶㐶㤵㜲㜶㈱㜴㌶㘷ㄵ㜷捥㡢〰ㄱ捥戶㘶㄰㘶㑤ㄵ㜱㌶〸摡㜵㜳挶散㉡攱㙣㌰㠳戸㥣㕤ち慤摢㘴敤〷㜶〸㌰收戶〴㌲晤捡〷搰㐰挰㔰〲㤸㤱㈵㥣㙤㠷㤲ㅦ㘷㝥㠹㔸ㄸ㘷挳〰〷㘷㔷㙢昱㌵捥㠶㌳晥づ㡣捦散愹㔲捥㤸㌲㈵㥣ㄹ㈳〰㔹敦ㅦ〶㈶㔹〹㡦㈳ㄹ昸づ㤴㡡㜸ㅣ〵敤扡㜹㘴㔶㤶昰戸ㄳ㠳戸㍣㌲㌵换㠷愶㄰㌰㘶㤸㐰愶㙤昹〰㈲〴㐴〹㘰㈶㤷昰ㄸ㐳挹㡦㐷扦〴㉥昰㤸〰ㅣ㍣摥慦挵搷㜸㑣㌲㝥㡡昱㤹㜵㔵捡㈳㔳慤㙣ㅥ搳㠰慣㌷㡦㑣捥ㄲㅥ㐷㌳㌰戳戴㡡㜸摣〵摡㜵昳挸㙣㉥攱㜱っ㠳戸㍣㌲愵换㠷愶㕤㠱㌱挷ㄲ挸㜴㉦ㅦ㐰㈳〱攳〸㘰〶㤸昰㌸ㅥ㈵㍦ㅥ晤ㄲ扦挰攳㐴挰挱㈳㌳挰摣昸扢㔳㘳㕦㠹㤸挴昸㤳ㄹ晦㑤〰㑡㜹㘴㡡㤶捤攳ㄴ㐰搶㥢㐷㈶㜵〹㡦㔳ㄹ㤸搹㕤㐵㍣敥〶敤扡㜹㘴ㄶ㤸昰㌸㥤㐱㕣ㅥ㤹ち收㙥㠶戶㕦捦〰挶㥣㐹㈰搳挴㝣〰戳〸㤸㑤〰㌳挷㠴挷摤㔱昲攳搱㉦㘱っ㍣捥〵ㅣ㍣㌲㜳捣㡤慦㡤挷㜹㡣㍦㥦昱㤹㘷㈲敤摥㠳㈵愷摤戵捣ㄵ㈸扤〵㕥㤶㥥㈰㌵ㄴ㤸愸㌰慦㙢㜹ぢ㤲㐳戸捡㕢攲昶ㅡ㙦敥〷㐴㠷ㅢ昵敤ㅤ戸㠵㔸㔳晡㤸ㄱ捦昷㐹㔴摣慢㕦挹㈳㕣挴㡤ㄶ收㐱搴㕥昵㐳昹㘳㑡㍣㝦㌶扣晢㜹づ昴攱㘲散㠵㈶昶㥢搹㥣敢㘸敦㙣㉦㜴つ㥡㠷挴愷㐱㝣㈴㑥愱慡㉡㌴慥昶ち㐴昴慤㤳ㅢ㔶搳挶攷戲㉥攵㈳㈲〲㡢摡摡て㙤㤳搶搴㜶昲挹㐰挲㔷捦㥥慣㈶挰㝡戸㙣ぢ昲㠲捣㤹〸愲㘰敥㠳㄰㝤敡㠳㑣㍡挰愷捡搸ㄷ攵愱ㄳ挶㑦㤸摢㔴㠸㈵攲昹㔴㌸ㄲつ㈵慤㔸㌲ㄶ捡愴ち㠵㐴㈶㤴戳㘲愹㑣慣㤰捦ㅡ晢㜹搰㘸㉡㤲㉦㠴㤲戹㘴㌶㥣㡤㈵㤳戹㔴㉣㕥挸㘶戳昱㜸㌲㥥㐹挵挳搹㈰搳ㄹㄸ摥摣ㅦ㍥收〱㄰㐱㘶㌱㠸敡㐰慡㥡愸㘲㑥㐳㌱慡戶ㅡ㠷〵敢㥢㙡㠰㄰㔵㉡慢㜲㉡慦慣㥡㥥㍤搵搰㤲㘷摥㤴愵㈸㜸てつ㌱っ㘶㈸搴㥥て㥡搷捦愹戸ㄷ改捣挳ㄷ㌳挷㑤挹㐳〴㠲㍤愰愰捥戰㔰摣㜸挲昸愶攲愷敡ㅡ〵愸㝢㐳㉤㔹ㄸ㜸㕣㙦愷戱〰㥡㡤愰搱㔲戲㠲㌵㑥ㄴ㜳㈱㡣收㄰搶㌱ㄸ㐲ㄹ搰㑢摦㉥㠲㥥㉢昲慤㠳㤶晢㠳㕡㠳つ攱㈸㠴愱捡㘸〵愴攲搰㔲慢〱攳昰㉡ㅥㅥ㈶㈲挹昰㘸㠷㌳㠶㐷〰㘵昶㡣戱ㄸ㘵㘷㜸㐴昰㠴收㐲㌸㤹换挴㈲戱愴㔵㐸ㄵ攲攱〴㑡戹㑣㈴㤱っ㐵㐳挶㈱ㅥ㌴㤵ぢ攷㤳昹㐴㈴㥥㉡㘴㘳㔶㉥㤷㉥攰㤹㔹改㐴㌴㥥挸㐳㥢捥〵㝢㌹攱捤づ昸㤸㥤㄰挱摥慥慡㡢慡㈵㔴昵㜱㔵ㅥ㑡〵愹挲㔷㥤㠰㑤㘰昷㘱ㅤ㔷摤改昲㉢㠸㐰㜰㘳㈸㐴挷㙥㌰㐹扡㐹㥥㠳㥢戸晡㈳愹ㅡ㑥慦㘱㄰慡ㅦ昴㐲散㔱搰㝢挴㙥ち慤㄰㝢㈴慡昰㠸㍤〶㤰捡挴ㅥづ㘸㌹戱㥢㈱㤲㄰㝢ㅣ㥣㐱散收㈸ぢ戱挷愳㙣ㄳ㡢扤㈶ㅣ㑢㠷戳挹㘸㈱ㄶ㡢㈴ㄲ搹㑣㉡㤱つ㈷昱昸散㜰㍥㤵捦㈴㡣㕦㝢搰㐸㍡㔳戰㐲戱㕣〴㠰㔸㈴㕥挸㘴戳愱㌰㍡挵挲〳戴㘳挹㐴㌸戸㠵ㄳ摥㍣〱㍥收㠹㄰挱㉤㕤搵㐹㔴㥤㑣搵〰㔷㐵㠰㐰搵搶㔴攱慢㍡㜴㘲㑦愱晤㔴㠸㐰㜰ㅢㄸ昱愹㌲㑥㐳搱㘷㝣慦㠶扡㜸㝣㥦づ㑤改昸ㅥ攴㐴㌱搷挰㈸てち㤶㐷〶慢㈱慣㥡㥤㜲㈶昴㕥㌷㌴㐰㉢摤戰㔰敢〶㤳摤挰㔹㔲ㄵ㝣ㄹㅦち㈷㘱晣ㅣ攰挰昸㜶㈸ぢ攳攷愲散㌰㥥捤挴昳㔶ㄶㄳ㕢扣㄰㑢攷愲搹㜸㌶ㅡ㠹㐴搲㈹㉢ㄷ㉢㘴ㄲ㌱攳㍣てㅡ戲搲搱㘸㈴㤵㡡㠴攲昹㔸㌶㥥捣㠴昲㠵㔴㌸㤹て攵㜲攱㜸㈲ㄴつ㌲㜹㠲攱捤昳攱㘳㕥〰ㄱㅣ收慡㉥愴敡㈲慡㠶扢㉡て愵㐶㔲㠵慦摡㕦㘷晣㔲扡㕣〶ㄱ〸敥〸㈳㍥㔵㈶ㄹ㌷挹慦㐹㑡㠳愳㕣晤㔵㔴㈵㠹攰㘳㐶㔴㠸挱㔸扡ㄶ㝡㡦挳〸戴挲攱㕣㡤㐳攳㝡㐰㉡て攵摤㝤㠹㡤㈲㤲㄰㝢㈳㥣㐱㙣っ㘵㈱昶㈶㤴摤㌹㈲㔴㈸愴㘲㔶㉣㤱㠸㠲挹㝣㌶㘹愵㌱ぢ㘰㍥挰㉦㑡扥㤰㌱㙥昶愰〹㍣㐰㉦ㅦ㡦㠶㌳挹㜴㈲㤶㑡愶搳昱㤰㔵㠸㈶㘳戹㔸㈶ㄱ挲㜰づ挶㥤昰收㉤昰㌱㙦㠵〸㈶㕣搵㙤㔴摤㑥㔵搲㔵㜹㈸㌵㥡㉡㝣搵㘴㥤搸扢攸㜲㌷㐴㈰戸㌳㡣昸攰㐱㡡㈸晡っ攵㝢愱㉥ㅥ捡昷㐱㔳㍡㤴㜷㜱愲㤸㝦㠲㔱㥥〰㙤㡥㘱㌷散捡慡搹つて㐲敦㜵㐳㈳戴搲つ扢㘸摤搰㍤㤴㐷晢㌲㍥づ㑥挲昸㕦㄰ち㡣㡦㐷㔹ㄸ晦㉢捡㌶攳戱㜴㍥ㅤ㡦㐴㔲昱ㄴ㝥㠴㜳攱㜰摡㡡挶㤳㔱晣〴愷㌳愱㔸㉣ㄳ㌲ㅥ昱愰昹㜴㌲㡤改㈵ㅦ㉥愴㌱昲搳搱㔴捥㉡㠴慣㜰ㄶ捦搷挳ㄳつ㈳搱攰〴㈷扣昹㈸㝣捣挷㈰㠲ㄳ㕤㔵昷攴㌱挹㔵ㄱ㈰㔰㌵㤵㉡㝣㔵㐸㘷晣㘹摡㥦㠱〸〴愷挱㠸㑦搹㔰摥捤搵扦㐰散㈴㈲㈶㤲挳ㄹっ挶搲换搰㝢ㅣ捥㠲㔶㌸摣㑥攳搰㜸ㄵ㤰捡㐳戹挱㤷搸搹㠸㈴挴扥づ㘷㄰扢㍢捡㐲散摦㔱戶㠹㑤攰㘰㈸㕦㈸攴㐲㤱㔸㈸㤶㡣㈴㌳改㕣㉥ㅡ㑥㐶慣㔸㍥㥥㡤挴㉣攳つてㅡ捡收昳昱㑣㈱ㅥ㐹㠵㌳戱㘴摣捡㘴㤲㌱㉢ㅥ㑦㘷戳愹㘸㍥㥡戳㠲㜳㥣昰收㥢昰㌱摦㠲〸捥㜵㔵㙦㔳昵づ㔵昳㕣ㄵ〱〲㔵㝢㔲㠵慦摡㔲㈷昶〳摡㍦㠴〸〴昷㠲ㄱ㥦㉡攳㈳ㄴ㝤㠶昲挷㔰ㄷて攵㝦㐰㔳㍡㤴昷㜶愲㤸㥦挰㈸㡦昶㌶愷戳ㅢ昶㘵搵散㠶捦愰昷扡㘱㝦㘸愵ㅢ㠲㕡㌷㤸㥣㔱㘴㔶摥挸㤷㜱㈶㘵〸攳㕦〲〷挶て㐴㔹ㄸ晦ち㘵㥢昱㄰愸ち㈵㈳攱㐲㠸ㄳ㐸㈴㤴㑡愴愳㤹㜴扥㤰㡦攷愳改㔸慥㘰㝣敤㐱㌳戹㜰㈱ㅦ挶〴㤲挹㐵㘲㤱㐲㈴㤵㡤愵㐲攱〸挶扦ㄵ㑦愶搲愹㘰㤳ㄳ摥晣〶㍥收户㄰挱㠳㕣㔵昷攴㤱㜱㔵〴〸㔴攵愹挲㔷搵攸㡣晦㐴晢捦㄰㠱愰〵㈳㍥㔵㈶㈷て㤳㔳㠵挹搹㈱㔸㜰昵搵戵㔰捤㈳㘲㉥㠴㕡挸㘰㉣搵㐲敦㜱㜸㌰戴挲攱昷摦㜷ㅦ㘰㜴㜳昸ㅤ戴攵挷ㄲ㡢攰㈴ㅣ昲㝤ㅦ攰戰〵㘵攱㌰㠰戲捤㈱㈶搰㐸㍡㡦㠳昷㠸㤵㠹攱㠸ㅣ挷昰攱㐸㉡㠴〹㌸〲㑡㌳㘹愳㤷〷捤㘴㜲昹㜰㌶㤷っ㈵㐳昱ㄸ愶㡥㜴㌴㠶㌷㜰㘴㜳愰㍢ㄷ㡤愷㌳挱㔶㈷扣搹ㅢ㍥㘶ㅦ㠸㘰㥢慢敡收戰摤㔵㜹㈸搵㐱ㄵ扥敡㥦搸っ敦㈰慤㉦愳昴㠳〸〴㍢㘱挴愷㡣挳㉥㔷扦㌹戱㝣㐴㡢㍣㜵㕤㉤㘵㌰㤶〶㐰敦㜱戸っ㕡攱昰㕤㡤㐳㘳㈰㈰㤵愷㠳户㝤㠹㕤㡥㐸㐲散㌶㜰〶戱扦㐲㔹㠸ㅤ㠴戲㑤㙣㈴ㄲ捤愷㐱㘹㈴㤹㑤挷戲㌹ㅣ㉢攰散㈷㡣攱㤷㉥攰愸㈱㤱㌶〶㝢搰㘴㉥㕦㠸㘶㜳㔹っ挶㜰㉣㥦挹㘶㈲搹㘸㉣ㅡ㠹㘶搳搹㕣㍣ㄱ捤〴て㜳挲㥢㐳攰㘳㙥ぢㄱ㍣摣㔵㌵㔰㌵㤴㉡㈶㠰戰ㄱ〲㄰愸㕡㐹ㄵ扥敡㈵㥤搸攱㜴搹〱㈲㄰㍣ち㐶㝣慡捣㤲愳摦愳㕤晤㈸㘲㌳㐴ㅣ〴愱㡥㘵㌰㤶挲搰㝢挴ㅥて慤㄰晢㌷㥤搸㈸㈰㤵㠹㝤摣㤷㔸愶㜰〸戱㜱㌸㠳搸ㄳ㥣㜶ㄸ〹㤴㙤㘲㘳昱㤴ㄵ挹㘷㔳㔶ㄴ扦㔷〵㥣㘶收㉤っ挰㘴㍣㤲挳慣㡡㐳〸㈳改㐱昳搱㘴㈶㤶〰愹攰ㄲ扦㝢㌸ㄶ㑢愶愳愱㐴㍥㤹㠸ㄵ㈲㌸㍣㌳㔲ㅥㄴ〳㌸㠱ㅦ挳㔸㌶㤳㐹挷搲㐹㉢ㄵ㑥㘷攳戹㘴㈱㤱て攱愰㉤㤵て㥥攸戴挴㑣挳挷ㅣ㑤戱㌳㐴昰㈴㔷扦ぢ㔵㘳㈸㜶愵晥㘴㔷㕦㡣㔷扦㠵㕥扡攴㕥愷㑢愴换㈶搰㙦㈲㐴㈰㜸㡡敢㔸㌲㕦㥣敡敡愷ㄲ换挷捤挸戳昶搵㙡攸愵㑢愶㐳敦㜵挹ㅡ㘸愵㑢㙥搱扢㘴㈶㈰㤵扢攴㈶摦㉥㌹〳㤱愴㑢㘶挳ㄹ㕤昲㍢㤴㘵慣敦㡥戲摤㈵戹㔴㉡ㄹ㡦攱㔴㉦〱㘶㌳挹㙣ㄶ〷㘴〵ㅣ㥣攱㝣㈴㥦㡢攷㈲挶ㅣてㅡ㑤㘲て〸愵㉤㉢㠱㕦挹㜰摥㑡㘱挰㈷慤㐸㈱ㅣ㑤㘴慤㐸㉡ㅡ㍣搳〹㙦捥㠵㡦㌹て㈲㜸㤶慢㥡㑦搵ㅥ㔴㥤敤慡〸㄰愸㍡㤷㉡㝣搵ㄵづ戱㔸挷㜴㐰晢扥㄰㠱㈰㜳㐷㐴㔷㜲㜸㝣扥慢㍦㤰搸㜶㝡戵㐱愸ぢ愱ㄷ㘲㌳搰㝢挴晥〱㕡㈱昶㝣㡤搸敥攳戲㜳㝤㌹扣ㄸ㑥挲愱㠵㔰攰昰ㄲ㤴㠵挳〲捡㌶㠷〵ぢ㘷捡搹㜰㍥㡢㌳㡣㤸㤵㑦㘷搳戹㐸㈴ㅦ㑡ㄷ攲㤹㌸愶攲㤰戱挰㠳挶愲㜹㌲㥣〹㠳户㔸㌴㥤㐹ㄷ戲〰㈵㜳戱〸づ㤹㜳挹㝣昰㔲㈷扣戹㄰㍥㘶㌳㐴昰㌲㔷搵㝤㕣挶㤴ㄳㄹ㝣〴〸㔴㕤㐵ㄵ扥㙡戵捥㘱㍢敤㡢㈱〲挱慢㘱挴愷散戸散ㅡ㔷摦㐵㉣㥦㝡㈳㉦㑢㔰搷㌱ㄸ㑢㠷㐲敦㜱㜸〳戴挲攱〹ㅡ㠷挶㜲㐰㉡て捥攳㝤㠹扤ㄱ㤱㠴搸挳攰っ㘲㙦㐲㔹㠸㍤ㅣ㘵㥢㔸ㅣ摥收搲㔱晣㥥攱㘰㉣㤶㑦攷戲㠹㑣ㄴ㍦㘲戸搴㤰㡣愶㌲搱㠴㜱㠴〷㑤攰㈷㉦㥢㡤攴㔲㔶㈲ㄵぢ㘷挳㈹ㅣㄷ㐷㐲攱㝣㍡㤲㠳㙢㉣ㄹ㘴晡㠹㔰㜶㈴㝣捣ㄵ㄰挱㕢㕣搵㑡慡㡥愲敡㔶㔷攵愱搴ㅤ㔴攱慢づ搷㠹㍤㡥㉥挷㐳〴㠲㜷挲㠸㑦ㄹ戱㝦㜴昵㈷ㄱ换挷攷挸㥢㈰搴摤っ挶搲㉡攸㍤㘲敦㠵㔶㠸敤搰㠸㌵㌹ㄱ换㤱搶㘲㕦づ敦㠳㤳㜰㜸ㅡ㜰攰昰㑦㑥㤵挶㙡㤴㙤づ㤳ㄹ散摦㌱㕣搶挳搱㐱㉣ㅡ㡤㘷㜱晣㤴挳〵㥡㄰挶㕥㍥㥢㉤ㄸ愷㜷㐳慤㜸ㅡ攷〹愹㝣㈴ㅤ㠹攵㠹㠸挷挲㠹㜰㉥㤷挳㈵〸㑣〶挶ㅡてㅡ㑥㐷㌲㜱㉢ㅥ戳㜰摣ㅢ挳㠵㥥㔴挴㑡㘱ㄲ㑥攱㜲㤱㤵ち攵㔲挱晢㥤㤶㤸㘷挰挷晣ㅤ挵㤹㄰挱〷㕣㝤挹㥣晢愰慢昷愰攲愹晥っ扤戰㥦㜵搸㤷㍥扣㠰昱㉥㠴〸〴㤹戰㠲㑦搹昱挵㕦㕤晤㈵挴ㅥ㑢挴㌱㄰敡㔱攸㠵晤换愱昷搸㝦ㅣ㕡㘱㝦㙦㥤㝤敦㌸㜷㑦㕦昶㥦㠰㤳戰㝦㌵㐲㠱晤扦愱㉣㈳昸ㅡ㤴㙤昶戳㜱㉢㤴ぢ挵搳㌸㑦〶㌳戱㘴㍡ㅣ戵㜰づ㥣挳㠵㠷㔴愸㠰愹攱㕡て㥡挶挵㔸捣ㄶ改〲㐶㍤㈸挵〰㑦攱㝡㕢㈲㥦挳慦㈳捥昴ㄲ㐱愶戸挸搶㕦〷ㅦ昳㝡㠸攰㔳慥慡晢ㄸ敤㘹㔷㐵㠰㐹愸㝡㡥㉡㝣搵っ㠷㐳慣攳㉣㥢昶摢㈰〲挱攷愱㄰㕤挹敦搶ぢ慥晥㡦挴昲㔱㍦收㐹攴昰㈵攸㠵挳㝢ㄸ㥥ㅡ㝥㕦㠱㔶㌸ㅣ慦㜱㘸摣〷㐸攵愹愱搱㤷搸㔷ㄱ㐹㠸扤ㅦ捥㈰昶㌵㤴㠵搸〷㔰戶㠹㑤攰慣㌷ㄴ戲慣㔴戲㄰挵㠵㌴㕣戴挹㘵㈳㠵㌴慥昵攴ㄲ戸㐴ㄶ㌷ㅥ昴愰㠵㘴㉥㠷挳戶㝣〴㔸捣扦ㄹ㕣㐸挳㤹㐷㈸㥤㐸㠴㜱ㅥㄷ挹〴㤹昳㈲挴㍥〴ㅦ昳㘱㠸攰摦㕤搵㥦愹晡ぢ㔵㙦戸㉡て愵摥愶ち㕦㤵搰㠹㝤㡣㉥㡦㐳〴㠲敦挰㠸㑦搹㌱摡扢慥晥㈹㘲㔷ㄳ挱㈷㄰愹昷ㄹ㡣愵㘷愱昷㠸晤㄰㕡㈱㜶愴㑥散昳㠰㔴㈶㜶〷㕦㘲㍦㐲㈴㈱昶㐵㌸㠳搸㡦㔱ㄶ㘲㕦㐲搹㈶㌶㥡挷晢㘴挲㌸挵捤㘳㙦㡥㘵㜲戸㔰ㄶ挶慣㥡捡㠵㤲㌸改戲㔲挶换ㅥㄴ㥣㠶㜰挲㤱㑢㘷ㄳ搹㔸ㄴ㡣愶㌱㍦㈷昳昸つ㡣㈶ち攱㜸㌴昸て㈷扣昹ち㝣捣㔷㈱㠲㥦戸慡搷愸㝡㥤慡㑦㕤ㄵ〱〲㔵㥦㔳㠵慦ㅡ愴ㄳ晢ㄶ敤㙦㐳〴㠲㕦挰㠸㑦搹㥣晢㉦㔷晦㍥戱㘷ㄳ挱㐷ㄹ愹慦ㄸ㡣愵㡦愰昷㠸晤〶㕡㈱㜶㔳㡤㔸㤳搷搴㘵捥敤攷换攱户㜰ㄲづ㍦㐵㈸㜰昸ㅤ捡挲攱㍦㔱㜶㌸㑣攳慡㙥㈸㥣ち㈵㐱㑣愸㠰㈳㉡散挲㘹㕣㐹〸㐵㤲戸㕣㤰㌷㍥昳愰〵㉢㔱挰㌵㤹㑣愲㄰挳㡤㤷㐴㍥㥤捡㠴ち搹㐴ㄴ㜷㕢㉣ㅣ㈷㈴㠳晦㜶挲㥢㥦挳挷晣〲㈲昸扤慢敡攲ㄹ愹㕣㍥晦挱㔵ㄱ㈰㔰昵㌳㔵昸慡㠰捥攱户戴㝦〷ㄱ〸晥〲㈳㍥㘵㠳戳ち㔱㐵晦㈳戱ㄷㄲ挱挷ㅦ㈹挹㙢㘱改ㄷ攸㍤づ㤹搷㈲ㅣ㔶改ㅣづ〴㐴㌸晣昹摦㝥㘷户戵㜰ㄲづ㝢ㄸ挲愱㠱戲㜰㔸㠳戲捤㘱搸㑡㠶㔳㤸〵㘳搹〲㈸㑢愷戲㠹㕣㌴㠹㙢㔷搱㝣ㄸ攷戶㤹戸㔱敢㐱㜱㘰㤰づ㈷㌰㝢攲挴㌶㠶㘱㡡㙢㌲昸㙤捡攰㐴挰戲攲搱㔴㌶搸搳〹㙦ㅡ昰㌱㝢㐲〴敢㕣㔵〳㌷㔲㑥挲㑣㔷㐵㠰㐰ㄵ搳㕦㠴挳慦戰ㄹ摥搹㙤ㅦ摡㌷㠲〸〴晢〰攰挷㈱㤳㘲㐴扦〹戱㝣挶㤱㜹ㄹ㠴ち㐲㉦攳戰㍦昴ㅥ㠷㥢㐰㉢ㅣ㝥㡣㙡摣㕢㄰㈶㜷㜰攱昰㐳㕦づ晢挲㐹㌸摣〲愱㌰づ晢愱㉣ㅣ㙥㠹戲捤㘱㈸ㅢ㉢攴昲㌸㥤つ攵㜳攴㌱㤳㠹㐴ㄲ改㔴㍣㘱㘱ㅥ戴㈲㔱㘳㠰〷㑤攰㔷㍦㤴挶㈵ㄹ㥣昵㜲慦㑦愷㉤摣敢㈹愴㘳㈹㕣搷㑤㠴㜲挱晥㑥㜸㜳㉢昸㤸〳㈱㠲㥢扡慡敥㝤㜹㌳㔷㐵㠰㐰ㄵ搳㘱㠴挳扦敢ㅣ㙥㑢㝢〳㐴㈰㌸〰〰攱慡攴攰㝥㉢㔷㍦㡣搸敢挸㈱㥦戲愴戶㠶㕥㌸ㅣ〱扤挷攱㈰㘸㠵挳攷㜴づ扤㝤昹ㄹ㕦づ〷挳㐹㌸摣〹愱挰㈱㌳㕤㠴挳㄰捡㌶㠷挹㔴ㅥ㤳㕢㉣㕦㠸攳㘸㈸㤴挷㘵搶㔸㍣㥤㑦攰㜴㤵㘷愷愹慣ㄱ昶愰㠵㐲㈸㡥攳搵㐸㐱㉥ち㠶慣ㄴ昶昶㐴㌶㙢㘱㔸愶搲戸敥ㅡ摣搶〹㙦㐶攰㘳㐶㈱㠲㑣㥤㘱㡤㘶昷扥㍣搴㔵㜹㈸㌵㡣㉡㜰愴晥慡㜳㤸㘶㤴搱㄰㠱攰㜰〰晣挶攱づ慥㝥㔷㘲㙦㘵㐵户㤰㐳挹㜹㘱㘹ㅣ昴ㅥ㠷捣㜹ㄱづ敦搵㌹攴挱扤㡣挳扢㝤㌹摣〹㑥挲攱㈴㠴〲㠷㈱㤴㠵挳挹㈸摢ㅣ攲㐲㘹㍥ㄴ户搲挹㑣㈴ㅤ㡢攰㡤ㄵ愹ㄴ㙥慣㘴㉣ぢ户づ㉤㉢ㄲ㌲愶㜸㔰散扥㔶㌶㠷㕤㍥ㅤ挶㐹㘶㈲㥥挲㜱㔰㌲ㄹ㑥挶愳搹㘸㉥ㅦ戳㠲㘱㈷扣㌹ㄵ㍥收㌴㠸㘰挴㔵敤㐶搵㜴慡愲慥㡡〰㠱慡〴㔵攴昰㈶㥤挳搹戴敦づㄱ〸㈶〱昰ㅢ㠷㑣㤸ㄱ晤㝣㘲昹晣㈵㤳㑦㜳㔲㤲敦挲搲㕥搰㝢ㅣ敥〲戴㜰㜸㠵挶愱戱て㈰㤵㝦慣㉦昳㈵㜶っ㈲〹戱晢挱ㄹ挴敥㡡戲㄰扢㍦捡㌶戱改㑣㌸㠵㜳捥㄰摥摥㤷㠹攵㌰搸慣㝣㍥ㄶ挲㔵慢㔸〴㈴ㄶ挲挶〱ㅥ㌴ㄳ捥㠷搳㘱㥣㍡攱ㄶㄷ㡥搲搳戸㕣ㅤ㐹攲㥣㈰㤷捦愶㜱愶㥦ち㡥㜵挲㥢〷挲挷㙣㠲〸㌶扡慡㠳愸捡㔰㌵捥㔵ㄱ㈰㔰挵㕣ㄹ㈱昶㕣㥤㔸㡢昶〲㐴㈰㌸〹〰ㄲ㘸㉣㐰搱攷挲昵㐲愸㡢㉦㕣㌷㐳㔳㝡攱㝡戲ㄳ挵㍣ㄸ㐶昳㐱ㄲ晦〰扢㘱㉡昴㌲ㅤ戴㐲敦㜵挳㙥搰㑡㌷慣搶扡挱昴㠶昲愹扥㡣㑦㠷㤳㌰㝥〸㐲㠱㜱㈶挸〸攳ㅤ㈸摢㡣愷攲㜸㝤㜱㈱㠲㥢戵戱㜰捣ち㈵戲戸ㅤ㠳ㅦ㈵っ搸㄰㙥㤰㐷㔳㐶愷〷つ㐷戳愹㐸慡㤰㑦ㄷ㉣ㅣㄳ攱㕥㔷〸㐷㥤戸㉦ㅥ㐹攵㘲昸㘹换〴㘷㍡攱捤㉥昸㤸㑢㈰㠲捣戸㘱㡤㘶昷㈹改㙣㔷攵愱搴㕣慡挰愸㍡㕥㘷晣㌰㐶㌹ㅣ㈲㄰㥣〷㠰っ搹㤲㈹㜵扥慢㕦㐹散愳慣㠸て㥥ち敥〱扤㙣昸㌱搰昷愹慦㘵攲挸捥㈵ㄹㄶ晥て㤶ㄹ㔱晡㐲愶㐹㜸挱ㄲ昳㔵慢㝡攰㠹ㅡ昶㜳㈸㙡慡㐷晦㘷戱㤸挳挱挷搰昰㕢㝢㌸戶昵晦㄰㠷㈳愳㍢㌷㠷ㄱ户挱搷㍣づㅢ㕣扢㍦㌶㌷攴搷挴戵扤挲ㄸ㡥㔵晤㕢愷㜵㈲扦〳慦挲㥥摦㍥捥㝢㡦昲挶㙥摥挷〸昷㍤㐱㐳扢㌵攳戲㥤㜸㠴㔱㤷攵扡捤敥昰晣昰摥ㅤ攴昹挰㌰㠲㙦ㄵ敡摦㕤搲㥥攳㌱愰㕢㍢慤慤ㄳ㙦挰戲昲㙥挴㑥晣㐹㑢㑤㜵て攵晢㘸ㅤ攷㡤挹㝣㜰〷愳攱ㅤ㔸搳昲㈴㘰㠰捦㔳㑣挶㌷㜷挹㔳㠰戶㠲㕤㤹㑣ㅡ㌲㝥㡤慤敤㌹愶㘱摣昸㠶㜰愸㜶ㄹ㝡㘲扤㉢㈹收㥤㔵㜲㘰〶捣ㄳㄱ㔱ㅤ㠰搸㈴㕦㤹晢戱㤶㤳愱㌳挶㌴捣㐱㈵慡ぢ㤵戰㈲づ愵㠰戹㡡攸〳㠱愱㡡〱㔴㤳㔳愰扤㍥㠷〲㝦愵㠰搲㤷捦挷㍡愵㐶晢晦㍡攷晦㘰㘳㍤ㄳ㜹挴攳〰㌵㜸昵戸摡㌷㔷㕣昰挵㔵㍢て㍤敦晡㕦㥣晦㔷晣晥㙣㉥㜷㡥摤㔸㤶搳挶慡㠵昰ㄸ㡡㌸收㕢ㄴ㙦㔳扣〳愱摡搱愲㔷昰昲㤳戲ㄷ挹戴㌹㠶搲ㄷ挹〴ㄷ㈱㤲散㙤愷愳扤㝤敡㔵㍢捡摣攳㔴ぢ㍣㌸捣㘵㘴㥥挱㑤敥㠰摡㈶㠸挹㌹挶㤹搰搹摤㄰㐹慢㠵㐰扡㜴〴捣戳〹敦昴攰㠷㄰㝥づ㜴挲㈷搰㜹〷㙤昳㜹ㅥ搱㍣攴㜰〳㈸㥥㐶戸㝣搷㌳挹㘶挳昸㘴㐶捥㕡昹〴㔵㔸愶㌴捡㝦㔵㙦㡥㔵㐷挲挳㡦捦㈶㌴搴㤷捦〳ㅤ㐳改㡢㘸㠲㐷㈱㤲昰㜹㌱戶ち㝣ㅥ㠷戲昰戹㍦㍣㍣㍥㉦攵㈶㥦〰㤳捤㈷㜳㜲㡣换㙤㠲愶㌵挴㘲㙡敦㈲㠲慥㈴晡㐴て捤戴ㅣ攳㙡ㅢ扤㌷搱昳ㅤ戴㍤㤸慦㈵㥡㤷㘷㍤㍡㑦㜶ち㌲㍣㑦㐱㘱挳攸㘴ㅥ捥㝡搰㜹㘰攳搵㔷㜱〹㌴慡㌵昰昰愳㜳戶挳㕡搹昰㥣攵ㄸ㑡摦㘳ㄳ㍣ㄳ㤱㠴捥㥢戱㔵愰昳ㅣ㤴㠵捥ㄹ昰昰攸扣㤵㥢㝣㍥㑣㌶㥤攷㘲捤戸ㅤ扡摡㌱つ晢㌶愴搵搴㈲㝥敥㈴昸〲て㝣ㅥ挱㜷搹攰㤹〰㑦㜴挰昶搸扣㠷攰ぢ〱昱挸扣挸㈹〸㤹㤷愲戰㘱㘴㌲挵㘶㍤挸㥣搸㑤收㔵昰昰㈳㜳慣挳㔹ㄹ㤹扢㍡㠶搲㤷攰〴慦㐵㈴㈱昳㐱㙣ㄵ挸扣ㄱ㘵㈱㜳ㄷ㜸㜸㘴㍥捣㑤扥〵㈶㥢捣㥢戰㘶晣〵㍡散扣晢㌶挴搲㉡攵㄰㘴㡦戶㐷㠸扥搵㐳摦㑣昴㘳㌶㝡㈶搱㌱〷㙤搳昹〴搱扣㍥攸搱㜹扢㔳㄰㍡敦㐲㘱挳攸扣摢昵愸㌴㜵摡扢昸慣㙥㍡晦〴て㍦㍡㜷㜲㔸㉢愳㜳㤴㘳㈸㝤㠷㑥㤰㜹㌶㐲攷戳搸㉡搰挹㘴ㄹ愱㜳㈴㍣㍣㍡㥦攷㈶㍦ち㤳㑤攷㕦戱㘶扣㘸ㄳ㌴慤〱㜳攱戰㈲㠲㕥㈶晡㌱て晤〸搱慦摡攸扤㠹㙥㜰搰㌶昹慦挳㔲晦㌴㌰ㅢ㐶摡㌳慥挷摡㐹㡢㌹愴㝤㍦㔶扤〰て㍦搲戶㜱戸㈹㈳㙤㙢挷㔰晡愲㥤攰换㠸㈴愴扤㠳戶㠳戴搷㔱ㄶ搲戶㠲㠷㐷摡㝢愴攱㑤㤸㙣搲晥㡥㌵攳〳㥢㠶㐹つ攱戴摡摣愱挱ㅥ㔵ㅦㄱ晤㤶㠷㝥㠳攸㝦搸攸㍤㠹敥攷愰㙤搲㍥㈵㥡搹㉦摥ㄸ㘴ㄶっぢ㌲〶㤹攴戲㘱㜴㝥攸㝡慣㥤捥㘱づ㥤搵㡤㡡改㉥㝥㜴搶愳ㄱ扥㍦㌷ㅢ㌹㠶搲昷昴〴㍦㐳㈴愱昳㑢㙣ㄵ攸晣ㄲ㘵愱戳㌷㍣㍣㍡扦收㈶㝦〳㤳㑤攷㔷㔸㌳扥戵〹㥡搹㄰㠹愹㍡㠰㕤〲昰敥〳愲扦昵搰㕦ㄳ晤㠳㡤摥㤷攸ㅡ〷㙤搳昹ㄳ㉣昵㍦〱戳㘱愴晤散㝡慣㤵戴挶㈶㠷戴㐱㡤慡ㅡㄵ昸㤱昶换㜷ㄵ㐸晢搹㌱㤴扥捣㈷㔸㡢㐸㐲㕡て㍣愳て愴㤹㈸ぢ㘹㍦挲挳㈳慤ㄶ㐶挵攴ㄲ㥢㌴收扡ㄸ㍤愱㤳㜹㌰ㅡ㔲摦〱散づ愱㠰㘹ㄲ摤挷㐳㌳摤挵攸㘵愳㘷㌶〰晤㤵㠳戶㐷㙣ㅦ㔸敡晢〲㠳捦〶ㅣ㈸㌲㡢㐵㍣㉡㤱㔶㤰攵㠵戱㝤摤〳㐵㈶戴っ㐵ㅤ愵〷㡡㥦㌹摣㤴敤戸晦㜴っ愵㙦晣〹づ㐰㈴㈱慤㉦摡づ搲戶㐱㔹㐸晢〴ㅥㅥ㘹晤㐹挳㄰㤸㙣搲〶㘱捤搸捣愳㈱愶㍥㉣愲㘱ぢ愲㤹㠷㘲愳〷ㄳ㍤挰㐶敦摢㄰㡤愹㜷ㅤ戴㍤搲〶ㄲ捤㑢愴㉥敢㡡㤷㑡摤㜱㕢㍦ㅣ〵㝣㌶㠰㑥收慥㠸㐷㈵㍡攵挷愳戱摤ㄹ㠳愱㐶挵㌴㤶愱㍥㜴扥攱戰㔶㐶攷摦ㅤ㐳改ぢ㠳㠲㘱㐴ㄲ㍡户挵㔶㠱捥㌸捡㐲攷㙢昰昰攸ㅣ捡㑤㑥挳㘴ㄳ挴散ㄵ㘳㝢攸㜸摣㍤愳㈱ㄶ㔲㉦㌹っ㘱㙦挲㤹挹㜰挲㤹㔳㘲挳㤳㠴㡦㜰攰搳〹㝦捥㠱摢㠴敥㐸昸捥ㅥ㥣㔹㉣挶㑥づ㝣㌷挲㥦㜲攰昶愰つㄳ捥㕢愵愴㥣ㄵ慡㌱㑥㠱攱ㄴ搳㔵扣捥㘰㈲ち㈶㠶昵敦っ㘰戱昴㙢慣㥦攸㝡慥戵㔳ㄶ㕦摥㈸づ㝢㕦㙤晦扦收挶㐶挵㠴㤶愱搰㤶㡥昵挷戰ㄵ扥戳敡愳㡥愱昴㍤㐶㐱愶挰㐸攷㈴戱挹攸㥣搹㈸㑢攷晣ㄵㅥ㕥攷愴挹〷搳㑢㙣戶㤹挷㘲散っㅤ㡥㍡㜱攸愳ㅥ㉡㈲㙦っ挱昳㍣昰ㅣ㠲挷摡㘰ㅣ㔵愹㍦㌹㘰扢㘳挶ㄱ捣㉣ㄵ㙦愴敦攱ㄴ攴㈷㙡ㅦㄴ昰㔹㝦㜲敢㤹戹㈲ㅥ㙢㈵戵㙡扥㑤㈶扡㐱㌱㠹㘵愸て㤹㜷㌹㥣㤵㡤昴㍦㍡㠶搲㤷㈰〵㌳㠸㈴㘴㑥挱㔶㠱㑣ぢ㘵㈱昳づ㜸㜸㘴㑥攳㈶㌳捦挴㈶㤳〹㉤挶㜴攸㌰摢攲㡣㈸慥㙥㜱〸戲㠷攲㑣愲㤹㙦㘲愳㤹搳㘲捣戶搱㌸㈳㡡慢ㅢㅣ戴㑤攷ㅣ㔸敡摢㠱挱㘷〳㐸㘳慡㡡㜸㔴㈲敤挱慦㠷敤㝦捡〳㙦㡤つ扡戳㉤戳㔶㠶晡㤰㜶戵挳㑤ㄹ㘹㔷㌹㠶搲㌷㈵〵て㐵㈴㈱㙤㉦戴ㅤ愴ㅤ㠶戲㤰㜶〵㍣㍣搲昶㈱つ捣づ戱㘹㌸ㅣ㙢挶㝥㌶つ㝢㌶挴㐳敡㤲㈲ㅡづ㈰㝡㠵㠷㍥㠲攸㈶ㅢ㍤㠹攸ぢㅤ戴㑤㜱㠶攸㤵挰㜸㘳昰㈸愷㈰㘳昰㌸ㄴ昰搹〰㍡㤹愰㈲ㅥ㤵攸㐴㌴㉣ㅦ㡥敤敦搲挹㕣㤵愱㔰㤵敥搰攷㌸慣㤵搱昹㝢挷㔰晡愲愵㈰戳㕢㠴捥〵搸㉡搰㜹ㅡ捡㐲攷㔹昰昰攸㙣收㈶㥦〱㤳㑤㈷昳㔶㡣㐵搰㜱戶摤㡤㐷摦㙢㡡ㄸ㙡㈵㥣㈹㈲㌶㥣戹㉢㐶扢〳㥦㐱昸愹づ摣㥥㥣て㈱晣㑣て捥晣ㄵ愳搳㠱㑦㈷晣㌷づ摣ㅥ戴㑢㘰慡扦㠰㈰㌰挰慦戶㔴扥㤶㘴㠳㌰㡤㕥攸㝡慥㤵敤㌷㡦㙢戴㍤㑥戴晦㙦㍣愵㔱㕤〲捦愱搰㤶戲晥㙢㌴捦㜷ㅡ㍤摥㌱㤴扥搸㈹挸慣ㄶ㘱晤㌰㙣ぢ㔸㘷㙡㡡戰㝥㉣㍣㍣搶㡦㠰㔱㌱㌷挴愶㤱昹㉡挶ち攸戰攷攳挸㈹慤㔶㍡戴搸挳昲㈸愲㤹㑥㘲愳㤹戲㘲ㅣ㘳愳㜱挸㤰㔶㠷㍢㘸㥢挴攳㘰愹扦ㄵㄸ㝣搶㥦挴㝡㘶愲㠸挷㕡挹慢㜲㑦搲㜱㠲挴愴㤴愱㍥愴ㅤ敡㜰㔳㌶㔴㤷㍡㠶搲户㍦〵敦㐱㈴㈱敤㘴戴ㅤ愴摤㡦戲㤰搶〵て㡦戴㔵愴攱㈱㤸㙣ㅡㅥ挰㥡㜱㡡㑤挳摥㍣㜲㕡㕣㐴挳㘹㐴㍦散愱㤹㡥㘲㥣㙥愳愷ㄱ摤攲愰㙤㡡捦㈰㥡戹㈶摥㥥捦㥣ㄳ敦愷㥤㈹㈵昸㙣〰㥤捣㍦ㄱ㡦戵搲昹愷㙣㈳愲㘲㘹㘸㔴㑣㐵ㄹ㡡搵搲㌱戸挰㘱慤㡣捥㠲㘳㈸㝤㜹㔴㤰挹㉢㐲攷㌹搸㉡搰昹㈲捡㐲㘷ㅥㅥㅥ㥤攷㜱㤳㤹ㄸ㘲搳挹っㄴ攳〲㥢㈰㡣挱戸㍡愸㠸愰㡢㠸㘶㠲㠸㡤㝥㤹攸㡢㙤㌴挶㘰㕣敤敦愰敤㌱㜸㈹搱扣㉢敤搱昹扡㔳㤰㠹昴㉤ㄴ昰搹〰㍡摦㜶㍤㉡搱㘹㥦〵扣摦晤扢挴〴㤴愱㍥㜴敥攵戰㔶㐶攷㥥㡥愱昴摤㔳㐱愶慣〸㥤㔷㘳慢㐰㈷昳㑥㠴捥昹昰昰攸扣㤶㥢捣ㅣㄱ㥢㈰㈶愳ㄸ搷摢〴捤攱㜸摢摤㈱挸ㅥ㙦㌷ㄲ捤㕣ㄱㅢ捤㝣ㄴ攳㘶攸散㡢换㠰捦㜰攰㌶㥦户挲㔴晦㉤㐰昸㙣〰㙢捣㌳ㄱ㡦㑡慣㈱㕡㔵搵㥢㑢扡て昶㝦〴㝣㈸㜴愵㠳㜰㡡㐳㑥ㄹ㙢㤳ㅤ㐳改ぢ慡㠲㑣㔲ㄱ搶敥㐲摢挱㕡て捣攷挲摡㐴㜸㜸慣摤㐳ㅥ㤸ㄵ㘲昳挰昴ㄳ攳㍥攸㘴㈲㡣㠴㔴愳㐳㠳捤摡晤㐴昷昴搰戵㐴㍦㘸愳㜱㤶ㅥ㔲扢㌸㘸㥢戴㠷㘱愹敦〳㡣㔰㈰㥢敡㠹捡扦㈶昵㑣㉣ㄱ㡦㑡愴扤昵慢㝥搷㑤㜹敢敤敥愱挶ㅣㄳ㍦搲㤲づ㌷㘵愴㈵ㅣ㐳改㕢慣㠲晤ㄱ㐹㐸㝢っ㙤〷㘹㕢愰㉣愴挵攰攱㤱昶〴㘹㘰ㅡ㠸㑤ㅡ昳㑤㡣㈷㙤ㅡ㘶昲摡㑦挸愱挱㈶敤㘹愲〷㝡攸〱㐴㍦㙢愳昷㈵㝡愴㠳戶㐹㝢ㅥ㤶晡㙤㠱搹㌰搲㤸㐹戲㔶搲㙣收戵㙢㤲㑣㉡昱㈳㙤㝢㠷㥢㌲搲戶㜳っ愵慦扡ち㡥㐰㈴㈱敤㔵戴ㅤ愴㌱㤷㐴㐸㙢㠰㠷㐷摡敢愴㠱ㄹㅤ㌶㘹㑣㌰㌱摥㠰捥戹㥤ㄳ㔷㠳㡡㜸㜸㡢昰愸〷㘷㤲㠹昱づ㜴ㄸ㤸㜳ㅡ㈲㜱戵㤵㠳戶㌹㝥て㤶晡㌴㌰ㅢ挶ㅡ㜳㐷搶㠳戵㜱捥晥㠹摦㕣愶㤱昸戱戶㤹㐳㑥ㄹ㙢㥢㍡㠶搲ㄷ㘲〵㤹㜸㈲慣晤〳㙤〷㙢㤳㔰ㄶ搶晡挱挳㘳敤㔳搲挰㑣て㥢㌵愶㤴ㄸ㥦搹㌴㑣㙢〸挷㔴戰㠸㠶㉦㠸㥥收愱愷㄰晤愵㡤摥㥢攸摥づ摡ㅥ㙡㕦ㄳ捤㤴ㄱ敦㐷㘲扡㔳㈰愹昵捣っ搹㌰㍡㤹㐶戲㙥㍡晦㌴搷愱ㄳ㌷㙤㤸㔱攲㐷㘷㑦㠷戵㌲㍡つ挷㔰晡㍥慤攰㕥㠸㈴㜴晥㠰慤〲㥤晢愱㉣㜴搶挰挳愳昳㈷㙥㌲昳㍢㙣㍡㤹㐸㘲晣㘲ㄳ㠴㍤ㄷ㡦㌳㜷〸戲㐷㤵慡〳㥡㜹ㅥ㌶晡〰愲㝢㐰㠷㌱㠸㍤㌷愴㝥晣㔶扦ㅡ㔷㑢昴㐱挰㜸㜴㌲㘱挴㍢㠴戱㔰搸㌰㍡㤹㍣戲㔶㍡敤㕢戴ㅦ㜵㑦㠴捣っ昱愳昳㕢㌴搴昷㌰晡ㅢ挷㔰晡㍡慥㘰㉢㈲〹㥤扤戰㔵愰㤳〹㈱㐲攷㔷昰昰攸散挳㑤㘶㕡㠶㑤㄰戳㐴㡣㝡㥢愰㍤㜹㉤攷昳㈲㠲㌶㈶㝡㠹㠷敥㈴扡慦㡤㥥㐴昴㈷づ摡㈶扦㍦㉣昵㠷〱戳㘱愴㌱晦㘳慤愴敤㌸㘱慢㝦扣㥤〸㡣摤晡攸㝢捥晤㘴昹ㄷ扢慡㤵昰昰㈳敤〳㠷㥢戲㌱昸扥㘳㈸㝢㘷搷㌱㠸戴慥㜷㜶昱戹㈷㔶愷扣㔷慡ㅥ㝢㔹㙤㠱㑦㙡改㔵戰搵捣昷挰戳㕡㥡㕢㕡攴㌱㈷扤昱㡡㥤㡥㐵㔶挷っ扣㐹ち㉦搶㤹搷摣敡㍣㘷〳㙦㤸攲ㅢ㑢摣㤷戸㤸㔲愲戳㔱㤸摤㠱户扡昴㉣㑣敢挴ㅢ挰昲㜵慤扢㘷扡扡慣㡥戶晦㠵昷敦攰挱㌳㝣昸㈸ㄶ晢捤㍢扥捦㝣攱挳㕣㝣㔳㉢㠴戱㔱摤㝣捣挰扢愱㤸挴㔲捤㌷昳晣㘷㉦〳㌳〶㘰㠸戹㡦㈷捡㙢敦㥡慡㔱敦愲㡢敤扦㐹㕤㔹昵ぢ㥢捣慣㈴㜳㈰〷敢搶㄰㍤挶㜵戶㑡慡ㄵ㐴挰摣〶ㅡ晢摤㍥㝣攸㕥㔵敤㜱ㄸ〶愵ㅢ挷愷昰昰愱㡥㔵戵㠷㌶攷扢ㄶㅡぢ慤收〵ぢ扢昰戴㥤㕥摣㘲㜷愹㌹ㄱ慥㙢换㐸攱挴摤戳戵㈹搳搱㤱㔹㕥搷摡搴㘲戵㉤攸㕡㔸搷戴ㄴ〹㌸㜸㐷ㄶ㈶戲扡扡㍡㜳㌰摡挳慡昸㔵慢㄰㤱㔱捤㈱扡昶㜴㘸㌸㕡㡤㙤愱昵愷攰㌵㕦ち㠶〲㙦㙣〷㔱㑣挱昶搰㘸ㄴ愸㌳㄰㥢㌴戸㡢㍡ㅢ〵㘹挶㜰㈰扤挶㥤攷㙡㜷搰戵ㄷ㐳㉢㡤ㅢ〱慤㝦攳㥥昳㙤摣㡥挰ㅢ愳㈰㡡ㅢ户ㄳ㌴㝡攳㉥㐵晣愲挶㕤改㌶㈳っ愴搷戸㙢㕤㙤㐴搷摥散㌶㉥ち慤㝦攳ㅥ昷㙤㕣ㅣ㜸㈳〱㔱摣戸㈴㌴㝡攳㙥㉤㙤摣㥤㙥㌳搲㐰㝡㡤扢挷搵㡥搶戵て扡㡤摢ㄹ㕡晦挶㍤攴摢戸㌱挰ㅢ扢㐲ㄴ㌷㙥㉣㌴㝡攳ㅥ㉥㙤摣㈳㙥㌳挶〱改㌵敥〹㔷㍢㕥搷㍥敢㌴捥㘴户搶愸扢㝤ㅢ㌲㠹㌵戲ぢ扢㜷慦㈹㔴㜱捦ㄲ㔱愵㥥㉦㙤挴换㙥㜵搳㠰昴ㅡ昱扡慢摤㑤搷扥攳㌴挲㤸づ慤㍦㐳户昸㌶㙣㈶昰挶㉣㠸㘲㠶㘶㐳愳㌷敥扤搲挶㝤攴㌶㘳づ㤰㕥攳㍥㜵戵㜳㜵敤㤷㑥攳㑣㜶㕦㡤扡挶户㈱㝢戰㐶㜶㔵㌷㐳㝢㔱愵㌱昴㜵㘹㈳晥敤㔶户て㤰㕥㈳㝥㜲戵晢敡摡ㅥ㤸㐵戸昷㌹㡤戸挴户ㄱ〷戰挶攲㐶㌴㤵㌴愲ㄶ㜱㡡昶㌲摥慤㤴㈹㈰愳㔷搷挷搵㘶㜵㙤㕦愷ㄱ㐶づ㕡晦㙥㍡搷户㘱ㄶ昰㐶〱愲戸㥢ㄶ㐰愳㌳搴扦戴㜱扣㉢㈸㡤㙢〶搲㘳㘸愰慢㍤㔸搷㙥敢㌶㙥ㄱ戴晡㍢〳㡡㝦㐳搶昸㌶戰ㄵ㍥㐶ㅢ㐴㜱〳摢愱搱ㅢ㌸戴戴㠱扣捤㈶つ㍣〴㐸慦㠱㍢扡摡づ㕤ㅢ㜶戵㥤扡㤶昷㤵㘴㕡敤㠲搶㥦搳㤳㝤㥢扣ㄴ㜸攳㔰㠸攲㈶㉦㠳㐶㙦㌲㙦㑤ㄵ㜵昸ㄸ户ㄹ扦〲搲㙢昲㌸㔷㝢㤸慥攵㝤ㅡㄹ㜵昶攴㜰㡣㙦㐳㡥㘴㡤挵㤳挳捡㤲㐶昰㤶㑥㔱㈳㘶扡搵ㅤ慤㔷㌷挷搵ㅥ愳㙢㜹摦㐳ㄸ㍡ㄶ㕡㝦㠶づ昳㙤搸昱挰ㅢ扦㠶㈸㘶攸〴㘸㜴㠶㜸敢愴愸㜱〷戸捤㌸〹㐸㡦愱㡣慢㍤㔹搷昲㉥㠲㌰挴㔱㔷愳㍡㝤ㅢ昲㕢搶挸搱搵㍤㌹㥣㑡㤵㌶㌹昰㠶㐳㔱㈳㕡摤敡㔶〳改㌵攲㄰㔷㝢扡慥㕤攲㙡搷攸摡挳愰㤵愶搹昳搶挱扥㑤㍢㤳敤㈸㥥㌲捥愶㑡㙢摡ㄱ㠸㔳搴戴愳摣敡捥搱慢㍢捥搵㥥慢㙢㜹改㕡㍡敦㍣㘸晤㍢㉦敢摢戰ぢ㠰㌷㉥㠴㈸敥扣㡢愰搱ㅢ户慡戴㜱愷戹捤戸ㄸ㐸㡦户㌳㕣敤㈵扡昶ㅣ户㜱㤷㐲敢摦戸㝤㝤ㅢ㜷㌹昰挶ㄵ㄰挵㡤扢ㄲㅡ扤㜱攷㤵㌶敥㈲户ㄹ㔷〳改㌵敥㔲㔷㝢㡤慥攵㘵㔵改㍥ㅥっ搶愸戹扥つ戹㥥㌵昲挰慦㝢㘴摤㐸㤵搶㝤搷㤶㌶攲㐶户扡㥢㠱昴ㅡ㜱慢慢扤㐵搷摥攵㌶㠲㌳㝥㡤摡捤户ㄱ户戳㐶捥敥摤㡤戸㤳㉡慤ㄱ昷㤴㌶攲㝥户扡扢㠰昴ㅡ昱戰慢扤㕢搷昲慡㥦㌰挱㙥慡㔱攳㝤ㅢ㜱ㅦ㙢㘴㤷㜴㌷攲㝥慡戴㐶㍣㔱摡㠸愷摤敡ㅥ〴搲㙢挴昳慥昶㈱㕤晢慡摢〸扢㍢㐶晢㌶攲㉦慣戱戸㍢ㅥ㈹㘹挴敢愵㡤㜸换慤敥㌱扤扡昷㕣敤攳扡㤶ㄷ愵㘴㙦㝡〲㕡晦〱ㅢ昱㙤搸㤳挰ㅢ㑦㐱ㄴて搸愷愱搱ㄹ晡戴戴㜱㕦戸捤㜸ㄶ㐸㡦愱慦㕤敤㜳扡昶〷户㜱捦㐳敢摦戸ㅤ㝣ㅢ昷㈲昰挶㑢㄰挵㡤㝢ㄹㅡ扤㜱㍦㤵㌶㑥〱㈰㍦扥慦㘲挵㙢㕣慤慢㝤㑤搷昶㐲㐱㤸㝢ㅤ㉢晥㡤ㅢ攲摢戸㌷㠰㌷摥㠴㈸㙥摣㕢搰攸㡤敢㠳㜲搱㈴戹㌱ㄴ搲戸㜷戰攲㌵㡥㤷㑦㐴晢慥愶慤ㅤ㠸挲㝡㥦㕥昳㉦ㄷ晡攲㐲㐴㡢㤵攳ㅢ㤸挷攳㍤扥㈳㕡㜰㥡扣ㅥ慦㑤㝥て昵愸㙤㈸㄰挳㝣㕦㙢㐲晤㘰㐷㕢挷㜳搹㝡㥥㤵ㄲ㈳㈵㌵ㄴ㈵㌶搱晣㠰敡敤ㅤ㥢昹㈱㔶摣つ慢ㅦ敥㘸㙤㝦㥥㌸㜶晢敦㠸㤲昸㝦㐴昵㑥㡥捤晣ㄸ㉢㥥㝦搸搱摡晥㍣户敢昶攷㌹㥡昸晦㠳敡愴㘳㌳㍦挱㡡攷㥦㜶戴戶㍦㑦扦扡晤挷愰㈴晥㥦㔲㍤搶戱㤹晦挴㡡攷㍦捥搱摡晥㍣㐳敡昶㥦㠴㤲昸㝦㐶昵ㄴ挷㘶㝥㡥ㄵ捦㝦㥡愳戵晤㜷搳㑢㙡㈶㑡攲晦〵搵戳ㅤ㥢昹㉦慣㜸晥㜳ㅣ慤敤㍦㔷㉦㈹㥥㕢㠸晦㤷㔴敦攵搸捣慦戰攲昹敦攳㘸㙤㝦㥥㍡㜴户晦〰㤴挴晦㙢慡㥢ㅣ㥢昹つ㔶㍣晦㡣愳戵晤㜹搴摦敤㙦愱㈴晥摦㔲扤挰戱㤹摦㘱挵昳㙦㜶戴戶晦挱㝡㐹戵愲㈴晥晦愶扡摤戱㤹摦㘳挵昳㍦挴搱摡晥ㅤ㐵愵㑥扤愴㜸摣㉢搱㝥愰㥡㠷扢㙣愹昹㈳㔶扣㘸㍣戴昵摡㕦㝦㤸㕥㔲㍣㕣ㄵ晦㥦愸收㤱慡昸晦㡣ㄵ捦㥦㐷愵摤晥挷攸㈵㜵㍣㑡攲晦ぢ搵㍣㤸ㄴ㝦扣愵愱摢晦㈴摤愳晥㘴扤愴㜸㌰㈸晥ちㅥ㡡挷㠱攲㕦慤晢慦搶㍤敡㑦㉦㉡昱ㄸ捦㙢㥢㍡ㄳ㈵㠹搶㠳搱捥㜶㙣㘶㡤ㅥ敤ㅣ摤愳㥥㠷㘷摤晥ㄷ戸晥戵昴扦挸昵㌷㜴晦㡢㜵㡦㝡ㅥ㐱㜵晢㕦敥晡昷愴晦㤵慥㝦㥤敥㝦戵敥㔱捦㠳㥣㙥晦敢㕤㝦㤳晥㌷扡晥〱摤晦㘶摤愳㥥挷㈷摤晥户扢晥扤攸㝦愷敢摦㕢昷扦㑢昷愸攷愱㐵户晦㝤慥㝦ㅦ晡摦敦晡㙦愴晢㍦愸㝢搴昳愸愰摢晦㉦慥㝦㍤晤ㅦ㜱晤㠳扡晦㘳扡㐷㍤㝦搰扢晤㥦㜴晤㌷愶晦搳慥晦㈶扡晦戳扡㐷㍤㝦㜳扢晤㕦㜴晤晢搲晦㘵搷扦㥦敥晦慡敥㔱捦㥦挵㙥晦㌷㕣晦晥昴㝦换昵摦㔴昷攷㉦㤸攷㔱捦㕦㉥慦愴攴㈷㠵晢摦㘶昰㜰㤷㈰㝦㕡攴㍥挵收搰㥡㕢㐰昴搹㐸㝤攰〶摦㔲㠷昲㔷㐴愰〳〸摤捡㠶㝥攴㐲〷敡㔰晥㘰〸㜴㙢㐲户戱愱昲㥢挰〶っ搲愱晣㙤㄰攸㘰㐲㠷搸㔰㤹晥〹摤㔶㠷昲㘷㐰愰つ㠴づ戵愱㥦昹㌶㠰㌳扥㐰户㈷㜴㤸つ晤挲㠵づ㐷搹㕤㠲㥣摣〵扡〳愱㈳㙣攸㤷㉥戴愸〱㥣挷〵扡㈳愱愳㙣愸㑣搵㘵㙤攵㤴㉤搰㄰愱㘱ㅢ㉡戳㌲愱㐵扣㜲㜶ㄶ㘸㤴搰㤸つ㤵〹戸㉣㉡㈷㘲㠱㈶〸㑤摡搰ㅦ愰㘴㌷㥢㈹㤴摤㈵挸㔹㔶愰㘹㐲㐷摢㔰㤹㐸〹㉤敡㉤㑥愸〲摤㠵搰㌱㌶㔴收捣㌲㈸攷㑥㠱㡥㈵戴搱㠶捡昴㐸㘸ㄱ㔹㥣㈶〵㍡㥥搰〹㌶戴〷晥㤳戶ㄶ㐱㌹〷ち㜴ㄲ愱㤳㙤愸㑣㜳㡣㕡㐴ㄶ愷㍢㠱㑥㈵㜴㥡つ㤵ㄹ慤慣慤㥣搹〴㍡㥤搰ㄹ㌶㔴㈶慦戲愸㥣挴〴㍡㡢搰搹㌶㔴收愹㌲㈸攷㉢㠱捥㈱㜴慥つ㤵㈹愹慣〱㥣㥡〴㍡㥦搰㍤㙣愸捣㍥㘵㔱㌹ぢ〹㜴㉦㐲昷戶愱㌲搱㤴㐵攵㠴㈳搰㝤〹摤捦㠶捡㥣㐲攸晥㈸扢㑢㤰㜳㡢㐰て㈰昴㐰ㅢ㉡搳〷愱㐵㘳㠰搳㠸㐰て㈲㌴㈳搰㈰㘷ち㉡晢〴ㄵ愷〷戹㝦㜹晥㌷昶晤㑢〱攷愰㔵㥣㌴挴㜴慥㘳ㅡて㤷㍡扣㐶挰敤㌸挵〹㐳㄰攷攸捥〵㍡㜳ㅡㄱ搳搹㈵捥㙥敢ㄴ愷㄰㐱㥣愵㍢㌷搳㤹ㄳ㡢㤸㝥㔷攲捣ㄹ挶㘹㌸愷ㄵ挱㥣愱扢户搰㥤㤳㡤㤸㑥㉦㜱㜷〷愷攲㐴㈳㠸搵扡㜳㍢㥤㌹晤㠸改搴㘲㘷挵ㄹ㐷っ愷攸㍥搲㕥捥㐳㘲㕡㔵散ㄳㅣづ〳ㄷ挵㌹㐸㄰扦搱㥤㤷㐰慢㌸㌳㠹改愴㘲㘷挵挹㐸っ㈷敡㍥搲㐸㑥㔱㘲晡㜵㠹て㘷㈵㌱ㅣ㕦收挳戹㑡㑣挷㤵昸㜰㝡ㄲ挳戱扡捦ㄱ搰㉡㑥㕡㘲㍡扡挴㠷昳㤴ㄸ㡥搲㝤㔶搲㠷戳㤷㤸㔶ㄴ晢〴㌹㡤㌹㥤挷戹㑢㌰㐷敡敥挷搰㥤㌳㥡㤸づ㉦㜶㔷㥣挴挴㜰㤸敥㈳晣㡦㜱㑤换㑢㝣㌸㥢㠹捦㌲摤攷㐴㘸ㄵ攷㌸㌱㉤㉤昱攱戴㈶㠶㈵扡㡦㙣摡〴搷搴㔹攲挳昹㑤㝣㍡㜴ㅦ改㉡捥㝡㘲㕡㕣攲挳㠹㑥っ敤扡捦㙡㘸搵㌴搷搴㕡攲挳ㄹ㑦㝣㕡㜴㥦㌳攸挳㜹㔰㑣〷㤷昸㜰敡ㄳ㐳戳敥㈳㍢改㙣搷戴愰挴㠷㜳愰昸ㄴ㜴ㅦㄹㄲ㥣ㄹ挵㤴㉦昱攱㘴㈸㠶㥣敥㈳㙤摢挳㌵㘵㑡㝣㌸㉢㡡捦㐱扡㡦戴㡤㜳愵㤸づ㉣昱攱昴㈸㠶〳㜴㥦㑢愰㔵㥣㌴挵戴㕦戱㑦㤰戳愷㌳昴づ㜰㌱晢敡敥㤷搳㥤ㄳ愹戸敦㕤散慥づ㜲つ㝢改㍥㌲㡣㌸愳㡡捦ㅥ㈵㍥㥣㐲㜹㕡㄰㔰摣ㅣ㝢㡤㠳搵㕥攳㍣㘵慦㜱㤰搸㙢㥣つ散㌵ㄲ㙤慦㜱搸搹㙢摣㌹散㌵搶㙢慦㜱戰搸㙢愴搹㕥㈳ㄱ昶ㅡ户㐹搶㝡晤㍦㔱㘰㜶ㄵ</t>
    <phoneticPr fontId="10" type="noConversion"/>
  </si>
  <si>
    <t>㜸〱敤扤㜷㥣ㄴ㐵晡㍦扥戵戰挳昶挰㌲愳愸㘰〶㠴ㄳ〴搷搹挹㠳㈲㑢㄰〵㤱㙣㍡㍤㜱㈲慣㙣挰摤〵攱㑣㤸搳㥤㌹㈷㍣㔱捦㜴收㠰搹㌳〷搴㍢昵㍣昵㍣〳㠷昱晣㜸㥥ㅦ捦ㅣ㝥敦昷搳㔵㍤㍤㌳㍤ぢ晡㌹㕦㍦晦昸㌶㍢て㕤㑦扤敢愹慡㜷㍤㕤㕤摤晤捣㜴㡤慡愹愹昹ㅥㅢ晦攷搶㥢㍢㕢捣㔹搶搵㥤㙦㙢㥣搸搱摡㥡捦㜶户㜴戴㜷㌵㡥敦散㑣㉦㥢搶搲搵摤ぢ〰摦扣ㄶ攴㜷搵捤敢㙡昹㜵扥㝥摥㤲㝣㘷ㄷ㐰㜵㌵㌵昵昵㔶㉤昲㌷搵㥦愰㐹㔸㉣㘵昵愶〰慡挶昲㔱昴愱愸愷戰㈸晣ㄴ㝤㈹晡㔱㌴㔰昴愷〸㔰〴㈹㌶愰搸㤰㘲〰挵㐶ㄴㅢ㔳㙣㐲㌱㤰㘲㄰〵敢户㌶愳搸ㅣ愲摦ㄶ㄰㜳㈷㑥㤸㤱㌹〸扤㤹搳摤搱㤹ㅦ㍤㜸㉦扢捤㘳㥢㥡ㅡ㥢ㅡ挳㤱㔴㔳㘳㘸昴攰㠹㡢㕢扢ㄷ㜷收挷戶攷ㄷ㜷㜷愶㕢㐷て㥥戹㌸搳摡㤲摤㍤扦㙣㙥挷挲㝣晢搸㝣㈶ㄴ挹愴愳挹愶㘸㉣㔶㐸愵㤲晤戶㠴攵改ㄳ㈷捣散捣ㄷ扡晥㕢㌶户愲捤ㄹㄳ㈷㌴㑥捦㜷晦户㙣㙥つ㥢㌰㌹愹愳㉤摤搲晥㕦㌲㕡挷㌱㡤㑤捡㘷㕢㌸昸昹㝣㘷㑢晢晣㐶㌴扢㠴㘸愴ㄲ㡤攳扢扡ㄶ户㉤愲ㅦ㑤捣户戶捥捥ㄷ㘴搰摢㈶㜵㜵捦㑣㜷戶㜵昵㙢㈳㝦昹捥㝣㝢㌶摦搵扦㙤㤷愵搹㝣慢〶㜶搵户敤㤵敥㥣㥥㙥换昷收㑥愰捤ㅥ挳㈹戹㝣㝢㜷㑢昷戲㠶戶㍤扢昲戳搳敤昳昳㠴搴戵敤扡戸㈵愷㝡昷挶㕦㑤慦㙤扤㕡㈶〳㠵昶戴㑤㕣㤰敥散㤶ㄴ㠷戰挹ぢ敢㜲ㄷ改㐵㐹扢攸㔲㠳换㑡㜱捣收戴戴敤㥥敦㙣捦户戲ㄲ㡥攴愸㌲㤰㄰㘴㡦㠳挳㤴改づ㐷㐹昵搵〷ㅦ晢挲㕡㝣㠳㈱㐶㑦敦攸㙣㠳㐳敥㤱㑦户㡦つ㌵㈶㘳愳攷㜴攷㈶攵㤷㘰㍦搴ㄴ㉦摤㈲搶㄰㤴戰㠶戲散㌶㄰晤扢㕡摡ㄶ户愶㐹晦㤸㜸㘸㡣㌵㡣戹挳㈱㔴敦㔷㜱攴扢敢攳搱㔷㍢㉦㕤㍢㉦㔳㍢㉦㕢㍢㉦㔷㍢㉦㕦㍢慦㔰㍢㙦㝥敤扣〵戵昳㕡㙡攷ㅤ㔴㍢㙦㈱㌰㘶慢敦搳愷㔶㙦搳㜷㝤戲攱攸愹㐷敥㝥晤㤴㝥晢㑦㍣㜸㥦晤ㄴて㜶㤹㉢戶挵捥挸戹㥤㉤ㄸ㈶㌴愳㜳昴ㅥ㉤敤㘳ㄳ愱搰攸㘹㉤ぢ昳慤㉤昹慥敥戱㐹愴昶㐸㉦ㅤ摢ㄴち㠵慣ㄱ㠰㕢㈳㈱㝣摢㐱昴ㅥ扦㕢㌴㙥㡤愲㙥㌴㠴㔲㉦愰挹㙣昶㡡挸搱昱㍤ㄷ户㑤㍢收㡣搳晥㝤摢㠳㙢㝣㡡昳㡡搴搷㠸㥤ㅦ㔰摦づ戴ㅤ㠲昰㌵㐱愰扥㜰搴ち㔳ㄷ㠱㔰㙡戵慥敦㍦㑦慥㔸戸㔳攸昳摤㡥扢㙥㥢㙤㝢摤晢晣昷㡡㔳㤸搴ㄷ挳捥て愸㉦㑥摢〹〸㕦ㄲ〲昵㐵愲㔶㡡扡㌱㄰㑡㍤慡敢㍢㜸攰㘶㘷㥣㝦换ㅥㄳ㙥㥥㜶搸㥤㕦㥦㍦昳㜴挵搹㔲敡摢〹㍢㘵晥㄰改挱ㅦㄲㄱ㙢㉣捤敦っ攱ㅢ〷攱昶㠷㔸搳ㄸ慢㤹戹攳㈱㤴扡㕦㔷扥㝡收づ昳扦捣扥㌱攳扥㡢ㅦ敤㝡攵敤㉤戶㔰㍣㘰愵昲㠹搸㈹慢㍣㥥散搱ㄹ㈷搱晣㉥㄰扥挹㄰〱㤷㌳㌶㠵挲㘳慣㕤㤹扤ㅢ㠴㔲㜷敡摡㕢㍥㕥㝢挳㠹ㅤ㙢愷㕥㝤㕣挳昷敦ㅣ昸挱ㄷ㜵㍣㍤㐴扣㡥愳昲㐳㜴㌲愶昶㙣扡慢㕢捦ㅥ愴散扦㍢戹慣㝢㙥㤹摣㤹晤改攷ㄶ㔴昲㕦㤹㕢慣愹㘴㝦㜷〸摦㌴敥敤搹摥搲㍤㜸㉥づ㐹㙢て㈶愷㐳㈸㜵戳ㅥ㤶慦㌶㜸昰搰㜳㌶㥥㌴晤捡㈵㝢户ㅤ㝡昸愷㕢㉡㥥戰挵㈹㘶㘲㘷㠴㝢㠶㡡㠴㡣㑢㌴㌵㤶㑥㑥昱㠴㌵㡢愶㘷㐳昸收㐰㤴㜸㘳㜲㡣㌵㤷戹㝢㐲㈸㜵慤慥戸敢愲㤷捥ㅤ扥戰㘱摡慤搳ㅡㄶ扣昲挷㡢ㅥ㔴㝤㤱㉤ㄵ敦㡤㥤㔴搹搴ㄲ㡥挶㘳慥戹㈵㥣搲㤳㑢㈴ㄲ㠹㌶愶㕣㕢捣摡㠷㜵敤ぢ攱晢㈵〴て挵戸戵ㅦ㜵晢㐳㈸戵㔲搷摦晤捥㌳㌷㉦㥥戱搳㙥慢捥㌹㍦晣昲㍢㐷搴㉡慥㑦愴晥〳戰㌳搲摤昱㜰挴㜴㍣搴㠸ち㑢戶㈶㙢ㅥ㙤ㅦ〸攱㑢㐳戸㝢㥥㐴捦㌳捣捤㐲㈸㜵戱慥昹晢て㔷㡣晣摢㉥慦㑣扢㘷攸㠶ㅦ㘵戶慤晢㑡挹愲㠸戸㍣㐵〱挲㌷ㅦ㈲㌰㍥㥢捤㉦敡㑥攳〴㙡て摦〲㘶户㐰㈸㜵慥戶戵攰㤲戵ㅤ㕢つ㝢㝦户㤵ぢㅦ晤㝣挳攵㘷㉣㔱㕣㕢㐹㉦ㄶ㘲攷〷㑣㘰慤戴摤〶攱㙢㠷〰㙢戱愴搵㐱摤㈲〸愵㑥搳昵扤戸搷㝥戵摦㥥昵晢改ㄷ㕣㝦昸搷〷慦改扦㤵㤲㘵ㅣ㜱㥤ㄴ㕤㄰扥㙥㠸㠶㐹昹慥㤶昹敤㠳㘷攷㤷戴攴て戱ㄶ㌳㜳〹㠴㔲㈷㘹㑢㥦㝤晤㝥挳愳㌷慤㥡㜲改挲〷敥㜹攳散㡢㜷㔴㕣ぢ㑡换㤷㘲愷㙣㌶㙡敡㘱㉡㡣挷慤㘵㌴晦㙢〸摦愱㄰敥㈱㐸愵挶㔸㠷㌱昷㜰〸愵㡥搶㤵昷㍦敦㜷て㡣戸晥愵ㄹ㘷㥤晡摡愶敦㝣晣挸㔴挵㌵愸㔴㝥㈴㜶㝥〰㙤换〱户㡥㠲昰ㅤつ㐱摡挲搶㌱搴ㅤぢ愱搴愱扡扥戹敡戰戱㠹㔳㕥㥤㜶摦㠰〵㕢摣晢晥づ㡢ㄵ㤷扢㔲摦昱搸㈹㌹捡㥡㝡㍡捡㑥愰改ㄳ㈱㝣㈷㐱戸㍢ㅡ㡦㡣戱㑥㘶敥㈹㄰㑡㜵敢㡡愷㙤昲挶攱攳㐷㙦㍣昹搸扤㠷㕥㜶搲㌳㝦ㅣ愸㘴㠹㑤摣㙦㈹㑥㠵昰㥤〶搱㜷㘲㐷㉥㙦㐶敢㜴㘶㥤〱愱㔴扢戶㌳攳搱㘹㑦扥㝡捥㠷㤳捦㌹攱㠹〳慣搱ㅦ㌶㉢慥搲愵〳㘷㘱愷晣㘸㡤愶㌰㔷ㄴ㔷〲㌱戳ㄴ挰慣㤱㉡㌹㕡㥢慣戳㔹搷㌹㄰扥㜳㈱㐸㘰搴㍡㡦扡昳㈱㤴㥡慦敢㥦㍥晡昳昰㉤㈳慥㥣㝣摡㥦〳㤳〷㍤㍥㘹て戵㌱戲愵晥ぢ戱㌳捡㝤戴㠶ㅡ㥢㡡㠷㙢挵㍡㉡㙥㕤㐴敢ㄷ㐳昸㉥㠱㜰㜳㤸〲㠷㤷㌲㜷〵㠴㔲〷敡扡㑦㌸㘷㜴愴攵搳换㜷扢㜵㑤摤㜱搷慤昸昰㈹挵敢ㄲ愹晢㜷搸㈹㤹㈹戰搶㌱㜵㐷捡愷㡡㤸㜵㌹㙤慦㠴昰㕤〱㔱㔲㜳㜴㡣㜵㈵㜳慦㠲㔰㙡㕦㕤昳㠶㝦㕦搰攷敥㈷㜷㙤㍥攵敤ㄷㄶ㝣昹昲愱㈳㤵㕣っㄱ㜷㌵挵㌵㄰扥㙢㈱㠲㔳摡扢昳昳㍢㘵㌵㘸㑦ㄵ搷㌱晦㝡〸愵收㘸㘳晢摣晡昹敢攷㝤昶昱搴㔵㕦㕤晤搷㤶㉤捦晡㤷ㅡ㠴㙣改挶つ搸㘹㉣㥢㜰㥢戰㤸㜳㡦㘱ㄸ㐹㝢㍤ㄷ㡥㜰㐱㜷㈳㉢戸〹挲㜷㌳〴挶㉤ㅥ戲㙥愱敥㔶〸愵愶改㑡て㔸昰愷㐷㍥㕡敡㥦昴㠷㐳户㌹昴戶ㅤ摥㌹㐸挹㐵ㅣ㜱户㔳摣〱攱扢ㄳ㐲慦㔷敤挶慦㘲搶㕤㄰㑡㑤搶㜶慥改扢攷㡡㥡㡥攵㔳㉦㜹晥㤵摦慣ㅣ㕥㝦愷摡㡣ㄸ㝥敥愱戸ㄷ挲㜷ㅦ㐴扦搹昹㠳扢扢㡣㈳摦捦扣〷㈰㤴㙡搶㠶㥥晦㐵㜸攸扦昷㍤㘶攲挹㡢㝡㝤戲㝣敢㠶㝦愹捤㤱㉤㉣晣ㄱ㍢攵㡥晣〳㑥㍢て戱慥㠷㈱㝣㡦㐰㠰㤰㘸搸㝡㤴扡挷㈰㤴㑡改晡㌷㍥改搰㉢㙦㝤㜱攵搴㤵㕢晤昶㤶晤ㅦㅦ㜲㐵扦㈷㤰㍤㑢㕦ㅤ㑣敡㑣ㅦ㠲敢慤攲愵㕣戸ㄱ㤷〲敢㜳つ㡢㑢搸㐲慣㤰㈸㌴㌵攵㘲愱㜴㈴㕤㌷〴㘶搷昷㘲㠹㌳㙦扦挲摥㉤敤戹㡥㐳攴敡㘹㡢〹改慥㝣㜱挱㌳㑡攷㑤攸㔸摣㥥敢摡摣㍢㜳㑥㜷扡㍢扦㔹㜹㕥搱㐸㐵戱㌹戸戶捣㜷㐹㝤㕢㤵ㄷ摢㉢摤扡㌸㍦㝥㘹㡢㥤扤㘵㔹㌶慥㉣㍢㌲搵㜳㈷㜷收て㜶㜲㉢㕡㌴ㅥ户㍥㤶㠸敤㡡㕥摡㔹㜶扢〶㑦㕣搰搱㤵㙦㤷收㡤㙡㥢搹㤲㕤㤸敦㥣㤳攷㡤㤳㝣㑥扡扡㌱戳昴攵敤愸ㄹ敤攸㈸㉥㔸㜳㐳摤摡挲㉥㑢扢昳敤戹㝣づ敤㕤㤴敦散㕥㌶㌷㥤㘹捤㙦㔲〲戱敢㐴挶愶㈵敡挹ㅤ搹挵㕤ㄳ㍢摡扢㍢㍢㕡㑢㜳挶攷㤶㜰㐵㤰摢〳ㄳ㌶慥㠸㝢㜳慢㔱㌵扤㝡㈹㔵戳㥤搷㜲㥡㜶扢ㅡ㘵㈰㕣㐳扣㈵挶㝣㔰愹摢㌵捥㐶敦搰㡢搶㍣㝤戲㜶搸㍡㡣㠹㕤㥡ㄹ㔹ㅤ攸敡ㄳ敦㌲ㄱ㍤愲㍡㕡摡攸㡣摣㑦ぢ慥慤ㅤ愰㝢扦换ㄲ摣㜶搸㉤摤㥥㙢捤㜷昶㜸㡦㑣戱㐵搶㤳㄰㜵㜱ㅣ捤㔵搹敢つ㠴㕡慡㤶搵ㅤ搲㤲敢㕥攰㕢㤰㙦㤹扦㠰㙢㈲摣㐷慢慦㈷戵ㄵ㥢昵㌴㔴搶㙡㡡㘷㈰晣晥ㅡ摦戳〴昹晣搶㜳㜶扡㙥㈸晥晦攱㌷㌴㙡㔱捡㤲ㅢ㈸戸摢搵㔵搷㠶㑢愹慥㕥扤扣㝡戹㕢扡㙢㐱㌷摤戳攷㑣摡晢ㄳ挵㥦㈱敡㠶㐱慣昳㝥〹㔷㠸扤㜹㕢愸愱㙤㔲扥㤰挶捤㌸㌹扡㔵扡慥捤扥扦㠳愵㘲搶攲㡤愰㈹㌸㔶㤶晡戰㠷㠳扦㕦ㅢ扤㍦扦戴㝢㔲扡㍢摤愷つ户㤴㌰㑡ㄶ㐰愳愴㤴扤挷㤲つ愲㌳愵晤㍡〵ぢ㐱搹㜵㔹改㉢ち摢ㄲづㅣㅣ㉦㌵扤戴散戹ㄳ㘸㍢㉦捣㝣攵㡥㕥㝡㙢〸㜷慣㜲扢收摢攷㉥㕢㤴敦㈲扣摥搷㈳㤵攵㠷ㄷ㡤捤挸㘶昶散㙥㘹敤㙡㐴㑢㜷敤散㔸扣攸扦㘹㠷戶慣攷㈱捣㔶户㍤扣㜸晤晢〴扡㙡晡㉣攱搸捣㥢㔷㔳㑦㙢搴昸㕥㠴㜰㉦㘵㜸㌳㡡捥ぢ摢摦攳㍦搹慣㤷昰㥦摦㈲戴㑡㕥摤㜰攴晤㤰扢㙡㜵挰昷㙢〳㘱㜳㍢昳㜲㥦戰㕥ㄲ㈰扦愱㙤敦㡥捥㠵㤹㡥㡥㠵㜴慦晥㤲敡㕡㤰捦㜷昳摥㕢㕦㝤慦㔱敥㈹㉡搵慢㔷挹㡤㌲搷㑤扡慤㘱摦昷㉡㐴挳昸搶搶挱挶㘲㤷敦㙦㔰昵挲㕤㐰摦㙢搸㤹㍦㘴收㉥戳攷捥摢㘵㘹扡㙤㔱㙢㝥晢㔹㡢搳慤戸㝦戹晤㡣㐵摤扢㜴つ㕥ㄲ㡡づㅥㄱ㡥㠵愲攱㔰扥㙢攴摢㌷㥣昲摥昲愳摥㕥㜵攲摢愷㥤昱晥昲愳摥扤晥晡戵慢㤶扦㝢搲㠹晦扡昷挴挸散戵慢慥㜸敦晥扢摥㍥敤晣户慦昸晤摡㔵㝦㜸晦扣摢搶慥晡㉤㤲晦扡昷愴挶愵慤㕤㑢搵㌶㈰㤳昷挷㙥搹慤敦慣㥢㥥㌹慢昹愶敤㕦㥡㌴敡てぢ收愹愱㍡愳攲㐶摤〸㌴㡦㙢〰敢つ〸㌵ㄸ㌰捥㔹搸㉦摤慣户㤰戶搶㔰晣〳〲㌳㡦っ㄰㈶㥥户敤愴ㅡ㠹晦㌹昹㔸敦㔰扣ぢ愱㐶㐱昰搰户摥㠳㌰㥢ㅡ〸晢昴㈸昱㡡て愰挶ㅡ㈸㤲慡ㅣ敦て㤱攵户〸愸㤲愷㐶㈳㡦晥㘰㤱㝦㡢㡣㕢㘴㕢㌵挰扡㈷ぢ晤㜴㐶挵敤挳ㅤ㔰㑣㔸昸て换晢〱昳㘶攱㜳搶昱〵挵㤷㄰㉥ㄶ扥戶㤳㉡㠴晦㠵㠵㙦〸晡ㄶ㐲㠵㈱㠴㠵敦戰㘳㌶愵㔰㠷㘱挱㙡㠲扡戲㤳戵㘰挸摦㔳㥥㡡愰㥣ㄷ〱㥦㝦㔷㠵㠰捦㜴㐶挵晤捣㌸㉣〹〱㝤㔱愹晡ㄴ㌰㙦〲ㅡ㤰㙤昵愷〸㐰戸〸搸挰㑥慡〴っ〹〱ㅢㄲ㌴〰㐲愵愰ㄲ〲㌶㐲捡㙣敡㥦愸挳㈱㈰〹㜵㈵〱㠳㘸搳敡㈱㑦㡤㐱㌹㉦〲摥慡㐶挰㥢㍡愳攲〶敢㔸㔸ㅡ挲㔶っ㘱㤳㕦慦㑡挰㌶挸戶㠶㔱っ㠷㜰ㄱ戰慤㥤㔴㍢挳㠸㄰㌰㠲愰㤱㄰慡ㄹ㉡㈱㘰㍢愴捣愶晥攲㈲挰㌷ㅡ㌹敥搹㤱户㘶㉢㘶挷㐶㠰晣ㄶ愱㔵昲搴㜸㔸昷攲攳改㙡㝣㍣愵㌳㉡敥昹㑥㠲愵㈱昸㔸〹㔴愷㥥愸捡㐷㡡慤ㄹ㐳戱㈳㠴㡢㡦戱㜶㔲敤〲㈳挲挷捥〴㡤㠳㔰扢㐲㈵㝣㌴㈳㘵㌶昵㠰㥢㡦〹挸愹戸㕢㕣㐱挸㈴愰晣ㄶ戱㤵㠴㐸㥥摡つ收扤〸戹扤ㅡ㈱户改㡣㡡摢搰㔳㘱愹㠷ぢ愵㤲㍢扦ㅢ〱㕢㜲愱搴慦㌰戹愵戵㍢摦㈹㙢攱㐰〱晦搹捦捤㈴摤挰昵㝦㘷㍡㙢㍦㤱摡愸㌰ㄱ㤷〰㜸㔰搷扤慣㜸㔱㔴㜱〹㘲慦搰晦摦㠵搶捦敥㐲㑢㉥戳㑡㉥戶㝡戸㤰㠱搳㤴㕤㙡昵っ㜶㌹ㄱ慦㌱㍣搷㐱攲㔲㡤戰㕣敡㘴挴㤷慦攱攴㘹愴㠳㜷㍢㈱搱愱敡ㄷ㘰㜴昶㑡㈷㘵愱慡ㄷ㍢扣㥥昹㝦㤷㡡攵攱ㄴ昶愵攲ㅥ㥣挰愶㔳捣愰㤸㐹㌱ぢ㐲摤愰愷㕤摥晣㙤挷㘷㌱㙥㐰敤㔷㡢ㅤ㙢づ㌱㜳㈹昶㠴㜰㑤扢㝢㈳改摢〷㈲㘰ㅥ㠷つ戶㕤捣慦搴敥㈸㈹㔳昱扥㉣昸㑢㠸㝥晢㐱㑣摦㉤摦㡡摢づ晦慤㄰㠶扡㍤㔰㑤捦ㄷ㑡昰ㅦ摥搸摥愴㙤捥戲昶散㠲捥㡥㜶〴㤲昰晡㡤て㌲扡扡㔴摡搷㌶慤㘳攲攲㙥㕦摢㙥㉤昸慦㕦摢散晣愲㝣扡㝢㈲㙥㉢攱攲㜰ㅡㅥ昱挹愵摦㤴摣搲晦㍦㉦つ㙢㝡愳ぢ㌵ち〴㥡慢㐳㔵㝥昴摡ㄷ㘹㥡摥挶㐹ㅤ㠸㈷挹㑢㈸つ㘹昷昹㜰㤹晦㌳扣昶挳〳㌰戴㙥挵扦慦摤㜱昸㈵㌷㝥慦晦㍦ㄲ换㔵搹慣㘹攸㜴攵搹㜶ㅥ㡡昸㝢捡㔳搳㔱捥㌹ㄳ晢㜲愴つ㙥㘰㉦搸㉦慣㜶㌶扥㐰㘷㔴㍣㝤㥣〵㙢㐳搸㤲〵㌰愴捥搳挷〹ㄴ愵㥢㜵㄰戲慤㠵ㄴ慤㄰慥攳愴摤㑥慡搹㈸㈰挷㐴〷㐱㡢㈰搴㕣愸㘴㜹㜲㌰㔲㘶㔳愷愲づ戳㕥昵㜵㈱愷㘴戹㠶㈷㜸ㄵ慢㤳挵〰昹㉤㐲慢攴愹㍤㘱摤攱挴㜵〱㜳㙣㌵㍥㡥搱ㄹㄵて㐵昷㠱愵㈱昸㔸㐷愰㍡㜵㔴㔵㍥㤶戳㌵㐷㔱ㅣつ攱攲攳㔸㍢愹昶㠵ㄱ攱攳㌸㠲㡥㠷㔰晢㐱㈵㝣㥣㠰㤴搹搴㔲㌷ㅦ㈷㈱㠷㤷㜱愱捡㥥㥥㠲㉣扦㐵㐰㤵㍣戵㍦㙣㝡戱搰㕥㡤㠵㌶㥤㔱昱㘸㜶ㅥ㉣つ挱挷㍡ㅢ搵愹㠵㔵㔹㌸㤷慤㌹㡦攲㝣〸ㄷぢㄷ摡㐹㜵㈰㡣〸ぢㄷㄱ㜴㌱㠴捡㐰㈵㉣㕣㠲㤴搹㔴挶捤挲ち攴戸扤㠲捦㜵㉢扣攲㜷〰昹㉤㐲慢攴愹㉣慣㝢昱戱㑦㌵㍥昶搶ㄹㄵて㡣昳戰挴㜵慢㜵㉤慢扢㡥攲㝡㡡㍦㔰摣〰愱㘶㘹㡥㜸㠶攱挶㌳捣㕥戵搸戱㙥㈲收㘶㡡㕢㈰㕣ㅣ摤㐶ㅤ捦㌰㌸愳ㄴ㠰ㄴ㥥敥愰昲㑥〸戵〰㉡㥥〱㙡慣㔵㐸㔶㥤㐶昸攰扡㤲㠰㝢㘸搶敡㈱㑦戵愰㕣㤱ㅣ㑥㈳昶ㄴ戲㜳㌵㜲挶敡㡣㡡㈷攰慤戰㌴㠴慤㜸〴㐶搴㡥㥡〸㈸㑡㌷敢㌱搶昱㌸挵ㄳ㄰㉥㈲㥥戲㤳慡つ〵㠴㠴愷〹㕡つ愱㍡愰ㄲ㘷㜹〶㈹戳愹㌰敡㜰愶㤰攷㤰挳愷㍦ㅥ㜷㍥晥㡣㉣摣搱㠵慣㘴㐸昲搴㈲搸㉣戲㔰扣昳㌱愲ㅡぢ摢敡㡣㡡攷昲㥤戰㈴㉥昲㉡慢晢ㅢ挵㙢ㄴ㝦愷㜸ㅤ㐲つ搱捣搰㐵昸㈴慤戸〸㜹㤳㤸户㈸搶㐰戸㤸㔹㑢㥤㜶㤱㉥ㄴㄱ㜶摥愱昲㕤〸戵ㄸ㉡摢㐵摥㐳戲慡㡢㜴戳挲㡡攳攷㥦㈸攲户㝡挸㔳㑢㔰慥㐸㑥搱㐵晡㔷㈳愷㐱㘷㔴㠴ㅡ㉣㠳愵㈱㙣挵愷㙣㜶㕦㑤〴ㄴ愵㥢昵ㄹ戲慤捦㈹扥㠰㜰ㄱ昱㤵㥤㔴扦㐶〱㈱攱㙢㠲扥㠱㔰㠷㐱㈵㉥昲㉤㔲㘶㔳戵愸挳㜱㤱敦㤱攳㥥㑦ㄸ愴㔰挱㠷慡㈵ㅦ㠴㔶挹㔳㠷挳㝡㤱㡦愲戳㝣昱㙤㤵扢㐴㥦敢㡣㡡攸㠷攵戰㌴〴ㅦ换㡦㑡搵㝦〰昳扥㑢搴て搹㔶〳㐵㝦戶慥㜸戳㤰㈱挱㐸慡愳㘰㘴㈸つ㙤㐰搰㠶㄰敡ㄸ㈴㠵㡦〱㐸㤹㑤㝤㠸㍡ㅣ㍥㌶㐶づて㤹㘸㘵㑦〷㈲换㙦ㄱ㔰㈵㑦ㅤぢ㥢㕥㉣慣愹挶挲㕢㍡愳㈲㈶攳〴㔸ㄲㄶ〶愳㍡昵㐶㔵ㄶ㠶戲㌵摢㔰っ㠳㜰戱昰ぢ㍢愹㑥㠴愱愱昸㔸摢ㄲ㌴〲㐲㥤㡣愴戰㌰ㄲ㈹戳愹㤷摣㉣㡣㐲㡥摢㉢ㄸ搱㔱攱ㄵ摢〳攴户〸慤㤲愷㑥㠱㜵㉦㍥㔶㔷攳攳㘹㥤㔱ㄱ㉡昲㕢㔸㤲㈹㈴捥敡ㄲㄴ㐹㡡ㄴ挵ㄸ〸昵愸收愸昲㍡㘶㈷㘲挶㔲散っ攱攲愸㤹㍡㍤㠵㥣㡡ち㠶攲㘳㑤愰㜲㈲㠴㍡ㅤ㐹㝢ち㤹㠴㘴搵㈹攴㌴㤶慡㈰㘷㔷ㄴ昱㕢㍤攴愹㌳㔰慥㐸㑥㜱ち戹愵ㅡ㌹㌷敢㡣㡡昸㤷戳㘱㐹㥣㘵㈶㥢㝤愳㈶〲捡搲捤㥡㡤㙣㙢づ挵㕣戶慥㜸挸昰㙣捣㐳收ㅣㄴㄸ㡡㡦戵㌷㐱晢㐰愸昳㤰ㄴ㘷搹ㄷ㈹戳愹慢㔰㠷㜳挸昰㙡㤱㠷㑣慣㤲㠵㕦㈱换㙦ㄱ㔰㈵㑦㥤て㥢㐵ㄶ㡡ㄳ挷挵搵㔸戸㐸㘷㔴㐴攱㕣〴㑢挲㐲〱搵愹ぢ慡戲戰㠰慤㘹愱㌸〸挲挵㐲慢㥤㔴ㄷ挳搰㔰㝣慣㌶㠲摡㈱搴愵㐸ちぢㅤ㐸㤹㑤㥤敥㘶攱㘰攴戸てㄹ〶昰㔴㜸㐵ㄷ㐰㝥㡢搰㉡㜹㙡〵慣㝢昱㜱㝣㌵㍥㡥搳ㄹㄵ㤱㐱㤷挳㤲昰㜱ㄸ慡㔳挷㔴攵攳〸戶收㐸㡡攵㄰㉥㍥㡥戶㤳㙡㈵っつ挵挷㍡㠶愰㘳㈱搴㤵㐸ちㅦ挷㈱㘵㌶昵㙢㌷ㅦ㈷㈰愷㠴て㠴ㄵ㔵昰㜱ㄲ㐰㝥㡢搰㉡㜹敡㉡㔸昷攲㘳㔱㌵㍥㍡㜴㐶㐵扣搲搵戰㈴㔳挸㤹慣敥㉣㡡戳㈹捥愱㌸ㄷ㐲戵㘸㡥敡㠰攴〵〳㔷㈱昴〱㉣攱㠹戹㠰攲㐲〸ㄷ㐷ㄷ㔳愷愷㤰㙢㠰ㅣ㑡昴愵㔴慥㠰㔰搷㈱㘹㑦㈱㤷㈱㔹㜵ち戹㤶愵㉡挸㔹㠹㈲㝥慢㠷㍣㜵㍤捡ㄵ挹㈹㑥㈱㝢㔵㈳㘷㑦㥤㔱ㄱ㝦㜵㈳㉣㠹戳㕣捦㘶捦搱㐴㐰㔹扡㔹㌷㈰摢扡㤱攲㈶戶慥㌸㠵摣㘲㈷搵㑤㈸㌰ㄴㅦ敢㔶㠲㙥㠳㔰户㈰㈹捥㜲㍢㔲㘶㔳㔳㔱㠷㌳㠵摣㠹ㅣ㑣㈱㌱㡦㙢扢扢㤰攵户〸愸㘴㐸昲ㄴ愳扣㡡㉣ㄴ愷㤰收㙡㉣㡣搳ㄹㄵ〱㘱户挳㤲戸挸㐳慣敥㘱㡡㐷㈸ㅥ愵㜸っ㐲愵㌴㌳㍣换㈰敤㕡愸㍥㐱捣㤳ㄴ㑦㐱戸㤸㔹㑤㥤㜶ㄱ挶㤸つ挵挷㝡㤶捡攷㈰搴㉡㈴㙤ㄷ昹ㄳ㤲㔵㕤㠴㠱㘹㤵〴扣㠰㈲㈰愷㝡㥥扡ぢ㜹㐵㜲㡡㉥昲㡢㙡攴っ搷ㄹㄵ㔱㙥昷挰㤲㤰昳ㅡ摢晥㜷㡡搷㈹摥愰㜸ㄳ㐲㙤慤挹攱搳㌴ㅥ㐳挵㔵晣ㅡ㘲晥㐱戱ㄶ挲㐵捥㍢搴㘹㜲敥㐵㤱愱昸㔸敦㔱昹㍥㠴扡ㅦ㐹㥢㥣て㤰慣㑡捥㝤㉣㔵㜱晣晣て㡡昸慤ㅥ昲搴〳㈸攷㐵㑥扦㙡攴昴搵ㄹㄵ㤱㝢て挱㤲ㅣ㍦㥦戱搹㤶㈶〲捡搲捤晡〲搹搶㤷ㄴ㕦㐱戸㠸昸挶㑥慡㠷㔱㘰㈸㍥搶户〴㝤〷愱ㅥ㐵㔲㡥㥦敦㤱㌲㥢慡㐱ㅤ捥昱愳㌰㔳攱昸㠹㜸㥣㠲㝢㈱换㙦ㄱ㔰挹㤰攴愹挷㘰戳挸㐲昱昸昹散㥢㉡㙢昷晦攸㡣昲昸挱扡㈷㘱改〷挴㝤昵〵摣㉡散㠵愰㙣〶慡昴㉦攰慢㔶ㄳㄷ㜷㜵㜷㐸㔴㑤㐳㘱㔲挷昴㡥敥㐹㉤㕤㡢㕡搳换〶ㄴ昴捥摥ぢ昲敤㠸㜹敢㐴攸㕢㤹慥㘳搱愲㝣捥㉡捣改㔸摣㤹捤㑦㤹昴㜳㠸㠹㤳挱㐲㘰㠷㔲㌵戵ち摢㡦ぢ昳慡㐱㐹戸ち戶㥡扡愷㘱戲㍣㕡挷昵㠸愵昸㌴㉦〸㘰愰挸攸摣㤶敥搶㝣摦㠲攴换㝥㝤〱㉣㈲㤰㌰搷愷㌰㜷〱挲㔶㈶㌵ㄴ㜶敤㙣挹戵戶戴攷㌹ㄸ㜸㐲挸敦慦㑤换捦㐷搰攰捣㡥慥ㄶ㝥戹慢愱㌰户㌳摤摥戵㠸昱㑦搹㘵ㅢ㤶愴攴㙥㜹㕤㘱㐲㑢㝢ㄷ慡㤱㔱攴㝥愰㌰㘷㐱挷㈱昸㥡攷攲戶昶㕤搳㡢扡㝥ㄶ愳愲㘴㕣㈸㘴㘸㔴慤慡慤㔵昵戵昵㍦㜶㝣㝣晤㜰㜴つ戰攳扥〷挳㑦扢㍢㕢㌲㡢㐹㤸搴ㄳ㠶散㑤㈱㘳㔸㔳户ㅡ㝢㍤㍣㈵攳戳㌲ㅤ捡挹㌰㐵戶戵攴ㅢ㐶㥥ㄱ㜳捥㜷㘷昹㝣捣㙡㐰㜳晡昵㠷㤸扡敢㥥㔳㡡〱扣晦愷㉦愲搶㍤〳换攵捦ㅥ捡㍤捦㠹㤷摣ㄸ攰晥戶ぢ㔱㐷㡦挲㤱〹㑦㘰慡摣㉤晤〵挱搰㐳晢ㄷ㜷㈷㈳攴慥㕦㘱㕡㍡㤳㙦挵㔳愶戶㜴㜷㝦㍢挱㈷㠶昸愲㘲㤷捥㥢搸搱搶㤶愶换搱㕤攷㘴搳慤昹晡挲昸挵摤ㅤ昸づ愰㔵㠰㄰扦搴慡昴㔲愸搲㑢㐵搵慦㌰㥢ㄱ挴戲㑦㕢ㅤ昳搳㥤㉤摤ぢ摡㕡戲昵㑣㌰捡昷㘷攱慢㤸晦㝢㠳㑣戳㤹戹愴晣搹㤷晤ㄴ〸挳摤㠸㈷㜱愴㡥挳て㡦慥㔵㍥晣㔳㍦㌲挰ㄴ㌳㡦㥣㌴慣㈰慣搵昱散挳愹㐸戶㡦㜹㌷㠸摢挷㐷㘲㐷㈶㈷昵ㅣ㤲搴㕡ㅢ〰捥ㅤ㝥㝡晦〹愲挷攸挳㍥〰昸愷㜵愴㜳㤳ㄱ㥦搰搱搹㐷㝦㜱扡ㅥ㐳换愹愶㌳挸㜸㔰㝥㈷〴愱换㑢㕡㜲昹捥㝡㉡收攰㜹㕥㙦㐶㤲晡散㌱攴挱㕣㔳㔷搷户摥慢慥㈹挶搶㌰ㅤ㔶攷晥攲昹㤴ち晢ㅦ捥㑡㡥摢㡥慤昲换㈹㙡㐳㜴挷ㅡ挰㍥㌱搲㤴晤㈹〳㙣㐴挰挶㄰㜵捦㈳戳㝣㙣㑡㐳㌳ㄱ挰挹㍢㥣扤攵㉢挷っㅡ慤㐷㠰愵㐴㥢搶㐹㐷昰敤ㄷ㈷搶搴㘷〷㠸搶愳っ昶摡扡㝣㜳攰攵昹㥣摦㥥㕦昹㌴㤳挳㔱㕢摢ㅢ㐳敤㉢てㅣ愹愸㤶㈶收攴㈵㝣㔴㙤㠵㈶昸㌶㐱㡢㌷攱挱〲晢昸愲㝤挹㜷㜸换㔷㔳㝥扦㌵〸㜰摣㤰㘷晣愴攱㘰㈶㌵㌶㐹㥢㤲㠳捤㈰搴ㅢ㔰㜲㈵㠰㕤㜳摥㔲㙦㈱挵㜳㔷㡤㙦㜳㐰〶ㄶ扦攰戱捥昹㔲慤㐱㈹捥㤹搶ㄶ㌴晥て散㜱㉡㜲㕣㜳㉢㘸搷敤㥡㙦戳〴㍥搶搶㌴愲ㄳ敡ㅤ散㤸慥㠴戰慦扢㌲ㄸㄸ㙢〸㠱敦㝡〳㠶ㄲ戰つ〱敦〱挰㌱昷つ㐳慡㥦攱ㄲ㌷㐳攲ㄵ慢㉤㌰昸ぢ㠰挰攰㠷㉥慢搳愹戱ㄹ摣㤶㔶㐷搰敡㝦愰㉣㘷昰㜳攸㠴㐱㡢っ捡㔶㜶㘶㔱㕦㐰㉢㑣㙤㐷㈳㕦㈲㔵挲搴㘸㘸搷捤搴搷㈸㈶㑣㙤㑦㈳㍡愱扥挱㡥〷㔳㡤挰㔸㍢㄰昸慤㌷㈰㐴㐰ㄳ〱摦〱㈰㑣㠵㤱㜲㌱ㄵ㑥㝡㌱ㄵ〵〸㑣搵愲〱愶摡ㄹ搴搸㑣挵㘸㌵㑥慢㝤〱㈸㘷㡡昱㠳敢㘰慡㍦㈰挲㔴㤲㐶〲㐸㤵㌰㌵〶摡㜵㌳戵〱㡡攱て㔱㘹㌴㠲ㅤ昹㌰㈶搱㌴搹攵㔳㍢〱㘳㡤㈵㤰昱㡡ㅥ㠰㥤〹ㄸ㐷挰㐶〰〸㔳捤㐸戹㤸㡡㔶㕥ㅤ挳愷㈶〰〴愶〶戹慣扡㝣㙡㈲慤㑥愲搵㈱〰〸㔳挵搵愴㘲愰愱㝤㔴敥〲挸晡慥㘰搴㌰ㄴㄳ昶㈶搳㌰㘳ㄴ㑢搸摢つ摡㜵戳挷㔸㐶晣搵㔸㔳㘸挴戰挷㠰㐶㐳㡥㙢〶㥥ち㡣戵㍢㠱っ㜶昴〰㑣㈳㘰て〲ㄸ晦㈸散㑤㐷捡㙢㜶昳ち㝢〴㡦㌳〱〷㡦㡤㉥晢㌳愹戱㍤㙥ㄶ敤捦愶晤〴〰攵㍣㌲㐰搱收㜱づ㈰敢捤攳ㄸㄴㄳㅥ攷搲昰㡥㐸㤵昰戸ㄷ戴敢收㤱㌱㤰昸挳㍤㕢ㅡ㌱㍣㌲㄰搲㠳愶㝤㠰戱昶㈵㜰㥣㌷攰㤷〴散㐷㐰㌳〰挲攳晥㐸つ㌴㌳㥢敢㉣㈱㕦慥昷㌸㑤ㅣ〰㍣㠸㥣攴慡挰攵㤰昳㔸挱㠱㄰㜵㡣㐸敡㘱㐱㠹挰つ㔷摣㕡㝦搸昴ㄵ昸敤㜱慣昵搸㤸挹㉤摤㌸㙢昵㉢㐰㘰㔷〲捣㌶㤳㌵愰慢搰㈸攷摡㜲敢捡慣㤲㡢捤慤㉡昳摤㔷㥦挳㍣戲敤敢㔲搷攵攸扡㐰㜲㝤敡搱挶㥦搳〵慢戲〳㡥㙡散㙢㔶㌵扣㝡㜸㥥㡢㜷㕥㜳晣ㅦ㉥㙦㘵晡慦戱㌲㜴ㅢ㠵㝦㌸ㄶ戳搸攷搵敥昴㜵扡㠸㉢㕡戱㉦摤㡥㔷扣戶慥㐱㠷挳㑥㘹敦挲㥡搱慦㔳戸㈲攸慦㜷㘷㉣敥㉥挹㐹㉦ㅤ愰㜳昰㉤㡢ㄹ敤戸㡥换愶㍢㜳㍦㤳㡢〰昴捤扥㔶㤵昵晣㡦扣㡦〰㈳摣㕣㑢㜷摣ㄹ捡㘹慥㘷㠰敢ㅦㄲ散ㄹ㠰愵〶搲敤挴㠰搶㌳挵摦㡦㤱㔱戰㝦㍥㐶㙥敡捣捣攳㡥っ㝥㑥愷㌵㍦㐰ち㌸㐹㔹昰㕡㠵昱㤹㉥摣㈰攸收搵㥦摥㤳〳摤㉡捣捥昳㔷㘵㤶攴㜱戱愶昷㘶㘶扢ㄱ摡散ㄸ攰户ㅦ㝦㍥㈳〴㐶㝡敢㔱㔲㌲㑥扥ㅥ收户搲㑥昰ㄸ晡㤱愳㡡㜱㉢挸昶搱㌸㜵攱〵摣慥ㄹ㔷㘳㜶昴㙤㈳㠶㝢昶㜰捦〱㜳慤㍢㌲㤷㐷搲〰ㄳ㌰㙥捦㜰㌲㜹昵㌳㍡摥㤸㘸攰つ愴捥㙥㝣㐵㜸㈲㝥㜲㈹挰㐳愷ㄵ㔷㙥摤㉤戸〶㙦㕤搶扦㌰愵㍤摢扡㌸㤷㤷ぢ㜸㌳㘷换㜵晣捦㘲扣㝡㠳㄰㝤㐴昵挰㡢㈶㘵ち㝥㡡捣㝣㘵ㄴ慢愷ㅦ㌹㑥㔶ㅥ㐷㥡㑣㜶戰㠱〰㈴㝤摣捤㐲㑢㝥㜰ㄸ戴ㅦ慤摦戰ㄸ挴㉦㍦㔰㠵愹慤㐲挵㌹㡤戱慣ㄳ㑤㈴戵ㅣ㜱㉥搸戴㡥㘹ㅤ扣ぢ攸㔲敤搶㘲慢㝥ㄶ攳㠴㝥摡挳攴昳攱㌶挶㡦㘳㝥捣昵晢㍥㍡㜶晢愱捤ㄷ敦晣搹挰捣㥦户㙤㌶㐷ぢ捦㌱㌸换㈸挶㌹换敡㑤㘲㑢㘵ㄱㄵ㐶戵戵ㄴㅡ㌲ㄷ㄰㔹愹戵㘰搴ㄴ挳愱敤㤵㥡㍤㥥搶㐲㘸㝢㕣愹㔹慤昶㘸慢扤㔱ㄴ㝦㜸戶㑣㐳搸㤱て㘳愵捤㙡捤慥㤴㠷愰搵づ㡣搵㐱攰㉦扤〱㡢〸㌸ㄸ愲㡥攱戴攵㤳㑤搵挸㘰ㄴ愸愹㙢攳敤㠳晡㌶摥㐶挱愱敡挳㔷㕣ㄱ昹㡣㕢㌱扥扥昵晢挱㤸搵〹搴㌳慢㔷㡦㘵㝢搴㍣㔷晤愳愱搰慢攲㉥搶捦摦敢㔳っ㤱㉤㕦ㄵ㌳㉥搶收㤵昷㐷㘵㈳愵慥㝢愱㙡㈱㈰挲敢ㄲㅡ㘱昸㙣挹ち㜸㈹戴㍤昲㉡攳搷㡥㘲昸慢戱㤶搱〸㜶攴搳〱㘹㌸㜵㕤㐹晣ㅡㄸ敢㔰〲ㄹ㠷敢〱㌸㡣㠰挳〹㌸ㄸ〰㔹〱ㅦ㠱㤴攷㤵㠴㐷散㈵㔶㉦换〱挷〲㤸愱戹挶㍥㐳㠹㌵㘷㐷搱晥搱戴捦㌰摡昲㙢搷攵搰搹㥣㔵扤捡㍦ち㄰攱散㔸ㅡ㘱㠸㙤〹㘷挷㐳扢㙥捥㡥㐵㌱晣搵㔸㈷搰㠸攱㡣昱戸愶挹愱㘲㤳㑦〴挶㍡㠹㐰挶敡㝡〰㑥㈶攰ㄴ〲ㄸ扥㉢㥣晤〶㈹搷戵㉢㝥昷挸攳㔲攱㔴㠰挰搴㈹㉥慢慥㑢㠵搳㘸昵㜴㕡㍤ㅢ㠰㜲敦㘲㝣慤㌰攵㍢〳㤰昵扥收㍡て挵㠴扤㌳㘹昸㝣愴㑡搸㍢ㅢ摡㜵戳㜷㈱㡡攱て戱〳㌴㘲搸扢〸㝢㠶ㅣ㤷挷㥤ぢ㡣㜵ㅥ㠱㡣昱昵〰㥣㑦挰〵〴㌰散㔷搸扢㄰㈹㉦㡦昳㡡昶㠵挷㕤っ㌸㜸晣㥤换扥㡢挷㑢㘸晦㔲摡㘷㠸㉥㉦扢昴㤲晢㌲ㄶ搳㑢敥摦㘱㥦㤳攱㜵挸收戲摢㙣愵㡢挵换㌵㡡ㄱ扥㕣㌰戲昳㘶㍡慤戶昸㔰㝦〰㠸ぢ㄰晣摥っ㡡ㄷ捦㠰㔷㙡㘳㌷㈰㡦㘷挱㘱ぢ㙥㕣ㅤ㍥晦慢㜱㜷㜴摤㔱户攸换㍥ㄵ昳㌴愳㠵敤㘳㘳扥戴づ㐹捥㈷敥㜹晡㘶攸㘴㜴㝦て摢㡡㐱挵㈵昳昴㌵搰昶㌸扡搶戵扡㑤户愱㈸晥㄰搰㑣㐳搸㤱て㈳㤰捤〰戲〹晡㤰扥ㅥㄸ敢て〴摥改つ戸㠱㠰ㅢ〹㔸〵〰攷㙡敢㈶愴㥣改昵ㅥ㔷戱敤㡢㜶㙦㘶戱㕢㔸散ㄱ〰捡愷ち挶っ慦㘳慡㘰㐴戱搰㜱ㅢ㡤㌰戴戸挴搹敦㠰戶㐷㍡㘴㝡㘵〸㌲晥㄰㝡㑤㈳搸㤱捦搳㤰㠶㡡㔰戱挹慢㠰戱敥㈲㤰㌱捡ㅥ㠰扢〹戸㠷㠰㘷〰㄰㘷扦ㄷ㈹搷㔴㠱ㅦ晢昲㤸㉡敥〷〸㉥晥㘷㤷㔵搷つ挱〷㘸昵㐱㕡㝤ㄵ〰㤷㡢㍦挴㘲摡挵ㅦ挶㍥㕤晣㙦㠰㔴㜷昱㐷㌴敡㌵愰搶摢挵ㄹ挹㙣扢昸愳㈸㕥㜴昱挷戵㌱〶㌹搳挵㘷晤攵愸ㅢ收扥㌰扡昹㤴搹昳㤶ㅣ昳㘱愴挲挵摦〴挶ㅥ㔳〶ㅦ戳攵ㄵ㉥晥ㄶ㜴㌲愶㑦挲戶㘲㔰㜴㠹㡢㍦つ㙤㡦㘳㙡慤搶㙤㕡㡢愲昸挳捦㝣搰㤰㕤㔹㡤㘲〴戵ㄹ㌶戶㐰扢昸戳挰㔸捦ㄱ挸攸㙡て挰㥦〸昸㌳〱㡣户ㄶㄷ㝦ㅥ㈹挷挵晦改㉡搶㔸戴晢〲㡢扤挸㘲㥦〲㔰㍥挷㌳收搹愶㠳昷搵㘴攳ㄱ敦㕥㐱㝣づ㠸搰昱ㄲ㡤㝣㠱㔴㠹㡢扦っ㙤㡦㜴㠸㡢㝦㠵㘲昸慢戱㕥愱ㄱ散挸攷㙢㐸搳㔳搷㝣晥㉡㌰搶摦〸晣挶ㅢ昰ㅡ〱㝦㈷㠰㘱搷攲攲慦㈳攵㌵㥦㝢㐵㕢㘳㍥㝦ㄳ㜰㌸扢挲ㄳ㌷搳〰㤷戳扦㐵晢㙢㘸㥦㈱搲攵搳〲攳愲搷㌱㉤㌴〰㈲㥣慤愵ㄱ㠶㑦㤷㜰昶づ戴敢收㡣㘱搶愴挹㝡㤷㐶っ㘷㡣戵㌶㑤づ戱ㄳ昶敤搳昷㠰戱摥㈷㤰㜱搸ㅥ㠰て〸昸㈷〱〳〰㄰捥㍥㐴捡㍤㉤㠴扤愶㠵㡦〰〲㔳〳㕤㔶㕤㙢慤㝦搱敡挷戴㍡ㄸ㠰㜲敦ㅡち㥤㌰攵晢㌷㈰敢扤㠲搸〶挵㠴扤㑦㘸㜸ㄸ㔲㈵散㝤ち敤扡搹晢〵㡡〹㝢晦愱ㄱ挳ㅥ㘳戴つ㌹㉥㡦晢っㄸ敢㜳〲ㄹ扦敤〱昸㠲㠰㉦〹ㄸ〹㠰戰昷ㄵ㔲㕥ㅥ攷ㄵ挹つ㡦晢〶㜰昰戸扤换扥㙢〵昱㉤敤㝦㐷晢っ扦㜶㑤慦㜲扢㔰㑦慦㝣㑥捤改㌵〱㐸昵改ㄵ捦㉡〵挵攸敤昵㥥㕥㔳〰摢搳㙢㉦ㄴ㉦㑥慦㜵摡ㄸ〳挰㌹扤㜶㔹㈷㈶晦ㄲㅢ摤㝣㝣攱戴摢昶摢㍡㕣㌱扤敥〴㥣㝤㙣㥣㠶敥ち昱㥣㑦摣㉢〸挶㠹换攸昶㠱㙤戵㌳㔲㈵搳㉢㝦㘱扣挷搱戵晣扡㑤捤㈸㉡㈳摣㤷㠶散捡㙡搴〴㘸捤〰戲〵晡昸攸〷㡣搵㐰攰㐴㙦㐰㝦〲〲〴㑣〲㐰愶搷㈰㔲捥昴捡㜰㜳㘳㜷㠷愲摤つ㔸㙣㐳ㄶ㘳㘸㜸昹㔴挱㜸昰㜵㑣ㄵ㜳〰ㄱ㍡㌶愲ㄱ㠶㡤㤷㌸晢㈶搰昶㐸㠷㑣慦っ㉦ㄷ㉡〶搲㠸愱㘲㙦㘸㑤㤳㐳挵㈶て〲挶摡㤴㐰挶㥦㝢〰㌶㈳㘰㜳〲昶〵㐰㥣㝤ぢ愴摣㔳㐵攵㤷㌷攰攲㕢〱〴ㄷ㘷㐸扡戱㍡户㔸敤搶戴㍡㤸㔶ぢ〰㤴㑦ㄵ㡣ㄹ户愷㡡㈱㠰慣昷㔴搱㠲㘲挲摥㔰ㅡ㘶戸㜹〹㝢挳愰㕤㌷㝢っ㑢ㄷ昶㠶搳㠸㘱㡦㜱挹愶ㅢ慥愹攲ㄷ挰㔸摢ㄲ挸戸㜵て挰〸〲㐶ㄲ挰㔰㜶㘱㙦㍢愴扣愶ち慦〸㜶昰㌸ㅡ㜰昰搸攵戲敦㥡㜲户愷晤㐶摡㍦っ㠰㜲ㅥ㡦㠰捥昶戸慡㈷㜴㐶愲ぢ㘷㈱ㅡ㔹㡥㔴〹㘷㘱㘸搷捤搹搱㈸㈶㥣㐵㘸挴㜰㜶っ戴ㅥ㤴㐴㠱戱㘲〴ㅥ敢つ㠸ㄳ㤰㈰攰㌸〰㠴戳㈴㔲㥥㥣㜹㐴戹㠳戳㌱㠰㠳戳㤳㕣昶㕤㈷昴ㅤ㘹㝦㈷摡㘷㘸扡㙢㝡摤㤹挵昴昴㍡づ晢㥣㕥捦〲愴晡昴摡慣㔱㡣㙣㕦敦改㤵ㄱ昰昶昴㍡ㅥ挵㡢搳敢㐴㙤㡣挱昱㥣㕥敤敤攳敦㕢慥㘸摤㝥挶㈱㤳挷㕤㝢敤ㄵㅤ㉦㜴㕣㌱づぢㄱ㌹捥ㄹ㈵㙦㡦敥戵〲㐵㤱昲改昵〲㐰㘴㜴㜷㠱㙤挵㘰晡㤲改㜵㔷㘸㝢ㅣ㕤㙢㌷摤愶㡢㔱㔴㐶㜸ちつ愱㍡昹㕣ち慤ㄹ㘱㌶㐱㑦慦㔳㠱戱㜶㈷㤰㔱昹ㅥ㠰㘹〴散㐱挰㘵〰挸昴㍡ㅤ㈹㘷㝡㕤改㉡㌶扡㘸㜷〶㡢捤㘴㌱㠶捤㤷㑦慦㡣㤵㕦挷昴捡㐸㝡愱㘳㌶㡤㌰愴扥挴搹攷㐲摢㈳ㅤ㐲㍢㐳敦㠵㡡㍤㘹挴㔰㜱㉢戴愶愷愱㘲㤳昷〲挶摡㥢㐰挶收㝢〰昶㈱㘰㕦〲ㄸ慥㉦捥晥㑢愴㕣搳㉢㝥㕤搵攳〲㙤㝦㠰攰攲㜷戹慣扡㔶㄰扦愲搵〳㘸昵㈱〰㕣㉥㝥㈰㡢㘹ㄷ㑦㘳㥦㉥晥㌰㈰搵㕤㍣愳㔱㡦〰戵摥㉥晥㈸挰戶㡢㘷㔱扣攸攲㜹㙤散㌱攴搳挵㥦摢昵搸愷㠷捥㘸㙣㕥晤挲愱攷晣㙡㤳捡ぢ㌴㐶昹摢㘳捡愰㝢戶扣挲挵㥦〴㐴挶㜴㍥㙣㉢㝥ㄹ愰挴挵㕢愰敤㜱㑣慤㠳㜴㥢昸挵〱ㄹ搷㠵㌴㘴㔷㔶愳昸捤〱㌳㙣㙣㠱㜶昱㔶㘰慣㌶〲昹慤〲て㐰㍢〱ㅤ〴昰㝢〶攲攲㡢㤰㜲㕣晣〵㔷㌱㤷㡢ㅦ捣㘲㥤㉣昶ㅡ〰慥㠱敢㠶捥っ摣㘲散㜳攰昸愵㠰敡〳户㐴愳㕥〷㙡扤〷㡥摦㉥戰〷敥㄰ㄴ㉦づ摣㌲㙤散㑤攴㜳攰㔲㥢捦摡户摦扣㌵攳捥㔹㜳昶㈶敦㝤晡昹㌸㜳㔷㡡つ㘳搳搶〰㘷て摣㝤㘴捤㙢攰晥〱㠸っ摣愱戰慤搶㈲㔵㌲㜰㠷㐳摢昳挰ㅤ愱摢昴づ㡡捡挰ㅤ㐹㐳㜶㘵戸㉥㠶搶㘳㕣㤶〳㘳ㅤ㐵攰晢摥㠰愳〹㌸㠶〰㝥〷㐲〶敥㔸愴㥣㠱攳搷ㅣ㡣摤敤㔱㤹㜶㠸攳㔸散㜸ㄶ攳㔷ㄲ捡攷㈶㝥て㘱ㅤ㜳搳㤷㠰〸ㅤ㈷搲〸扦慥㔰㌲㌷㥤っ㙤㡦㜴〸敤摦愰㤸㔰㜱ち㡤ㄸ㉡昸摤〶搳攴㔰戱挹扦〱挶晡㉤㠱摦㜹〳㑥㈵攰㌴〲昸㔵〸㤹㥢㑥㐷捡㌵㌷攱㠷㡥㍤收愶㌳〱挲摣搴ぢ㔷㌰愶㕡搷改昷㉣㕡㍤㥢㔶ㅢ㜸㠹〳愸㜵づ㔳扡戵㜵㐱㘸换㘳㍡㉢攲㙤愵㠶〲㈳㙦攷㜴㉦㙢㐵戴㌳㜷ㄹ攳㘹敦昱㌱ぢ㘲㄰愰㐳攴㘹㐷㈷ㅥ㍦昶㉥晦ㄹ㈳愷散ㄳ愸戸敦㐶㘵扦㠷㉢挵㤸搳ㅦ慤愹㍢攸敢捡摦㝣㜵捡戳攱挵ㅦ挷㘴ㄹ㙥扥昳搰挴㡤昶㘸挹㜶㜶㜴㜵ㄴ扡〷捦㐱㈴晦㘰晥扥㜰〱捦ㅦ挷搷㉤㠰㐵捦㍡搹戱摥敤㝣昹捤ㄲ晥摥愶㝦㘱㝢挷㈱敤搲㥡扡㉥晥捣戲昰搵愷て慢昱戳ㅥ㙥摢㠰扣攰〶㘸㘸㄰〹敢〲㤸㘸〸〴㌷㐴ㅡ愳㔶攳扢㄰改攱ㄳ㈷㑣㥣㍤㉦㤲㉥㐴ち㤹㐲㈲㤱㑦㘶愳㤹㐴㈲ㄵ㙦㡡㈵ち改㔸㌸㤳㉣㘴㤳搱戰敦㈲〷㥡㐸㠶㤲搱愶㐲㌴㥦㠸愶愲昱㜴㍥㕤㠸攷ぢ挹㑣㌲㤲㠹㈷攲㠹㑣㍣㌸㐰㥢户㉥㐶ㄹ敢ㄲ㠸攰㐶㐶㜵㈹㔵㉢愸㘲㤰㉥ㅢ㈱〰㠱搶つ㠲㙡㝤㘳㘷㘱〲扦搲愱戲㉡愷昲扤晢昴愹〸㤰愹㠸戹㜵㝥㠱搵攷㘳挸㙤摤〱愰戹㍣慡挶扢㔰改㈸戲㌰摡㠹㕢攸散捡ㄵ㄰晥攰愶㔰㔰攷扢ㄲ挹つ㈶㑥㤸㔷晡敡㈲摦㔵㔰昷㠳㕡㥥昹捥挶て㉦晢㝥て㑤㝦㘸㕣摦㌱〸㙥愶慤㔸㔷㈳搳ㅡ捡㍡㠶㐰愸㉤愰㤷戱扤づ㝡敥挸㘷㉢㘸㜹㍣愸戹攸〸扤㄰ㄹ㌵扥㍦〰㔲搵戵搴㙣挰攸㕥愵敥挱㐰㕣㜱㡦ㅢ㔱ㄸ敥㌱ㄸ㘹晣搵昸㙥㐲摡㜶㡦㙣㔳㔳㈴㥥㙡㑡㘵搳㠵㘸㌴㥥捤愵搳㑤攱㘴㌶ㄳて挵昳攱㐴㌸㤶昱摤散㐰㜳改㜸慥愹㈹㤱㡦㠵㐲改㘸㍡㥥捦㘴昰ㅥ㡥㑣㍥㤶㐹挵㤳昹㜸愴挹㜷㡢〳捤㌷㠵ㄲ戱㝣㉥ㅢ㉥攴搳搱㔸扥㈹㥤て㐷㈲愹㑣㍡ㄴ㑤㈷攲搱㝣㈶㌸㐴户挴扡ㄵ㘵慣摢㈸㙥㠷〸づ㌵晡㍢愸扡㤳㘲ㄵ昵摢ㄸ扤〳㤵㤲㡡搱扥㜴㉥㌵〹㥤攷挰㡢攳摤挷㜲昷㐳昸㠳摢敡㠲扥〷㤰昴ㄸ挰〷愱㉥ㅤ挰㍦㐲㔳㍥㠰㡣ㄸ挶㕦㡤昵㄰㌲攵扤㐶昲㠶㈳戵ㅤ慢愶晥㔱攸㥤〱ㅣつ慤っ攰ㄸ㌴挸っ愰挵〱攴㌴愰㤲搰㔶㡥搵昶㉣㐴㔳㑦〲㠷戱㙡㐴ㅡ㝦㌵扥愷㤰搶㘳㤵㑦攴㘲愹㜴㉣㤲㡥攰㠷敡ㄳ愱㑣㍥ㄵ㉦㈴㜳㤱㘸㈸㤵捣㘴㤳㈱摦搳づ戴㄰㡢㘷ぢ搹㜰㍣㤹捥㐴愳㌸敥㌳挹㕣㌶㤶㉥攴ぢ搹㐲㈶ㄱづ㐷㝤慢ㅤ㘸㉥㤱〳㌴㥢挹㠷㐳戹㘸㉡㠵㉦㠳攴昲挹㕣慥㄰㑤㠷㔲搱㘴㍣ㅡ摣㐱户挴㝡〶㘵慣㘷㈹㥥㠳〸㠶㡣扥㙣慣㥡㡣㥥愸㘲㈱ㄵ㠵㕥挶㙡㍢昷㔸晤㤵愰㤷㈱晣㐱㠶ㅣ攳て㍦攱㑦ㅤ㐷挶攲㘰〴攳㐶晦ㅡ㔵㈱㈲㜸晦㐵㈵愱ㄷ昶摦㠰摥㘱㝦っ戴挲晥㘰㑦昶户昲㘴㝦㐷ㄶ愲攱㝦挰ㄴ搸摦㐹㔷改㕢㡢戴捤㝥㉣㤱㙥㑡㌴愵搲㠵㜰㉥ㄳ㑤㘴昲挹㐸㉥㤱㐸挶攲愱㘸㉣㤱㠹㠵㔳扥户ㅤ㘸㌸ㅥ挹㐷攱昷戹㈶㐰戳愹㔸ち挷㐳㉥㥡换㘶搳攱㙣㍣ㅦ〹晢摥㜱愰戱㐴㍥ㅦ㙦㡡㐶㜰〸㈵愳愱㔸㈶㥤挸㠵ㄲ㠵㘴扥㈹㠳㈳㌲ㄶ㠹〷挷敡㤶㔸敦愲㡣昵ㅥ挵晢㄰挱㥤㡤扥㡣㝤㠶㌷攳て昷㡣㑢昰㙡〲㤴挲㝥搰捤晥扦〹晡〴挲ㅦ㥣㘸ち㤶戱㍦挹攸㍦㈳㌶㐱搳晣㤵㔹㈵㠱挹㑣㝤〹扤挳㍥〳㤳㠵㝤㥦㡢㝤摦搷㠰㔴㥦扣㝡㝢づ挹ㄴ㕡愲晤㙦㔱ㄸ㐳㌲ㄵ㘹㌹户㝤㠷戴㍤㈴昹㐲㈱㤲㑡挴㘳㑤挹㌸捥㘴戱㔸㍡ㄱ㑢愷㔲搹愶㌸づ㤴㜸㌶ㄴ昲㝤敦㐰㌳愱㜴㍥㤵㡢㘵㜳昹㘸㉣ㅡ㡥收搲㌱㡣㔱愴㈹㥡挶㑦㤴挷㘲㤹㘸㜰㜷㙤摥攲搷㙡㉤〵ㄱ㥣㘶㔴戵㔴昵愲㙡て愳㜲㔰㙡㈶㔴㐲散㔷㕦搹㔳㄰搲㜸㉤㈲㡢搴㐳昸㠳戳愰愰捥挷户㈶㝡㑣㐱㝥愸㑢愷愰扥搰㤴㑦㐱戳戵ㄵ慢ㅦ㌲攵㍤㘰昲㐶㌰㌵ㄷ㝡㌹〸〲搰㍢挳戰ㄷ戴㌲っㅦ愳㔱㘶ち昲㙤〰㐸昵㘱昸〸搰捡㜹㠹㈱捦㌲っ〳㔰ㄸ挳戰て搲㌲っㅢ㈱㙤て㐳扣㄰ぢ挷㈲㔸㍣攴昲昱㘸㈲ㅡ捤ㄴ㐲㈹㌹㔲ㄲ搱㐲〴晥敥摢搸㠱收戲㠹㐴㍣㤲㠸㘲愶㠹㐴搳㤱愶㘴㔳㔳㌲㥤〸ㄵ昲㤱㐴㍣ㄵ捤ㄶ㠲晢㙡昳搶㈶㈸㘳つ㠴〸晥搲愸〶㔱戵㈹㔵晢ㄹ㤵㠳㔲〷㐰㈵挳戰搶㍤っ㕢戲挸㔶㄰晥㈰愳愲昱㔷㌱扢ㅣ㘸昴㐳㠹摤㠵㠸㐹㄰㜵ㄹ攸换㤷ㄱ慥㉦攳戹㠲㜳昹攵慡愰㉢㘲㕡ㄶ㈴ㅢㄴ昴捦㠳捦㐰搸㕥㌷㔵㍦㠷㘰慦摥㜶昰攴㍡搷㘲搲㠵晤㝥挵㈵㔱㌹〷愵㑢㈹摤㌷昹〵晣ㅦㄷ㍡收慦晢ㅢ㐶㙣晤㙡愱㝦ㄷ㤷摤㘶挱㠶㉦晤㜰㠴㜱〵㥡挵㤸挹挱戰㉤ㄴ㘶㔳㌹㉦㙤ㅤ㐳〵搷㍦㉥㤱㔶〷ㄴ扦搱挶敦㉥㡥㙡㐵㠸收㝡㝣㔵㜴〴摡愲收㝢戵㐱戵ㄸ敤㜶挴愰ち愴昱㠳㜷㤰㜲昰晥挵㝤昰㡥〶愴晡挱晢㠲搷挱慢㕡㡤晤㐶ㄴ昶挱㌶㍦挱㌶㘸㌱㌱攲㉣ち㙤㐳慦㘰㍢㙢挵ㄶ散㌰㍢㡢捣捥挱㝡㈷搰㠹ㅤ㉥㉥㘹攰扦扡〵扢㘰㤹戵昸㐲㘸㡤挷昴搸〴㜵改昴ㄸ㠶愶㝣㝡散搶㔶慣〸㌲攵㘵㜸昲㕡㍣戵〴㝡昱㠸㌸昴摣㤱捦㔲㘸㠵攱㈷㕤っ㕢扣㝡㤳ㄵ摡攳㕥㘴〶㤷戱㄰〰搶ㄸ㤸挲㑣昸㙢愴㘵㈶摣ㄱ㘹㝢㈶㑣挵㜲㤱㙣㉥㤷㡢㈴㘲愹㘸㔳㔳㉣㥤㡤㘰㜵ㅣ㙦㑡愵昲昱㐴㍥㕢昰敤㔴㠴愶㥡㌲挹㙣㔳戸㈹ㄶ㉦㐴㔳改㐴ㅡ㑢㠰㜸㌶㤶ち挷戳ㄱ㉣昱㔲挱㐳戵㜹㙢㉣捡㔸㍢㐳〴て㌳慡攲挵搶攱㐶攵愰搴㜲愸㘴㈶扣て摤攰㥡ㄸ㘹捣㘹戴戲ぢ㠴㍦㜸ㄴㄴ愲攳㐵㡤挵㑢ㄸ㡢㔷㉤挱愳㡤㝥ち戱戳㔹㡡㑦ㅤ搴戱搰ぢ㠷搳愰㜷㌸㘴㄰㥣㜰㜸慢㥢㐳㘷㤵㝢戳㈷㠷㈷戰㄰つ捦㠴㈹㜰挸戰㌷晣搵昸㘶㈱慤㑦敡戱㔰㌲㥣㡤攱㕣ㄲ挶戵㐳㍡㤳挱㈹㍤㔵挰㔵ち㉦㍣㐲挹㡣㙦戶〳㑤㐷挳㘱慣戴戲愹〲㌸捣㈴搲愹㔰㈱㤶㑥㌶愵挱㜹㌶㡢㔵㤴㙦㡥〳㐵挱㔴㈱㠱㤷晥收挲㔸㤲愵戱㜰㑢愵㜱搵㠳戵㉥搶搴昱㐸㈶㜸㤲㙥㠹㌵ㄷ㘵慣㍤㈹昶㠲〸㥥㙣昴㘵敢慣㔳㡣㕥昰㠴㑡㈱㜵㉡昴挲晥㑡捤扥㕣㤱ㅣ挰晣㜹㄰晥攰㘹愶㘰搹㍡敢㜴愳捦ㄲ换摦敦㤴㔷ㅢ慡㌳愱ㄷ昶ぢ搰㜳〷㘹㠴敢㐱ち晢ㄷ戸搸昷㉤〰愴晡ㅣ㜱㥥攷㤰㌰扥㑥㠶攴㈰ㄴ挶㤰㥣㡢戴戸昵㐲愴敤㈱挹ㄵ㈲改㕣ㄲ户〷㜲昱㔸㌴㤲捡愵㜱㥦㈰ㄵ捤㠵㐳㤹㜸㌸㤴㑥㐶㝤慤づ戴〹㌷て㘲挹㕣愲㤰挹㠶攰搶搱㑣㌸㤲つ挷㜰挹㔷㠸㠳晤㐲㔳㤰㔱㝡㐲㐹ㅢ捡㔸㝣摤㜴昰㝣愳敡愰㙡ㄱ㔵ㄷㄸㄵ〱ㄶ愱敡㘲愸㠴搸摦㙡㘲㤱㐶㘴㉣昳ㄷ㐳昸㠳㤷㐰㈱扡㌲㘲㉦㌵晡㘵挴ㅥ挸㔲昳㐸攱㘵搰昳㈴敦㔷挷挲㈲㑦㐲㉣敤户づ愷㌵㥣㑣㝥㠷愴㄰㕦㜲㌲戹摣㔳扢ㄲ㕡㠹㍤㍦ㄲ㠵ㄵ愳敥㉡㑢晥摥㘸㡦㈲〶㔵㈱㕤愳慥㠱㤴㠱㍣〲つ㌰㉢㌵㡢㤳扤㑣㐵㠷㐱㕢戱㈸㔳搷ㅡ㔳挷〱攷捣敢搷㐱换㈹捣㍡ㅥ㕡捣敢搷戳〲㙣挱㍦㤸㥤ㅢ捣捥㡤㝡㈷㜰ㄳ㜶㝥㥡㜹晤㘶㔸㘶㉤ㄶ攷㜵㡢戳戸挵㠹㍢㜸㡢搱㥦㑣㔵㠱㠸㍣㠴扡つ㝡㈱敤户搰㜳㐷㍥㜷㐰㉢昴㜴扡改㜱㘶㤹㐵㕥昴〴ㄹ㐵㈷㉥㝤〶㑣挱愵㔷改㉡㝤㘷㈲㙤扢㜴㔳㈶㥣捤攲㉤攰昱㌰慥愵㌳戱㄰㉥搲㈲㠹㔴㌶㠴ぢ散㜰㌴ㄱ㑢晡捥㜲愰戸㠴挶ㅤ㌴摣ㄹ㐹㐶㜱攱㤷捡愶㌲挰ㄶ㔰㍥㤷捥㘰㥡㐹晢捥㜶愰㤱㔸㈶㤹㉦㐴愲ㄹ㕣㘶㐴戳攱㙣㌲ㅢ捥㈵㐲挹㐲㍥㤳捦挴昰〹摥愵㕢㘲㥤㠳㌲搶戹ㄴ攷㐱〴敦㌶晡戲㔹收ㅥ愳ㄷ㍣愱㔲㐸摤て扤ㅣっㄹ㄰攰摣昷㔸挱晣换㈰晣挱〷㑣挱戲㠳攱㐱愳扦㠲搸㌶戲摦㑡慥ㅦ㠲摥㍥ㄸ昶㠵挵攲挱㜰㌵慤攱㘰㜸ㄸ昹㌲㍡㈵〷挳㈳㥥㕡挶攷挹挱㜰㉤ち慢挷㍤㌱㑦ㅡ敤昵挴愰〵㐸搷愸愷㈱㘵戴攷戸㐷摢㌹ㄸ㘶㜹㡤戶㕡㙤㑣摤〴㔳捥挱昰っ戴㜲㌰摣っ㉤づ㠶㘷㔹〱戶攰㜳㘶攷㑦㘶攷捦㝡㈷昰㍣㜶㝥㥡㠳攱〵㔸㘶㉤攵〷挳㡢㐶㝦㍢㕡㈹慦㔳㤵ㄷ慢慡㤷愰ㄷ扡㔷㘹㝡攴㘰㜸ㄹ㕡愱㘷㔷㌷㍤ㅢ〰㈲㜳挵㉥㕥昴〴㕦㘱㈱㔶㝤㉦㠹〸〴㕦㐵㕡收昷晢㤰戶て〶摣㜵挸攷搲戸㐵㤷㠹攴愲搹愶㕣ち㤳㝤〲㘷摢㑣ㄳ敥㄰㠷㐲ㄱ摦晤づㄴ㤳㝥㌶㥢㙦㑡愶ㄲ搹㘸㌴㤴捥㘵㐲昹㘴㌸㤵ぢ㘵㜲㔹㑣昶昹㜸昰㙦摡扣昵〰捡㔸て㐲〴㕦㌳慡攲〵摣摦㡤捡㐱愹㌷愱ㄲ㤷摥ㄱ摤㜰㤶㉤㡦搱捡攳㄰晥攰㕢〰攰慦攲〲㙥㡤搱㍦㑤㉣㝦愲㔵㕥㄰慢搶㐲㉦ㅣ㍥ぢ扤昰㠷㉣挵挸㍢攱戰挹捤愱㌳愱散攰挹攱扢㉣㐴挳捦挳ㄴ㌸㘴慣ㅤ晥㙡㝣㉦㈰㙤㜳ㄸ〹愷挳㑤搹㜰㈲㤴㡤攰搰挷晤㥢ㅣ㔶㜲戱㘸㈲㡣攵㐹㌶摥㤴昱扤攸㐰攳㠹㌰㙦㈵挵ち戸㠵ㄴ㑤挵戲挹㜰㌲〹㔸㈱ぢ摡㌳㠹㕣挱昷ㄷ〷㡡㜳㈶㔶㠵攱㜴㉥ㄷ㡢㐴昳愱㘴㌲㥤㠴㔱捣㈵戸㤳ㄴ㡥㌷㠵㠳敦敢㤶㔸㉦愱㡣昵㔷㡡㤷㈱㠲ㅦㄸ㝤搹㠴昲㑦愳ㄷ㍣愱㔲㐸㝤〴扤戰㍦㐴戳㉦攷攸㌷㤹晦ㄶ㠴㍦昸㉦㔳戰㙣㐲昹搸攸摦㈶昶㈸㤲戴ㅣ㐲㝤〲扤戰晦ㅥ昴づ晢㥦㐲㉢散て㜴戳敦㉣扣㌷昶㘴㥦昱㝢挲晥㠷㌰〵昶㍦㐳㕡㍣昸㝦㤰戶搹㑦攱㥥㜵愴㤰㡦㌶愵㜳愰っ户㍢攳挹ㅣ㔶㈶挹㐲㌸㥦㡤㐶㐰改㐷づ㌴㤹㡥ㄵ㐲㔸搰㘴挳㔱慣㉦㤳昹っㅦ㙦㈴㘲搱㔸㈸㤶㠲㕢攷㠳㡣〲㤴摥晦ぢ㘵慣㡦㈱㠲㕦ㄸ搵扦愹晡㠴慡㉦㡤捡㐱愹㙦愰ㄲづ晢㙡づ㤱慥戱㍥㘳㤱捦㈱晣挱㙦愱㄰㕤搹挲晢㍢愳晦㥡搸ㄳ㔹敡〴㜲挸〹捣㥥㤴㙢㘱戱㌸㈹㝦㑦㙢㤸㤴ㄵ昲㠵攳㤲㐹戹搶㔳摢ぢ㕡㤹㤴昹捥㝢㔵攷㠹改㘳戴扤㠸㐱ぢ搸㔸㘵㐱㉢㘳昶捤㤷㕥㉢㤴慦愰慤㕣愱昸㡤愹㍥㌰攵㑣捡㝤愱挵ㅦ敥㡣㐱㠵㐹戹ㅦㄳ搸㠲つ㘶愷扦搹〹攸㥤㐰㄰㍢㍦捤愴捣挸㍤ㄹ㡥戲ㄵ捡㠶㐶摦て慤㤴㜷㈶换摢㤳搵㐶搰ぢ摤〱攸ㅤ㤷摥〴㕡愱攷㘳㌷㍤捥㠴昲㤱ㄷ㍤挱㠱㉣㠴㡥㕢〳㐸㐴㈰㌸㐸㔷改摢〸㘹摢愵戳昱㔰づ㜷敡㥢㐲搹㑣㈱ㅡ挶ㅣㄱ㉢ㄴ㥡愲愱㜸㔳ㅣ㜷捦㘲㑤㘱摦挶づ㌴㤴㐸㘲挵㤱㡤ㄷ㔲改㐸㌴㤹㠸㈷攱昵㠹㘴㍥㥣㐹㐴昲㐹㍥㤹搹挴㠱挶攲㜱捣搹愱㙣㈱㤲㡤㐷攳㠵㌴㈶敤㘸づ㑦㘹ㄲ戱㜰㍡㤱㐹攵㠲㥢敡㤶㔸〳㔱挶ㅡ㐴戱㈹㐴㤰㈱㠱㐲㔶搹㠴戲戹搱㍢㔰㈹愹戶㠲㕥づ㠶㌷㐱㠰戳㐲ㄹ㐲㝢㐳㈱晣挱慤㑤挱戲〹㘵戰搱晦㠲㔸晥㕣慥扣㌴㕡つ㠵㕥搸ㅦ〹扤挳㍥攳晢㠴晤㤷㕣散晢㐶〱㔲晤㍡攸㐵捦㈱ㄹ㑥㑢慣㙤㝢ㄴ挶㤰晣〲㘹㤹㘵ㅡ㤱戶㠷㈴㕡㐸挶㌰づ愱っ慥ㅢ㌱〹㐷㌲搹㕣㍣㠲攷㉡㜸㔰㥡㙢ち㠷㘳扥ㅤㅣ愸㕣㙡攲愲㌳㥤挵ㅢ〱㤳攱㐲㈶㤴ち攵㐳戸㈱㔰挰搵㙤㌲㥡づ㙥慢捤㕢㈱㤴戱㥡㈰㠲㈳㡣㉡㑣㔵㠴慡㤱㐶㐵㠰㐰搵㘸愸㠴搸愷㌴戱㌲㉡〹收㈷㈱晣挱敤〱㄰㕤搹㉣搳㘸昴㍢ㄱ换㕦攰㤵㜷㘳慢㄰昴㐲散㌸攸ㅤ㘲挳搰ち戱て扡㠸戵㥣戵挶晤㥥ㅣ㌲ㄴ㔰㌸㥣〸㔳攰㌰㡡戴㜰㌸〹㘹敤搶改㐸㈸ㅦ挵〵㝢㍣㠳㐷㈲戸㝦㥦挲摣㥤㑡㐵攲愱㘴㉡㤵㈸㈴㝣扢㌸搰㔸愴㠰㤵㜷愲㈹ㅥ㡡㈵愲改㔴〴て愲搳㜸愴㠵戳㈶㥥㕥愳㘸㌰愶捤㕢㤳㔱挶摡ㄵ㈲ㄸ㌷慡攲㕡㈳㘱㔴〴〸㔴㌱㔶㔰㌸扣捤捤攱ㅥ捣㥦づ攱て敥〸㠰㜰㔸收㥣㡣㈰ㄴ晤㙣㘲㔷㤲挳换㈱搴捥搰摢㌳昵㜵戰㔸㥣愹昷愲㌵捣搴攳㤰㉦ㅣ㤷捣搴捤㥥摡昱搰捡㑣扤てち慢㠹㥥㤸㕤㡣昶㤷挴愰〵㙣㤴摡ㄵ㕡ㄹ戳㉢摤㘳收㉣㥦㔷㝡㡤㤹摡捤㤸㍡〰愶昰㈷㥦攰ㄴ㘸昱㠷㑢㘵愸㌰㔳㑦㘵〲㕢㜰㜷戳㌳捤散散愱㜷〲搳戱昳搳捣搴㌳㘰㔹㘸㉦㥢愹㘷ㅡ㝤ㄶ慤㤴昷愳换㥢搲搵㙣攸㠵敥〲昴㡥㑢捦㠵㔶攸戹挰㑤㡦㌳㔳㥦攷㐵㑦㜰㑦ㄶ㐲挷慤㠳㐸㐴㈰戸㤷慥搲户㄰㘹摢愵㌳㠵㙣㔳ち㤷㜹昱㈸敥㔸㘵昳挹㑣ㄸ㉢ち㍣㤴㑡㐴㈲㔸摣攱〲戱搵㠱挶愳㜸昰㔴㐸攴昱㐴㌶㡤㙢挹㔰㉡ㅥ挲戲ㅢ㡢挰㈶慣愲ぢ搹㠸慦慤〸攵摡㈵ㄲ挶搶㤴㠹㈶昳戸㈹㠸㝢㠵㘱㍣㝦㑦㠵ㄳㄹ㑣㈸挱扤㜵㑢慣㜶㤴戱㍡㈸ㄶ㐱〴ㄹ㕤㈸㘴㤵捤搴晢ㅡ扤㐰愵㄰昱㡡㔱㠵㜲㌰㥣〴〲㥣㤹㝡㈹敤㉤㠳昰〷㝦㘵ち㤶ㅤっ〷ㄸ晤攱挴摥㐴㤲㙥㠴㔰〷㐲㙦ㅦっ换㘱戱㜸㌰ㅣ㐵㙢㌸ㄸ搲挸慦㍣ㄸ㌲㥥摡㉣戴㜲㌰ㅣ㠳挲〸〸昱㉡㌹摦㘸㡦㈳〶㉤㤰㠳愱〵㕡ㄹ敤㕦扢㐷摢㌹ㄸ㤶㝡㡤戶㍡挸㤸㍡〹愶昰㘷ㅦっぢ愱挵㕦㡤㜵㌲㔴㌸ㄸ㕡㤹挰ㄶ㙣㌳㍢敤㘶愷㐳敦〴ㄶ㘱攷愷㌹ㄸㄸ㉥攸㜵㌰㜴ㅡ晤愹㘸愵挵㥦㐱戶昸㘳换慡ㅢ㝡㝢㌸㍡㑡㠶攳㑣挰㌸ㅣ㡢㤱㕦㌹ㅣ㑢㍣戵㠷㐰㉢挳㜱㌶ち慢㘵㥥㤸㐳㡤昶㕣㘲搰〲ㄹ㡥挳愱㤵攱㘸昱ㅣ㡥昹㥥挳㜱㠴㌱㜵㈱㑣攱捦ㅥ㡥㈳愱挵ㅦ㑥㕦㔰㘱㌸㤶㌳㠱㉤㜸㤴搹㌹摡散ㅣ愳㜷〲っ攷晢㘹㠶攳㌸㔸昶ㅡ㡥攳㡤㝥〵㕡㘹昱㠷㤷㉤晥扣戳㍡ㄱ㝡愱晢㜲攸戹㈳㥦㤳愱ㄵ㝡㝥攵愶挷㤹㥢昶昳愲㈷㜸ちぢ搱昰㔵㈴㈲㄰晣㡤慥搲昷㝢愴敤戹㈹㤹挶昳㠷㘴㍡㥥攵ㄳ〹摣㔹㑦㘵ㄱ扡㠰敢昴㜴戴㠰〷㄰愹㠴敦㙡〷ㅡ换挶㌲搹㘸㔳㌸ㅦ㈹愴ㄱ㔲㤲㑤ㄶち愹㔰㤸昳㔳慥㈹㤶㡦愴㝣搷㌸搰㘴㌶㡢戵㑣㈶㤶㉣挴㜸ㅢ〰㜷戸㄰〵ㄱ挷扣ㄷ挱㜹ㅤ搱っ挱摦敡㤶㔸搷愲㡣㜵ㅤ挵昵㄰挱㔳㡤扥㙣㙥㍡捤攸〵㑦愸ㄴ㔲㘷㐲㉦㜳搳ㅥ㈰挰㤹㥢㙥㘳晥敤㄰晥㈰〳ぢ㠵晤戲戹改㙣愳扦㡢搸㠷㐹搲㐳㄰挱㜳愰ㄷ捡敥㠵扥㈱㔰㜷〱搲㍢㔶晦〹㈶㔷ㄴ搷㈸晣㔲〹㝥愸㌷㥦挳㑦㘴攲㌵㝢摤换㜶㘹敦敥㕣挶搵㑤㉦晣㐴愶晤挳㤲扤㙢挷晣㌸㕢㝣摥捡摦愷攱愷㙥㈲晡晡㝦戰㐳㝦㉡㍥㈴愵挵慤昱戱敥㐷㠷敢ㄸ戸攷昹㑢㈸㜶㕣摢ㅣ晣㌶㘸扥㜱攲㠴㐴攳㉥㑢戳昹搶㠹昸搵ㄹ〴戵愱㘰捤挶㙤㔳扡戰㡢搷ぢ捥敤ㄸ㉦扦㠵挲挰换つ㑣摣摢㈸昳搲昹攱㐵㡤昹愱㈱㔳㙣㐶愷㔳づ㉦㜱㐷㥣㈳㌲㐶昱ㄵ昵ㅢㄷ㔳慥ㅦ收摣扣愸挵敦㑢㠱昰㝣捥㔸散攲愵㙦㙤慦㡡昷昴挹攳昹㐹ㅤ㙤㜸敢㙡㈳㝦㠹㤳搶㍡㍢㕡愷攴㐸挰收ㅥ㍦㑢㍡愱愵㕢㝥搶㜷ぢ攴㉢㡢㐱㤳扥〷搱㕢摦搸㘱㔳㠶挵㐲㜵攳㌰㄰攵扦昸㔱戵㡥㔲摡㔹㈳㝤挳㙦㍤〴㠳敡ㄲ㤸㈶昷捡扡㠸㤵㍣㘲㔷戲て㉡㔱㍢愲ㄲ㔶㐴㉦昶㕢㡦ㄱ㝤㈹㌰㐶愵㔶攸〴慤〵㔶㈲㠱㡢㝦㤹〷昱㥦搹㍥ㅥ愷昷㥡敤晦敢昵晦挱收〰攳ㄸ愵挴慦搴㤰㌳挷搷扤㜹㘴昹㉦扣㐷㘴晢攷戸攰〶摣捥ㄸ愷慥㐶㠹攱戰㔳晥㍡敥㌸ㅡ昹㉡㕥ㅥ㔸昱㔲昲㤸捥㈸㝦㈹㜹昰㍡㔸㤲㠳㙤㌵㝡搵㄰㔰㌷㈲捤〳㑥㐵㔰㠲㕥㉥㡥昹㉣扢捣㌸㐰㥢愰㥢戰攷晢ㄳ㜴㝤挶づㅢ㍦㜵㔸㈴愵㜶〰㤲㜴搸㝣㍥㑦昸㙤づ㥣昱㠹扥ㄷ㌵㝣ㅡ攱愳㌴ㅣㄹ㈰昴㈵挲㙦㜷攰户㄰晥戲㠶敦㑥昸戶ㅡ㙥昳晦㉡攱㥣㥣㔸㈱㉤愸㍢㜵㠲昹㡡挱㠸愶㈹㠱晢㤰〰㝣晤〷〳㔸㙣ㅢ㌵〷敥㌷㈵慢つ㡡〰摦㍣慥㔹晥慦㌹挹晥扦昹戴㘶昵㄰㑡㝡つ捥㔰㌴搷㜳㜰㠶攸㡣昲㜷愵〷ㅦ㠵㈵ㄹ㥣㌷搱〷っ捥㤳㐸换攰㙣㡤ㄲ捥攰慣㈱ㅦ捦㈰换ㅥ㥣愷戰攷㕢ぢㅤ〷㘷昷㘱攱愸摡ㅣ㘸㌲㘲搳昷づ攱捦㍡昰愷〹㝦㑦挳愷ㄲ㍥㔰挳敤戱晣㠰昰攷ㅣ昸㙡挲㍦搴昰㘹㠴て搰㜰㘴㘰㉣㍦㐲㔶攰慦〴㈱挹㡦㙢慢㝥〸搸㈰戰捥㈸㐳㈹昹㠳㔹㝦つ㈵扤㔸敦㡦收㜹戲摥愰㌳捡㕦搰ㅥ㝣〳㤶㠴昵㑦搱ㄲ戰晥て愴㠵昵扥㈸攱戰晥ㄹ㌲搵扢挸戲㔹㘷㄰愲敦ぢ攸挸㍡㝣㍣慡晡㤴昰昲ㄵ攱敦㌹昰户〹晦㐶挳攱攳㔱搵㑢挳敤㐱晡㡥昰昷ㅤ㌸㠳ㄱ㝤㌵〸㘲搲〷㕣㔴㝤晦㠵㍤愶昶㈰搵㈲㉢挰㐰㐱ㄴ晢ㄱ慣㝦㘲㑡晥㘰搶㍦㐳㐹㉦搶扦㐲昳㍣㔹晦㔲㘷㤴扦ㄵ㍥昸㈵㉣〹敢昵攸ぢ㔸晦ㄶ㘹㘱晤㜳㤴㜰㔸昷㈳㔳㜱戲戴㔹晦㡥つ敦〷ㅤ㑥〷晢っ㡢挴搴晦㙡㕡㙣ㄶ晢ㄳ慤ㅣ㌴㈷ぢ㕦搰㐶㑦㈱晡㕦ㅡ㙤㤳戸㈱搱㡣㈳㌴挷㡡㘲㍣㈱ㄳ捣て昴㐱〲㝦敢㑦㙦愰摥㤴愸㐶慢晤敤㥣㤷挶つ㌰昳㝡㍦㤴ㄸ㡥㍡捡攷昵て㌴㙢ㄵ昳晡晢㍡愳晣愵昲挱〰㉣〹㥤㠳搰㉢搰㌹〰㘹愱昳㕤㤴㜰攸摣㡣㕤摥〴㔹㌶㥤ㅢ㘱捦户〵㜴㜴戳〹㘴攸ㅦ㥡㈱㥢捦慤〸ㅦ攸挰㌷㈶㝣㌰㜴㘰㝦ㄶ搱㙦㘸戴捤攷㔰愲㜹㡦挷攱㤳㠱㠱づ㥦㕢㈲㠱扦ㅦ挰㈷㠳〴愵㐴㌵㍥ㅦ晥捦㠸晤㑦㝢攸敤攲㜹㤲昱㠲挳㍤昸㝣㔵搳㔶挱攷㉢㍡愳晣㥤昴㡡攱㙢㕣㍥㔸㈳搸㉢散昰ㄳ㌴户㡡搴〸㤳敤㘸㤸扤ㅤ戴昰戹ㅡ㙢㍢ㄴ挲㔵㔰㈳搲昵㑣㡦㐲摡ㅡ㑤戱㍤㐵㈳挵づㄴ㈱㠸㠶㕡戵〳㠰㌲㕡捦愱㍤捥㘸㠵㤱愹㈲挸ㅡ㑥ㅢ慦㔲攴搰っ晢慤㥣㑦㔵敢搲㤳㍡愳晣挵扥挱㌸㉣㠹㡢㈴㔹㘹㐰㌱㘶㑡㉡㝤摣㕤改ㄸ㔶捡挸㈵摢㐵ㄸ㐸攵摢〹㍡㌹攲愲㈹昵㌰挰㘶㠰晤搶捥㐴㌳㄰捡㐶㌳㤶捡搷㙣愳愷っ〳晡〱㡤戶㍤㘴〲㜲〲㡣㝡挲摦て昰〳㠶㐸㐹㠹㙡㝥〰㙢搸㜶㙥扥敥㕡㙥㕦㡤㔳㡣㤶ㅡづ㔵昹㜱㜵户收愶挲て敥搲ㄹ攵㙦晦つ㑥㠳㈵㈱㙤㌷戴ㅤ愴捤㐴㕡㐸扢ㄳ㈵㥣㤱㥡㑡ㅡ收㈲换愶㘱ㄶ昶㝣搳愰搳㈷㠷㤰扡㔵昳㐰敦昰㕢搳〹摦搳㠱捦㈶㝣愶㠶㘳㜹ㄵ㔲㌷㙡戸㑤摢㙣挲昷㜲攰㜳〸㥦慢攱㌸㤷㠴搴㜵ㅡ㙥ㅦ戵㝢㈱㉢挰攸愶ㅦ㜷㜲㤸㘷㑡昶挸昶㠴㤵捤攸㑡㑤捤搵㔷㌵换换慢ㅢ慥㙤㔶㡣㤲ㅡづ㕤㌹敢㔷愱㜹㥥㈷㠷㉢㜵㐶昹摢㠶㠳㡣慢ㄲ搶昷㐷㕦挰晡㐱㐸ぢ敢㉢㔱挲㘱晤〰昲挲㐰㈴㥢㜵〶㐷昹づ㠴慥㡥搳㔳㑡慤搰慣搸㈴㘶〸㘶攸㤲つ㙥㈵㌸〷ㅤ晣ㅡ㔳㕦㑡㕤愴搱㌶㠷〵愲㍢㠰㌱慥慥ㄶ改〴慤〵扡㤱挰摦て昰攱挵愶㐴㡦慣搶㈴㥡昷㤴敤㉦攳ㄴ㐳愳㠶㝢戰㜹慥㈶慤挲㠷捦搱ㄹㄵ敦㉡㘶昴ㄴ愷㉦慢㤵扤挲㡥㝣㡥㌴摡㤲㈹散㈸㘸㘵ち㙢〷ㄶ㔳ㄸ愳㤹㘴ち敢㐰摡㕡㐴㜱㌰㐵㈷㐵ㄷ〵㝦㍤ㄱ㔳ㄸ〳㥣㘴㠸㑥㐱㌳㥣㈱㕡㠲㑣㜵㌲戲㠶㍢㍤㈹㑥㘱挷㔷敢挹㜱㍡愳晣挵挲㐱挶㈱㠹㕦ㅣ挶㑡〳敡っ㔳改㌱敥㑡㡦㘰愵攷㈰换ㅥ㙡㐶ㄸ昹㤶㐳㘷ㅦ㡤㤸㤵㡥〴㥡〳㙢ㅦ㡤㐷ㄳ㝥慥〳㍦㡢昰㘳㌵㝣㉡㈷戱㐳㌵摣㜶愴攳〹㘷搸㡦㙤晤㙣挲㑦搴昰摤〹㍦㐴挳㙤㑦㍡ㄹ㔹㠱ㄵ〴㠱〱㝥㕣摢㝡㉣㤰㉦㌳㈵㝢昴ㅢ慦换ㄲ㐶ㄳつ㐷㘵攵㐷㘳㈷㥡攷㜹㌴ㅥ慣㌳㉡㕥㘴捣㠰㈳昱㥦搳搹㜵㤸㤴㡦㐴ㄲ搱㝥㠹晦㕣て慣昸捦㤹挰挲㝦㙥㐲㕡晣攷㉣愴慤戳㈹捥愱㌸㤷攲㍣㡡昳㈱攰㍦㌷〳㈸晥㌳ㅦ捤㜰晣攷㐲㘴慡摢㤱㌵摣改㐹搱㝦㌲搵㝡㤲搶ㄹ攵㙦ㅤづ慥㠲㈵昱㥦换㔸㘹㐰㌱晥㐶㉡㥤攷慥昴㜲㔶晡〰戲散ㄱ㘶㔰㡥敦ち攸昴㉡㈹愴昶〳摡㑣っ㝥敢㉡挲ㅦ㜴攰っ捣昱㕤つ㥤扤㑡ち愹扤㌵摡㜶㥦㙢㤱ㄳ㘰〸つ晥搶摦ㅦ〲㡦㥢ㄲ搵晣挰扥㘷昰昰㌸㔹㕡昲㥥〱㐳㙦㠶㍢慣ㄵ摦㙦㌶㕢㤳㔳㌱㝦捣搲ㄹ攵敦㈶づ㌲㔸㐷㔸扢〹㙤〷㙢㡣戸ㄱ搶㘶愰㠴㌳㔴户㤰㠶㤷㤰㘵戳昶〲昶㝣户㐱愷㡦扡愸摡㕤昳㘰ㅦ㜵㜷㄰捥攰ㄸㅢ晥㈲攱慢㌴ㅣ㐷㕤㔴敤慡攱㌶㙤㜷ㄳ捥搸ㄸㅢ晥ㄷ挲敦搵㜰ㅣ㜵㔱㌵㔱挳敤愳敥㝥㘴〵摥㈴攸㠷戰っ㉣㌶㕣㤶扥㘵㑡㔶㘳㕢㠰㕥㐷ㅤ㐳㙥㠶㈳户晣愸摢ㄹ捤昳㍣敡挶敡㡣昲㜷㈱〷ㄹ愴㈳慣㍦㠲扥㠰昵て㤱ㄶ搶㜷㐴〹㠷昵挷挸ぢ攳㕤㙣㕥ㄸ㝥攳㝢〲扡扡戱挳㝥㌹㉣愶ㄲ㈵慣㍣㐵昰挷づ㤸〱㌸扥搵㌶㜸て㠰㈳ㅡ㙣㌳晥㉣挱晦〶挴㜸扡㘲㤰つㄳ捣て㝣㠶〴晥㝥㠰ぢ㌳攰㐶㑡昴㐸㙡捤戰攲㌲㡥戱㌷挳㍤挸㙣搴㥣㔵戸昰昶㍡愳攲㐵捡摦挳㤲㑣㘱㉦戲㔷㌰㈹ㅦ㠹扢愱晤㤲㈹㡣㤱㌶㌲㠵扤〴㉣愶㌰㠶换挸ㄴ昶㔷愴慤㤷㈹㕥愱㜸㤵攲㙦ㄴ慦㐱㘰ち㘳〴㡤㡣搰㌶㘸㠶㌳㐲慦㈳㔳昵㐳㔶戱㈷挵㈹㙣慢㙡㍤搹㔲㘷㤴扦昵㌸挸㐰ㄷ㜱㡢戵慣ㄴㄷ㝡愶搲捤摤㤵扥挳㑡ㄹ㉥㘲扢挵㐶搸昳扤〷ㅤて㐶ㅣ㕤㌱㌵㄰㘸㌳㤶㝥敢〳挲〷㌹㜰㠶戱昸㍥搴昰㘹㠴て搰㜰晢搸晤㠸㜰㠶愰搸搶㌷㈱晣㘳つ挷挱ㄸ㔳〱つ户て挶㑦㤰ㄵ㘰㤸〹晥搶摦㕦㠰挵㠶㠳㤱戱㈹㔲戲㐷扦㤹㜰㙢戳ㄴ戸晡づ扤㈰扤扢㔹晤〲挵㡡慣ㄷ愷㐰㍦㥡攷㜹㌰㕡㍡愳晣㉤换㐱〶戸〸敢㕦愰㉦㘰㥤〱㈹㌲搴㝤㔰挲ㄹ敡慦挸ぢ㠳㐷㙣㕥ㅡ戱攷晢〶㍡㌹ㄳ㠴㐳慡㤷愶挵㍥挰扥㈳㥡㐱㈴㌶㥡㠱㉡㍥㍡㥡㝤㥡〱晣晢捦敤㌱戲㔹慣㐵㤶㘲ㄸち㠷㡤㉡挵㜰ㄴ㌳㠶〱㐶㥢挰挹搷㥦摦㐰搲㤴愸挶慢晤㙢晡㜷ㄵ㑦㈹㡣㔲昱攲昳㉢㌴搴㤳捦㉦㜵㐶昹㕢㥡㠳㡣㙢ㄱ㍥敢搱㉢昰挹攰ㄴ攱昳㜳㤴㜰昸昴戳换㤳㤱㘵㌳挴㠸ㄵ㕦㍦攸㙣㍥愳敡㝦㌵㐱㌶㥦晤㠹㘶㐰㠹㡤㘶搰㡡㉦〸㥤收㌳慡晥愵攱㌶㥦ㅢ㈲㉢挰昸㤲ㅦ挶摡㜴㔳愲ㅡ㙢攲㠵㌵晢敡㔹捣摦慣ㄸ㤷攲挵摡〷㥡㥣㡡㔹散㝤㥤㔱昱㉥攷扤㘰㐹㘶戱㐱散㉡㕤㠰㥦㝤㡣戶㘴ㄶ㘳ㄴ㡡捣㘲㥢〱㡢㔹㡣愱㈴搸挳㙦挸㐱㕡㕢㔰㙣㐹戱ㄵ挵搶ㄴ㠳㈱㌰㡢㌱扡㐴㠶攲つ㌴挳ㄹ㡡愱挸㔴っ改㈸昶愴㌸㡢扤㕡慤㈷慦攸㡣昲ㄷ㉦〷ぢ戰㈴攳㍦㠲㤵攲〲捦㔴晡㔷㜷愵摢戱搲㜶㘴搹㈳捡昰づ摦㘸攸㌸愲扢昳㐱捤ぢ㐰㥢挳挱㙦㌵ㄲ捥㐸ちㅢ摥㑡㜸㐸挳愷ㄱ晥㥣㠶摢戳㔸㤸㜰㠶㕢搸㜰㠶㜹昸愲ㅡ㍥㤵昰愷㌵摣㜶慦㌸戲〲㑢〹〲㡢晣戸戶昵㔸挸㌳㙥㐳㑡昶攸㌷ㄷ晥愹㔹捣㥥昸㠲晤晦㤲㤷㥡ㄵ㐳㌹㡡慣ㄷ㘷戱挷搰㍣捦愳敥㔱㥤㔱昱愲㘷㐶㝢㠸晦散挴慥愳㈲昹㐸ㄸ〷ㄲ愵㘷㐱〶㙥㠸晦散っ㉣晣㠷搱ㄷ搸挳换扡㈰慤㘶㡡昱ㄴㄳ㈸㈶㔲㑣㠲㠰晦㥣っ愰昸捦㍤㘸㠶攳㍦㤳㤱愹㑥㐵㔶戱㈷㐵晦戹愳㕡㑦㙥搷ㄹㄵ㙦㘵㘶愰㠴昴㘴ㅡ敤㥡㥥㥣㙤戴㈵㐷挲戹搰㑡㑦愶戳㠱扤㠲っ㕣挰㕥㡤㌵〳搲㥡㐹㌱㡢㘲㌶挵ㅣ㡡戹㄰攸〹㘳ㄹ愴㈷搷戹㝢戲ㄷ㌲ㄵ〳〸扣㝡㜲㔵戵㥥㕣愹㌳捡㕦愱ㅣ㘴挸㠱ㅣ〹晢戳搲㠰扡捡㔴扡搲㕤改〱慣㤴て攲㙤㕦㘵㌰㠱敦㐰攸㜸㈴攰改㐳㑣慤〰㥡㐷㠲敤摡ㄹ挲昹㠸摦㠶㌳愰挰㤷搳㜰摣㘰㡡愹㡢㌴摣㜶敤〲攱搷㍢㜰〶ㄵ昸ㄶ㘸㌸㙥㌰挵搴㜹ㅡ㙥捦㥣〷㈱㉢㜰ㅢ㐱㘰㤱ㅦ搷戶ㅥ㐷〲愳〴愴㘴㡦㐷㠲搷つ㈶〶づㄴ㔹㉦ㅥ〹㘷愲㜹㥥㐷挲ㄹ㍡愳攲㤵捤っ㌵㔸搷㉢㥢昹㉢㐱昹㉥㜹挷㔶〰㍤慣㉢昰昱㝡摦㠲慤㘶㜴㠰扣㕤愹㔵㝥ㄴ愸ㅦ摥戰摡戹㌰摦㌹つ㉦ㄲ挶㝢㔵攷戴戴改㕦愵挱ぢ㠶昹挶〹昳づ㑦㑢㔲㉣散㉢捣攸挴㑢㍤晢ㄴ愶㜴攱晤㐱戹晡戶㤹改敥敥㝣㘷晢捦攱㉢改㠸㜲敦㑤捦㐰ㅣ㠵扣挴搹昳ㄷ㤲㥥㐰戶攷㤳㜸㘱慣戱挸㠷㜹㠷㑣㉤㕦捣晡攳扥㤰敥㕢〴㤷㌳扦㍦㥡㜳扤㙡戸户㍡つ㐳㙣挷扡㉦慦昹㕥摡㡣㠷晣㔶㈷昰扥㉥㠸㕥攳扢摡㘴㠲㠰昰㕢摤搰挸㉦㘵㠹愸愹㘳〰㐶㜹攷昸㥢㔵㤳搹晢扡㐳㕡㜲摤ぢ㝣ぢ昲㉤昳ㄷ攰㜷挹晢昶㝤挲㌶㉦戲㌷㘳〸㝡㡡㕦攰愱搲愷㙤㕥扡戳㌳扤慣扥㙤㕥㙢扥㝤㝥昷㠲晡㜹㑢㄰慥㠱㔷㈴㘳改㔷㕦㕦㙦㉤㐱㝢㔸ㄵ㍦敡㌱㔸愴㔵敢㄰户㜶㌵㌴昴㔶摦㔲㘸摤㙦㄰㉤愵攱〴㑦ㅡ㝥㡤㌲扥㐳㈱㑡㘹㌸っㅡㄷつ敡㔹搸㈷ㄵ㘶㔳㝣愰㉦㑤㌹〲㐸愷㠱㉦ㄹ敤㤱㙥㉤ㅦ捦ぢ㜶戹㕢晢㈶戴㙣戶挵㘶昷㔶㐷㜸㌶敦ㄸ攴㔹㙣㕥㜱㠴㡥愳㡡扦㘵㘶㡦㤰㕡〳ㅢ㈵㑤㝢挷㔴㜷〲㤰㑥搳昸搴㕡ㅡ㜱愲㕢晢㤱搱㥥攴搶昲㌱慦慢㘹㡢㍤㥢昶ㅢ戶愳戴㘹愷㔲攵㙡摡㘷戰㔳搲㌴㍥昳㤵㐶㥣敥慥敥㍢愳㍤挳慤慤㠵〷〸昶㑣户戶ㅥ㕡ㄹ散戳愰昵昶昷㔶捦收㥥〳扣敦㕣㠸搲㠱㍥てㅡ㜷㤳晤戰㕦搲攴晥愶ㄹㄷ〰改戰戹愱搱㕥攸搶づ㌲㡤扢〸㕡敦挶攵㍣ㅢ㜷〹昰扥㑢㈱㑡ㅢ户〲ㅡ㜷攳㌶㉢㙦摣㔶愶ㄹ扦〳搲㘹摣㔰愳扤摣愵つ㡥㠰㔶㑥昲㉢愱㙤攸愵戶㐳㕡㤸扣〲改〰㈲㥡昲㔹扣㄰㙡昰ㄲ〶㌹㜵搵慡晤㑣㐳晦ㄹ摥戴㌸㙢㕣〵慣敦昷㄰扤昰㙡㌰晥っ㍤ㅤ搳㙦㕤つ㡤扢愱㝣㥡㈷敢㠲扤㘰㠵㉢ㅣ㌹㉤慡搱㐶扤愷㔶㙦㠰昲昸㜱㜱愳㥥慢搵㥢㠸扡搱愸攷㘸昵㐰㔱昳愹愰搸㥥慤搵㈳㐴ㅤ㌲敡㔹㕡㍤㔲搴㘱愸㌹㥥搷㡣㝢扦昹㠸收㤳昱㐳㔶㔰㐸户㙦㐲㥢扤挷㘸〶㉣㔴㑥㤸户戰㡦㥣㌰㡢㠷攲㙤㔴戹晣㝤㡣慥っㄸ搹搴捥㔰㠸て摦〱愴㌳㍥ㄳ㡣昶㑥户㜶㌷摤㌰㍤ㅦ散敡搹㠸扢㔹㘳改㐱㜷㙦㔹㈳愶㤶㌷㘲扡愹敥㝥㜷㜵戳㡤昶〱户㜶㉦愳㝤搰慤摤ㅦ㕡攱散㡦搰㝡㜳戶戳㘷㜳ㅦ〶摥昷〸㐴愹㕦㍦ち㡤㥢户〳㘰扦攴愰换㤸㘶㍣づ愴挳㕢挱㘸㥦㜰㘹㠳㝣㘴㈳㝥晤㈴戴昰㙢㥥㌹搸㔸㡢㝥㕤慢㘲愶㘱㈵㝥扣ㅡ㜹ㄶ晤戸攸挳捦㔲攵ㅡ㑣㍥捥ㄱ㍦ぢ挱㐲搱㠷ㄷㄹ昵づ㕡㙤晢㌰ㅦ昹〸扡㔱慢㙤ㅦ敥㌴敡敤戵摡昶㘱㍥ㄶㄲ昴㘸慤ㅥ〱㝦昱㉢㍥㈸ㄲ昵㈸慤戶㝤㜸〹搴㈵㍥㝣ㄸㄴ搲㐵晢搴㌱ㄲ攸㑡㝦㝤㤹晤㈹㜵㤵㔷换扡㜸㠴㌶慣摤戵㐶ㅤつ㠵昸敢㙢㐰㍡扣ㅦ㙦戴㝦㜷㙢㑦㌶摡搷㕤摡攰改搰捡㘸扣〱㉤㐶攳㑣愴㕤愳戱戵㘹㙡挹㘸慣〱戶㙣㌴搶㔲攵ㅡつ㍥ㅣㄱ㙡㌶搳搴搸㌳ちㅦ㤷㠸㝡㔳慤戶㐷㠳て㔰㐴㍤㐸慢敤搱㌸搷愸〷㙡戵㍤ㅡ㝣挸㈲攸㑤戴㝡㠴㡣挶昹㐶扤戱㔶摢愳㜱㈱搴㈵愳挱㈷㈵搲㐵捥晡扤搵〰愰㉢㐷攳㈳昶㠷㌳㝣㜱昶昸㤸㉡㔷ㄷ㉦搷㠶㥤搱戸ちちㄹ㡤㑦㠰㜴㐶攳㕡愳晤㕦户昶㈶搳〸摢㈵晡㝡㌶攲㌳搶㔸敡ㄲ㕦㤴㌵攲㤶昲㐶摣㘱慡晢捡㕤摤摤㐶晢戵㕢㝢扦搱㝥攳搶昲敥㍣昹昱㝤ぢ慤昷散㔱敢搹摣敦㠱昷搵㔸攵戳㠷㠲挶捤摢㘳戰㕦㌲㝢㍣㘵㥡搱ぢ㐸㠷户㘷㡤戶户㑢ㅢ攴摤㙥昱搷㍡㘸攱慦㉦㈱敤昲搷㉦㍦搳㠳㔹攲慦昵㙣㐱改散攱愷捡㌵㤸扣ㄳ㉥㍥昵㈹㉣ㄴ㘷㡦㤷㡤晡㝦戵摡昶㔷摥㉤ㄷ昴㈷㕡㙤晢敢慢㐶晤㙦慤戶晤㤵㜷搴〵晤戱㔶㡦㄰㝦攵㍤㜶㔱晦㑢慢㐷㡡晡㜵愸㑢晣㤵户挵愵㡢戶慢晣て搰㤵晥扡ㄱ晢㔳敡㉡㥢㤴㜵昱ㅤ㙤搸昱搷て愰㄰㝦ㅤ〴愴挳晢㐷㐶扢愹㕢晢㠹搱㙥收搶㝥〱慤戸捡收搰㝡扢捡㕡捦收㙥〹扣㙦㉢㠸搲ㄳ捤搶搰戸㐷攵㉢搸㉦㜱㤵敦㑣㌳㠶〰改㌴戹ㄶ㡥㈷ㅤㄹ敡搶搶㐳㉢扣搹挷昹㙢㥥つㄹ捥ㅡ㑢㡦昳㙤换ㅡ挱㝢戶㈵㡤攸㙦慡ㅢ改慥㙥㐳愳摤捥愵つづ㠲㔶晣㜵ㄴ戴昰搷捤㤰㜶昹敢ぢ愶㔱㈵晥摡挸ㄶ㤴晡㙢㠸㉡㤷扦㙥づ㍢攲㍣捦挲㐲搱㕦户㌰敡㘷戴摡昶㔷摥ㄷㄵ昴㙡慤戶晤㜵㉢愳㝥㕡慢㙤㝦摤摡愸㥦搲敡ㄱ攲㤸㠳㡤晡㐹慤ㅥ㈹敡愱㔰㤷昸敢〸㈸㕣晥晡㌸搰㤵晥㍡㠶晤㈹昵搷㥤捡扡挸㝢愵㈵扣㌷㐲㈱挳扣㌳㤰捥攰㠷㡤㜶㥣㕢ㅢ㌷摡㘶㤷㌶戸ㄳ戴㌲ㅡ攳愱挵㘸散㡣戴㙢㌴敥㌳㑤㉤ㄹ㡤㐹挰㤶㡤挶㘴慡㕣愳㌱づ㜶㠴摦㔵㥡ㅡ晢㙣搷㙣搴㜷㙡戵㍤ㅡ扣换㈸攸㍢戴摡ㅥ㡤〹㐶㝤扢㔶摢愳挱㍢㤱㠲扥㑤慢㐷〸敤㤳㡣晡㔶慤ㅥ㈹㙡摥㤵㜴㡦㐶㤰户ㄳ愵换搳敤㉥㑦㐷摡搵攵㥢㔰㕡㐶愷愴换戳㉡扢㍣愷慣换扣搵㈸捤扡㑥搷㙦㜷㜹愶㔱㕦慢搵㜶㤷㜹㍢㔲搰搷㘸戵摤攵搹㐶㝤戵㔶摢㕤㥥㘳搴扦搷敡ㄱ搲㌷摥挴ㄴ㈳㔷㘹戵摤攵扤愰㜶㜷㔹敤て㠵换〱慦〰扡搲〱㝦挵晥㤴㍡攰扣戲㉥ㅥ愰つ愳㜲搹㔴〶ち㜱挰㌴㤰㡥〳昲㕥愳㘸㌳㙥㉤㙦㈹㡡㌶敢搲搶㜵㐲扢摥户㤸㜸ㄷ昸㐷晥ㅣ㘰づ㤵㉡摥ㅢ㤲㕢捡㜹㔷ㄳ〲㑢戴戶㥥〳ㄶ攰㥤ㄹ㘲㈴愵㝥㡤ㄴ㥢㘸ㄵ㔸晥㌰㥤㘷捤㜷㤷㍦挲㕤㈲㜰㘴㐹㡡㌷㑣㡡搶㜸㌳㐴慣㉤愰㌵摥〷㤱搶戴戸慤㥤攰㉥ㄱ㌸戱㈴挵㝢ㅣ㐵㙢扣㝦㈱搶づ愲戵㔳㜵㥥戵搰㙤㡤户㈹㥣ㄲ〱摥㥥㈸愶捥㜴愷ㄴ㙦㉦㠸戵㔶㕡攳㕤〵㘹㕢㥢摢ㅡ敦㈰ㄴ换㕦攸㑥㈹摥〱㤰昲敤㉣扦挲㤴敦㜰㤷攷㐵㝥戱晣攵敥㤴攲㐵扤昸昲改摡㤷昹攵ㅡ敢㘰ㅡ攳㌵扢㤸敥㘴敡㙡㕤捣敡㐲ち晢昲㔱户ㄸ㑣㌷㌱扣慥㤵收㉦㐶捡昸㘵攰づ慤戵〷㥡搷慥㑥㘳搴摤愶晣ㄲ㤶扦搷㤴㍦挴㕤晥㝥㜷㠹挰〳㈵愹〷摤㈹挵换㐶㘹昱㔲㕡攳搵愲戴㘶㤹摢摡攳敥ㄲ㠱㈷摣㈹挵㉢㐱㈱攳㜸㌷ㄹ㠷搲ㄸ㉦晣挴昴㘱㑣㍤慢㡢㔹㠷㈳㠵㝤㥢㡣㤷つ收〸㘲㕥㌵㤸㈳㤱㜲挸㜸㑤㙢㙤㌲㜸㘱攴㤰ㄱ㜸摤㥤㔲㙦㈰㈵㡤㔹敥㙥捣㔱㌴扤〶㔹搲㤸愳㤹攲㈵㡦昴昳ㄸ愴戰㙦㌷收㈳㠳㌹㤶ㄸ㕥㌳〸收㌸愴㥣挶㝣愲戵㜶㘳㜸㕤攰㌴㐶㝤㘶捡ㅦ捦昲㕣敥㑢昹ㄳ摣攵扦㜲㤷〸㝣㕤㤲晡挶㥤㔲摦㈳㈵㉤㍥㤱搶ㄴ〵晤散㈴户㌵慥扡㥤晡〳㕣㙤㍢㈹挵㔵戶㤰戱挴㑤挶㈹挴㜰㔱㉤愶㝦挳ㄴ搷搳㘲晡户搸㐱愵㌶ㄹ㕣㤵ち收㔴㘶㜳㐱㉡㤸搳戰攳㤰挱挵愷㔳㘱㠰㡢捥㘲㡡㡢㑤㈷愵戸㘸ㄴ㙢愷㔳捤戵愲㔸㍢〳㍢㡥戵㈱㕡㙢㔳换昵㘰戱㍣搷㝡㔲晥㑣慡戹捣㤳昲㘷㘱挷㈹捦㈵㥤㔳㈲挰愵㥣㤳㔲㕣挲〹ㄹ慤㙥㌲捥㈱㠶㉢㌶㌱㝤㉥㔳㕣慣㠹改昳戰攳㤰挱㈵㡦㘰捥㘷㌶㔷㍢㠲戹〰㍢㑥昵㕣搹㌸ㄵ〶戸愲㈹愶戸㤲㜱㔲㙡㍣㔲搲㤸㠲扢㌱ㄷㄱ挳〵㡢㔴㜴㌱㔳㕣慢㐸㐵㤷㘰挷㘹っ㔷〳㔲㍣攳㉥扥㠲㔸㥥晣愵昸㘵㑣昱扣㉦挵㝦㠷ㅤ愷㌸捦㥥㠲戹㥣搹昳っ㘶㈵㜶㥣扥愴戵搶ㅥち㥥ㅣ㥤搶〷㜸㔲㜴㔲㑡捥㔶昴换㉢愰㌶㕢㤰㘷㉤㜹㡥㜸㈵㜶慣慢㈰ㅡ晡㉢㌹㌱ㄱ晡㝢㌷㤴㈷㈸㠱㕥㑤攸㌵㌶㔴捥㍡ㄵ㔰㥥㝤〴㝡ㅤ愱搷摢㔰㌹愵㔴㐰㜹㙡ㄱ攸つ㠴摥㘸㐳攵㝣㐱攸㑤㐸㥢㉤挸昳㠶㐰㙦㈶昴ㄶㅢ摡㡥晦㠴扡㤲戶昲ㄴ㈱搰摢〸扤㕤愰〱㑥晣㝢挳㕡敤㔲㤵㍤㌰㜷攰㠱㕦〴㝡て摥慣昷㍥捤晤㉥㜸昳愹㌵㘷扥戸晦搸㜷扦戹昸攲ㄷ搷㥥戹晡㥢㝢㌳㘳ㅦ扦晣昲㐷愶慥㔸扤㘶挳挲㘵戵㜷㝣㌱敤戲挳㥡ㄶㅥ㜶㜰㘱捦敤㜶㍤㙣摦㠳㘶㌵捤摣㘰㔴慦㕥㝤晡㙣㍢攰㠹㐱㈳㠲换て㕥愵晥昸捡挰㜶㈵攷ㄲ㔴㘰摤㠱㥡戸㡤挱㈷㘸捥㈹搶㥤㙣换㉡㡡扢㈸敥愶戸㠷攲㕥㡡晢㈸敥㠷㔰㜲扡㐱挹搲㤱攲㘹㐷扡昴㈰㠱㝦㠴挰㐸挹㤹㠵搰㤲摥昳っ㈳搰㠷〹㝤挴㠶捡㘹㠳搰㐷㤱㌶㕢㤰愷て㠱㍥㐶攸攳〲つ昰愴昰㤳ㄲ㈵攷ㄹ戶攵〹搴挴㉤㠴㑦昰㜰㈴攸晣搶㤳搸戱㥥愲㜸㥡㘲㌵挵㌳ㄴ捦㔲㍣㐷昱㈷〸㈵愷㈲ㄶ㈸改晤㤱挸㤲㉥㍤㑦攰ぢ㄰つ晤〳㐷攱扦㥦戴㑢㜲戶㘲㕢㕥㐴㑤摣攲昸〴㡦㐱㐲扡昴ㄷ散㔸㉦㔱晣㤵攲㘵㡡㔷㈸㕥愵昸ㅢ挵㙢㄰敡㔸ち㤴㉣敤搲㜱搰㑡㤷㕥㈷昰つ〸㡣晤昱㥥搰ㄳっ昴㉤㐲搷搸搰ㄳつ昴ㅦ搸㌱㕢昰㈴㈴挴敡㕡散㔸㙦㐳㠰愸㔳昰摦㑦㑡㤴㥣挹搸挳㜷㔰ㄳ㌷㌹㐸捣ㄹ捤㝡㤷㙤㜹㡦攲㝤㡡て㈸晥㐹昱㈱挵晦㔰㝣〴愱㑥愵㐰改㔲愲㜸搲㤳㉥㝤㑣攰扦㈱㐰搴改〶㕡㌲昳㥤㘱愰晦㑢攸愷㌶㔴㑥㕡ㄵ㔶捦㌲搰捦〸晤㕣愰〱㥥㤲㝥㔲愲捥㐵〵搲挳㉦戰挳㙤㍢㝣㠲攷㈱㈱ㅥ昵㈵㜶慣慦㈸扥愶昸㠶攲㕢㡡敦㈸扥愷攰敦㘴愸昳戱㔷㐹搴〵搰ち㔱戵挰㔸扤㈰㌰昶ㄷ㐱昹㤳㜶改㘲搳㤶摥愸㤰㕢ㄲ㥦攰㈵搰㑡㤷敡搸ㄶㅦ㐵ㅦ㡡㝡ち㡢〲㍦㙥㔲㘳昵愵攸〷ㄱ㔸昱㔳户㔳㑥捡㘸㥡搵㠰敡戸つ挳㈷昸㍢搳捥晥㙣㐹㠰㈲㐸戱〱挵㠶ㄴ〳㈸㌶愲搸ㄸ㐲挹㜹ㅢ㈵㑢㝤㜴㈵捣〸昵〳〹ㅣ〴搱搰㍦㘸㕣㔳昱㍣㉣㙢㠶㜷晦㘳摦㜳ㄲ攸㘶㌴㜷㤵挹㝡㕢㘷㑤㠰敤㝡扣㍣捡㑣㝦敡㙡㠳㔸敢㉥扣㈵ぢ㕦㘳戲搶㤴ㄶ㔶搷㤹㡣户㉡捡㕣㙦戲摥㉣㉢㜳㠳挹㜸愳愲っ捦攰搲晥搷㑢换〴捤愹㕣昱散㉤㠸扦扢ぢて㘳㈳㜹㑥㤷慣扦㤵ㄶ㔶㍣㡤㑢挶慢敥㌲摢戲っ㑦敥㤲昵㜲㘹㤹攰ㅤ挸攰㑤㤹㠶摥敡㑥㠳昹慢扢昸㜶㉣扥捡㘴晤㐵㘷搹户㔸敥㌲敡ㄷ戵摡扥挵挲㜳戶㔴昶㠲㔶摢户㔸敥㌱敡攷戵㝡㈰敡昵慢㝢㡤晡捦㕡㍤㐲搴㍣搳㡢㤱㍦㘹昵㐸㔱昳摣㉦敡攷戴㕡て慦攲〹㕦㌲㥥搵ㄹ㐵㤷攰㌲㐰戲㔶㤷㤵攱㤹㕦㌲㥥㜶㤷ㄱ㑦㜸挴㘴㍤㔹㕡㈶挸㠵〱㑤㌷〴ㄵ㔷〳㔲晣〹㜷昱ㄴ〹㝢摣㘴㍤㔶㔶㥣攷㜲捤㌷㑦攰㔲晣㔱㜷㜱攱㥢愷㜵挹㝡㔸㘷搹㝣昳㐴㉦敡㠷戴摡收㥢愷㝥㔱晦㔱慢㙤扥戹ㄸ㄰昵㠳㕡㙤昳捤攵㠱愸ㅦ搰㙡㥢㙦㉥ㄸ㐴㝤扦㔶㡦ㄴ扥戹㠴㄰昵㝤㕡㙤昸收扡㐱㌲敥搵ㄹ挲户㜰挷搵㠴㘴摤㕤㕡㈶挸戳扥敥㍣㑦昵㠲戹换㕤㕣㍡捦〵㠰㘴摤愹戳散捥㜳㐹㈰敡㍢戴摡敥㍣ㄷ〹愲扥㕤慢敤捥㜳搹㈰敡摢戴摡敥㍣ㄷㄲ愲扥㔵慢敤捥㜳㘹㈱敡㕢戴㝡愴㜴㥥㡢つ㔱摦慣搵愶昳㕣㘱㐸挶㑤㍡㐳㍡㉦㐷ㅡ搷ㅤ㤲㜵㐳㔹ㄹ㉥㌵㈴攳て敥㌲㐲ㄸㄷ㈰㤲㜵㕤㘹㤹㈰㔷㈲摡搹戸晣㄰捣戵敥攲㝢搳搹戸㈸㤱慣慢换㡡㜳昱愰昹收㡡㐱㌰扦㜷ㄷㄷ扥戹㡥㤰慣㉢㜵㤶捤㌷㔷ㄶ愲扥㐲慢㙤扥戹搶㄰昵㑡慤戶昹收敡㐳搴㤷㙢戵捤㌷搷㈳愲晥㥤㔶摢㝣㜳㠵㈲敡换戴㝡愴昰捤㌵㡢愸㔷㘸戵攱㥢ぢㄵ挹戸㔴㘷ㄴ㥤㡤换ㄷ挹扡戸慣っ㔷㉣㤲㜱㤱扢㑣㠱㠴㜱ㅤ㈳㔹ㄷ㤴㤵攱搲㐵㌲捥㜷㤷㤱㜱攵㠲㐶戲捥㉤㉤ㄳ攴挲㐳㤳捣搵㠶㘰捥㜱ㄷㄷ㤲戹〶㤱慣戳㜴㤶㑤㌲㔷㈵愲㍥㔳慢㙤㤲戹㑥ㄱ昵ㄹ㕡㙤㤳捣㤵㡢愸㑦搷㙡㥢㘴慥㘵㐴㝤㥡㔶摢㈴㜳㜵㈳敡㔳戵㝡愴㤰捣昵㡥愸㝦慢搵㠶㘴㉥㜲㈴攳㌷㍡愳㐸㌲㤷㍥㤲㜵㜲㘹㤹㈰㤷㈸扡昳㕣㤷〸收㈴㜷㜱改㍣㔷㉢㤲㜵㠲捥戲㍢捦昵㡢愸㡦搷㙡扢昳㕣搱㠸晡㌸慤戶㍢捦㌵㡥愸㡦搵㙡扢昳㝥愳㍥㐶慢敤捥㜳ㅤ㈴攸愳戵摡敥㍣㔷㐶愲㍥㑡慢㜵攷㠳㕣挳攸㡥㜰攱㈲㤸攵ㅡ㈳㍣㐸㐷戸㥣㤱慣㈳㜵㤶摤ㄱ㉥㜰㐴㝤㠴㔶摢ㅤ攱㤲㐷搴㠷㙢戵摤ㄱ㉥㠲㐴㝤㤸㔶摢ㅤ攱戲㐸搴㠷㙡戵摤ㄱ㉥㤴㐴晤㙢慤戶㍢挲愵㤳愸㤷㘹戵ㄹ㐵慥㤷㈴㘳愹捥㈸㡥㈲㔷㔱㤲戵愴慣っㄷ㑥扣㠷攲㔷㥣㡥散㍤㉥㌵散㍤扡扦扤㐷づ戸㘷㥤㠲ㅤ挵ㄳ㥤慤攷㉣㘴敦昱昰戲昷〴〲㠷戳㝥〳ㄵ㌷戲ㅢ㘴㠲つ㙡〸昶晤晦〰换晤㤲〹</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</si>
</sst>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5">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xf numFmtId="0" fontId="3" fillId="0" borderId="3" xfId="0" applyFont="1" applyBorder="1" applyAlignment="1">
      <alignment horizontal="center"/>
    </xf>
    <xf numFmtId="0" fontId="2" fillId="0" borderId="21" xfId="0" applyFont="1" applyBorder="1" applyAlignment="1">
      <alignment horizontal="center"/>
    </xf>
    <xf numFmtId="0" fontId="2" fillId="0" borderId="3" xfId="0" applyFont="1" applyBorder="1" applyAlignment="1">
      <alignment horizontal="left"/>
    </xf>
    <xf numFmtId="0" fontId="2" fillId="0" borderId="13" xfId="0" applyFont="1" applyBorder="1" applyAlignment="1">
      <alignment horizontal="left"/>
    </xf>
    <xf numFmtId="0" fontId="2" fillId="0" borderId="21" xfId="0" applyFont="1" applyBorder="1" applyAlignment="1">
      <alignment horizontal="left"/>
    </xf>
    <xf numFmtId="0" fontId="2" fillId="0" borderId="0" xfId="0" applyFont="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f ca="1">_xll.CB.RecalcCounterFN()</f>
        <v>0</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193</v>
      </c>
    </row>
    <row r="30" spans="1:2" x14ac:dyDescent="0.2">
      <c r="A30" t="s">
        <v>192</v>
      </c>
      <c r="B30" t="s">
        <v>199</v>
      </c>
    </row>
    <row r="31" spans="1:2" x14ac:dyDescent="0.2">
      <c r="A31" s="102" t="s">
        <v>15</v>
      </c>
      <c r="B31" s="102" t="s">
        <v>194</v>
      </c>
    </row>
    <row r="32" spans="1:2" x14ac:dyDescent="0.2">
      <c r="B32" s="102" t="s">
        <v>195</v>
      </c>
    </row>
    <row r="33" spans="2:2" x14ac:dyDescent="0.2">
      <c r="B33" t="s">
        <v>200</v>
      </c>
    </row>
    <row r="34" spans="2:2" x14ac:dyDescent="0.2">
      <c r="B34" s="102" t="s">
        <v>194</v>
      </c>
    </row>
    <row r="35" spans="2:2" x14ac:dyDescent="0.2">
      <c r="B35" s="102" t="s">
        <v>196</v>
      </c>
    </row>
    <row r="36" spans="2:2" x14ac:dyDescent="0.2">
      <c r="B36" t="s">
        <v>201</v>
      </c>
    </row>
    <row r="37" spans="2:2" x14ac:dyDescent="0.2">
      <c r="B37" s="102" t="s">
        <v>194</v>
      </c>
    </row>
    <row r="38" spans="2:2" x14ac:dyDescent="0.2">
      <c r="B38" s="102" t="s">
        <v>197</v>
      </c>
    </row>
    <row r="39" spans="2:2" x14ac:dyDescent="0.2">
      <c r="B39" t="s">
        <v>202</v>
      </c>
    </row>
    <row r="40" spans="2:2" x14ac:dyDescent="0.2">
      <c r="B40" s="102" t="s">
        <v>194</v>
      </c>
    </row>
    <row r="41" spans="2:2" x14ac:dyDescent="0.2">
      <c r="B41" s="102" t="s">
        <v>198</v>
      </c>
    </row>
    <row r="42" spans="2:2" x14ac:dyDescent="0.2">
      <c r="B42" t="s">
        <v>203</v>
      </c>
    </row>
    <row r="43" spans="2:2" x14ac:dyDescent="0.2">
      <c r="B43" s="102" t="s">
        <v>194</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B2:B6"/>
    <mergeCell ref="B8:B12"/>
    <mergeCell ref="B14:B18"/>
    <mergeCell ref="B20:B24"/>
    <mergeCell ref="B26:B30"/>
    <mergeCell ref="B32:B36"/>
    <mergeCell ref="B38:B42"/>
    <mergeCell ref="B44:B48"/>
    <mergeCell ref="B50:B54"/>
    <mergeCell ref="B56:B60"/>
    <mergeCell ref="F2:F6"/>
    <mergeCell ref="F8:F12"/>
    <mergeCell ref="F14:F18"/>
    <mergeCell ref="F20:F24"/>
    <mergeCell ref="F26:F30"/>
    <mergeCell ref="F32:F36"/>
    <mergeCell ref="F38:F42"/>
    <mergeCell ref="F44:F48"/>
    <mergeCell ref="F50:F54"/>
    <mergeCell ref="F56:F6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7" t="s">
        <v>28</v>
      </c>
      <c r="C6" s="78" t="s">
        <v>48</v>
      </c>
      <c r="D6" s="79" t="s">
        <v>49</v>
      </c>
    </row>
    <row r="7" spans="2:4" ht="12.75" customHeight="1" x14ac:dyDescent="0.2">
      <c r="B7" s="118"/>
      <c r="C7" s="80" t="s">
        <v>50</v>
      </c>
      <c r="D7" s="81" t="s">
        <v>51</v>
      </c>
    </row>
    <row r="8" spans="2:4" ht="12.75" customHeight="1" x14ac:dyDescent="0.2">
      <c r="B8" s="118"/>
      <c r="C8" s="80" t="s">
        <v>52</v>
      </c>
      <c r="D8" s="81" t="s">
        <v>53</v>
      </c>
    </row>
    <row r="9" spans="2:4" ht="13.5" customHeight="1" x14ac:dyDescent="0.2">
      <c r="B9" s="119"/>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6"/>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6"/>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6"/>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6"/>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6"/>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3:B5"/>
    <mergeCell ref="B6:B9"/>
    <mergeCell ref="B10:B11"/>
    <mergeCell ref="B12:B15"/>
    <mergeCell ref="B16:B19"/>
    <mergeCell ref="B20:B23"/>
    <mergeCell ref="B24:B27"/>
    <mergeCell ref="B28:B30"/>
    <mergeCell ref="B31:B33"/>
    <mergeCell ref="B34:B36"/>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A15" zoomScale="130" zoomScaleNormal="130" workbookViewId="0">
      <selection activeCell="F30" sqref="F30"/>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34" t="s">
        <v>103</v>
      </c>
    </row>
    <row r="2" spans="2:38" x14ac:dyDescent="0.2">
      <c r="B2" s="112" t="s">
        <v>104</v>
      </c>
      <c r="C2" s="1"/>
      <c r="D2" s="126" t="s">
        <v>186</v>
      </c>
      <c r="E2" s="120"/>
      <c r="F2" s="120"/>
      <c r="G2" s="1"/>
      <c r="H2" s="126" t="s">
        <v>186</v>
      </c>
      <c r="I2" s="120"/>
      <c r="J2" s="120"/>
      <c r="K2" s="1"/>
      <c r="L2" s="126" t="s">
        <v>183</v>
      </c>
      <c r="M2" s="120"/>
      <c r="N2" s="121"/>
      <c r="T2" s="36">
        <v>3</v>
      </c>
      <c r="U2" s="134"/>
      <c r="V2" s="132" t="s">
        <v>105</v>
      </c>
      <c r="W2" s="133"/>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3" t="s">
        <v>112</v>
      </c>
      <c r="M3" s="3" t="s">
        <v>113</v>
      </c>
      <c r="N3" s="27"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5">
        <v>25</v>
      </c>
      <c r="E4" s="5">
        <v>35</v>
      </c>
      <c r="F4" s="5">
        <v>45</v>
      </c>
      <c r="H4" s="5">
        <v>35</v>
      </c>
      <c r="I4" s="5">
        <v>45</v>
      </c>
      <c r="J4" s="5">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7">
        <v>35</v>
      </c>
      <c r="E5" s="7">
        <v>45</v>
      </c>
      <c r="F5" s="7">
        <v>55</v>
      </c>
      <c r="G5" s="8"/>
      <c r="H5" s="7">
        <v>27</v>
      </c>
      <c r="I5" s="7">
        <v>30</v>
      </c>
      <c r="J5" s="7">
        <v>33</v>
      </c>
      <c r="K5" s="8"/>
      <c r="L5" s="7">
        <v>5</v>
      </c>
      <c r="M5" s="7">
        <v>10</v>
      </c>
      <c r="N5" s="29">
        <v>15</v>
      </c>
      <c r="S5">
        <f>IF(T$2=1,V5,IF(T$2=2,X5,Z5))</f>
        <v>2.7777777777777781</v>
      </c>
      <c r="U5">
        <f>IF(T$2=1,W5,IF(T$2=2,Y5,AA5))</f>
        <v>10</v>
      </c>
      <c r="V5" s="39">
        <f>((F5-D5)/6)^2</f>
        <v>11.111111111111112</v>
      </c>
      <c r="W5" s="108">
        <f>(D5+4*E5+F5)/6</f>
        <v>45</v>
      </c>
      <c r="X5" s="38">
        <f>((J5-H5)/6)^2</f>
        <v>1</v>
      </c>
      <c r="Y5" s="108">
        <f>(H5+4*I5+J5)/6</f>
        <v>30</v>
      </c>
      <c r="Z5" s="38">
        <f>((N5-L5)/6)^2</f>
        <v>2.7777777777777781</v>
      </c>
      <c r="AA5" s="109">
        <f>(L5+4*M5+N5)/6</f>
        <v>10</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6" t="s">
        <v>186</v>
      </c>
      <c r="E7" s="120"/>
      <c r="F7" s="120"/>
      <c r="G7" s="1"/>
      <c r="H7" s="126" t="s">
        <v>186</v>
      </c>
      <c r="I7" s="120"/>
      <c r="J7" s="120"/>
      <c r="K7" s="1"/>
      <c r="L7" s="120" t="s">
        <v>181</v>
      </c>
      <c r="M7" s="120"/>
      <c r="N7" s="120"/>
      <c r="O7" s="1"/>
      <c r="P7" s="126" t="s">
        <v>182</v>
      </c>
      <c r="Q7" s="120"/>
      <c r="R7" s="121"/>
      <c r="T7" s="36">
        <v>4</v>
      </c>
      <c r="V7" s="127" t="s">
        <v>121</v>
      </c>
      <c r="W7" s="120"/>
      <c r="X7" s="120" t="s">
        <v>122</v>
      </c>
      <c r="Y7" s="120"/>
      <c r="Z7" s="120" t="s">
        <v>123</v>
      </c>
      <c r="AA7" s="120"/>
      <c r="AB7" s="122" t="s">
        <v>124</v>
      </c>
      <c r="AC7" s="123"/>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0">
        <v>1</v>
      </c>
      <c r="E9" s="10">
        <v>4</v>
      </c>
      <c r="F9" s="10">
        <v>7</v>
      </c>
      <c r="H9" s="10">
        <v>7</v>
      </c>
      <c r="I9" s="10">
        <v>10</v>
      </c>
      <c r="J9" s="10">
        <v>13</v>
      </c>
      <c r="L9" s="10">
        <v>30</v>
      </c>
      <c r="M9" s="10">
        <v>40</v>
      </c>
      <c r="N9" s="10">
        <v>50</v>
      </c>
      <c r="P9" s="10">
        <v>22</v>
      </c>
      <c r="Q9" s="10">
        <v>23</v>
      </c>
      <c r="R9" s="30">
        <v>24</v>
      </c>
      <c r="U9">
        <f>IF(T$7=1,W9,IF(T$7=2,Y9,IF(T$7=3,AA9,AC9)))</f>
        <v>23</v>
      </c>
      <c r="V9" s="38">
        <f>((F9-D9)/6)^2</f>
        <v>1</v>
      </c>
      <c r="W9" s="108">
        <f>(D9+4*E9+F9)/6</f>
        <v>4</v>
      </c>
      <c r="X9" s="38">
        <f>((J9-H9)/6)^2</f>
        <v>1</v>
      </c>
      <c r="Y9" s="108">
        <f>(H9+4*I9+J9)/6</f>
        <v>10</v>
      </c>
      <c r="Z9" s="38">
        <f>((N9-L9)/6)^2</f>
        <v>11.111111111111112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1">
        <v>0.25</v>
      </c>
      <c r="E10" s="11">
        <v>0.4</v>
      </c>
      <c r="F10" s="11">
        <v>0.55000000000000004</v>
      </c>
      <c r="G10" s="12"/>
      <c r="H10" s="11">
        <v>0.5</v>
      </c>
      <c r="I10" s="11">
        <v>0.55000000000000004</v>
      </c>
      <c r="J10" s="11">
        <v>0.6</v>
      </c>
      <c r="K10" s="12"/>
      <c r="L10" s="11">
        <v>0.75</v>
      </c>
      <c r="M10" s="11">
        <v>0.8</v>
      </c>
      <c r="N10" s="11">
        <v>0.85</v>
      </c>
      <c r="O10" s="12"/>
      <c r="P10" s="11">
        <v>0.03</v>
      </c>
      <c r="Q10" s="11">
        <v>0.1</v>
      </c>
      <c r="R10" s="34">
        <v>0.17</v>
      </c>
      <c r="S10">
        <f>IF(T$2=1,V10,IF(T$2=2,X10,Z10))</f>
        <v>2.7777777777777767E-4</v>
      </c>
      <c r="U10" s="41">
        <f>IF(T$7=1,W10,IF(T$7=2,Y10,IF(T$7=3,AA10,AC10)))</f>
        <v>0.10000000000000002</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5.4444444444444451E-4</v>
      </c>
      <c r="AC10" s="110">
        <f>(P10+4*Q10+R10)/6</f>
        <v>0.10000000000000002</v>
      </c>
      <c r="AE10" s="114"/>
      <c r="AF10" s="6">
        <f>(S$5*(1-S$10)+S$15)*S10*AH10</f>
        <v>3.0855624142661169</v>
      </c>
      <c r="AG10" s="64">
        <f>U5*U10*AH10</f>
        <v>4000.0000000000009</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6" t="s">
        <v>186</v>
      </c>
      <c r="E12" s="120"/>
      <c r="F12" s="120"/>
      <c r="G12" s="1"/>
      <c r="H12" s="126" t="s">
        <v>183</v>
      </c>
      <c r="I12" s="120"/>
      <c r="J12" s="121"/>
      <c r="L12" s="131"/>
      <c r="M12" s="131"/>
      <c r="N12" s="131"/>
      <c r="T12" s="36">
        <v>2</v>
      </c>
      <c r="V12" s="127"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3" t="s">
        <v>112</v>
      </c>
      <c r="I13" s="3" t="s">
        <v>113</v>
      </c>
      <c r="J13" s="27"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0">
        <v>50</v>
      </c>
      <c r="E14" s="10">
        <v>60</v>
      </c>
      <c r="F14" s="10">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5">
        <v>25</v>
      </c>
      <c r="E15" s="15">
        <v>35</v>
      </c>
      <c r="F15" s="15">
        <v>45</v>
      </c>
      <c r="G15" s="16"/>
      <c r="H15" s="15">
        <v>15</v>
      </c>
      <c r="I15" s="15">
        <v>20</v>
      </c>
      <c r="J15" s="31">
        <v>25</v>
      </c>
      <c r="S15">
        <f>IF(T$2=1,V15,IF(T$2=2,X15,Z15))</f>
        <v>0</v>
      </c>
      <c r="U15">
        <f>IF(T$12=1,W15,Y15)</f>
        <v>20</v>
      </c>
      <c r="V15" s="38">
        <f>((F15-D15)/6)^2</f>
        <v>11.111111111111112</v>
      </c>
      <c r="W15" s="108">
        <f>(D15+4*E15+F15)/6</f>
        <v>35</v>
      </c>
      <c r="X15" s="38">
        <f>((J15-H15)/6)^2</f>
        <v>2.7777777777777781</v>
      </c>
      <c r="Y15" s="108">
        <f>(H15+4*I15+J15)/6</f>
        <v>20</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6" t="s">
        <v>186</v>
      </c>
      <c r="E17" s="120"/>
      <c r="F17" s="120"/>
      <c r="G17" s="1"/>
      <c r="H17" s="126" t="s">
        <v>186</v>
      </c>
      <c r="I17" s="120"/>
      <c r="J17" s="120"/>
      <c r="K17" s="1"/>
      <c r="L17" s="120" t="s">
        <v>181</v>
      </c>
      <c r="M17" s="120"/>
      <c r="N17" s="120"/>
      <c r="O17" s="1"/>
      <c r="P17" s="126" t="s">
        <v>182</v>
      </c>
      <c r="Q17" s="120"/>
      <c r="R17" s="121"/>
      <c r="T17" s="36">
        <v>4</v>
      </c>
      <c r="V17" s="127" t="s">
        <v>121</v>
      </c>
      <c r="W17" s="120"/>
      <c r="X17" s="120" t="s">
        <v>122</v>
      </c>
      <c r="Y17" s="120"/>
      <c r="Z17" s="120" t="s">
        <v>123</v>
      </c>
      <c r="AA17" s="120"/>
      <c r="AB17" s="122" t="s">
        <v>124</v>
      </c>
      <c r="AC17" s="123"/>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3" t="s">
        <v>112</v>
      </c>
      <c r="M18" s="3" t="s">
        <v>113</v>
      </c>
      <c r="N18" s="3" t="s">
        <v>114</v>
      </c>
      <c r="P18" s="3" t="s">
        <v>112</v>
      </c>
      <c r="Q18" s="3" t="s">
        <v>113</v>
      </c>
      <c r="R18" s="27"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0">
        <v>5</v>
      </c>
      <c r="E19" s="10">
        <v>12</v>
      </c>
      <c r="F19" s="10">
        <v>19</v>
      </c>
      <c r="G19" s="14"/>
      <c r="H19" s="10">
        <v>15</v>
      </c>
      <c r="I19" s="10">
        <v>20</v>
      </c>
      <c r="J19" s="10">
        <v>25</v>
      </c>
      <c r="K19" s="14"/>
      <c r="L19" s="10">
        <v>50</v>
      </c>
      <c r="M19" s="10">
        <v>60</v>
      </c>
      <c r="N19" s="10">
        <v>70</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60</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1">
        <v>0.25</v>
      </c>
      <c r="E20" s="11">
        <v>0.4</v>
      </c>
      <c r="F20" s="11">
        <v>0.55000000000000004</v>
      </c>
      <c r="G20" s="17"/>
      <c r="H20" s="11">
        <v>0.5</v>
      </c>
      <c r="I20" s="11">
        <v>0.55000000000000004</v>
      </c>
      <c r="J20" s="11">
        <v>0.6</v>
      </c>
      <c r="K20" s="17"/>
      <c r="L20" s="11">
        <v>0.54</v>
      </c>
      <c r="M20" s="11">
        <v>0.59</v>
      </c>
      <c r="N20" s="11">
        <v>0.64</v>
      </c>
      <c r="O20" s="17"/>
      <c r="P20" s="11">
        <v>0.03</v>
      </c>
      <c r="Q20" s="11">
        <v>0.1</v>
      </c>
      <c r="R20" s="34">
        <v>0.17</v>
      </c>
      <c r="S20">
        <f>IF(T$2=1,V20,IF(T$2=2,X20,Z20))</f>
        <v>2.7777777777777767E-4</v>
      </c>
      <c r="U20" s="41">
        <f>IF(T$17=1,W20,IF(T$17=2,Y20,IF(T$17=3,AA20,AC20)))</f>
        <v>0.10000000000000002</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5.4444444444444451E-4</v>
      </c>
      <c r="AC20" s="110">
        <f>(P20+4*Q20+R20)/6</f>
        <v>0.10000000000000002</v>
      </c>
      <c r="AE20" s="114"/>
      <c r="AF20" s="6">
        <f>(S$5*(1-S$10)+S$15)*S20*AH20</f>
        <v>3.0855624142661169</v>
      </c>
      <c r="AG20" s="64">
        <f>(U$5*(1-U$10)+U$15)*U20*AH20</f>
        <v>11600.000000000002</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6" t="s">
        <v>186</v>
      </c>
      <c r="E22" s="120"/>
      <c r="F22" s="120"/>
      <c r="G22" s="1"/>
      <c r="H22" s="126" t="s">
        <v>186</v>
      </c>
      <c r="I22" s="120"/>
      <c r="J22" s="120"/>
      <c r="K22" s="1"/>
      <c r="L22" s="126" t="s">
        <v>186</v>
      </c>
      <c r="M22" s="120"/>
      <c r="N22" s="120"/>
      <c r="O22" s="1"/>
      <c r="P22" s="120" t="s">
        <v>182</v>
      </c>
      <c r="Q22" s="120"/>
      <c r="R22" s="121"/>
      <c r="T22" s="36">
        <v>4</v>
      </c>
      <c r="V22" s="130" t="s">
        <v>133</v>
      </c>
      <c r="W22" s="128"/>
      <c r="X22" s="128" t="s">
        <v>134</v>
      </c>
      <c r="Y22" s="128"/>
      <c r="Z22" s="128" t="s">
        <v>135</v>
      </c>
      <c r="AA22" s="128"/>
      <c r="AB22" s="128" t="s">
        <v>136</v>
      </c>
      <c r="AC22" s="129"/>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5">
        <v>200</v>
      </c>
      <c r="E25" s="15">
        <v>250</v>
      </c>
      <c r="F25" s="15">
        <v>300</v>
      </c>
      <c r="G25" s="16"/>
      <c r="H25" s="15">
        <f>0.9*I25</f>
        <v>171</v>
      </c>
      <c r="I25" s="15">
        <f>1*FP</f>
        <v>190</v>
      </c>
      <c r="J25" s="15">
        <f>1.1*I25</f>
        <v>209.00000000000003</v>
      </c>
      <c r="K25" s="16"/>
      <c r="L25" s="15">
        <v>90</v>
      </c>
      <c r="M25" s="15">
        <v>110</v>
      </c>
      <c r="N25" s="15">
        <v>130</v>
      </c>
      <c r="O25" s="16"/>
      <c r="P25" s="15">
        <v>29</v>
      </c>
      <c r="Q25" s="15">
        <v>34</v>
      </c>
      <c r="R25" s="31">
        <v>39</v>
      </c>
      <c r="S25">
        <f>IF(T$2=1,V25,IF(T$2=2,X25,Z25))</f>
        <v>44.44444444444445</v>
      </c>
      <c r="U25">
        <f>IF(T$22=1,W25,IF(T$22=2,Y25,IF(T$22=3,AA25,AC25)))</f>
        <v>34</v>
      </c>
      <c r="V25" s="38">
        <f>((F25-D25)/6)^2</f>
        <v>277.77777777777783</v>
      </c>
      <c r="W25" s="108">
        <f>(D25+4*E25+F25)/6</f>
        <v>250</v>
      </c>
      <c r="X25" s="38">
        <f>((J25-H25)/6)^2</f>
        <v>40.111111111111178</v>
      </c>
      <c r="Y25" s="108">
        <f>(H25+4*I25+J25)/6</f>
        <v>190</v>
      </c>
      <c r="Z25" s="38">
        <f>((N25-L25)/6)^2</f>
        <v>44.44444444444445</v>
      </c>
      <c r="AA25" s="109">
        <f>(L25+4*M25+N25)/6</f>
        <v>110</v>
      </c>
      <c r="AB25" s="38">
        <f>((R25-P25)/6)^2</f>
        <v>2.7777777777777781</v>
      </c>
      <c r="AC25" s="110">
        <f>(P25+4*Q25+R25)/6</f>
        <v>34</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6" t="s">
        <v>186</v>
      </c>
      <c r="M27" s="120"/>
      <c r="N27" s="120"/>
      <c r="O27" s="1"/>
      <c r="P27" s="126" t="s">
        <v>186</v>
      </c>
      <c r="Q27" s="120"/>
      <c r="R27" s="120"/>
      <c r="T27" s="36">
        <v>1</v>
      </c>
      <c r="V27" s="127" t="s">
        <v>121</v>
      </c>
      <c r="W27" s="120"/>
      <c r="X27" s="120" t="s">
        <v>122</v>
      </c>
      <c r="Y27" s="120"/>
      <c r="Z27" s="120" t="s">
        <v>123</v>
      </c>
      <c r="AA27" s="120"/>
      <c r="AB27" s="128" t="s">
        <v>124</v>
      </c>
      <c r="AC27" s="129"/>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12</v>
      </c>
      <c r="V29" s="38">
        <f>((F29-D29)/6)^2</f>
        <v>5.4444444444444455</v>
      </c>
      <c r="W29" s="108">
        <f>(D29+4*E29+F29)/6</f>
        <v>12</v>
      </c>
      <c r="X29" s="38">
        <f>((J29-H29)/6)^2</f>
        <v>2.7777777777777781</v>
      </c>
      <c r="Y29" s="108">
        <f>(H29+4*I29+J29)/6</f>
        <v>20</v>
      </c>
      <c r="Z29" s="38">
        <f>((N29-L29)/6)^2</f>
        <v>11.111111111111112</v>
      </c>
      <c r="AA29" s="109">
        <f>(L29+4*M29+N29)/6</f>
        <v>35</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1">
        <v>0.1</v>
      </c>
      <c r="E30" s="11">
        <v>0.18</v>
      </c>
      <c r="F30" s="11">
        <v>0.26</v>
      </c>
      <c r="G30" s="17"/>
      <c r="H30" s="11">
        <v>0.3</v>
      </c>
      <c r="I30" s="11">
        <v>0.35</v>
      </c>
      <c r="J30" s="11">
        <v>0.4</v>
      </c>
      <c r="K30" s="17"/>
      <c r="L30" s="11">
        <v>0.3</v>
      </c>
      <c r="M30" s="11">
        <v>0.35</v>
      </c>
      <c r="N30" s="11">
        <v>0.4</v>
      </c>
      <c r="O30" s="17"/>
      <c r="P30" s="11">
        <v>0.1</v>
      </c>
      <c r="Q30" s="11">
        <v>0.15</v>
      </c>
      <c r="R30" s="34">
        <v>0.2</v>
      </c>
      <c r="S30">
        <f>IF(T$2=1,V30,IF(T$2=2,X30,Z30))</f>
        <v>2.7777777777777799E-4</v>
      </c>
      <c r="U30" s="41">
        <f>IF(T$27=1,W30,IF(T$27=2,Y30,IF(T$27=3,AA30,AC30)))</f>
        <v>0.18000000000000002</v>
      </c>
      <c r="V30" s="38">
        <f>((F30-D30)/6)^2</f>
        <v>7.1111111111111125E-4</v>
      </c>
      <c r="W30" s="108">
        <f>(D30+4*E30+F30)/6</f>
        <v>0.18000000000000002</v>
      </c>
      <c r="X30" s="38">
        <f>((J30-H30)/6)^2</f>
        <v>2.7777777777777799E-4</v>
      </c>
      <c r="Y30" s="108">
        <f>(H30+4*I30+J30)/6</f>
        <v>0.35000000000000003</v>
      </c>
      <c r="Z30" s="38">
        <f>((N30-L30)/6)^2</f>
        <v>2.7777777777777799E-4</v>
      </c>
      <c r="AA30" s="109">
        <f>(L30+4*M30+N30)/6</f>
        <v>0.35000000000000003</v>
      </c>
      <c r="AB30" s="38">
        <f>((R30-P30)/6)^2</f>
        <v>2.7777777777777778E-4</v>
      </c>
      <c r="AC30" s="110">
        <f>(P30+4*Q30+R30)/6</f>
        <v>0.15</v>
      </c>
      <c r="AE30" s="114"/>
      <c r="AF30" s="6">
        <f>(S$5*(1-S$10)+S$15)*S30*AH30</f>
        <v>2.2370327503429372</v>
      </c>
      <c r="AG30" s="64">
        <f>((U$5*(1-U$10)+U$15)*(1-U$20)+U$25)*U30*AH30</f>
        <v>31372.200000000004</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6" t="s">
        <v>186</v>
      </c>
      <c r="E32" s="120"/>
      <c r="F32" s="120"/>
      <c r="G32" s="1"/>
      <c r="H32" s="126" t="s">
        <v>186</v>
      </c>
      <c r="I32" s="120"/>
      <c r="J32" s="120"/>
      <c r="K32" s="1"/>
      <c r="L32" s="126" t="s">
        <v>186</v>
      </c>
      <c r="M32" s="120"/>
      <c r="N32" s="120"/>
      <c r="O32" s="1"/>
      <c r="P32" s="126" t="s">
        <v>186</v>
      </c>
      <c r="Q32" s="120"/>
      <c r="R32" s="120"/>
      <c r="T32" s="36">
        <v>2</v>
      </c>
      <c r="V32" s="127" t="s">
        <v>141</v>
      </c>
      <c r="W32" s="120"/>
      <c r="X32" s="120" t="s">
        <v>142</v>
      </c>
      <c r="Y32" s="120"/>
      <c r="Z32" s="128" t="s">
        <v>143</v>
      </c>
      <c r="AA32" s="128"/>
      <c r="AB32" s="128" t="s">
        <v>144</v>
      </c>
      <c r="AC32" s="129"/>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150</v>
      </c>
      <c r="V34" s="38">
        <f>((F34-D34)/6)^2</f>
        <v>11.111111111111112</v>
      </c>
      <c r="W34" s="108">
        <f>(D34+4*E34+F34)/6</f>
        <v>100</v>
      </c>
      <c r="X34" s="38">
        <f>((J34-H34)/6)^2</f>
        <v>100</v>
      </c>
      <c r="Y34" s="108">
        <f>(H34+4*I34+J34)/6</f>
        <v>150</v>
      </c>
      <c r="Z34" s="38">
        <f>((N34-L34)/6)^2</f>
        <v>277.77777777777783</v>
      </c>
      <c r="AA34" s="109">
        <f>(L34+4*M34+N34)/6</f>
        <v>250</v>
      </c>
      <c r="AB34" s="38">
        <f>((R34-P34)/6)^2</f>
        <v>277.77777777777783</v>
      </c>
      <c r="AC34" s="110">
        <f>(P34+4*Q34+R34)/6</f>
        <v>350</v>
      </c>
      <c r="AE34" s="113"/>
      <c r="AF34" s="4" t="s">
        <v>20</v>
      </c>
      <c r="AG34" s="61">
        <f>AH34*U34</f>
        <v>120000</v>
      </c>
      <c r="AH34" s="106">
        <f>AK34</f>
        <v>800</v>
      </c>
      <c r="AI34" s="62"/>
      <c r="AJ34" s="62">
        <v>700</v>
      </c>
      <c r="AK34" s="62">
        <v>800</v>
      </c>
      <c r="AL34" s="63">
        <v>1000</v>
      </c>
    </row>
    <row r="35" spans="2:38" ht="13.5" thickBot="1" x14ac:dyDescent="0.25">
      <c r="B35" s="114"/>
      <c r="C35" s="6" t="s">
        <v>118</v>
      </c>
      <c r="D35" s="11">
        <v>0.4</v>
      </c>
      <c r="E35" s="11">
        <v>0.5</v>
      </c>
      <c r="F35" s="11">
        <v>0.6</v>
      </c>
      <c r="G35" s="17"/>
      <c r="H35" s="11">
        <v>0.3</v>
      </c>
      <c r="I35" s="11">
        <v>0.35</v>
      </c>
      <c r="J35" s="11">
        <v>0.4</v>
      </c>
      <c r="K35" s="17"/>
      <c r="L35" s="11">
        <v>0.65</v>
      </c>
      <c r="M35" s="11">
        <v>0.7</v>
      </c>
      <c r="N35" s="11">
        <v>0.75</v>
      </c>
      <c r="O35" s="17"/>
      <c r="P35" s="11">
        <v>0.63</v>
      </c>
      <c r="Q35" s="11">
        <v>0.68</v>
      </c>
      <c r="R35" s="34">
        <v>0.73</v>
      </c>
      <c r="S35">
        <f>IF(T$2=1,V35,IF(T$2=2,X35,Z35))</f>
        <v>2.7777777777777767E-4</v>
      </c>
      <c r="U35" s="41">
        <f>IF(T$32=1,W35,IF(T$32=2,Y35,IF(T$32=3,AA35,AC35)))</f>
        <v>0.35000000000000003</v>
      </c>
      <c r="V35" s="38">
        <f>((F35-D35)/6)^2</f>
        <v>1.1111111111111107E-3</v>
      </c>
      <c r="W35" s="108">
        <f>(D35+4*E35+F35)/6</f>
        <v>0.5</v>
      </c>
      <c r="X35" s="38">
        <f>((J35-H35)/6)^2</f>
        <v>2.7777777777777799E-4</v>
      </c>
      <c r="Y35" s="108">
        <f>(H35+4*I35+J35)/6</f>
        <v>0.35000000000000003</v>
      </c>
      <c r="Z35" s="38">
        <f>((N35-L35)/6)^2</f>
        <v>2.7777777777777767E-4</v>
      </c>
      <c r="AA35" s="109">
        <f>(L35+4*M35+N35)/6</f>
        <v>0.69999999999999984</v>
      </c>
      <c r="AB35" s="38">
        <f>((R35-P35)/6)^2</f>
        <v>2.7777777777777767E-4</v>
      </c>
      <c r="AC35" s="110">
        <f>(P35+4*Q35+R35)/6</f>
        <v>0.68</v>
      </c>
      <c r="AE35" s="114"/>
      <c r="AF35" s="6">
        <f>(S$5*(1-S$10)+S$15)*S35*AH35</f>
        <v>2.237032750342935</v>
      </c>
      <c r="AG35" s="64">
        <f>((U$5*(1-U$10)+U$15)*(1-U$20)+U$25)*(1-U$30)*U35*AH35</f>
        <v>50021.229999999996</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6" t="s">
        <v>186</v>
      </c>
      <c r="E37" s="120"/>
      <c r="F37" s="120"/>
      <c r="G37" s="1"/>
      <c r="H37" s="120"/>
      <c r="I37" s="120"/>
      <c r="J37" s="120"/>
      <c r="K37" s="1"/>
      <c r="L37" s="126"/>
      <c r="M37" s="120"/>
      <c r="N37" s="121"/>
      <c r="T37" s="14">
        <v>1</v>
      </c>
      <c r="V37" s="127"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0">
        <v>0</v>
      </c>
      <c r="E39" s="10">
        <v>5.0000000000000001E-3</v>
      </c>
      <c r="F39" s="10">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1">
        <v>0</v>
      </c>
      <c r="E40" s="11">
        <v>5.0000000000000002E-5</v>
      </c>
      <c r="F40" s="11">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2.6998671124828579</v>
      </c>
      <c r="AG40" s="64">
        <f>((U$5*(1-U$10)+U$15)*(1-U$20)+U$25)*(1-U$30)*(1-U$35)*U40*AH40</f>
        <v>5.6058274999999984</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6" t="s">
        <v>186</v>
      </c>
      <c r="I42" s="120"/>
      <c r="J42" s="120"/>
      <c r="K42" s="1"/>
      <c r="L42" s="126" t="s">
        <v>186</v>
      </c>
      <c r="M42" s="120"/>
      <c r="N42" s="120"/>
      <c r="T42" s="36">
        <v>1</v>
      </c>
      <c r="V42" s="127" t="s">
        <v>152</v>
      </c>
      <c r="W42" s="120"/>
      <c r="X42" s="120" t="s">
        <v>153</v>
      </c>
      <c r="Y42" s="120"/>
      <c r="Z42" s="122" t="s">
        <v>154</v>
      </c>
      <c r="AA42" s="123"/>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0">
        <v>75</v>
      </c>
      <c r="E44" s="10">
        <v>80</v>
      </c>
      <c r="F44" s="10">
        <v>85</v>
      </c>
      <c r="G44" s="14"/>
      <c r="H44" s="10">
        <v>110</v>
      </c>
      <c r="I44" s="10">
        <v>120</v>
      </c>
      <c r="J44" s="10">
        <v>130</v>
      </c>
      <c r="K44" s="14"/>
      <c r="L44" s="10">
        <v>140</v>
      </c>
      <c r="M44" s="10">
        <v>150</v>
      </c>
      <c r="N44" s="30">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1">
        <v>0.83</v>
      </c>
      <c r="E45" s="11">
        <v>0.88</v>
      </c>
      <c r="F45" s="11">
        <v>0.93</v>
      </c>
      <c r="G45" s="17"/>
      <c r="H45" s="11">
        <v>0.505</v>
      </c>
      <c r="I45" s="11">
        <v>0.55500000000000005</v>
      </c>
      <c r="J45" s="11">
        <v>0.60499999999999998</v>
      </c>
      <c r="K45" s="17"/>
      <c r="L45" s="11">
        <v>0.8</v>
      </c>
      <c r="M45" s="11">
        <v>0.85</v>
      </c>
      <c r="N45" s="34">
        <v>0.9</v>
      </c>
      <c r="S45">
        <f>IF(T$2=1,V45,IF(T$2=2,X45,Z45))</f>
        <v>2.7777777777777767E-4</v>
      </c>
      <c r="U45">
        <f>IF(T$42=1,W45,IF(T$42=2,Y45,AA45))</f>
        <v>0.87999999999999989</v>
      </c>
      <c r="V45" s="38">
        <f>((F45-D45)/6)^2</f>
        <v>2.7777777777777821E-4</v>
      </c>
      <c r="W45" s="108">
        <f>(D45+4*E45+F45)/6</f>
        <v>0.87999999999999989</v>
      </c>
      <c r="X45" s="38">
        <f>((J45-H45)/6)^2</f>
        <v>2.7777777777777767E-4</v>
      </c>
      <c r="Y45" s="108">
        <f>(H45+4*I45+J45)/6</f>
        <v>0.55500000000000005</v>
      </c>
      <c r="Z45" s="38">
        <f>((N45-L45)/6)^2</f>
        <v>2.7777777777777767E-4</v>
      </c>
      <c r="AA45" s="109">
        <f>(L45+4*M45+N45)/6</f>
        <v>0.85000000000000009</v>
      </c>
      <c r="AE45" s="114"/>
      <c r="AF45" s="6">
        <f>(S$5*(1-S$10)+S$15)*S45*AH45</f>
        <v>4.4740655006858701</v>
      </c>
      <c r="AG45" s="64">
        <f>((U$5*(1-U$10)+U$15)*(1-U$20)+U$25)*(1-U$30)*(1-U$35)*(1-U$40)*U45*AH45</f>
        <v>163489.7883018399</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6" t="s">
        <v>186</v>
      </c>
      <c r="E47" s="120"/>
      <c r="F47" s="120"/>
      <c r="G47" s="1"/>
      <c r="H47" s="126" t="s">
        <v>186</v>
      </c>
      <c r="I47" s="120"/>
      <c r="J47" s="120"/>
      <c r="K47" s="1"/>
      <c r="L47" s="120" t="s">
        <v>184</v>
      </c>
      <c r="M47" s="120"/>
      <c r="N47" s="120"/>
      <c r="T47" s="36">
        <v>3</v>
      </c>
      <c r="V47" s="127"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0">
        <v>15</v>
      </c>
      <c r="E49" s="10">
        <v>20</v>
      </c>
      <c r="F49" s="10">
        <v>25</v>
      </c>
      <c r="G49" s="14"/>
      <c r="H49" s="10">
        <v>25</v>
      </c>
      <c r="I49" s="10">
        <v>30</v>
      </c>
      <c r="J49" s="10">
        <v>35</v>
      </c>
      <c r="K49" s="14"/>
      <c r="L49" s="10">
        <v>50</v>
      </c>
      <c r="M49" s="10">
        <v>60</v>
      </c>
      <c r="N49" s="30">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1">
        <v>0.7</v>
      </c>
      <c r="E50" s="11">
        <v>0.75</v>
      </c>
      <c r="F50" s="11">
        <v>0.8</v>
      </c>
      <c r="G50" s="17"/>
      <c r="H50" s="11">
        <v>0.8</v>
      </c>
      <c r="I50" s="11">
        <v>0.85</v>
      </c>
      <c r="J50" s="11">
        <v>0.9</v>
      </c>
      <c r="K50" s="17"/>
      <c r="L50" s="11">
        <v>0.98499999999999999</v>
      </c>
      <c r="M50" s="11">
        <v>0.99</v>
      </c>
      <c r="N50" s="34">
        <v>0.995</v>
      </c>
      <c r="S50">
        <f>IF(T$2=1,V50,IF(T$2=2,X50,Z50))</f>
        <v>2.7777777777777826E-6</v>
      </c>
      <c r="U50">
        <f>IF(T$47=1,W50,IF(T$47=2,Y50,AA50))</f>
        <v>0.9900000000000001</v>
      </c>
      <c r="V50" s="38">
        <f>((F50-D50)/6)^2</f>
        <v>2.7777777777777821E-4</v>
      </c>
      <c r="W50" s="108">
        <f>(D50+4*E50+F50)/6</f>
        <v>0.75</v>
      </c>
      <c r="X50" s="38">
        <f>((J50-H50)/6)^2</f>
        <v>2.7777777777777767E-4</v>
      </c>
      <c r="Y50" s="108">
        <f>(H50+4*I50+J50)/6</f>
        <v>0.85000000000000009</v>
      </c>
      <c r="Z50" s="38">
        <f>((N50-L50)/6)^2</f>
        <v>2.7777777777777826E-6</v>
      </c>
      <c r="AA50" s="109">
        <f>(L50+4*M50+N50)/6</f>
        <v>0.9900000000000001</v>
      </c>
      <c r="AE50" s="114"/>
      <c r="AF50" s="6">
        <f>(S$5*(1-S$10)+S$15)*S50*AH50</f>
        <v>0.15427812071330618</v>
      </c>
      <c r="AG50" s="64">
        <f>((U$5*(1-U$10)+U$15)*(1-U$20)+U$25)*(1-U$30)*(1-U$35)*(1-U$40)*(1-U$45)*U50*AH50</f>
        <v>76107.315243960038</v>
      </c>
      <c r="AH50" s="106">
        <f>AK50</f>
        <v>20000</v>
      </c>
      <c r="AI50" s="65"/>
      <c r="AJ50" s="65">
        <f>0.85*AK50</f>
        <v>17000</v>
      </c>
      <c r="AK50" s="65">
        <v>20000</v>
      </c>
      <c r="AL50" s="66">
        <f>1.15*AK50</f>
        <v>23000</v>
      </c>
    </row>
    <row r="51" spans="1:38" ht="13.5" thickBot="1" x14ac:dyDescent="0.25">
      <c r="B51" s="20"/>
      <c r="C51" s="4"/>
    </row>
    <row r="52" spans="1:38" x14ac:dyDescent="0.2">
      <c r="B52" s="20"/>
      <c r="C52" s="4"/>
      <c r="AE52" s="56" t="s">
        <v>39</v>
      </c>
      <c r="AF52" s="57">
        <f>((S5*(1-S10)+S15)*(1-S20)+S25)*(1-S30)*(1-S35)*(1-S40)*(1-S45)*(1-S50)*AH52</f>
        <v>1179202.5659955887</v>
      </c>
      <c r="AG52" s="72">
        <f>((U$5*(1-U$10)+U$15)*(1-U$20)+U$25)*(1-U$30)*(1-U$35)*(1-U$40)*(1-U$45)*(1-U50)*AH52</f>
        <v>960.95095004999064</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17.973401063100141</v>
      </c>
      <c r="T55" s="49" t="s">
        <v>165</v>
      </c>
      <c r="U55" s="50">
        <f>AG10+AG20+AG30+AG35+AG40+AG45+AG50+AG52</f>
        <v>337557.09032334987</v>
      </c>
    </row>
    <row r="56" spans="1:38" ht="28.5" customHeight="1" x14ac:dyDescent="0.2">
      <c r="A56" s="22" t="s">
        <v>166</v>
      </c>
      <c r="B56" s="124" t="s">
        <v>167</v>
      </c>
      <c r="C56" s="125"/>
      <c r="D56" s="23">
        <f>IF(AND(Design_Decision&gt;1,DR_Decision&lt;3),1,0)</f>
        <v>0</v>
      </c>
      <c r="T56" s="51"/>
    </row>
    <row r="57" spans="1:38" x14ac:dyDescent="0.2">
      <c r="A57" s="24"/>
      <c r="B57" s="25"/>
      <c r="C57" s="4"/>
      <c r="S57" s="52"/>
      <c r="T57" s="53" t="s">
        <v>168</v>
      </c>
      <c r="U57" s="54">
        <f>U53+U55</f>
        <v>838494.42365668318</v>
      </c>
    </row>
    <row r="58" spans="1:38" ht="25.5" customHeight="1" x14ac:dyDescent="0.2">
      <c r="A58" s="22" t="s">
        <v>169</v>
      </c>
      <c r="B58" s="124" t="s">
        <v>170</v>
      </c>
      <c r="C58" s="125"/>
      <c r="D58" s="23">
        <f>IF(AND(Code_Decision&lt;3,CR_Decision&lt;3),1,0)</f>
        <v>0</v>
      </c>
    </row>
    <row r="59" spans="1:38" x14ac:dyDescent="0.2">
      <c r="A59" s="24"/>
      <c r="B59" s="25"/>
      <c r="C59" s="4"/>
    </row>
    <row r="60" spans="1:38" ht="24.75" customHeight="1" x14ac:dyDescent="0.2">
      <c r="A60" s="22" t="s">
        <v>171</v>
      </c>
      <c r="B60" s="124" t="s">
        <v>172</v>
      </c>
      <c r="C60" s="125"/>
      <c r="D60" s="23">
        <f>IF(AND(CR_Decision&lt;3,UT_Decision=1),1,0)</f>
        <v>0</v>
      </c>
      <c r="T60" t="s">
        <v>173</v>
      </c>
      <c r="U60" s="55">
        <f>((U$5*(1-U$10)+U$15)*(1-U$20)+U$25)*(1-U$30)*(1-U$35)*(1-U$40)*(1-U$45)*(1-U50)</f>
        <v>3.8438038001999623E-2</v>
      </c>
    </row>
    <row r="61" spans="1:38" x14ac:dyDescent="0.2">
      <c r="B61" s="20"/>
      <c r="C61" s="4"/>
    </row>
    <row r="62" spans="1:38" x14ac:dyDescent="0.2">
      <c r="B62" s="20"/>
      <c r="C62" s="4"/>
      <c r="T62" t="s">
        <v>174</v>
      </c>
      <c r="U62" s="55">
        <f>U5*U10</f>
        <v>1.0000000000000002</v>
      </c>
    </row>
    <row r="63" spans="1:38" x14ac:dyDescent="0.2">
      <c r="B63" s="20"/>
      <c r="C63" s="4"/>
    </row>
    <row r="64" spans="1:38" x14ac:dyDescent="0.2">
      <c r="B64" s="20"/>
      <c r="C64" s="4"/>
      <c r="T64" t="s">
        <v>175</v>
      </c>
      <c r="U64" s="55">
        <f>(U$5*(1-U$10)+U$15)*U20</f>
        <v>2.9000000000000004</v>
      </c>
    </row>
    <row r="65" spans="2:21" x14ac:dyDescent="0.2">
      <c r="B65" s="20"/>
      <c r="C65" s="4"/>
    </row>
    <row r="66" spans="2:21" x14ac:dyDescent="0.2">
      <c r="B66" s="20"/>
      <c r="C66" s="4"/>
      <c r="T66" t="s">
        <v>176</v>
      </c>
      <c r="U66" s="55">
        <f>((U$5*(1-U$10)+U$15)*(1-U$20)+U$25)*U30</f>
        <v>10.818000000000001</v>
      </c>
    </row>
    <row r="67" spans="2:21" x14ac:dyDescent="0.2">
      <c r="B67" s="20"/>
      <c r="C67" s="4"/>
    </row>
    <row r="68" spans="2:21" x14ac:dyDescent="0.2">
      <c r="B68" s="20"/>
      <c r="C68" s="4"/>
      <c r="T68" t="s">
        <v>177</v>
      </c>
      <c r="U68" s="55">
        <f>((U$5*(1-U$10)+U$15)*(1-U$20)+U$25)*(1-U$30)*U35</f>
        <v>17.248699999999999</v>
      </c>
    </row>
    <row r="69" spans="2:21" x14ac:dyDescent="0.2">
      <c r="B69" s="20"/>
      <c r="C69" s="4"/>
    </row>
    <row r="70" spans="2:21" x14ac:dyDescent="0.2">
      <c r="C70" s="4"/>
      <c r="T70" t="s">
        <v>178</v>
      </c>
      <c r="U70" s="55">
        <f>((U$5*(1-U$10)+U$15)*(1-U$20)+U$25)*(1-U$30)*(1-U$35)*U40</f>
        <v>1.6016649999999995E-3</v>
      </c>
    </row>
    <row r="72" spans="2:21" x14ac:dyDescent="0.2">
      <c r="T72" t="s">
        <v>179</v>
      </c>
      <c r="U72" s="55">
        <f>((U$5*(1-U$10)+U$15)*(1-U$20)+U$25)*(1-U$30)*(1-U$35)*(1-U$40)*U45</f>
        <v>28.187894534799984</v>
      </c>
    </row>
    <row r="74" spans="2:21" x14ac:dyDescent="0.2">
      <c r="T74" t="s">
        <v>180</v>
      </c>
      <c r="U74" s="55">
        <f>((U$5*(1-U$10)+U$15)*(1-U$20)+U$25)*(1-U$30)*(1-U$35)*(1-U$40)*(1-U$45)*U50</f>
        <v>3.8053657621980022</v>
      </c>
    </row>
  </sheetData>
  <mergeCells count="93">
    <mergeCell ref="Z2:AA2"/>
    <mergeCell ref="D7:F7"/>
    <mergeCell ref="H7:J7"/>
    <mergeCell ref="L7:N7"/>
    <mergeCell ref="P7:R7"/>
    <mergeCell ref="V7:W7"/>
    <mergeCell ref="X7:Y7"/>
    <mergeCell ref="Z7:AA7"/>
    <mergeCell ref="D2:F2"/>
    <mergeCell ref="H2:J2"/>
    <mergeCell ref="L2:N2"/>
    <mergeCell ref="V2:W2"/>
    <mergeCell ref="X2:Y2"/>
    <mergeCell ref="U1:U2"/>
    <mergeCell ref="AB7:AC7"/>
    <mergeCell ref="D12:F12"/>
    <mergeCell ref="H12:J12"/>
    <mergeCell ref="L12:N12"/>
    <mergeCell ref="V12:W12"/>
    <mergeCell ref="X12:Y12"/>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D37:F37"/>
    <mergeCell ref="H37:J37"/>
    <mergeCell ref="L37:N37"/>
    <mergeCell ref="V37:W37"/>
    <mergeCell ref="X37:Y37"/>
    <mergeCell ref="Z47:AA47"/>
    <mergeCell ref="D42:F42"/>
    <mergeCell ref="H42:J42"/>
    <mergeCell ref="L42:N42"/>
    <mergeCell ref="V42:W42"/>
    <mergeCell ref="X42:Y42"/>
    <mergeCell ref="D47:F47"/>
    <mergeCell ref="H47:J47"/>
    <mergeCell ref="L47:N47"/>
    <mergeCell ref="V47:W47"/>
    <mergeCell ref="X47:Y47"/>
    <mergeCell ref="B56:C56"/>
    <mergeCell ref="B58:C58"/>
    <mergeCell ref="B60:C60"/>
    <mergeCell ref="B2:B5"/>
    <mergeCell ref="B7:B10"/>
    <mergeCell ref="B12:B15"/>
    <mergeCell ref="B17:B20"/>
    <mergeCell ref="B22:B25"/>
    <mergeCell ref="B27:B30"/>
    <mergeCell ref="B32:B35"/>
    <mergeCell ref="B37:B40"/>
    <mergeCell ref="B42:B45"/>
    <mergeCell ref="B47:B50"/>
    <mergeCell ref="AE47:AE50"/>
    <mergeCell ref="AE2:AE5"/>
    <mergeCell ref="AE7:AE10"/>
    <mergeCell ref="AE12:AE15"/>
    <mergeCell ref="AE17:AE20"/>
    <mergeCell ref="AE22:AE25"/>
    <mergeCell ref="Z37:AA37"/>
    <mergeCell ref="AE27:AE30"/>
    <mergeCell ref="AE32:AE35"/>
    <mergeCell ref="AE37:AE40"/>
    <mergeCell ref="AE42:AE45"/>
    <mergeCell ref="Z42:AA4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2025-07-15T05:29:07Z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