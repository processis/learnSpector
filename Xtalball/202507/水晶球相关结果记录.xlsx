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GZNR\2025\五月\水晶球实验\"/>
    </mc:Choice>
  </mc:AlternateContent>
  <xr:revisionPtr revIDLastSave="0" documentId="13_ncr:1_{3421E2FA-AA19-4685-B802-4CFE258462D7}" xr6:coauthVersionLast="47" xr6:coauthVersionMax="47" xr10:uidLastSave="{00000000-0000-0000-0000-000000000000}"/>
  <bookViews>
    <workbookView xWindow="-120" yWindow="-120" windowWidth="24240" windowHeight="15000" firstSheet="7" activeTab="9" xr2:uid="{00000000-000D-0000-FFFF-FFFF00000000}"/>
  </bookViews>
  <sheets>
    <sheet name="原始数据表" sheetId="1" r:id="rId1"/>
    <sheet name="consen数据" sheetId="2" r:id="rId2"/>
    <sheet name="某家公司演示数据" sheetId="3" r:id="rId3"/>
    <sheet name="MA3数据" sheetId="4" r:id="rId4"/>
    <sheet name="自创数据1" sheetId="6" r:id="rId5"/>
    <sheet name="自创数据2" sheetId="7" r:id="rId6"/>
    <sheet name="3R中间不变两边间距变大(百分比）" sheetId="8" r:id="rId7"/>
    <sheet name="3R中间不变两边间距变小（百分比）" sheetId="10" r:id="rId8"/>
    <sheet name="3R中间不变两边间距变大(数据） " sheetId="11" r:id="rId9"/>
    <sheet name="3R中间不变两边间距变小(数据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2" l="1"/>
  <c r="D15" i="12"/>
  <c r="D14" i="12"/>
  <c r="D15" i="11"/>
  <c r="D14" i="11"/>
  <c r="F11" i="12"/>
  <c r="F10" i="12"/>
  <c r="F9" i="12"/>
  <c r="J7" i="12"/>
  <c r="F7" i="12"/>
  <c r="J6" i="12"/>
  <c r="F6" i="12"/>
  <c r="J5" i="12"/>
  <c r="F5" i="12"/>
  <c r="F4" i="12"/>
  <c r="F3" i="12"/>
  <c r="F2" i="12"/>
  <c r="D16" i="11"/>
  <c r="E14" i="11"/>
  <c r="G14" i="11" s="1"/>
  <c r="F11" i="11"/>
  <c r="F10" i="11"/>
  <c r="F9" i="11"/>
  <c r="J7" i="11"/>
  <c r="F7" i="11"/>
  <c r="J6" i="11"/>
  <c r="F6" i="11"/>
  <c r="J5" i="11"/>
  <c r="F5" i="11"/>
  <c r="F4" i="11"/>
  <c r="F3" i="11"/>
  <c r="F2" i="11"/>
  <c r="E16" i="12" l="1"/>
  <c r="G16" i="12" s="1"/>
  <c r="E15" i="12"/>
  <c r="F15" i="12"/>
  <c r="G15" i="12"/>
  <c r="E14" i="12"/>
  <c r="E16" i="11"/>
  <c r="G16" i="11"/>
  <c r="F16" i="11"/>
  <c r="E15" i="11"/>
  <c r="F14" i="11"/>
  <c r="F16" i="12" l="1"/>
  <c r="F14" i="12"/>
  <c r="G14" i="12"/>
  <c r="G15" i="11"/>
  <c r="F15" i="11"/>
  <c r="D16" i="10" l="1"/>
  <c r="E16" i="10" s="1"/>
  <c r="D14" i="10"/>
  <c r="D15" i="10"/>
  <c r="E14" i="10"/>
  <c r="G14" i="10" s="1"/>
  <c r="F11" i="10"/>
  <c r="F10" i="10"/>
  <c r="F9" i="10"/>
  <c r="J7" i="10"/>
  <c r="F7" i="10"/>
  <c r="J6" i="10"/>
  <c r="F6" i="10"/>
  <c r="J5" i="10"/>
  <c r="F5" i="10"/>
  <c r="F4" i="10"/>
  <c r="F3" i="10"/>
  <c r="F2" i="10"/>
  <c r="J6" i="8"/>
  <c r="J7" i="8"/>
  <c r="J5" i="8"/>
  <c r="G15" i="8"/>
  <c r="G16" i="8"/>
  <c r="G14" i="8"/>
  <c r="F14" i="8"/>
  <c r="F15" i="8"/>
  <c r="F16" i="8"/>
  <c r="E16" i="8"/>
  <c r="D16" i="8"/>
  <c r="E15" i="8"/>
  <c r="D15" i="8"/>
  <c r="E14" i="8"/>
  <c r="D14" i="8"/>
  <c r="F10" i="8"/>
  <c r="F11" i="8"/>
  <c r="F9" i="8"/>
  <c r="F3" i="8"/>
  <c r="F4" i="8"/>
  <c r="F5" i="8"/>
  <c r="F6" i="8"/>
  <c r="F7" i="8"/>
  <c r="F2" i="8"/>
  <c r="G16" i="10" l="1"/>
  <c r="F16" i="10"/>
  <c r="F14" i="10"/>
  <c r="E15" i="10"/>
  <c r="F15" i="10" l="1"/>
  <c r="G15" i="10"/>
  <c r="H6" i="4" l="1"/>
  <c r="H5" i="4"/>
  <c r="H7" i="4"/>
  <c r="H18" i="7"/>
  <c r="H19" i="7"/>
  <c r="H17" i="7"/>
  <c r="G18" i="7"/>
  <c r="G19" i="7"/>
  <c r="G17" i="7"/>
  <c r="F19" i="7"/>
  <c r="F18" i="7"/>
  <c r="E19" i="7"/>
  <c r="H17" i="6" l="1"/>
  <c r="H18" i="6"/>
  <c r="G17" i="6"/>
  <c r="G18" i="6"/>
  <c r="F18" i="6"/>
  <c r="F17" i="6"/>
  <c r="H16" i="6"/>
  <c r="G16" i="6"/>
  <c r="F16" i="4" l="1"/>
  <c r="H16" i="4" s="1"/>
  <c r="F15" i="4"/>
  <c r="G14" i="4"/>
  <c r="H14" i="4"/>
  <c r="G16" i="4" l="1"/>
  <c r="H15" i="4"/>
  <c r="G15" i="4"/>
  <c r="F10" i="7" l="1"/>
  <c r="F11" i="7"/>
  <c r="F9" i="7"/>
  <c r="F3" i="7"/>
  <c r="F4" i="7"/>
  <c r="F5" i="7"/>
  <c r="F6" i="7"/>
  <c r="F7" i="7"/>
  <c r="F2" i="7"/>
  <c r="F10" i="6"/>
  <c r="F11" i="6"/>
  <c r="F9" i="6"/>
  <c r="F3" i="6"/>
  <c r="F4" i="6"/>
  <c r="F5" i="6"/>
  <c r="F6" i="6"/>
  <c r="F7" i="6"/>
  <c r="F2" i="6"/>
  <c r="G3" i="4"/>
  <c r="G4" i="4"/>
  <c r="G5" i="4"/>
  <c r="G6" i="4"/>
  <c r="G7" i="4"/>
  <c r="G8" i="4"/>
  <c r="G9" i="4"/>
  <c r="G10" i="4"/>
  <c r="G2" i="4"/>
  <c r="E10" i="2"/>
  <c r="E11" i="2"/>
  <c r="E9" i="2"/>
  <c r="E10" i="3"/>
  <c r="E11" i="3"/>
  <c r="E9" i="3"/>
  <c r="E3" i="3"/>
  <c r="E4" i="3"/>
  <c r="E5" i="3"/>
  <c r="E6" i="3"/>
  <c r="E7" i="3"/>
  <c r="E2" i="3"/>
  <c r="J3" i="2" l="1"/>
  <c r="J4" i="2"/>
  <c r="J5" i="2"/>
  <c r="J6" i="2"/>
  <c r="J7" i="2"/>
  <c r="J2" i="2"/>
  <c r="E3" i="2"/>
  <c r="E4" i="2"/>
  <c r="E5" i="2"/>
  <c r="E6" i="2"/>
  <c r="E7" i="2"/>
  <c r="E2" i="2"/>
  <c r="F10" i="1"/>
  <c r="F11" i="1"/>
  <c r="F9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<sst xmlns="http://schemas.openxmlformats.org/spreadsheetml/2006/main" count="174" uniqueCount="24">
  <si>
    <t>水晶球元数据start</t>
    <phoneticPr fontId="1" type="noConversion"/>
  </si>
  <si>
    <t>AT</t>
    <phoneticPr fontId="1" type="noConversion"/>
  </si>
  <si>
    <t>ST</t>
    <phoneticPr fontId="1" type="noConversion"/>
  </si>
  <si>
    <t>UT</t>
    <phoneticPr fontId="1" type="noConversion"/>
  </si>
  <si>
    <t>CR</t>
    <phoneticPr fontId="1" type="noConversion"/>
  </si>
  <si>
    <t>DR</t>
    <phoneticPr fontId="1" type="noConversion"/>
  </si>
  <si>
    <t>RR</t>
    <phoneticPr fontId="1" type="noConversion"/>
  </si>
  <si>
    <t>OVERGAL</t>
    <phoneticPr fontId="1" type="noConversion"/>
  </si>
  <si>
    <t>QUALITY</t>
    <phoneticPr fontId="1" type="noConversion"/>
  </si>
  <si>
    <t>EFFORT</t>
    <phoneticPr fontId="1" type="noConversion"/>
  </si>
  <si>
    <t>均值</t>
    <phoneticPr fontId="1" type="noConversion"/>
  </si>
  <si>
    <t>START</t>
    <phoneticPr fontId="1" type="noConversion"/>
  </si>
  <si>
    <t>优化</t>
    <phoneticPr fontId="1" type="noConversion"/>
  </si>
  <si>
    <t>$221,85</t>
  </si>
  <si>
    <t>尝试1：</t>
    <phoneticPr fontId="1" type="noConversion"/>
  </si>
  <si>
    <t>RR</t>
    <phoneticPr fontId="1" type="noConversion"/>
  </si>
  <si>
    <t>DR</t>
    <phoneticPr fontId="1" type="noConversion"/>
  </si>
  <si>
    <t>CR</t>
    <phoneticPr fontId="1" type="noConversion"/>
  </si>
  <si>
    <t>标准差</t>
    <phoneticPr fontId="1" type="noConversion"/>
  </si>
  <si>
    <t>负三个标准差</t>
    <phoneticPr fontId="1" type="noConversion"/>
  </si>
  <si>
    <t>正三个标准差</t>
    <phoneticPr fontId="1" type="noConversion"/>
  </si>
  <si>
    <t>相乘后平方</t>
    <phoneticPr fontId="1" type="noConversion"/>
  </si>
  <si>
    <t>除以6</t>
    <phoneticPr fontId="1" type="noConversion"/>
  </si>
  <si>
    <t>除以6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</si>
</sst>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4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11</xdr:col>
      <xdr:colOff>427886</xdr:colOff>
      <xdr:row>52</xdr:row>
      <xdr:rowOff>75376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44EA12A-3084-4BDF-860E-C48D0F23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895600"/>
          <a:ext cx="5914286" cy="6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15" zoomScaleNormal="115" workbookViewId="0">
      <selection activeCell="E27" sqref="E27"/>
    </sheetView>
  </sheetViews>
  <sheetFormatPr defaultRowHeight="14.25" x14ac:dyDescent="0.2"/>
  <sheetData>
    <row r="1" spans="1:8" x14ac:dyDescent="0.2">
      <c r="A1" t="s">
        <v>0</v>
      </c>
      <c r="F1" t="s">
        <v>10</v>
      </c>
    </row>
    <row r="2" spans="1:8" x14ac:dyDescent="0.2">
      <c r="B2" t="s">
        <v>1</v>
      </c>
      <c r="C2">
        <v>2.75</v>
      </c>
      <c r="D2">
        <v>4.93</v>
      </c>
      <c r="F2">
        <f>(C2+D2)/2</f>
        <v>3.84</v>
      </c>
      <c r="H2" s="2">
        <v>3.8</v>
      </c>
    </row>
    <row r="3" spans="1:8" x14ac:dyDescent="0.2">
      <c r="B3" t="s">
        <v>2</v>
      </c>
      <c r="C3">
        <v>24.96</v>
      </c>
      <c r="D3">
        <v>31.41</v>
      </c>
      <c r="F3">
        <f t="shared" ref="F3:F11" si="0">(C3+D3)/2</f>
        <v>28.185000000000002</v>
      </c>
      <c r="H3" s="2">
        <v>28.18</v>
      </c>
    </row>
    <row r="4" spans="1:8" x14ac:dyDescent="0.2">
      <c r="B4" t="s">
        <v>3</v>
      </c>
      <c r="C4">
        <v>15.11</v>
      </c>
      <c r="D4">
        <v>19.63</v>
      </c>
      <c r="F4">
        <f t="shared" si="0"/>
        <v>17.369999999999997</v>
      </c>
      <c r="H4" s="2">
        <v>17.25</v>
      </c>
    </row>
    <row r="5" spans="1:8" x14ac:dyDescent="0.2">
      <c r="B5" t="s">
        <v>4</v>
      </c>
      <c r="C5">
        <v>8.73</v>
      </c>
      <c r="D5">
        <v>13.05</v>
      </c>
      <c r="F5">
        <f t="shared" si="0"/>
        <v>10.89</v>
      </c>
      <c r="H5" s="2">
        <v>10.81</v>
      </c>
    </row>
    <row r="6" spans="1:8" x14ac:dyDescent="0.2">
      <c r="B6" t="s">
        <v>5</v>
      </c>
      <c r="C6">
        <v>1.89</v>
      </c>
      <c r="D6">
        <v>3.97</v>
      </c>
      <c r="F6">
        <f t="shared" si="0"/>
        <v>2.93</v>
      </c>
      <c r="H6" s="2">
        <v>2.9</v>
      </c>
    </row>
    <row r="7" spans="1:8" x14ac:dyDescent="0.2">
      <c r="B7" t="s">
        <v>6</v>
      </c>
      <c r="C7">
        <v>0.59</v>
      </c>
      <c r="D7">
        <v>1.5</v>
      </c>
      <c r="F7">
        <f t="shared" si="0"/>
        <v>1.0449999999999999</v>
      </c>
      <c r="H7" s="2">
        <v>1</v>
      </c>
    </row>
    <row r="9" spans="1:8" x14ac:dyDescent="0.2">
      <c r="B9" t="s">
        <v>7</v>
      </c>
      <c r="C9" s="1">
        <v>803869</v>
      </c>
      <c r="D9" s="1">
        <v>917138</v>
      </c>
      <c r="F9">
        <f t="shared" si="0"/>
        <v>860503.5</v>
      </c>
    </row>
    <row r="10" spans="1:8" x14ac:dyDescent="0.2">
      <c r="B10" t="s">
        <v>8</v>
      </c>
      <c r="C10" s="1">
        <v>297514</v>
      </c>
      <c r="D10" s="1">
        <v>381368</v>
      </c>
      <c r="F10">
        <f t="shared" si="0"/>
        <v>339441</v>
      </c>
    </row>
    <row r="11" spans="1:8" x14ac:dyDescent="0.2">
      <c r="B11" t="s">
        <v>9</v>
      </c>
      <c r="C11" s="1">
        <v>488488</v>
      </c>
      <c r="D11" s="1">
        <v>559302</v>
      </c>
      <c r="F11">
        <f t="shared" si="0"/>
        <v>523895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F1DE-8CB1-4C63-8589-0204A1019D46}">
  <dimension ref="A1:J11"/>
  <sheetViews>
    <sheetView zoomScale="115" zoomScaleNormal="115" workbookViewId="0">
      <selection sqref="A1:B11"/>
    </sheetView>
  </sheetViews>
  <sheetFormatPr defaultRowHeight="14.25" x14ac:dyDescent="0.2"/>
  <sheetData>
    <row r="1" spans="1:10" x14ac:dyDescent="0.2">
      <c r="A1" t="s">
        <v>11</v>
      </c>
      <c r="E1" t="s">
        <v>10</v>
      </c>
      <c r="G1" t="s">
        <v>12</v>
      </c>
      <c r="J1" t="s">
        <v>10</v>
      </c>
    </row>
    <row r="2" spans="1:10" x14ac:dyDescent="0.2">
      <c r="B2" t="s">
        <v>1</v>
      </c>
      <c r="C2">
        <v>-0.26</v>
      </c>
      <c r="D2">
        <v>0.47</v>
      </c>
      <c r="E2">
        <f>(C2+D2)/2</f>
        <v>0.10499999999999998</v>
      </c>
      <c r="F2" s="2">
        <v>0.28000000000000003</v>
      </c>
      <c r="H2">
        <v>-0.22</v>
      </c>
      <c r="I2">
        <v>0.35</v>
      </c>
      <c r="J2">
        <f>(H2+I2)/2</f>
        <v>6.4999999999999988E-2</v>
      </c>
    </row>
    <row r="3" spans="1:10" x14ac:dyDescent="0.2">
      <c r="B3" t="s">
        <v>2</v>
      </c>
      <c r="C3">
        <v>19.41</v>
      </c>
      <c r="D3">
        <v>24.67</v>
      </c>
      <c r="E3">
        <f t="shared" ref="E3:E11" si="0">(C3+D3)/2</f>
        <v>22.04</v>
      </c>
      <c r="F3" s="2">
        <v>21.76</v>
      </c>
      <c r="H3">
        <v>13.94</v>
      </c>
      <c r="I3">
        <v>18.11</v>
      </c>
      <c r="J3">
        <f t="shared" ref="J3:J7" si="1">(H3+I3)/2</f>
        <v>16.024999999999999</v>
      </c>
    </row>
    <row r="4" spans="1:10" x14ac:dyDescent="0.2">
      <c r="B4" t="s">
        <v>3</v>
      </c>
      <c r="C4">
        <v>14.87</v>
      </c>
      <c r="D4">
        <v>19.420000000000002</v>
      </c>
      <c r="E4">
        <f t="shared" si="0"/>
        <v>17.145</v>
      </c>
      <c r="F4" s="2">
        <v>16.97</v>
      </c>
      <c r="H4">
        <v>10.8</v>
      </c>
      <c r="I4">
        <v>14.19</v>
      </c>
      <c r="J4">
        <f t="shared" si="1"/>
        <v>12.495000000000001</v>
      </c>
    </row>
    <row r="5" spans="1:10" x14ac:dyDescent="0.2">
      <c r="B5" t="s">
        <v>4</v>
      </c>
      <c r="C5">
        <v>8.9499999999999993</v>
      </c>
      <c r="D5">
        <v>13.13</v>
      </c>
      <c r="E5">
        <f t="shared" si="0"/>
        <v>11.04</v>
      </c>
      <c r="F5" s="2">
        <v>11</v>
      </c>
      <c r="H5">
        <v>6.58</v>
      </c>
      <c r="I5">
        <v>9.4700000000000006</v>
      </c>
      <c r="J5">
        <f t="shared" si="1"/>
        <v>8.0250000000000004</v>
      </c>
    </row>
    <row r="6" spans="1:10" x14ac:dyDescent="0.2">
      <c r="B6" t="s">
        <v>5</v>
      </c>
      <c r="C6">
        <v>1.98</v>
      </c>
      <c r="D6">
        <v>4.01</v>
      </c>
      <c r="E6">
        <f t="shared" si="0"/>
        <v>2.9950000000000001</v>
      </c>
      <c r="F6" s="2">
        <v>2.9969999999999999</v>
      </c>
      <c r="H6">
        <v>13.79</v>
      </c>
      <c r="I6">
        <v>19.27</v>
      </c>
      <c r="J6">
        <f t="shared" si="1"/>
        <v>16.53</v>
      </c>
    </row>
    <row r="7" spans="1:10" x14ac:dyDescent="0.2">
      <c r="B7" t="s">
        <v>6</v>
      </c>
      <c r="C7">
        <v>0.51</v>
      </c>
      <c r="D7">
        <v>1.5</v>
      </c>
      <c r="E7">
        <f t="shared" si="0"/>
        <v>1.0049999999999999</v>
      </c>
      <c r="F7" s="2">
        <v>0.98</v>
      </c>
      <c r="H7">
        <v>0.52</v>
      </c>
      <c r="I7">
        <v>1.49</v>
      </c>
      <c r="J7">
        <f t="shared" si="1"/>
        <v>1.0049999999999999</v>
      </c>
    </row>
    <row r="9" spans="1:10" x14ac:dyDescent="0.2">
      <c r="B9" t="s">
        <v>7</v>
      </c>
      <c r="C9" s="1">
        <v>723483</v>
      </c>
      <c r="D9" s="1">
        <v>826769</v>
      </c>
      <c r="E9">
        <f t="shared" si="0"/>
        <v>775126</v>
      </c>
      <c r="F9" s="2">
        <v>729806</v>
      </c>
    </row>
    <row r="10" spans="1:10" x14ac:dyDescent="0.2">
      <c r="B10" t="s">
        <v>8</v>
      </c>
      <c r="C10" s="1">
        <v>219270</v>
      </c>
      <c r="D10" s="1">
        <v>287351</v>
      </c>
      <c r="E10">
        <f t="shared" si="0"/>
        <v>253310.5</v>
      </c>
      <c r="F10" s="2">
        <v>228869</v>
      </c>
    </row>
    <row r="11" spans="1:10" x14ac:dyDescent="0.2">
      <c r="B11" t="s">
        <v>9</v>
      </c>
      <c r="C11" s="1">
        <v>486830</v>
      </c>
      <c r="D11" s="1">
        <v>558395</v>
      </c>
      <c r="E11">
        <f t="shared" si="0"/>
        <v>522612.5</v>
      </c>
      <c r="F11" s="2">
        <v>500937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F3FA-F41E-4B86-A723-2B90EB183045}">
  <dimension ref="A1:G11"/>
  <sheetViews>
    <sheetView workbookViewId="0">
      <selection activeCell="K30" sqref="K30"/>
    </sheetView>
  </sheetViews>
  <sheetFormatPr defaultRowHeight="14.25" x14ac:dyDescent="0.2"/>
  <cols>
    <col min="4" max="4" width="9.375" bestFit="1" customWidth="1"/>
  </cols>
  <sheetData>
    <row r="1" spans="1:7" x14ac:dyDescent="0.2">
      <c r="A1" t="s">
        <v>11</v>
      </c>
      <c r="E1" t="s">
        <v>10</v>
      </c>
    </row>
    <row r="2" spans="1:7" x14ac:dyDescent="0.2">
      <c r="B2" t="s">
        <v>1</v>
      </c>
      <c r="C2">
        <v>3.38</v>
      </c>
      <c r="D2">
        <v>5.08</v>
      </c>
      <c r="E2">
        <f>(C2+D2)/2</f>
        <v>4.2300000000000004</v>
      </c>
      <c r="G2" s="2">
        <v>4.17</v>
      </c>
    </row>
    <row r="3" spans="1:7" x14ac:dyDescent="0.2">
      <c r="B3" t="s">
        <v>2</v>
      </c>
      <c r="C3">
        <v>20.05</v>
      </c>
      <c r="D3">
        <v>24.29</v>
      </c>
      <c r="E3">
        <f t="shared" ref="E3:E7" si="0">(C3+D3)/2</f>
        <v>22.17</v>
      </c>
      <c r="G3" s="2">
        <v>22.2</v>
      </c>
    </row>
    <row r="4" spans="1:7" x14ac:dyDescent="0.2">
      <c r="B4" t="s">
        <v>3</v>
      </c>
      <c r="C4">
        <v>15.19</v>
      </c>
      <c r="D4">
        <v>18.559999999999999</v>
      </c>
      <c r="E4">
        <f t="shared" si="0"/>
        <v>16.875</v>
      </c>
      <c r="G4" s="2">
        <v>16.87</v>
      </c>
    </row>
    <row r="5" spans="1:7" x14ac:dyDescent="0.2">
      <c r="B5" t="s">
        <v>4</v>
      </c>
      <c r="C5">
        <v>9.51</v>
      </c>
      <c r="D5">
        <v>12.13</v>
      </c>
      <c r="E5">
        <f t="shared" si="0"/>
        <v>10.82</v>
      </c>
      <c r="G5" s="2">
        <v>10.81</v>
      </c>
    </row>
    <row r="6" spans="1:7" x14ac:dyDescent="0.2">
      <c r="B6" t="s">
        <v>5</v>
      </c>
      <c r="C6">
        <v>1.92</v>
      </c>
      <c r="D6">
        <v>3.82</v>
      </c>
      <c r="E6">
        <f t="shared" si="0"/>
        <v>2.87</v>
      </c>
      <c r="G6" s="2">
        <v>2.94</v>
      </c>
    </row>
    <row r="7" spans="1:7" x14ac:dyDescent="0.2">
      <c r="B7" t="s">
        <v>6</v>
      </c>
      <c r="C7">
        <v>0.82</v>
      </c>
      <c r="D7">
        <v>1.18</v>
      </c>
      <c r="E7">
        <f t="shared" si="0"/>
        <v>1</v>
      </c>
      <c r="G7" s="2">
        <v>1</v>
      </c>
    </row>
    <row r="9" spans="1:7" x14ac:dyDescent="0.2">
      <c r="B9" t="s">
        <v>7</v>
      </c>
      <c r="C9" s="1">
        <v>676525</v>
      </c>
      <c r="D9" s="1">
        <v>820778</v>
      </c>
      <c r="E9">
        <f>(C9+D9)/2</f>
        <v>748651.5</v>
      </c>
      <c r="G9" s="2">
        <v>8.9321999999999999</v>
      </c>
    </row>
    <row r="10" spans="1:7" x14ac:dyDescent="0.2">
      <c r="B10" t="s">
        <v>8</v>
      </c>
      <c r="C10" t="s">
        <v>13</v>
      </c>
      <c r="D10" s="1">
        <v>286621</v>
      </c>
      <c r="E10" t="e">
        <f>(C10+D10)/2</f>
        <v>#VALUE!</v>
      </c>
      <c r="G10" s="2">
        <v>308385</v>
      </c>
    </row>
    <row r="11" spans="1:7" x14ac:dyDescent="0.2">
      <c r="B11" t="s">
        <v>9</v>
      </c>
      <c r="C11" s="1">
        <v>486986</v>
      </c>
      <c r="D11" s="1">
        <v>557681</v>
      </c>
      <c r="E11">
        <f t="shared" ref="E11" si="1">(C11+D11)/2</f>
        <v>522333.5</v>
      </c>
      <c r="G11" s="2">
        <v>500937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5F7C-8174-462D-B932-56B25272D0E6}">
  <dimension ref="A1:K16"/>
  <sheetViews>
    <sheetView zoomScale="145" zoomScaleNormal="145" workbookViewId="0">
      <selection activeCell="H5" sqref="H5"/>
    </sheetView>
  </sheetViews>
  <sheetFormatPr defaultRowHeight="14.25" x14ac:dyDescent="0.2"/>
  <cols>
    <col min="3" max="3" width="12.125" customWidth="1"/>
    <col min="4" max="5" width="12.75" customWidth="1"/>
    <col min="6" max="6" width="14.25" customWidth="1"/>
    <col min="7" max="7" width="13.25" customWidth="1"/>
  </cols>
  <sheetData>
    <row r="1" spans="1:11" x14ac:dyDescent="0.2">
      <c r="A1" t="s">
        <v>0</v>
      </c>
      <c r="G1" t="s">
        <v>10</v>
      </c>
      <c r="H1" t="s">
        <v>22</v>
      </c>
    </row>
    <row r="2" spans="1:11" x14ac:dyDescent="0.2">
      <c r="B2" t="s">
        <v>1</v>
      </c>
      <c r="C2">
        <v>2.67</v>
      </c>
      <c r="D2">
        <v>3.68</v>
      </c>
      <c r="G2">
        <f>(C2+D2)/2</f>
        <v>3.1749999999999998</v>
      </c>
      <c r="K2" s="2">
        <v>3.17</v>
      </c>
    </row>
    <row r="3" spans="1:11" x14ac:dyDescent="0.2">
      <c r="B3" t="s">
        <v>2</v>
      </c>
      <c r="C3">
        <v>7.3</v>
      </c>
      <c r="D3">
        <v>10.5</v>
      </c>
      <c r="G3">
        <f t="shared" ref="G3:G10" si="0">(C3+D3)/2</f>
        <v>8.9</v>
      </c>
      <c r="K3" s="2">
        <v>8.68</v>
      </c>
    </row>
    <row r="4" spans="1:11" x14ac:dyDescent="0.2">
      <c r="B4" t="s">
        <v>3</v>
      </c>
      <c r="C4">
        <v>10.4</v>
      </c>
      <c r="D4">
        <v>14.3</v>
      </c>
      <c r="G4">
        <f t="shared" si="0"/>
        <v>12.350000000000001</v>
      </c>
      <c r="K4" s="2">
        <v>12.29</v>
      </c>
    </row>
    <row r="5" spans="1:11" x14ac:dyDescent="0.2">
      <c r="B5" t="s">
        <v>4</v>
      </c>
      <c r="C5">
        <v>7.6</v>
      </c>
      <c r="D5">
        <v>10.4</v>
      </c>
      <c r="G5">
        <f t="shared" si="0"/>
        <v>9</v>
      </c>
      <c r="H5">
        <f>(D5-C5)/6</f>
        <v>0.46666666666666679</v>
      </c>
      <c r="K5" s="2">
        <v>8.94</v>
      </c>
    </row>
    <row r="6" spans="1:11" x14ac:dyDescent="0.2">
      <c r="B6" t="s">
        <v>5</v>
      </c>
      <c r="C6">
        <v>2.5</v>
      </c>
      <c r="D6">
        <v>5.6</v>
      </c>
      <c r="G6">
        <f t="shared" si="0"/>
        <v>4.05</v>
      </c>
      <c r="H6">
        <f>(D6-C6)/6</f>
        <v>0.51666666666666661</v>
      </c>
      <c r="K6" s="2">
        <v>3.75</v>
      </c>
    </row>
    <row r="7" spans="1:11" x14ac:dyDescent="0.2">
      <c r="B7" t="s">
        <v>6</v>
      </c>
      <c r="C7">
        <v>0.1</v>
      </c>
      <c r="D7">
        <v>2.2999999999999998</v>
      </c>
      <c r="G7">
        <f t="shared" si="0"/>
        <v>1.2</v>
      </c>
      <c r="H7">
        <f>(D7-C7)/6</f>
        <v>0.36666666666666664</v>
      </c>
      <c r="K7" s="2">
        <v>1.29</v>
      </c>
    </row>
    <row r="8" spans="1:11" x14ac:dyDescent="0.2">
      <c r="B8" t="s">
        <v>7</v>
      </c>
      <c r="C8" s="1">
        <v>535073</v>
      </c>
      <c r="D8" s="1">
        <v>907343</v>
      </c>
      <c r="E8" s="1"/>
      <c r="G8">
        <f t="shared" si="0"/>
        <v>721208</v>
      </c>
      <c r="I8" s="2">
        <v>697390</v>
      </c>
    </row>
    <row r="9" spans="1:11" x14ac:dyDescent="0.2">
      <c r="B9" t="s">
        <v>8</v>
      </c>
      <c r="C9" s="1">
        <v>157682</v>
      </c>
      <c r="D9" s="1">
        <v>233290</v>
      </c>
      <c r="E9" s="1"/>
      <c r="G9">
        <f t="shared" si="0"/>
        <v>195486</v>
      </c>
      <c r="I9" s="2">
        <v>196452</v>
      </c>
    </row>
    <row r="10" spans="1:11" x14ac:dyDescent="0.2">
      <c r="B10" t="s">
        <v>9</v>
      </c>
      <c r="C10" s="1">
        <v>345920</v>
      </c>
      <c r="D10" s="1">
        <v>700716</v>
      </c>
      <c r="E10" s="1"/>
      <c r="G10">
        <f t="shared" si="0"/>
        <v>523318</v>
      </c>
      <c r="I10" s="2">
        <v>500937</v>
      </c>
    </row>
    <row r="13" spans="1:11" x14ac:dyDescent="0.2">
      <c r="D13" t="s">
        <v>14</v>
      </c>
      <c r="E13" t="s">
        <v>21</v>
      </c>
      <c r="F13" t="s">
        <v>18</v>
      </c>
      <c r="G13" t="s">
        <v>19</v>
      </c>
      <c r="H13" t="s">
        <v>20</v>
      </c>
    </row>
    <row r="14" spans="1:11" x14ac:dyDescent="0.2">
      <c r="D14" t="s">
        <v>15</v>
      </c>
      <c r="E14">
        <v>3.9120000000000001E-7</v>
      </c>
      <c r="F14">
        <v>3.9120000000000001E-7</v>
      </c>
      <c r="G14">
        <f>K14-3*F14</f>
        <v>1.2899988264</v>
      </c>
      <c r="H14">
        <f>K14+3*F14</f>
        <v>1.2900011736000001</v>
      </c>
      <c r="K14" s="2">
        <v>1.29</v>
      </c>
    </row>
    <row r="15" spans="1:11" x14ac:dyDescent="0.2">
      <c r="D15" t="s">
        <v>16</v>
      </c>
      <c r="E15">
        <v>6.06E-7</v>
      </c>
      <c r="F15">
        <f>SQRT(E14+E15)</f>
        <v>9.9859901862559431E-4</v>
      </c>
      <c r="G15">
        <f>K15-3*F15</f>
        <v>3.7470042029441233</v>
      </c>
      <c r="H15">
        <f t="shared" ref="H15:H16" si="1">K15+3*F15</f>
        <v>3.7529957970558767</v>
      </c>
      <c r="K15" s="2">
        <v>3.75</v>
      </c>
    </row>
    <row r="16" spans="1:11" x14ac:dyDescent="0.2">
      <c r="D16" t="s">
        <v>17</v>
      </c>
      <c r="E16">
        <v>4.4444444444444406E-5</v>
      </c>
      <c r="F16">
        <f>SQRT(E15+E16)</f>
        <v>6.711962786282743E-3</v>
      </c>
      <c r="G16">
        <f>K16-3*F16</f>
        <v>8.9198641116411519</v>
      </c>
      <c r="H16">
        <f t="shared" si="1"/>
        <v>8.9601358883588471</v>
      </c>
      <c r="K16" s="2">
        <v>8.94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6531-B709-406E-B49B-C54A25FC12FB}">
  <dimension ref="A1:I18"/>
  <sheetViews>
    <sheetView zoomScale="145" zoomScaleNormal="145" workbookViewId="0">
      <selection activeCell="I16" sqref="I16:I18"/>
    </sheetView>
  </sheetViews>
  <sheetFormatPr defaultRowHeight="14.25" x14ac:dyDescent="0.2"/>
  <cols>
    <col min="4" max="4" width="12" customWidth="1"/>
    <col min="5" max="5" width="12.75" bestFit="1" customWidth="1"/>
    <col min="7" max="7" width="13" customWidth="1"/>
    <col min="8" max="8" width="14.375" customWidth="1"/>
  </cols>
  <sheetData>
    <row r="1" spans="1:9" x14ac:dyDescent="0.2">
      <c r="A1" t="s">
        <v>0</v>
      </c>
      <c r="F1" t="s">
        <v>10</v>
      </c>
    </row>
    <row r="2" spans="1:9" x14ac:dyDescent="0.2">
      <c r="B2" t="s">
        <v>1</v>
      </c>
      <c r="C2">
        <v>2.96</v>
      </c>
      <c r="D2">
        <v>3.67</v>
      </c>
      <c r="F2">
        <f>(C2+D2)/2</f>
        <v>3.3149999999999999</v>
      </c>
      <c r="H2" s="2">
        <v>3.4</v>
      </c>
    </row>
    <row r="3" spans="1:9" x14ac:dyDescent="0.2">
      <c r="B3" t="s">
        <v>2</v>
      </c>
      <c r="C3">
        <v>26.93</v>
      </c>
      <c r="D3">
        <v>33.36</v>
      </c>
      <c r="F3">
        <f t="shared" ref="F3:F11" si="0">(C3+D3)/2</f>
        <v>30.145</v>
      </c>
      <c r="H3" s="2">
        <v>29.76</v>
      </c>
    </row>
    <row r="4" spans="1:9" x14ac:dyDescent="0.2">
      <c r="B4" t="s">
        <v>3</v>
      </c>
      <c r="C4">
        <v>19.95</v>
      </c>
      <c r="D4">
        <v>24.74</v>
      </c>
      <c r="F4">
        <f t="shared" si="0"/>
        <v>22.344999999999999</v>
      </c>
      <c r="H4" s="2">
        <v>22.13</v>
      </c>
    </row>
    <row r="5" spans="1:9" x14ac:dyDescent="0.2">
      <c r="B5" t="s">
        <v>4</v>
      </c>
      <c r="C5">
        <v>14.06</v>
      </c>
      <c r="D5">
        <v>17.43</v>
      </c>
      <c r="F5">
        <f t="shared" si="0"/>
        <v>15.745000000000001</v>
      </c>
      <c r="H5" s="2">
        <v>15.6</v>
      </c>
    </row>
    <row r="6" spans="1:9" x14ac:dyDescent="0.2">
      <c r="B6" t="s">
        <v>5</v>
      </c>
      <c r="C6">
        <v>4.63</v>
      </c>
      <c r="D6">
        <v>6.82</v>
      </c>
      <c r="F6">
        <f t="shared" si="0"/>
        <v>5.7249999999999996</v>
      </c>
      <c r="H6" s="2">
        <v>5.66</v>
      </c>
    </row>
    <row r="7" spans="1:9" x14ac:dyDescent="0.2">
      <c r="B7" t="s">
        <v>6</v>
      </c>
      <c r="C7">
        <v>1.42</v>
      </c>
      <c r="D7">
        <v>3.11</v>
      </c>
      <c r="F7">
        <f t="shared" si="0"/>
        <v>2.2649999999999997</v>
      </c>
      <c r="H7" s="2">
        <v>2.25</v>
      </c>
    </row>
    <row r="9" spans="1:9" x14ac:dyDescent="0.2">
      <c r="B9" t="s">
        <v>7</v>
      </c>
      <c r="C9" s="1">
        <v>717852</v>
      </c>
      <c r="D9" s="1">
        <v>1086233</v>
      </c>
      <c r="F9">
        <f t="shared" si="0"/>
        <v>902042.5</v>
      </c>
      <c r="G9" s="2">
        <v>883379</v>
      </c>
    </row>
    <row r="10" spans="1:9" x14ac:dyDescent="0.2">
      <c r="B10" t="s">
        <v>8</v>
      </c>
      <c r="C10" s="1">
        <v>333193</v>
      </c>
      <c r="D10" s="1">
        <v>432574</v>
      </c>
      <c r="F10">
        <f t="shared" si="0"/>
        <v>382883.5</v>
      </c>
      <c r="G10" s="2">
        <v>382442</v>
      </c>
    </row>
    <row r="11" spans="1:9" x14ac:dyDescent="0.2">
      <c r="B11" t="s">
        <v>9</v>
      </c>
      <c r="C11" s="1">
        <v>341013</v>
      </c>
      <c r="D11" s="1">
        <v>693471</v>
      </c>
      <c r="F11">
        <f t="shared" si="0"/>
        <v>517242</v>
      </c>
      <c r="G11" s="2">
        <v>500937</v>
      </c>
    </row>
    <row r="15" spans="1:9" x14ac:dyDescent="0.2">
      <c r="D15" t="s">
        <v>14</v>
      </c>
      <c r="E15" t="s">
        <v>21</v>
      </c>
      <c r="F15" t="s">
        <v>18</v>
      </c>
      <c r="G15" t="s">
        <v>19</v>
      </c>
      <c r="H15" t="s">
        <v>20</v>
      </c>
    </row>
    <row r="16" spans="1:9" x14ac:dyDescent="0.2">
      <c r="D16" t="s">
        <v>15</v>
      </c>
      <c r="E16">
        <v>5.9599999999999999E-7</v>
      </c>
      <c r="F16">
        <v>5.9599999999999999E-7</v>
      </c>
      <c r="G16">
        <f>I16-3*F16</f>
        <v>2.2499982119999999</v>
      </c>
      <c r="H16">
        <f>I16+3*F16</f>
        <v>2.2500017880000001</v>
      </c>
      <c r="I16" s="2">
        <v>2.25</v>
      </c>
    </row>
    <row r="17" spans="4:9" x14ac:dyDescent="0.2">
      <c r="D17" t="s">
        <v>16</v>
      </c>
      <c r="E17">
        <v>5.9599999999999999E-7</v>
      </c>
      <c r="F17">
        <f>SQRT(E16+E17)</f>
        <v>1.0917875251164944E-3</v>
      </c>
      <c r="G17">
        <f t="shared" ref="G17:G18" si="1">I17-3*F17</f>
        <v>5.6567246374246505</v>
      </c>
      <c r="H17">
        <f t="shared" ref="H17:H18" si="2">I17+3*F17</f>
        <v>5.6632753625753498</v>
      </c>
      <c r="I17" s="2">
        <v>5.66</v>
      </c>
    </row>
    <row r="18" spans="4:9" x14ac:dyDescent="0.2">
      <c r="D18" t="s">
        <v>17</v>
      </c>
      <c r="E18">
        <v>1.6040000000000001E-7</v>
      </c>
      <c r="F18">
        <f>SQRT(E17+E18)</f>
        <v>8.6971259620635601E-4</v>
      </c>
      <c r="G18">
        <f t="shared" si="1"/>
        <v>15.59739086221138</v>
      </c>
      <c r="H18">
        <f t="shared" si="2"/>
        <v>15.602609137788619</v>
      </c>
      <c r="I18" s="2">
        <v>15.6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AC5B-EF8A-46E5-A11E-2C693FD45ACE}">
  <dimension ref="A1:J19"/>
  <sheetViews>
    <sheetView zoomScale="130" zoomScaleNormal="130" workbookViewId="0">
      <selection activeCell="I2" sqref="I2"/>
    </sheetView>
  </sheetViews>
  <sheetFormatPr defaultRowHeight="14.25" x14ac:dyDescent="0.2"/>
  <cols>
    <col min="4" max="4" width="13.375" customWidth="1"/>
    <col min="5" max="5" width="12.5" customWidth="1"/>
    <col min="7" max="7" width="12.875" customWidth="1"/>
    <col min="8" max="8" width="14" customWidth="1"/>
  </cols>
  <sheetData>
    <row r="1" spans="1:9" x14ac:dyDescent="0.2">
      <c r="A1" t="s">
        <v>0</v>
      </c>
      <c r="F1" t="s">
        <v>10</v>
      </c>
    </row>
    <row r="2" spans="1:9" x14ac:dyDescent="0.2">
      <c r="B2" t="s">
        <v>1</v>
      </c>
      <c r="C2">
        <v>4.5199999999999996</v>
      </c>
      <c r="D2">
        <v>5.87</v>
      </c>
      <c r="F2">
        <f>(C2+D2)/2</f>
        <v>5.1950000000000003</v>
      </c>
      <c r="I2" s="2">
        <v>5.25</v>
      </c>
    </row>
    <row r="3" spans="1:9" x14ac:dyDescent="0.2">
      <c r="B3" t="s">
        <v>2</v>
      </c>
      <c r="C3">
        <v>25.83</v>
      </c>
      <c r="D3">
        <v>33.51</v>
      </c>
      <c r="F3">
        <f t="shared" ref="F3:F11" si="0">(C3+D3)/2</f>
        <v>29.669999999999998</v>
      </c>
      <c r="I3" s="2">
        <v>30.04</v>
      </c>
    </row>
    <row r="4" spans="1:9" x14ac:dyDescent="0.2">
      <c r="B4" t="s">
        <v>3</v>
      </c>
      <c r="C4">
        <v>13</v>
      </c>
      <c r="D4">
        <v>16.899999999999999</v>
      </c>
      <c r="F4">
        <f t="shared" si="0"/>
        <v>14.95</v>
      </c>
      <c r="I4" s="2">
        <v>14.56</v>
      </c>
    </row>
    <row r="5" spans="1:9" x14ac:dyDescent="0.2">
      <c r="B5" t="s">
        <v>4</v>
      </c>
      <c r="C5">
        <v>9.5399999999999991</v>
      </c>
      <c r="D5">
        <v>12.34</v>
      </c>
      <c r="F5">
        <f t="shared" si="0"/>
        <v>10.94</v>
      </c>
      <c r="I5" s="2">
        <v>10.96</v>
      </c>
    </row>
    <row r="6" spans="1:9" x14ac:dyDescent="0.2">
      <c r="B6" t="s">
        <v>5</v>
      </c>
      <c r="C6">
        <v>4.38</v>
      </c>
      <c r="D6">
        <v>6.53</v>
      </c>
      <c r="F6">
        <f t="shared" si="0"/>
        <v>5.4550000000000001</v>
      </c>
      <c r="I6" s="2">
        <v>5.45</v>
      </c>
    </row>
    <row r="7" spans="1:9" x14ac:dyDescent="0.2">
      <c r="B7" t="s">
        <v>6</v>
      </c>
      <c r="C7">
        <v>0.98</v>
      </c>
      <c r="D7">
        <v>2.36</v>
      </c>
      <c r="F7">
        <f t="shared" si="0"/>
        <v>1.67</v>
      </c>
      <c r="I7" s="2">
        <v>1.69</v>
      </c>
    </row>
    <row r="9" spans="1:9" x14ac:dyDescent="0.2">
      <c r="B9" t="s">
        <v>7</v>
      </c>
      <c r="C9" s="1">
        <v>676525</v>
      </c>
      <c r="D9" s="1">
        <v>1065498</v>
      </c>
      <c r="F9">
        <f t="shared" si="0"/>
        <v>871011.5</v>
      </c>
      <c r="G9" s="2">
        <v>884063</v>
      </c>
    </row>
    <row r="10" spans="1:9" x14ac:dyDescent="0.2">
      <c r="B10" t="s">
        <v>8</v>
      </c>
      <c r="C10" s="1">
        <v>324270</v>
      </c>
      <c r="D10" s="1">
        <v>441172</v>
      </c>
      <c r="F10">
        <f t="shared" si="0"/>
        <v>382721</v>
      </c>
      <c r="G10" s="2">
        <v>383126</v>
      </c>
    </row>
    <row r="11" spans="1:9" x14ac:dyDescent="0.2">
      <c r="B11" t="s">
        <v>9</v>
      </c>
      <c r="C11" s="1">
        <v>351398</v>
      </c>
      <c r="D11" s="1">
        <v>692069</v>
      </c>
      <c r="F11">
        <f t="shared" si="0"/>
        <v>521733.5</v>
      </c>
      <c r="G11" s="2">
        <v>500937</v>
      </c>
    </row>
    <row r="16" spans="1:9" x14ac:dyDescent="0.2">
      <c r="D16" t="s">
        <v>14</v>
      </c>
      <c r="E16" t="s">
        <v>21</v>
      </c>
      <c r="F16" t="s">
        <v>18</v>
      </c>
      <c r="G16" t="s">
        <v>19</v>
      </c>
      <c r="H16" t="s">
        <v>20</v>
      </c>
    </row>
    <row r="17" spans="4:10" x14ac:dyDescent="0.2">
      <c r="D17" t="s">
        <v>15</v>
      </c>
      <c r="E17">
        <v>5.9599999999999999E-7</v>
      </c>
      <c r="F17">
        <v>5.9599999999999999E-7</v>
      </c>
      <c r="G17">
        <f>J17-3*F17</f>
        <v>1.6899982119999999</v>
      </c>
      <c r="H17">
        <f>J17+3*F17</f>
        <v>1.690001788</v>
      </c>
      <c r="J17" s="2">
        <v>1.69</v>
      </c>
    </row>
    <row r="18" spans="4:10" x14ac:dyDescent="0.2">
      <c r="D18" t="s">
        <v>16</v>
      </c>
      <c r="E18">
        <v>5.9599999999999999E-7</v>
      </c>
      <c r="F18">
        <f>SQRT(E17+E18)</f>
        <v>1.0917875251164944E-3</v>
      </c>
      <c r="G18">
        <f t="shared" ref="G18:G19" si="1">J18-3*F18</f>
        <v>5.4467246374246505</v>
      </c>
      <c r="H18">
        <f t="shared" ref="H18:H19" si="2">J18+3*F18</f>
        <v>5.4532753625753498</v>
      </c>
      <c r="J18" s="2">
        <v>5.45</v>
      </c>
    </row>
    <row r="19" spans="4:10" x14ac:dyDescent="0.2">
      <c r="D19" t="s">
        <v>17</v>
      </c>
      <c r="E19">
        <f>(0.000278*0.001111)^2</f>
        <v>9.5393264163999983E-14</v>
      </c>
      <c r="F19">
        <f>SQRT(E18+E19)</f>
        <v>7.720104244071217E-4</v>
      </c>
      <c r="G19">
        <f t="shared" si="1"/>
        <v>10.95768396872678</v>
      </c>
      <c r="H19">
        <f t="shared" si="2"/>
        <v>10.962316031273222</v>
      </c>
      <c r="J19" s="2">
        <v>10.96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5F99-5582-48E6-937C-85DE5C1FC2D0}">
  <dimension ref="A1:J16"/>
  <sheetViews>
    <sheetView zoomScale="115" zoomScaleNormal="115" workbookViewId="0">
      <selection activeCell="H27" sqref="H27"/>
    </sheetView>
  </sheetViews>
  <sheetFormatPr defaultRowHeight="14.25" x14ac:dyDescent="0.2"/>
  <cols>
    <col min="4" max="4" width="12.25" customWidth="1"/>
    <col min="6" max="6" width="14.25" customWidth="1"/>
  </cols>
  <sheetData>
    <row r="1" spans="1:10" x14ac:dyDescent="0.2">
      <c r="A1" t="s">
        <v>11</v>
      </c>
      <c r="F1" t="s">
        <v>10</v>
      </c>
      <c r="J1" t="s">
        <v>23</v>
      </c>
    </row>
    <row r="2" spans="1:10" x14ac:dyDescent="0.2">
      <c r="B2" t="s">
        <v>1</v>
      </c>
      <c r="C2">
        <v>3.26</v>
      </c>
      <c r="D2">
        <v>4.32</v>
      </c>
      <c r="F2">
        <f>(C2+D2)/2</f>
        <v>3.79</v>
      </c>
      <c r="H2" s="2">
        <v>3.8</v>
      </c>
    </row>
    <row r="3" spans="1:10" x14ac:dyDescent="0.2">
      <c r="B3" t="s">
        <v>2</v>
      </c>
      <c r="C3">
        <v>24.16</v>
      </c>
      <c r="D3">
        <v>32.04</v>
      </c>
      <c r="F3">
        <f t="shared" ref="F3:F11" si="0">(C3+D3)/2</f>
        <v>28.1</v>
      </c>
      <c r="H3" s="2">
        <v>28.18</v>
      </c>
    </row>
    <row r="4" spans="1:10" x14ac:dyDescent="0.2">
      <c r="B4" t="s">
        <v>3</v>
      </c>
      <c r="C4">
        <v>14.8</v>
      </c>
      <c r="D4">
        <v>19.600000000000001</v>
      </c>
      <c r="F4">
        <f t="shared" si="0"/>
        <v>17.200000000000003</v>
      </c>
      <c r="H4" s="2">
        <v>17.2</v>
      </c>
    </row>
    <row r="5" spans="1:10" x14ac:dyDescent="0.2">
      <c r="B5" t="s">
        <v>4</v>
      </c>
      <c r="C5">
        <v>9.2799999999999994</v>
      </c>
      <c r="D5">
        <v>12.32</v>
      </c>
      <c r="F5">
        <f t="shared" si="0"/>
        <v>10.8</v>
      </c>
      <c r="H5" s="2">
        <v>10.8</v>
      </c>
      <c r="J5">
        <f>(D5-C5)/6</f>
        <v>0.50666666666666682</v>
      </c>
    </row>
    <row r="6" spans="1:10" x14ac:dyDescent="0.2">
      <c r="B6" t="s">
        <v>5</v>
      </c>
      <c r="C6">
        <v>2.1800000000000002</v>
      </c>
      <c r="D6">
        <v>3.64</v>
      </c>
      <c r="F6">
        <f t="shared" si="0"/>
        <v>2.91</v>
      </c>
      <c r="H6" s="2">
        <v>2.9</v>
      </c>
      <c r="J6">
        <f t="shared" ref="J6:J7" si="1">(D6-C6)/6</f>
        <v>0.24333333333333332</v>
      </c>
    </row>
    <row r="7" spans="1:10" x14ac:dyDescent="0.2">
      <c r="B7" t="s">
        <v>6</v>
      </c>
      <c r="C7">
        <v>0.48</v>
      </c>
      <c r="D7">
        <v>1.59</v>
      </c>
      <c r="F7">
        <f t="shared" si="0"/>
        <v>1.0350000000000001</v>
      </c>
      <c r="H7" s="2">
        <v>1</v>
      </c>
      <c r="J7">
        <f t="shared" si="1"/>
        <v>0.18500000000000003</v>
      </c>
    </row>
    <row r="8" spans="1:10" x14ac:dyDescent="0.2">
      <c r="H8" s="2"/>
    </row>
    <row r="9" spans="1:10" x14ac:dyDescent="0.2">
      <c r="B9" t="s">
        <v>7</v>
      </c>
      <c r="C9" s="1">
        <v>676525</v>
      </c>
      <c r="D9" s="1">
        <v>1027298</v>
      </c>
      <c r="F9">
        <f t="shared" si="0"/>
        <v>851911.5</v>
      </c>
      <c r="H9" s="2">
        <v>838494</v>
      </c>
    </row>
    <row r="10" spans="1:10" x14ac:dyDescent="0.2">
      <c r="B10" t="s">
        <v>8</v>
      </c>
      <c r="C10" s="1">
        <v>285320</v>
      </c>
      <c r="D10" s="1">
        <v>389929</v>
      </c>
      <c r="F10">
        <f t="shared" si="0"/>
        <v>337624.5</v>
      </c>
      <c r="H10" s="2">
        <v>337577</v>
      </c>
    </row>
    <row r="11" spans="1:10" x14ac:dyDescent="0.2">
      <c r="B11" t="s">
        <v>9</v>
      </c>
      <c r="C11" s="1">
        <v>359089</v>
      </c>
      <c r="D11" s="1">
        <v>703942</v>
      </c>
      <c r="F11">
        <f t="shared" si="0"/>
        <v>531515.5</v>
      </c>
      <c r="H11" s="2">
        <v>500937</v>
      </c>
    </row>
    <row r="13" spans="1:10" x14ac:dyDescent="0.2">
      <c r="C13" t="s">
        <v>14</v>
      </c>
      <c r="D13" t="s">
        <v>21</v>
      </c>
      <c r="E13" t="s">
        <v>18</v>
      </c>
      <c r="F13" t="s">
        <v>19</v>
      </c>
      <c r="G13" t="s">
        <v>20</v>
      </c>
    </row>
    <row r="14" spans="1:10" x14ac:dyDescent="0.2">
      <c r="C14" t="s">
        <v>6</v>
      </c>
      <c r="D14">
        <f>(2.78*0.000544)^2</f>
        <v>2.2871117823999997E-6</v>
      </c>
      <c r="E14">
        <f>2.78*0.000544</f>
        <v>1.5123199999999999E-3</v>
      </c>
      <c r="F14">
        <f>I14-3*E14</f>
        <v>0.99546303999999997</v>
      </c>
      <c r="G14">
        <f>I14+3*E14</f>
        <v>1.00453696</v>
      </c>
      <c r="I14" s="2">
        <v>1</v>
      </c>
    </row>
    <row r="15" spans="1:10" x14ac:dyDescent="0.2">
      <c r="C15" t="s">
        <v>5</v>
      </c>
      <c r="D15">
        <f>(2.78*0.000544)^2</f>
        <v>2.2871117823999997E-6</v>
      </c>
      <c r="E15">
        <f>SQRT(D15+D14)</f>
        <v>2.138743454648079E-3</v>
      </c>
      <c r="F15">
        <f t="shared" ref="F15:F16" si="2">I15-3*E15</f>
        <v>2.8935837696360558</v>
      </c>
      <c r="G15">
        <f t="shared" ref="G15:G16" si="3">I15+3*E15</f>
        <v>2.906416230363944</v>
      </c>
      <c r="I15" s="2">
        <v>2.9</v>
      </c>
    </row>
    <row r="16" spans="1:10" x14ac:dyDescent="0.2">
      <c r="C16" t="s">
        <v>4</v>
      </c>
      <c r="D16">
        <f>(2.78+0.000711)^2</f>
        <v>7.7323536655209981</v>
      </c>
      <c r="E16">
        <f>SQRT(D15+D16)</f>
        <v>2.7807114112458309</v>
      </c>
      <c r="F16">
        <f t="shared" si="2"/>
        <v>2.4578657662625076</v>
      </c>
      <c r="G16">
        <f t="shared" si="3"/>
        <v>19.142134233737494</v>
      </c>
      <c r="I16" s="2">
        <v>10.8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6780-F5B3-4943-88E6-96E431D558A0}">
  <dimension ref="A1:J16"/>
  <sheetViews>
    <sheetView zoomScale="115" zoomScaleNormal="115" workbookViewId="0">
      <selection activeCell="G25" sqref="G25"/>
    </sheetView>
  </sheetViews>
  <sheetFormatPr defaultRowHeight="14.25" x14ac:dyDescent="0.2"/>
  <cols>
    <col min="4" max="4" width="12.25" customWidth="1"/>
    <col min="6" max="6" width="14.25" customWidth="1"/>
  </cols>
  <sheetData>
    <row r="1" spans="1:10" x14ac:dyDescent="0.2">
      <c r="A1" t="s">
        <v>11</v>
      </c>
      <c r="F1" t="s">
        <v>10</v>
      </c>
      <c r="J1" t="s">
        <v>23</v>
      </c>
    </row>
    <row r="2" spans="1:10" x14ac:dyDescent="0.2">
      <c r="B2" t="s">
        <v>1</v>
      </c>
      <c r="C2">
        <v>3.29</v>
      </c>
      <c r="D2">
        <v>4.33</v>
      </c>
      <c r="F2">
        <f>(C2+D2)/2</f>
        <v>3.81</v>
      </c>
      <c r="H2" s="2">
        <v>3.8</v>
      </c>
    </row>
    <row r="3" spans="1:10" x14ac:dyDescent="0.2">
      <c r="B3" t="s">
        <v>2</v>
      </c>
      <c r="C3">
        <v>24.43</v>
      </c>
      <c r="D3">
        <v>32.130000000000003</v>
      </c>
      <c r="F3">
        <f t="shared" ref="F3:F11" si="0">(C3+D3)/2</f>
        <v>28.28</v>
      </c>
      <c r="H3" s="2">
        <v>28.18</v>
      </c>
    </row>
    <row r="4" spans="1:10" x14ac:dyDescent="0.2">
      <c r="B4" t="s">
        <v>3</v>
      </c>
      <c r="C4">
        <v>14.94</v>
      </c>
      <c r="D4">
        <v>19.63</v>
      </c>
      <c r="F4">
        <f t="shared" si="0"/>
        <v>17.285</v>
      </c>
      <c r="H4" s="2">
        <v>17.2</v>
      </c>
    </row>
    <row r="5" spans="1:10" x14ac:dyDescent="0.2">
      <c r="B5" t="s">
        <v>4</v>
      </c>
      <c r="C5">
        <v>9.3800000000000008</v>
      </c>
      <c r="D5">
        <v>12.31</v>
      </c>
      <c r="F5">
        <f t="shared" si="0"/>
        <v>10.845000000000001</v>
      </c>
      <c r="H5" s="2">
        <v>10.8</v>
      </c>
      <c r="J5">
        <f>(D5-C5)/6</f>
        <v>0.48833333333333329</v>
      </c>
    </row>
    <row r="6" spans="1:10" x14ac:dyDescent="0.2">
      <c r="B6" t="s">
        <v>5</v>
      </c>
      <c r="C6">
        <v>2.17</v>
      </c>
      <c r="D6">
        <v>3.58</v>
      </c>
      <c r="F6">
        <f t="shared" si="0"/>
        <v>2.875</v>
      </c>
      <c r="H6" s="2">
        <v>2.9</v>
      </c>
      <c r="J6">
        <f t="shared" ref="J6:J7" si="1">(D6-C6)/6</f>
        <v>0.23500000000000001</v>
      </c>
    </row>
    <row r="7" spans="1:10" x14ac:dyDescent="0.2">
      <c r="B7" t="s">
        <v>6</v>
      </c>
      <c r="C7">
        <v>0.46</v>
      </c>
      <c r="D7">
        <v>1.55</v>
      </c>
      <c r="F7">
        <f t="shared" si="0"/>
        <v>1.0050000000000001</v>
      </c>
      <c r="H7" s="2">
        <v>1</v>
      </c>
      <c r="J7">
        <f t="shared" si="1"/>
        <v>0.18166666666666667</v>
      </c>
    </row>
    <row r="8" spans="1:10" x14ac:dyDescent="0.2">
      <c r="H8" s="2"/>
    </row>
    <row r="9" spans="1:10" x14ac:dyDescent="0.2">
      <c r="B9" t="s">
        <v>7</v>
      </c>
      <c r="C9" s="1">
        <v>676525</v>
      </c>
      <c r="D9" s="1">
        <v>1044634</v>
      </c>
      <c r="F9">
        <f t="shared" si="0"/>
        <v>860579.5</v>
      </c>
      <c r="H9" s="2">
        <v>838494</v>
      </c>
    </row>
    <row r="10" spans="1:10" x14ac:dyDescent="0.2">
      <c r="B10" t="s">
        <v>8</v>
      </c>
      <c r="C10" s="1">
        <v>287987</v>
      </c>
      <c r="D10" s="1">
        <v>389332</v>
      </c>
      <c r="F10">
        <f t="shared" si="0"/>
        <v>338659.5</v>
      </c>
      <c r="H10" s="2">
        <v>337577</v>
      </c>
    </row>
    <row r="11" spans="1:10" x14ac:dyDescent="0.2">
      <c r="B11" t="s">
        <v>9</v>
      </c>
      <c r="C11" s="1">
        <v>351276</v>
      </c>
      <c r="D11" s="1">
        <v>697139</v>
      </c>
      <c r="F11">
        <f t="shared" si="0"/>
        <v>524207.5</v>
      </c>
      <c r="H11" s="2">
        <v>500937</v>
      </c>
    </row>
    <row r="13" spans="1:10" x14ac:dyDescent="0.2">
      <c r="C13" t="s">
        <v>14</v>
      </c>
      <c r="D13" t="s">
        <v>21</v>
      </c>
      <c r="E13" t="s">
        <v>18</v>
      </c>
      <c r="F13" t="s">
        <v>19</v>
      </c>
      <c r="G13" t="s">
        <v>20</v>
      </c>
    </row>
    <row r="14" spans="1:10" x14ac:dyDescent="0.2">
      <c r="C14" t="s">
        <v>6</v>
      </c>
      <c r="D14">
        <f>(2.78*0.000444)^2</f>
        <v>1.5235458623999997E-6</v>
      </c>
      <c r="E14">
        <f>2.78*0.000544</f>
        <v>1.5123199999999999E-3</v>
      </c>
      <c r="F14">
        <f>I14-3*E14</f>
        <v>0.99546303999999997</v>
      </c>
      <c r="G14">
        <f>I14+3*E14</f>
        <v>1.00453696</v>
      </c>
      <c r="I14" s="2">
        <v>1</v>
      </c>
    </row>
    <row r="15" spans="1:10" x14ac:dyDescent="0.2">
      <c r="C15" t="s">
        <v>5</v>
      </c>
      <c r="D15">
        <f>(2.78*0.000444)^2</f>
        <v>1.5235458623999997E-6</v>
      </c>
      <c r="E15">
        <f>SQRT(D15+D14)</f>
        <v>1.7455920843083585E-3</v>
      </c>
      <c r="F15">
        <f t="shared" ref="F15:F16" si="2">I15-3*E15</f>
        <v>2.8947632237470748</v>
      </c>
      <c r="G15">
        <f t="shared" ref="G15:G16" si="3">I15+3*E15</f>
        <v>2.905236776252925</v>
      </c>
      <c r="I15" s="2">
        <v>2.9</v>
      </c>
    </row>
    <row r="16" spans="1:10" x14ac:dyDescent="0.2">
      <c r="C16" t="s">
        <v>4</v>
      </c>
      <c r="D16">
        <f>(2.78+0.0001)^2</f>
        <v>7.7289560100000001</v>
      </c>
      <c r="E16">
        <f>SQRT(D15+D16)</f>
        <v>2.78010027400917</v>
      </c>
      <c r="F16">
        <f t="shared" si="2"/>
        <v>2.4596991779724906</v>
      </c>
      <c r="G16">
        <f t="shared" si="3"/>
        <v>19.140300822027513</v>
      </c>
      <c r="I16" s="2">
        <v>10.8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882B-C6C1-4C02-ACDB-DDA61A9AA057}">
  <dimension ref="A1:J16"/>
  <sheetViews>
    <sheetView zoomScale="115" zoomScaleNormal="115" workbookViewId="0">
      <selection activeCell="D14" sqref="D14"/>
    </sheetView>
  </sheetViews>
  <sheetFormatPr defaultRowHeight="14.25" x14ac:dyDescent="0.2"/>
  <cols>
    <col min="4" max="4" width="12.25" customWidth="1"/>
    <col min="6" max="6" width="14.25" customWidth="1"/>
  </cols>
  <sheetData>
    <row r="1" spans="1:10" x14ac:dyDescent="0.2">
      <c r="A1" t="s">
        <v>11</v>
      </c>
      <c r="F1" t="s">
        <v>10</v>
      </c>
      <c r="J1" t="s">
        <v>22</v>
      </c>
    </row>
    <row r="2" spans="1:10" x14ac:dyDescent="0.2">
      <c r="B2" t="s">
        <v>1</v>
      </c>
      <c r="C2">
        <v>1.7</v>
      </c>
      <c r="D2">
        <v>5.65</v>
      </c>
      <c r="F2">
        <f>(C2+D2)/2</f>
        <v>3.6750000000000003</v>
      </c>
      <c r="H2" s="2">
        <v>3.8</v>
      </c>
    </row>
    <row r="3" spans="1:10" x14ac:dyDescent="0.2">
      <c r="B3" t="s">
        <v>2</v>
      </c>
      <c r="C3">
        <v>12.63</v>
      </c>
      <c r="D3">
        <v>41.87</v>
      </c>
      <c r="F3">
        <f t="shared" ref="F3:F11" si="0">(C3+D3)/2</f>
        <v>27.25</v>
      </c>
      <c r="H3" s="2">
        <v>28.18</v>
      </c>
    </row>
    <row r="4" spans="1:10" x14ac:dyDescent="0.2">
      <c r="B4" t="s">
        <v>3</v>
      </c>
      <c r="C4">
        <v>7.73</v>
      </c>
      <c r="D4">
        <v>25.63</v>
      </c>
      <c r="F4">
        <f t="shared" si="0"/>
        <v>16.68</v>
      </c>
      <c r="H4" s="2">
        <v>17.2</v>
      </c>
    </row>
    <row r="5" spans="1:10" x14ac:dyDescent="0.2">
      <c r="B5" t="s">
        <v>4</v>
      </c>
      <c r="C5">
        <v>4.8600000000000003</v>
      </c>
      <c r="D5">
        <v>16.07</v>
      </c>
      <c r="F5">
        <f t="shared" si="0"/>
        <v>10.465</v>
      </c>
      <c r="H5" s="2">
        <v>10.8</v>
      </c>
      <c r="J5">
        <f>(D5-C5)/6</f>
        <v>1.8683333333333334</v>
      </c>
    </row>
    <row r="6" spans="1:10" x14ac:dyDescent="0.2">
      <c r="B6" t="s">
        <v>5</v>
      </c>
      <c r="C6">
        <v>0.55000000000000004</v>
      </c>
      <c r="D6">
        <v>5.29</v>
      </c>
      <c r="F6">
        <f t="shared" si="0"/>
        <v>2.92</v>
      </c>
      <c r="H6" s="2">
        <v>2.9</v>
      </c>
      <c r="J6">
        <f t="shared" ref="J6:J7" si="1">(D6-C6)/6</f>
        <v>0.79</v>
      </c>
    </row>
    <row r="7" spans="1:10" x14ac:dyDescent="0.2">
      <c r="B7" t="s">
        <v>6</v>
      </c>
      <c r="C7">
        <v>-0.69</v>
      </c>
      <c r="D7">
        <v>2.78</v>
      </c>
      <c r="F7">
        <f t="shared" si="0"/>
        <v>1.0449999999999999</v>
      </c>
      <c r="H7" s="2">
        <v>1</v>
      </c>
      <c r="J7">
        <f t="shared" si="1"/>
        <v>0.57833333333333325</v>
      </c>
    </row>
    <row r="8" spans="1:10" x14ac:dyDescent="0.2">
      <c r="H8" s="2"/>
    </row>
    <row r="9" spans="1:10" x14ac:dyDescent="0.2">
      <c r="B9" t="s">
        <v>7</v>
      </c>
      <c r="C9" s="1">
        <v>599425</v>
      </c>
      <c r="D9" s="1">
        <v>1092544</v>
      </c>
      <c r="F9">
        <f t="shared" si="0"/>
        <v>845984.5</v>
      </c>
      <c r="H9" s="2">
        <v>838494</v>
      </c>
    </row>
    <row r="10" spans="1:10" x14ac:dyDescent="0.2">
      <c r="B10" t="s">
        <v>8</v>
      </c>
      <c r="C10" s="1">
        <v>150412</v>
      </c>
      <c r="D10" s="1">
        <v>510881</v>
      </c>
      <c r="F10">
        <f t="shared" si="0"/>
        <v>330646.5</v>
      </c>
      <c r="H10" s="2">
        <v>337577</v>
      </c>
    </row>
    <row r="11" spans="1:10" x14ac:dyDescent="0.2">
      <c r="B11" t="s">
        <v>9</v>
      </c>
      <c r="C11" s="1">
        <v>338142</v>
      </c>
      <c r="D11" s="1">
        <v>683667</v>
      </c>
      <c r="F11">
        <f t="shared" si="0"/>
        <v>510904.5</v>
      </c>
      <c r="H11" s="2">
        <v>500937</v>
      </c>
    </row>
    <row r="13" spans="1:10" x14ac:dyDescent="0.2">
      <c r="C13" t="s">
        <v>14</v>
      </c>
      <c r="D13" t="s">
        <v>21</v>
      </c>
      <c r="E13" t="s">
        <v>18</v>
      </c>
      <c r="F13" t="s">
        <v>19</v>
      </c>
      <c r="G13" t="s">
        <v>20</v>
      </c>
    </row>
    <row r="14" spans="1:10" x14ac:dyDescent="0.2">
      <c r="C14" t="s">
        <v>6</v>
      </c>
      <c r="D14">
        <f>(9*0.000278)^2</f>
        <v>6.2600039999999995E-6</v>
      </c>
      <c r="E14">
        <f>SQRT(D14)</f>
        <v>2.5019999999999999E-3</v>
      </c>
      <c r="F14">
        <f>I14-3*E14</f>
        <v>0.99249399999999999</v>
      </c>
      <c r="G14">
        <f>I14+3*E14</f>
        <v>1.007506</v>
      </c>
      <c r="I14" s="2">
        <v>1</v>
      </c>
    </row>
    <row r="15" spans="1:10" x14ac:dyDescent="0.2">
      <c r="C15" t="s">
        <v>5</v>
      </c>
      <c r="D15">
        <f>(9*0.000278)^2</f>
        <v>6.2600039999999995E-6</v>
      </c>
      <c r="E15">
        <f>SQRT(D15+D14)</f>
        <v>3.5383623330574837E-3</v>
      </c>
      <c r="F15">
        <f t="shared" ref="F15:F16" si="2">I15-3*E15</f>
        <v>2.8893849130008276</v>
      </c>
      <c r="G15">
        <f t="shared" ref="G15:G16" si="3">I15+3*E15</f>
        <v>2.9106150869991723</v>
      </c>
      <c r="I15" s="2">
        <v>2.9</v>
      </c>
    </row>
    <row r="16" spans="1:10" x14ac:dyDescent="0.2">
      <c r="C16" t="s">
        <v>4</v>
      </c>
      <c r="D16">
        <f>(11.111*0.000278)^2</f>
        <v>9.5410437441639992E-6</v>
      </c>
      <c r="E16">
        <f>SQRT(D15+D16)</f>
        <v>3.9750531750108705E-3</v>
      </c>
      <c r="F16">
        <f t="shared" si="2"/>
        <v>10.788074840474968</v>
      </c>
      <c r="G16">
        <f t="shared" si="3"/>
        <v>10.811925159525034</v>
      </c>
      <c r="I16" s="2">
        <v>10.8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312F-068B-46C4-985F-9FE8B6CFD87F}">
  <dimension ref="A1:J16"/>
  <sheetViews>
    <sheetView tabSelected="1" zoomScale="115" zoomScaleNormal="115" workbookViewId="0">
      <selection activeCell="I23" sqref="I23"/>
    </sheetView>
  </sheetViews>
  <sheetFormatPr defaultRowHeight="14.25" x14ac:dyDescent="0.2"/>
  <cols>
    <col min="4" max="4" width="12.25" customWidth="1"/>
    <col min="6" max="6" width="14.25" customWidth="1"/>
  </cols>
  <sheetData>
    <row r="1" spans="1:10" x14ac:dyDescent="0.2">
      <c r="A1" t="s">
        <v>11</v>
      </c>
      <c r="F1" t="s">
        <v>10</v>
      </c>
      <c r="J1" t="s">
        <v>22</v>
      </c>
    </row>
    <row r="2" spans="1:10" x14ac:dyDescent="0.2">
      <c r="B2" t="s">
        <v>1</v>
      </c>
      <c r="C2">
        <v>3.78</v>
      </c>
      <c r="D2">
        <v>3.83</v>
      </c>
      <c r="F2">
        <f>(C2+D2)/2</f>
        <v>3.8049999999999997</v>
      </c>
      <c r="H2" s="2">
        <v>3.8</v>
      </c>
    </row>
    <row r="3" spans="1:10" x14ac:dyDescent="0.2">
      <c r="B3" t="s">
        <v>2</v>
      </c>
      <c r="C3">
        <v>28.03</v>
      </c>
      <c r="D3">
        <v>28.35</v>
      </c>
      <c r="F3">
        <f t="shared" ref="F3:F11" si="0">(C3+D3)/2</f>
        <v>28.19</v>
      </c>
      <c r="H3" s="2">
        <v>28.18</v>
      </c>
    </row>
    <row r="4" spans="1:10" x14ac:dyDescent="0.2">
      <c r="B4" t="s">
        <v>3</v>
      </c>
      <c r="C4">
        <v>17.16</v>
      </c>
      <c r="D4">
        <v>17.36</v>
      </c>
      <c r="F4">
        <f t="shared" si="0"/>
        <v>17.259999999999998</v>
      </c>
      <c r="H4" s="2">
        <v>17.2</v>
      </c>
    </row>
    <row r="5" spans="1:10" x14ac:dyDescent="0.2">
      <c r="B5" t="s">
        <v>4</v>
      </c>
      <c r="C5">
        <v>10.75</v>
      </c>
      <c r="D5">
        <v>10.89</v>
      </c>
      <c r="F5">
        <f t="shared" si="0"/>
        <v>10.82</v>
      </c>
      <c r="H5" s="2">
        <v>10.8</v>
      </c>
      <c r="J5">
        <f>(D5-C5)/6</f>
        <v>2.3333333333333428E-2</v>
      </c>
    </row>
    <row r="6" spans="1:10" x14ac:dyDescent="0.2">
      <c r="B6" t="s">
        <v>5</v>
      </c>
      <c r="C6">
        <v>2.87</v>
      </c>
      <c r="D6">
        <v>2.93</v>
      </c>
      <c r="F6">
        <f t="shared" si="0"/>
        <v>2.9000000000000004</v>
      </c>
      <c r="H6" s="2">
        <v>2.9</v>
      </c>
      <c r="J6">
        <f t="shared" ref="J6:J7" si="1">(D6-C6)/6</f>
        <v>1.0000000000000009E-2</v>
      </c>
    </row>
    <row r="7" spans="1:10" x14ac:dyDescent="0.2">
      <c r="B7" t="s">
        <v>6</v>
      </c>
      <c r="C7">
        <v>0.98</v>
      </c>
      <c r="D7">
        <v>1.02</v>
      </c>
      <c r="F7">
        <f t="shared" si="0"/>
        <v>1</v>
      </c>
      <c r="H7" s="2">
        <v>1</v>
      </c>
      <c r="J7">
        <f t="shared" si="1"/>
        <v>6.6666666666666723E-3</v>
      </c>
    </row>
    <row r="8" spans="1:10" x14ac:dyDescent="0.2">
      <c r="H8" s="2"/>
    </row>
    <row r="9" spans="1:10" x14ac:dyDescent="0.2">
      <c r="B9" t="s">
        <v>7</v>
      </c>
      <c r="C9" s="1">
        <v>676525</v>
      </c>
      <c r="D9" s="1">
        <v>1032190</v>
      </c>
      <c r="F9">
        <f t="shared" si="0"/>
        <v>854357.5</v>
      </c>
      <c r="H9" s="2">
        <v>838494</v>
      </c>
    </row>
    <row r="10" spans="1:10" x14ac:dyDescent="0.2">
      <c r="B10" t="s">
        <v>8</v>
      </c>
      <c r="C10" s="1">
        <v>315108</v>
      </c>
      <c r="D10" s="1">
        <v>359699</v>
      </c>
      <c r="F10">
        <f t="shared" si="0"/>
        <v>337403.5</v>
      </c>
      <c r="H10" s="2">
        <v>337577</v>
      </c>
    </row>
    <row r="11" spans="1:10" x14ac:dyDescent="0.2">
      <c r="B11" t="s">
        <v>9</v>
      </c>
      <c r="C11" s="1">
        <v>350561</v>
      </c>
      <c r="D11" s="1">
        <v>701987</v>
      </c>
      <c r="F11">
        <f t="shared" si="0"/>
        <v>526274</v>
      </c>
      <c r="H11" s="2">
        <v>500937</v>
      </c>
    </row>
    <row r="13" spans="1:10" x14ac:dyDescent="0.2">
      <c r="C13" t="s">
        <v>14</v>
      </c>
      <c r="D13" t="s">
        <v>21</v>
      </c>
      <c r="E13" t="s">
        <v>18</v>
      </c>
      <c r="F13" t="s">
        <v>19</v>
      </c>
      <c r="G13" t="s">
        <v>20</v>
      </c>
    </row>
    <row r="14" spans="1:10" x14ac:dyDescent="0.2">
      <c r="C14" t="s">
        <v>6</v>
      </c>
      <c r="D14">
        <f>(0.1111*0.000278)^2</f>
        <v>9.5393264164000014E-10</v>
      </c>
      <c r="E14">
        <f>SQRT(D14)</f>
        <v>3.0885800000000002E-5</v>
      </c>
      <c r="F14">
        <f>I14-3*E14</f>
        <v>0.99990734260000003</v>
      </c>
      <c r="G14">
        <f>I14+3*E14</f>
        <v>1.0000926574</v>
      </c>
      <c r="I14" s="2">
        <v>1</v>
      </c>
    </row>
    <row r="15" spans="1:10" x14ac:dyDescent="0.2">
      <c r="C15" t="s">
        <v>5</v>
      </c>
      <c r="D15">
        <f>(0.1111*0.000278)^2</f>
        <v>9.5393264164000014E-10</v>
      </c>
      <c r="E15">
        <f>SQRT(D15+D14)</f>
        <v>4.367911724474294E-5</v>
      </c>
      <c r="F15">
        <f t="shared" ref="F15:F16" si="2">I15-3*E15</f>
        <v>2.8998689626482657</v>
      </c>
      <c r="G15">
        <f t="shared" ref="G15:G16" si="3">I15+3*E15</f>
        <v>2.9001310373517342</v>
      </c>
      <c r="I15" s="2">
        <v>2.9</v>
      </c>
    </row>
    <row r="16" spans="1:10" x14ac:dyDescent="0.2">
      <c r="C16" t="s">
        <v>4</v>
      </c>
      <c r="D16">
        <f>(0.1111*0.000278)^2</f>
        <v>9.5393264164000014E-10</v>
      </c>
      <c r="E16">
        <f>SQRT(D15+D16)</f>
        <v>4.367911724474294E-5</v>
      </c>
      <c r="F16">
        <f t="shared" si="2"/>
        <v>10.799868962648267</v>
      </c>
      <c r="G16">
        <f t="shared" si="3"/>
        <v>10.800131037351735</v>
      </c>
      <c r="I16" s="2">
        <v>10.8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原始数据表</vt:lpstr>
      <vt:lpstr>consen数据</vt:lpstr>
      <vt:lpstr>某家公司演示数据</vt:lpstr>
      <vt:lpstr>MA3数据</vt:lpstr>
      <vt:lpstr>自创数据1</vt:lpstr>
      <vt:lpstr>自创数据2</vt:lpstr>
      <vt:lpstr>3R中间不变两边间距变大(百分比）</vt:lpstr>
      <vt:lpstr>3R中间不变两边间距变小（百分比）</vt:lpstr>
      <vt:lpstr>3R中间不变两边间距变大(数据） </vt:lpstr>
      <vt:lpstr>3R中间不变两边间距变小(数据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瑜 秦</cp:lastModifiedBy>
  <cp:lastPrinted>2025-07-15T01:07:54Z</cp:lastPrinted>
  <dcterms:created xsi:type="dcterms:W3CDTF">2015-06-05T18:19:34Z</dcterms:created>
  <dcterms:modified xsi:type="dcterms:W3CDTF">2025-07-15T07:24:36Z</dcterms:modified>
</cp:coreProperties>
</file>