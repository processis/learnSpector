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A7F41E26-C2E2-46AE-A395-8E91E72D653B}"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"'638880880215850822"</definedName>
    <definedName name="CB_Block_00000000000000000000000000000001" localSheetId="3" hidden="1">"'638880880216229558"</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<sst xmlns="http://schemas.openxmlformats.org/spreadsheetml/2006/main" count="651" uniqueCount="204">
  <si>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</si>
  <si>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</si>
  <si>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</si>
  <si>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</si>
  <si>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</si>
  <si>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</si>
  <si>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</si>
  <si>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</si>
  <si>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</si>
  <si>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</si>
  <si>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</si>
  <si>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</si>
  <si>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</si>
  <si>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</si>
  <si>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</si>
  <si>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</si>
  <si>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</si>
  <si>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</si>
  <si>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</si>
  <si>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</si>
  <si>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</si>
  <si>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</si>
  <si>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</si>
  <si>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</si>
  <si>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</si>
  <si>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</si>
  <si>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</si>
  <si>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</si>
  <si>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</si>
  <si>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</si>
  <si>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</si>
  <si>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</si>
  <si>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</si>
  <si>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</si>
  <si>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</si>
  <si>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</si>
  <si>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</si>
  <si>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</si>
  <si>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</si>
  <si>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</si>
  <si>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</si>
  <si>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</si>
  <si>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</si>
  <si>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</si>
  <si>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</si>
  <si>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</si>
  <si>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</si>
  <si>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</si>
  <si>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</si>
  <si>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</si>
  <si>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</si>
  <si>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</si>
  <si>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</si>
  <si>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</si>
  <si>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</si>
  <si>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</si>
  <si>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</si>
  <si>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</si>
  <si>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</si>
  <si>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</si>
  <si>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</si>
  <si>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</si>
  <si>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</si>
  <si>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</si>
  <si>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</si>
  <si>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</si>
  <si>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</si>
  <si>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</si>
  <si>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</si>
  <si>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</si>
  <si>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</si>
  <si>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</si>
  <si>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</si>
  <si>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</si>
  <si>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</si>
  <si>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</si>
  <si>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</si>
  <si>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</si>
  <si>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</si>
  <si>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</si>
  <si>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</si>
  <si>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</si>
  <si>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</si>
  <si>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</si>
  <si>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</si>
  <si>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</si>
  <si>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</si>
  <si>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</si>
  <si>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</si>
  <si>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</si>
  <si>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</si>
  <si>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</si>
  <si>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</si>
  <si>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</si>
  <si>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</si>
  <si>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</si>
  <si>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</si>
  <si>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</si>
  <si>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</si>
  <si>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</si>
  <si>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</si>
  <si>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</si>
  <si>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</si>
  <si>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</si>
  <si>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</si>
  <si>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</si>
  <si>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</si>
  <si>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</si>
  <si>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</si>
  <si>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</si>
  <si>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</si>
  <si>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</si>
  <si>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</si>
  <si>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</si>
  <si>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</si>
  <si>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</si>
  <si>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</si>
  <si>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</si>
  <si>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</si>
  <si>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</si>
  <si>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</si>
  <si>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</si>
  <si>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</si>
  <si>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</si>
  <si>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</si>
  <si>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</si>
  <si>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</si>
  <si>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</si>
  <si>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</si>
  <si>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</si>
  <si>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</si>
  <si>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</si>
  <si>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</si>
  <si>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</si>
  <si>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</si>
  <si>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</si>
  <si>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</si>
  <si>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</si>
  <si>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</si>
  <si>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</si>
  <si>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</si>
  <si>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</si>
  <si>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</si>
  <si>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</si>
  <si>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</si>
  <si>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</si>
  <si>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</si>
  <si>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</si>
  <si>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</si>
  <si>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</si>
  <si>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</si>
  <si>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</si>
  <si>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</si>
  <si>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</si>
  <si>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</si>
  <si>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</si>
  <si>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</si>
  <si>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</si>
  <si>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</si>
  <si>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</si>
  <si>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</si>
  <si>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</si>
  <si>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</si>
  <si>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</si>
  <si>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</si>
  <si>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</si>
  <si>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</si>
  <si>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</si>
  <si>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</si>
  <si>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</si>
  <si>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</si>
  <si>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</si>
  <si>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</si>
  <si>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</si>
  <si>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</si>
  <si>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</si>
  <si>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</si>
  <si>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</si>
  <si>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</si>
  <si>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</si>
  <si>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</si>
  <si>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</si>
  <si>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</si>
  <si>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</si>
  <si>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</si>
  <si>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</si>
  <si>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</si>
  <si>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</si>
  <si>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</si>
  <si>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</si>
  <si>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</si>
  <si>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</si>
  <si>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㜸〱攵㔸㙢㙣㈳㔷ㄵ昶昸㌱昶㜵㕥摥挲昲㔰ㄱ㘴改慥搴㤲慣㙢㈷㜶㥣㠴つ㕤挷挹㙥搲摤挴搹㈴扢㕤攰挷散㡣㝤㥤㌸㤹昱愴㌳攳㤰㤴㉣㕤㔸搴㠷㠴㔴愱㉤㝤㈰昱㘷㡢搸ㄶ㠹慡慡㉡㐱㠵㉡㐰㐲㉢㐰㐲挰ㅦ〴晦ㄱ愸㔲晢愳慡㤰昸㐵㌹摦㥤ㄹ挷㜱ㅣ㙦㕢㐵愰㡡㤱㝣㝣敦戹㘷捥㌹㜳敥㌹摦㝤〴愴㐰㈰昰ㅥ㍤昸挷ㄳ㐶攳㌳㑢摢戶挳㡤㘴挱搴㜵㕥㜲慡㘶捤㑥收㉤㑢摤㍥㕦戵㥤㄰〹挸㑡㤵挶敤㠸㘲㔷ㅦ攱㌱㘵㤳㕢㌶〹㐵〲㠱㔸㡣〵㘹ㅣ㌲昸㈵晣づ㐳㡦㠵㐱㐸㉡搰㉤ㄳ㔹㉥㑣ㄶ戵㌵搲扦攴㤸ㄶㅦ散扦攴㙡㤹㐸愷㤳改攴搰昰㔸㍡㤹ㅡ散㉦搴㜵愷㙥昱㠹ㅡ慦㍢㤶慡て昶㉦搴㌵扤㕡㍡挷户㤷捤㜵㕥㥢攰㕡㙡㔸㔳㌳愳改㑣㌶㕢ㄹㅢㅢ敤㡥㤲收昹㘲㘱㌲㌹捦㥤㐳搲ㄹ㠱昳改㈹㕥慡攲㉢㌹户慡戵㤵㈴㔹搸攳㝦戲戸攱㈴㡢㑢㡢晣攱㝡搵攲〶慦㌹昰愴㕢㔹戰㜸㠵㕢扣㔶攲㜶慦㌲扤㔵攲㝡㠱敢晡㈲慦搸㕤捡㔹换慣㙦捣搶捡㝣㉢慣㕣㔲慤㤸㜲戶㕥㉤捦愹ㅢ㍤挶㐵㥢㉦慡戵ㄵ㍥慦ㅡ㍣㘲㠰ㅤっ〷挲愱㐰攸㡥㙥ㄴ㈶㜳挹㍤㘶㄰敡㔸㝦㡢昷〸㄰㌹㝣㡥㕢㌵慥㈷挹㘹㌸摢㙥摡㘷㔴㝢搵㔱㌵㥤㑢㕤㕥㔲挰ㄹ攸㡣戳ㄸ㔱㍣㡣㠱挴㠹㐸攱㝦㔲㉥㌵㑢㜶ㄱ㌷愸愸㐱㐵ぢ㉡愵愰㔲づ㉡㍣愸㔴㠲捡㑡㔰㔹つ㉡搵愰戲ㄶ㔴搶㐹挶㝦㘲搱㘸搰㝢㝥㤵㜹昴㍢晤㙦摥㍥昷搲㡢扦戹㍥昹摡慤㐱〹改㠳愹㠸戳㙥㑦㥣昵㔰㠳昵ㄲ㤱愴㜷挸㌲慣慦昵摤晥戹㜲搷㕦ㅦ扣晥攴愷慦晦㜴晢收ㅢㄱ㈴摣晤㉤摦㝦挰散戹昹㔸摤攴ㅦ㥤戹㈳㤷㍦捣摣㈵晣〸ㅥ㐱〴敦ㄲㄱ㝣摢㡢㘰㘵昲搸户㐷㝥昶晤㤹㘷㉦晦晢昱㜷摦㝣㐹㡤㘰愲㍦㜸攲愱昶㤹挸㕤慡㔶㍢㘲㥣㌱㉤㍢ㄴ敡㤸㘴ㅤ〷㤱㜴散攳㈰㐷㠹㐴㤰㜴㜷㑣敢㑦㤰㤰愴㑡㕡搴愰㙣㥦㕢戱㈲㠶㕢㔱㔳摣㉥㌱㠳㙡㑥㔴㥦㑣㉤扤捥扢㡤㠲㔹㜳昸㤶㌳愵㍡㙡搴㔸㔰愹㙣㥤㕥㝡㤱攴〶㍣〵摤㝥ㄷ㝡ㅡㅤ愸㑢昸㈳扥搶㥥㕤〶㈹晦㤸摦㙢戲搱搰敤㥡㘲挲づㄴ扢㉤㘸敤ㄱ㍣㕦㘵摣敢㤱扥㠴㘸㌶㈹敢ㄲっ㔷ㄳ㜰㥣㠰㍣ㄴ昶晥摣㡥㉣摦搳㔲〶㝢㘱㠰㍣愴㄰㈱㥢㘲㜲挷㤹㌸摥㑥㑤㐹扢攸㔴㜵㍢㐹㙥〸㕣㠳㥥晦戶扤挳昲ㅢ扥扢捦扦摥昳晦攳㌲㤲㈹戱〷攲挷㌳攳昲㈷㈱㐰㤵攳〹㔲㝡㝥㡡ㄸ昱㌸㠳㌸挳攸晥挱㑥㘳㘱〰㘹挷昰挳扢昸㜹㔳㉤㥦㔱㑢戴㜴㐶扤㠵㌳㔶㌰㡤つ捡㔹㉢〱搰㉥㤸㘵扥㘰㤹㥢搵㌲户㘲㘰㉣搱㔲ㅤ㐶㈵捡㈲搹㙤㑡㡦㔰㈰ㄲ改㡡戵戳㌵敢敢㍡摥㘶㉢㌰扢㑦晦㕢ㄷ㐶ㅦ攸㠳㔷㜱攰㍤晢ㅣ㐸㍦ㄱ〹㐰つ昴㘰挷㐰㍥て㤶㠰㙣㙡戸㑦㜳㝣敦㈱㔶㑢㝣㠷挶昷㐷昰〴㠹㔱㜸㈱㝤挰㘰愷㌱〹慢〵㐲っ㥦攱㡢攷昳㈰搴㥤㈴㈲〱ㅡ㠵捦㐹戰敥㈷ㄲ〱㐸㜶挶ㅡ㠲攱晦㔳慣〹晢㈰戳〷㙢敥㙢〷ㄱ㡤つ㐷㘳㥤㍤㔳慦㈱㥢〷摥㥦昴昲昶〶户晦ㄷ戸昲㔱挶戱㜸攴㡦〴㐰ㅦ㈴挲㌸〲㐴㌷戱㈲㉡㑡㈰㠶㜸㘳㈹㡦换㘹愲扤挵愵挶攴㡤户慢捥㘱㠸挶ㄹ㘴昷㔷愷ㄸ散㌴㈶㘱㈷攲㔷㘷ㄳ愲㡣㐳摤ㄷ㠹㐸搸〰昸〲㜰搴㉢摦㔳㄰㤸㠰〰㌶〷㙤〴扥〴㠱〷㈰㈰攰㤹ㅡ〰㠰㘵〸扢愰㜵㥡㥡㉣㑦㈴〱昸㠲敡ㄸ㔰㈰㤰攸㈷㠲㉥㥢㐴攳ㄸ㤱㌶敡ぢ㄰㤸㠲〰㐰慥㡤挰㌴〴捥㐰㐰攰ㄷ㌵㘰晦㉣㠴㕤晢㘸戲ㄹ㈲〹㐰㔱㤳㝤〱㑡ㄸ㥣〵ㅦ愰搴㐶晤㠳㄰㌸〷〱〰㔶ㅢ㠱昳㄰㤸㠳㠰㤸〴㙡挰晥ㄵ晡昷散捦㔳㤳ㄵ㠹㈴㄰散㈶晢㈲散ㄸ㕣挰㈰〲㡤㐱昹〲㤱ㄳ㠵挹挲愲㤲愹㡣㘹攵ㅣ慦っ㔵戲戹㑣㘶㈸㍢㥡㐹愵戳㤵㔱㜵㐴㑢愷搳㈹㜵㌸㈱收㠵挴搹㈲㤱〴㘶〲ㅡ搸ㄲ㝡㘲㑡搰ㄳ㘳愷愹㠵晤扡㝣㤱㐸㔴㤹㝥㤸㤶戰つ昹ㄲ㜵㡥ㄴ㈶ㄵ㌷昳㘶换戴㉤慢㍡摢昲㐳挴敥〵㝢挳㔹愲㘳ㄷ捥㔸昲㘵攲昵戸扣㝣㜹㜳挹㔱ㅤ昹换扢㉣㍡ㄸ改昵㌲㑦攴㠹㈵捣㝣㠵ㅡ㡢愹㔳ㄳ㕦摦㔹㌴㑤㘷㠷戶愸扣愴摡㡥扤㠳昵捦戴慢㌸晢昶㑦㙦愹挶㠶捥㑦㕥愸慢㍡搹㍤㐹昶晥昶㡢㤷晦晥昴敢戹攴㤶㙥㙦敤捣搱㔲慢敦㑣攴戳㈳挹戹晣攵慢愷㈶㔲散慢愴搷㑤ㅦ㔱〴㌱㈹㄰㐵昶㠸敦㐶㌱㠵㥡捦㐸搲ぢ㔴愰㌸扡㤸㈳㠳扦㍢扡晤㡦昹ㄷ晦昲挶摡ㅦ摥昹挲㤶㜴搳ㅢ㜸㜵愶敢挲㉢扦扦㜱晡㤵㤳㝦㥥ㅡ昸挹慡㤲㐰扡㠹㔹㔰愸攱捥㠲㥡攳㤹㜴㑥㑢攵㜲改㙣㈶㥤㑤㙢愳㝣㘴㜸㈸㌷㍡捣搳㥡㔶搶㜲〹㤱㥤㈴捥慥㄰㐹㈰ㅦ挵㉣愸攸㠹挴愴㠶㍢㠶㔴㐴㜸ㄸ㘶㠱㈱晡っ戱㘶〸㉥㐳㌸ㄳ挸㔳ㄱ挰㔵㙡ㅣ㕡〰㐷㔲㡤〰㔶㐹㙦㡣挲㐶〶戱㠵㐲〰㤱晥〷〴昰㝢㕥㥣摥扥㤶扣晤搴捡ぢ挵攷摦扤㤵㍡㌲昲搹㌱改改㠳〲㠸㝡ㄱ〱㌴愸攱〵㌰㌵㔴㐹愵㠶㈹㡡㍣㤳ㄹ愶㌴㔶㔵慥㤵挷㔲㍣㔳搱戲愳戹㑡㐲㤴ㄷ㠹戳ㅡ㤱〴ち㑡昸㘷愲㈷㉡慢㌱㠶㕡敡ㅣ㐰ㄴ㥡〸攰㈶㌵搴㐳㐸扦㈲㕤挲愸扡摥㝦搶㔴昵攴挲昴㘲㘱㝡㝥㜹昶晣昴扤愹攴㔸昶扥慢散㙢㘴愶㈵㈱㔱捥〷挴昳㜱㉦㙣敢㝦㝡扤攷㐴㜵㘶晥搶捤ㅦ晦戲㙦晣㐷㌵改戱〳攲ㄹ㐱昵愶㕡㔶昱㝤㠷散搶扢〹㥣攸㡥ㅡ戳㌶摤㠶搰摤捦戲㤹㙦摣㜹ㅣㄱ㝢㔴攲て昸〷挸ㄳ扢㥣扣㘶㥢㝡摤攱晥㙢㐵慢昱ㅥㅤ㤷㘸搹ㄲ敦㔱㉤ㅦ摤敤㌵ㅤ㤴敥摥攵捥搶㙣㙥㌹扣散㙢戴改ㅥ㈱ㅣっ㐹搹㍢㝤〹㐱〰㕤昶㄰挵愱换扦搰挱攷摣摤㘶扦㍣㔹㜵挴敤ㄹ挶㈵〶摣㤴㜷㠸戰㠹攳昹攳改㔴㉡㌵ㄲ戹㑥㘱晤㜰㌶㤱㠱扢㙢㌵㉣攰㠹戳㙦㄰㤵〰戰㔰つ㔶昷愳㐴攸扣㌷㘵ㅡ㙡戵㜶㔸㌷㘳挰戹搶慤㠵㤸㜶搷㑣攳㡡捣挷㙣愴㝣户㔱㉣㘹换ㄶㄷ㤷㕢㌱搱愱㝤㕤㡦昱㤰㘹慤㙢愶戹㡥〳㜰慦攸搹慢㥣㍢戸㙦敡㌲㕣攸㐷㕢㤲愴搰ㅥ昸㙣㠶㔲㝣愴㝣㡤㐸㑦㥥㙡挱搷㘸换摦㈴㔶㠸慥戹攴㙦㔱㘳攰㝤㠱㝢㔶㠰扢㜴搵换㜸攳挶㌳扦㍤昵敢㐷㡡㑦㕣㜹㙢晢〷㍦㉣㤴愵ㅤ㙦㘰摦㌵搵ㄵ㌲㠱㜲㤰ㄸ挰㔹㝥㡣㐸㘳慡㠷愴㙤㝡捤㥦㤳㌸㝢〲㜲㉡ㄱ㥦㈵〱昸㄰㔵㜶つ〴㝥㌳昸㉣㌹〷昹㘱㝢〳慤昷㕥ㄲ㔰捡昵〳ㄸ㈷㍦〵㔵㝥捡㘵愵㡤㍤㝥㝣ㄷ㈶〰㘴つ㍦〰ㄸつ㍦攴ㅢ搴ぢ搱ㅣ戸扥慣ㅦ攴换㥡㌷搰㝡㠳ㄴ㐶㍡㜶㉡㡤㄰㡤㐷つ㐵挵㈵㜳捣㔰㜴㕥㕢㜱㔶ㅢㄷ换戴〵㡤搱捤昲戳㈴㠴挵ㄳ㡦㠴挸㐱㉢㝢㡥㐸㠳㡢敦㄰摣攷㥢戸㝤㜸ㄱ㠵ㄲ愳㕦愰て㉦散昶㈰搸攸㜵晤〷㐸扡㙣挶</t>
  </si>
  <si>
    <t>CB_Block_7.0.0.0:5</t>
    <phoneticPr fontId="10" type="noConversion"/>
  </si>
  <si>
    <t>Decisioneering:7.0.0.0</t>
    <phoneticPr fontId="10" type="noConversion"/>
  </si>
  <si>
    <t>CB_Block_7.0.0.0:4</t>
    <phoneticPr fontId="10" type="noConversion"/>
  </si>
  <si>
    <t>CB_Block_7.0.0.0:3</t>
    <phoneticPr fontId="10" type="noConversion"/>
  </si>
  <si>
    <t>CB_Block_7.0.0.0:2</t>
    <phoneticPr fontId="10" type="noConversion"/>
  </si>
  <si>
    <t>CB_Block_7.0.0.0:1</t>
    <phoneticPr fontId="10" type="noConversion"/>
  </si>
  <si>
    <t>㜸〱敤㕣ぢ㜴㕣挵㜹摥㔹㘹慦㜶㔶㕡㘹㡤戱つ㌸㠰㡣攵攰ㄷ㐲慢㤷㈵㠳戱摥戶挰昸㈵搹㠴㄰㉡敥敥摥㙢㉤摥㠷搸㕤ㄹぢ㐸㌱搰〶㤲㌶㑤㠰㔲㐲っ攱搱㠴〴㐳捣慢㑤挸㐹㘸㠰㈶㑤搲挰㐹㈰㥣㥥收戴愷〷〸挶㄰〸愱㜹㤲收攱㝥摦摣㝢㜷敦㍥㈴ぢ摢改㜱捦挹㐸晢敦捣㍦晦扣晥㤹晢捦晦晦㌳㜷㍤挲攳昱ㅣ㐲攰㌷㐳㌵㈳敦ㅢ㤹捡收㡣㘴㜳㝦㍡㤱㌰愲戹㜸㍡㤵㙤敥捤㘴昴愹つ昱㙣慥ち〴摡㔸ㅣ昹㔹摦㔸㌶㝥㤵攱ㅦ摢㘵㘴戲㈰昲㜹㍣㝥扦昴㈲摦㙦㝦㐲㑥㐲戲㤴慣㈶〰㤵㐷㙡〴㌵〴㈴㤵㤲㈰〰㔰㔷ぢ㌰摡摦户㈹㜲㌹ㅡㅥ挹愵㌳挶捡挶敤㔶昵㙢挲攱收㜰㜳㙢㕢㜷戸戹㘵㘵㘳晦㘴㈲㌷㤹㌱搶愴㡣挹㕣㐶㑦慣㙣摣㍣ㄹ㐹挴愳ㄷㄸ㔳愳改㥤㐶㙡㡤ㄱ㘹㘹㡢攸敤㕤攱昶㡥づ戳扢扢慢慥づ㌵㙦散敦摢㥣㌱捣散戱慡㌳挸㍡㌷昵昷㌵㙦㌴㜲挷慡捥㝡搴㠹㉡〷搲㐹㍤㥥㍡㐶㤵晡挸晥㡥〱㈳ㅡ攷㍣ㄹ㐶㈶㥥摡搱㡣㙥ㄷ㌱ㅡ愹㔵捤扤搹散㘴㜲㠲㔳摥㙦㈴ㄲ㕢つ㔳捤㑦㜲㈰㥢摢慣㘷㤲搹扡㈴昹㘷㘴㡣㔴搴挸搶㈷〷㜷㐷㡤㠴㑤㤸昵㈷户敢㤹㡤㝡搲愸㘶愴㈱㘹捤攱㜰捣㐸攵攲戹愹㘰㜲㕢搶搸慡愷㜶ㄸ㈴昱㈵搷㑤挶㘳愲扡ㅡ晦㥥慡㌳㉢昵㑣㑤ㄴ晡㤳散ㅦ搷㌳㌹㤵攲ㄴ㠶㉢搱扡㤶㡢ㅡ㐵㔱扦戸愴ㅡ㑢㑡㜱捥㐶攲挹ぢ㡣㑣捡㐸戰ㄱ捥攴㡡ㄲ㈲挵㈰㙢ㅥ昲㥣㜲㠶挳㔹ㄲ戵昶㜳挲戱戰ㄵ慤〱㘰昹挶㜴㈶㠹〵㜹愱愱愷搶戴㌴户慦ㅣ挹挵〶㡣㕤㠸戶㜴戴ㄴ㠵戰っ㠱㕥捥㘱挹ㄳ〰敡戳昱攴㘴㐲㈷昳㔷㠷㕢㔷换戹捣㍤ㄱ㐰㔴扦㠹㐷戴戴㌵敦㤸敥ㅤ㡢㜸挷愲摥戱㤸㜷捣昰㡥㤹摥戱ㅤ摥戱㜱敦㔸摣㍢㜶戹㜷㙣㈷㑡㍡挱㕦㔳攳戵挳㥥慤㑦ㅡ扢㐲〷搷摦搳㤸敤昸㔴㘰搱扦〸㍥㤵敡愱㥥㡦挸㔲㜷敦摢㍢㥣捥户㌵户ㄵ㠷づ戹〰搴昲㈴〰敤㘴㠰愰慢敦㙤慢攵㈹捣㕣〸㈰挴慢攸㍡扢㝦攲搴摦㥦昴搴㠳户㙦晡捣ㄳ捦摦搸搴㝤扤捦㐷㐱㌰慢搹挴戴㘰㐱戹搶㘳㍤搷㔲晦㘴㌶㤷㑥㜲㌱ㅤ摢㐵改戱ㄷ愵㔸㔲㘹㌹㔸慢搲敡搱㔱慥挹挵㈵昵㜳㑤㙥㥡挸搹㙢搲㙡攲㤸㉣㑢㈱㑦攵㜴㥣〶愰㥤づ㔰摢㍢㍡收戴㉤ㅢ㤹戵〸㐰㠸晦戲㘷㉡昴㠱捦㥥昶㑦ぢ扦㌸晣挹ㅢ摢敥㜹敡摣㤷敦㄰㤴搶㥣㉤㈱ㄷ㤳扡〹㐰㕢〲㄰散㑦挷㡣㐲㔵敦㘷收㤹〰㐲晣扢㕤搵ㄳ㘷晦昵搹㑦㕥戵㘰摤挳㜵捦㍣晣捤扤㔳㝦攳愳捣㙦㜳ㅡ㥦㐹㄰つ㐱昴㐷昵㙣捥㥥㜶㤶㍢戶昳㝣㜸搹㌳㤴㠹晥昱㘵てㅡ㌹㈶㤳㉣㤷㤱晢换〱戴ㄵ攴搵㈶㙣捡㝡㈲搱戸㉥慤㈷攴㑡收㥤〵㈰挴ぢ昶捣散㝣晥㉢挱㈵昱昵ㅢ㍦㝦摦扥愷ㅡ㔶摦㥦ㄲㄴ昴㑡っ㥣㡤挸晣㈲㌱攰㐸㠱戰㙣㘱㐵㘱〰慤ㄵ愰㐸㘰戵慣㤶㙤捣㙤〷㄰攲扢㜶㌳ㄷㄹ㕦㕡攰改㑡づ㝥敡捦捦改扥昱愳㑢ㅥㄱ摣敡慤戵搴㐹敡㔵〰㕡ㄷ㐰敤㠸㙢㔱㜶㌳㙢㌵㠰㄰摦戴㉢扡敢摤㘷㕦昸搵㑦づづ敤㡦㍣晤敤㍤〷㥥㍢㈴愸㉥㔸ㄵ㥤㑢敡㌵〰摡㜹〰戵㕢〷ち㑢㜲㉤戳㝡〰㠴昸扡㕤搱换て㌶㍣晢攲挴敤敢扥昰㡤㔳㝦扤昳敡攵㍦愸敢㐳昶ㄶ㕢㤲て㘴昴㉢戱㌷ㄶ戶摤搶㘶挸敤搹攸ㅢ㔰㌷捣づ㜳㤵ㄹづ挷㍡㕡昴㌶摤㐷搹㍥摢㡤㡤戴㜵收㐵昱㔴㉣㝤愵㤲㉡敦敢搳㈱攱昲ㅢ摦ち㍢慦㉦㍤㤹㡡㘵ㄷ㔶捥ㅣ挹改㌹攳㤴搲扣㐲㈵㘵挵㐶愰〷ㄸ㔹搵摥㘹愵挵戶敢㠹㐹愳㜷㜷摣捡㍥戵㈴ㅢ㕡㐰㍡㌲㝤敥㔰挶戸㈲㥦㕢搶愳㕥㘸㤴扢㔴摤㘵愳戴戲慣㝥㌵昶㡦愷戳㐶㑡㜵㙦㐵㜲㜳㍣扡搳挸㡣ㄸ搴㐷㡤㤸ㅡ敡㍣㘶搹慡挸㡡㑤㈹っㄴ捡㐵散っ㌷搶ㅣ摣㥤㌳㔲㌱㈳㠶晥㑥ㄸ㤹摣搴愸ㅥ㐹ㄸ昳㡢㐸慣㌶㤱㜱㜲ㄱ㝡㈸ㅤ㥤捣昶愷㔳戹㑣㍡㔱㥣搳ㅢ摢愵㐳晤㠹㕤〸攱〷敤愵㥡挱㈳㍣㔵㔵㐲㜸㤶㔷ㄲ㙤慣㌷摢慣㈶挲㌵挵㔴㘶㑥㉡㕥㜶捤㕢㌱㍡㡣㈲㘱㜰㑤㝡㥢づ㔳㤹慡㤷搵㉣㥢㥥搰㌵㈶㉡敦愴㕥㍡㍤戵敡㘳㝥收晥戸挴㕥敦㕣㝢昴㠳扢愰㈲慥搷㔳戱㠴㤱㤹搱昴㄰散㤱散〷昰㝤つ㑦昳戴摣愳㐶㈳㜶㡢㈹摦㤵昱㔸㙥㕣ㅢ㌷攲㍢挶㜳挰挱㍣昱晢挹摡戲㈰〷㠱㤲㐳〴敢〰〲〱㡦戶㥥㐴㕡㐰づ㕢㘹ㅦ搵戴㔹愹㉢㐵捡㈷つ㈰愹㤴㕤㔸㈶㔹㕦ㄲ摢㕡戶慡慡搲㈸搷敢搹昱ㅣ㤷攷㡣㤹㔴㌳攵昹〴ㄷ〰昸愸㈲ㅥ㔶户愵㔶㕡㑤ㄵ㍥㤸ㅣ㌰㑣ㅤ㠶㤳㝡扡㠵敥㔳敡㤳て搸㙣㔴㔲㘹ㅦ挶戳戲㕢㐳って㝦㕤㤲慢摦搸㥤ㅢ搰㜳㝡㑤ㄲ敡㍦㘶㐹㠲㘸㠵㉡㘵挵㔸㌲愸㜰㑥改㠰㥤㐲つ㈱ㄵ㜵搵㔲慢㄰㔶㑤㜸㜰昰扣㜸慡㙣㌸昳㈰搸㜷っ㐲㉢㕤攸挵㙡㍣慣㡢搸㍡㈳㌵㍡㌵㘱㘴㐹敥搷㘶㘴㘵改攳愵昴慦㘸㘴㕢㉥㥥挸㌶愳愷敢㌲改挹㠹㘳㔹て敢㤲ㅢ〰㥣攰㝢ㅣ慢㜸昶㘳愲㘹㕥戳㡢㜳㌳㌶收昱戳㌶㘲戴㡤〰㐵㍢㌱㑣〷㉥㕥搴㝤〸㕦㉡挸捤昸ち㐸㤲㑥㤳攷愳愱昱㕥㉣㈰敥扤㜵挹㑤搱挸㘸挶㔰㌶㥤㕦㈵挰晣㘰昲愲㜴㘶㘷㈴㥤摥㐹敤扣㕥愵戲攳㠶㤱㔳㜶㤲㙤ㄷ㉡晢㑦㠸慡慡㈲戳挶㘵㔰搱挲搲㐶〱㠲扤㔰㘳㥣ㅡ戳摡㌶愰慡㘰戱㘹摢ㄱ昹戳㐵㥢〷户㡥㡥つ敥搶㤳ㄳ〹攳慣㉤㤳㝡〲戶收㔹㔰愳〷戳㡤扢㕡摡ㅢ㤷戶㜶戴戴户戶ㄸ搹㘵〷昶晦搵敢㝢慥㍢昰挴㑤〷㍥㜱昳ㅢ㝢慥㍢昸搰㐳慦㍥戱攷攰㐷㙦㕡㡡慥㈵ㄲ㔳慦摦戸敦挰㑤㝢㕦扢敤㤱搷㍥扥㍦晣搳慦㝤戴㜹㜷㈲扢㕢㍣〰ㅥ搲㜸㜹㙣㝤敤㤶㐷㥥扢戵攷㤱戳晥㙤㘰挵ㄷ挷挷挴ㄷ散㡣㌲㙢㡡㘶ㄱ户㜳㜹㌱㠰戸ㅦ㘴ㄴ㔵㠸ㄷ〷㜹〹搲昲㐳〴㤷〲㐰攰愸㜹㠱扣ㄹ戳㤲㠲愶ㄵ㘵㡥扣㡣㐰〷㄰戴慡㤴㔱ㄸ㐱挴〹攲㉥搴捦㠵愴ㄶ㐳っ攸ㄲ㕢慣㙣㉤㤸愰〹㐸㔲㤶慦〵㤵㈷㘸戹㜱㍤㐸昲㕦㤲攳㤲摣ㄶ户愲㤹㡡散戸挵捥㈸㌳昲㘸㜹捣捥㤰搲㐰昹晦㘲捦户㜶晡㈳摣扤㙡〲〸ㅥ㐱㕢㑣㑤㙥ㅡㄱ㌹〱攰㙢〴㤸㡤㐹㐸㙢㕢攸㈲㈲愲㈲㈶㡣㥡㈴搶晡㠵㍢㌲敦㕤㤴搷愳愰㤲挷㔶〵㜵㑥㔲㔹搴㑥㠲昲㍤攴㈴㐰慤㌶㠸㘰〱〱㔹㌴搷㐹戹〴㝤扥敥㘳扤㙢㘰散昴㔱㘲愹㔷挱㝥㔳㕦ㄶ搴ㄸ㘶㘶ㅦ晡〹㐶ㅤ㑢㠱晥㝦摤摥戱摡搰挸〳㉢扣㐳〳〹挱摦愳扥昲摦づ摥搳ㄳ搰慥㐰㔶㤱换㐰㘹㐶ㄶ扤㠲㌲㡢慦㐰㐰㤲㔰㐹ㄴ㔷㥥挷捡㥣㈹㑦㉣〲㝤㕥摡㘸㔷㈳愵㐱㐵挵㙡戳㠴捥つ搳〹㥤敢敤㡣㌲㝦〵扤ㄴㄴ㍣昶挳搶㠴愸㝡搸慥㐵㐴敥〱㄰敦〷㘸挴挷ち捥㘸摦戵攵㜴愸愷ㄸ敦〷ㄷ慥〳慡挴摦㔱挶㠷ㅢ㐰〳㍥㤰戴㥣て㉡㜳愶㍣㐱搷㐹㥥て㤲㝣戰ㄸ㤰㥤㡥〱ㄹ㍢愳捣换㐲㕦挰っ戶㘷㤱㘳㠳㉤ㄶ搹㥥㜵收㔰㍣㤱㌳㌲捡扣㘸㌰昱㘵戹㡤㔵㍡㐸㤳㉡愳㐷㉤㠷散㠹㘶㍦慣㉡昸愹㜳㔳〵㍢戳捣慡戳㡣㥥㍦搹慥挷㥤敤慡㉣搷㈲晢㜵〶摢㄰㡢愶挴㝡㥤㤹搸戵㠸㘸戶㔵㔴㉤搵㤲㙡㐶捤挵㡢㡣昴愵㙡戱㜲挶攷改摤㡢㤰搴㉤搳摢戴㕣散攵㡢㤴㠵愶戵ㅦ晦㘴㝤㔷㍡昸戳慣敦㑦㠰㜱昲㤳〴㌷ㄳ摣㐲㜰㉢㠰㐸㐰ㄸ㔱搵慤㐶愲ㄱ㥦㑦㔷㜹㍣て挰晣ㄵ昲㌶愴攴摦ㄱ摣づ攰㔲㜵敦㐰㔲晢㌴㐰㠳攳敤㙤戴㤶㔸㐰㠸攵㐰㉢愱扤ㄷㄱ㜹㈷㐰摤㕤〰ㅢ搷ㅢ〹㜸㜲㡥搵〹㥥㙦㈵敡㥣搹昶挴晡攱攱捣晣攴挸㔴㉡㍡㥥㐹愷㜰攴㐹㤳戸㌷㡡㈳戰慣搰戵攴㠶㜴晦㘴㑥㑢慥㡦攳慢㉥戹搵㤸㌰昴㕣㍦㍣㜵戰户㌷挰㠳慤慣改攱搸敥昷慥愲ㅤ㍢㙢摢挳㔹㠱ㄳ戴㘰㜰㡢搲愷搷戲㝢㙤昶㌶て愴㜱㥣㙡愸㐳㕦戲㕤搳攰㌹㌹づ捤㘹㡦晣っ㝡㜷昷㝦敦㍢㘷挹㕤てㅦ戲扦慦挵㉡㔴㐱扢ㅢ㤹挵㥥昰㌲㘳攸㕥㤰〴㈴〹换㡤㈱㤵㈷捥㐲㕥㝥㕢搶敥㐷慡ち㙢挲摡㥡㍦㠰㜶㉡ㅡ㐴ㄷ搹ㄹ㘵㙥昶ㄶ㤴㔷昶攱㍥㐴挴㌶㤰㔵戶てㅦ㐲戶晣㈲挱㝥〰搷㐳昳㠸㤵ㄴ㘱㝣慢〷攴㔱ㄲ㍤〶㈰摡〰㤴㝤昸㌸㈲㑥㄰ㅢ搰㐶摥㍥晣㐷愰㡢㥣〵㜰摢㤷昱攴换㈰ち㐸㤲㑥㤳㈷摡㤱㤷攷㠹换㐰散㥢㡥ㅦ扤㜶㐶搹㜹〰㑦〱㕣扡ㅡ捦〳搴愸㥥㐲㐴㍥つ㈰㜸ㄸ搰㠸㡦ㄵㅣ㕤捤昹㜶㌴㔷㈷㑤㡤昵ㄹ㤰ㄶ㥤㈷㤴㘹㙡摦〰〵㌴㌵ㄲ㤶㙢㙡㉡㜳愶㍣挱愳㠹挲昰ぢ㥡㕡敢㜴挳て摢ㄹ㘵愷ㄸ㍣扢㜰つ㝦つ㤲㙡昸摦㘷捦㥥〷㄰㙢〱ㅡ昱戱㠲㌳㑣㘷搸捥户㠳㝦改敢〱挹㔳㤰昲㠹㝢ㄱ㔸っ㜹㠶捣㤹昲㐴て㡡㔷ㅡ昲ㄹ搳つ㜹㤱㥤㔱㝡摥攲敢㐷㑤敦挱㑦慥㍣㥥收昶戸㜱㈵ㅤ㝢昵㘶搱搱㙦搰ㅣ㐸㙦㑣攷〶攲搹㠹㠴㍥㌵搷戴㈳ㄷ㡤ㅢ㈹㥣ㄱ㘴㜰㔴㔰㠲㑢㑦㑣ㄸ㌱㘹㡥愴㈷㌳㔱㘳㜸攰㜸㌸㐳〰㍢㌰捤敡昸挰㉢㄰㡥捣㉤づ攱㉥㌰扦昴㉥昸攸捣㉥昵㙥扡昴愷㠲慡㑥㐱搴㔰攰攸㘸㍣㤷㌰㙡㑤㤵慦攲㝥ㄳ㕣挴挱㑢慣挶ㅣㅤ㠷㥢㙦㈰㘸慥换挴㘳㠹㜸捡攰㘴㐰晤攷ㄱ搵〶㘳〷づ㔹㌶愷戳㜱㕥㕤〸㥡愳ㄹ㍤㤵㥤愰扦㌸㍡㜵㐲㔱㑡㙤㠵㍥戳㉦㥥捡愲ㄹ㜵㠰捦㜸㠳㌹㌲㥥扥ㄲ户㡤㈶㤳愹㜵晡㐴昶戸㤸ㄵ挱㘹㔱㐱㑤㡤昰ち慦㔷昸扤晥㈳㥤ㅦ敤㈵㔴㌶搷㍡㔷㙤挴㍡捤㘵攲㤱㐹㌲㑣戵搱ち㔸㑤愰收搰攳ㅢ㐲㙣〶ㄵ㤸㡡戰㝤昴挵㘳ㅤ昶戵攸㜴扣攲〹㐳晥ちㄷ㤵㕦昹㌲换扣〲㜰晥扡㙤挳㠵〳捦愳扡㘴攵攳攱㐹愹㘲㔱扡昲昲攷㑢昳㐰㕣㙦㉤㈱攲戸愲昰㘴㘲㈵㌰㔵扡㉣〳愶愲攱ち慤㉦㐴㠷㜰㐴㔱㘷㙥搰㈳㐶〲㉡㘴㔲捦搵㕢〹㥡〳戸㠴㤳戵昳晡搳挹愴捥㈵挷攵㍡ㄲ搵ㄳ㠶摦散㥤捣愵㉦㡣愷愴〹愰搶愵㡤搲㜷〳愵敦㔶愸㍡㜳㉢㑦㕣㔵㥣㜵愵㜷攸㤹㜸㙥㍣ㄹ㡦晡㤹攰愹攸㜱戱㔶㈱㍦㤴㠲〷㠶㌲㌸戲愴㔴戱戵㔴㍣㑣㜷㌳搴㙣戲㡥搳㡦ㄵ敤ㄵㅡ晥挴ㄱ扡㌴㈱㜹搴㙥㈳㕦㐵㙤㍥㉦〰㐵㤱ち敦㌸昷ち摦戹ㄶㄸ㈵㥣〴捦搳㤸㉤て搸ㄱ㈶慡捦〷㤸昱戴㠶ㄷ㐰〲ㅢ搲㝡㙣〸捥㠷㜴愶挶扥ㄴ攸挷搴㔲搴㘴㐲㍣㍦攳㝤ㄴㅣ昵敥㡡挷㡣㡣㥦㠸ㄱ㈸敢搵㍣㜹搳慣㌹㈴㙦㍣㍥㕦慤扦㔲㕢挳㑥㕤㑤昶㌱㠴晢晥攳㜰㔹晤㙦㙤改㕡扢㥣扤ち愸㉤敡㌵㐴攵㐱〰挱㤳㌹㡥愷㠴攰㜵ㄲ扣〱攰摢〰㔰㍡㌷挵㐷㔹㌸昰㤲㈰慡愶㌳戶㥡㑥㔸扦攳㝣昵愹㠱搴扡㥣慤㥡攵㘴昵愳っ㘲挹慣㌶㠲㔵㙥挴〲㤶㝣愵愹挲改昰㝡慢㌱搵㕡愹㔷愸慣㔹㔶㌱㘲愸攳㌶㐱㍦愱昶㘳㠰昹㝣㔸㔰㍦敥㝢ㄶ摤㔰㉢搵ㅣ愱㕦扣〵㜲㑦㐰㙣〶㜴㜸挰㔳㈷㥢㐹㍦㐱㔴扥つ㈰㜸㍣㐲㑤挰戵㙦㠹㑢㤰攴摥攵搱㝥ち㌰㕢㔹㈹㜸㡡㐲㜹㈹摦〱㄰㤷〲㔰っ攵㤷攵捦㄰㍦晣戲ㅣ㘳〹㝣攴捦敤〸ㄳ攲㌲〰㘷ㄸ换ㄱ户㠷昱ぢ㐴攵㉦〱㠴㕥㤹攰㔷㈴昸㌵〹㈲〰㥣㙦敤㕤㠰㜹ㄵ昸㠸摢㜲ㄵ搸昸㍦愰〶ㅢ㑤㐰愷㝤ㄷㅢ㝦ぢ戴晣ㅤ㠰攰昹㠱㐳㠰愸搳挱摦㈳㉡晦〰㈰㈶〰㉡㄰ㅣ㈲〱〷㉣戲㉥㠲㝢㠱〸〴ㄶ㌰㡦㙢㐶㝡㐹㜰慤㡢〰㔱愷㠹㉡ㄲ昰扡戰搸㔳㤹挰㐷〲㡤〴㌷戸〸收㐱㐰搸㑤搴㤰挰て攰愳㔳㘱㠶㙤〳收㤶换昵㔴て㘲捤摣㤶㡡攷㈰搱挹搰愱㜸づ㙢戳捥〴㐰㔴昹㠸㑥㔱㤲摥㔵㘸㐵㕥㠳㍣扤㍣慢㐸愵㍣慤㍣摦慤㘳㌶㔵挸戶戴㑦㤷搲㜹㌸㈲愵㠵㔶攸攳昱愴㤶ち换㘷㘰㙢愶㌳摥㠶㉣昰㥤㥡挵㔱㈸戱㤶㉤㈶〳㔸ㄳ㔸㥢搴㘷㘵㉤攲搴㘹㍦㜹搸㈵攲㜲㌸㔲㈰〷愸搷㕡戸愰敤搱ㅥ㑥㘵戱㌳〴散ㄴ昶晤㝡㍢扡㘹㌲㔷㤴愳敦㥥㙢攷攰散㜹㔳ち摡㕡㔴捦挴㡥㤳慤ㅥ㘳戳㌴㔲戵㙢ㅦ愱戵㠰㑡ㄸ㕣ㅢ㌴戸㑣㍥摦っ散㝢昱搵㌶㠰㍥㐸㔶攷㕤戸㝥愶㜸晢㔹捤㠰㜵晢㔹㤹㙤㥢つ搸㕣戸っ㥥㌰收慡〲昹愴摡搲愴搹ㅢ挹挲〴挸㔱扦戳㘳敡㈱㤷收㔶㠳户愲㜷ㄹ㔰挷散搸收㘸づ㈷ㄳ昹ち㜸ㅦ散昸㤹ㅤ㜰愴摡㥥㈱愱收㐸㥢㐱戶ㄵて㠲捦捦ㄱ捥㈸㥥ㄳ㔳㠵户搷㡡㑦摦挱昰挰㕡㡦ㄳ攱摣㘲㜲㙦㐱昵㌳㔸ㄵ㤰戳㙥挷㍡㥦愲戹捥㜹㡦㈵摤㤴攰慡㜳㜰㌴㍤㠲㌴ㄱ㌳㌹㕣㥡攴㑤摤〶㍥㌶〹攸㘶戹㌸戴散挴㔴扤㌹㥣㡡㈶㈶㘳㠶㔲搱ㅤ㜹慤㌴昵攳㘲扥搴敢㉥搶㕣捤挰ㄷ㥢㈹挳㜸攷挵戹㐴㜷攴㜶扡慣挳㑣㈹㐱㠷㍡〲戲摥㤶㙦户㠲搹敦昹ㄴ㈳㠰㐲㈷ㄴ捥攰搴敢ㄵ㄰㙢㘵㈸捡㌳扡愲昳〷㈱敡㠹㜳㤱㙤㐸㙦㐸搳捥㜷愱搶挷㉤搴㜱㌱㑦ㄸ愷㈵昴㜰捡㝦愴ㅥ㤲㡦扣晣挲㥢ㄷ㝦慥愹户㜷晦㡦㉥慥㝡㘶㜹㙦晥㘹戱㈴㥦戸つ㙤㈸敤㔳㜹㠳戹〱㜹㘸㤰㝢ぢ㔶戹攰㈱㠶搲㌴㐳挸ㄴ户㈳㘵㘹㥡搶㝣捡ㄳ㠰㥤㔱搳㤴㜳慤搹ㄶ㍣昹㐰ㄴ慦㜷戰〸㈲晣〸ㅥ㜵㔴搰搵收㠱㐶捥〷㄰㍣〶愹㐰戰㠰〴㈷戱㈶㝡挳㑢㠵捤戴㡥晤㉡㄰攳昲ㅦっ〴㝦㤲㠶ㄲㅥ㔵つ㤷晥㜰㜰〱㘳㑢慢昵摦㠵㝣㜹㌲慡㝤敥搹㘷改㤸昴㠸㝢〱㥣昶㕤敡攸㈹㙣㝦㈱㠰搸〷㠲㔲慤晥㈱攰ㄴ㕦戵昷㠱㘴搶㕡㍤㝤摦㡡搷愷戲攲晤㐸ㄵ㘹昵愷〳㍢㈳慦㈹昰挴㈳㈸〶㐲㡦㙣㘴㈵㜶㐲㍣㡡㠸㌳㡣攵㠸摢㕡晤㈲㄰挸㌳㐸昸㔸㘵㠲挵㈴㘸㈲〱ㅤ散㑡慢㕦㠲㔴㐵敢愸㠲㕦ㅤ摡捣㤹㈰㠷㕡晦㘵㔷晤㉥㍥㉥㘵晤换㔸晦㔳㉥〲㐴㥤ㅥ㉥㈷挱ちㄲ㍣㕤㤹㘰㈵〹捥㈲〱㥤搸捥ㄸ㝦〹㠴慤㜳㌷㤳攰㙣ㄲ㝣摦㐵㠰愸搳㐴ぢ〹挲㈴愰昷搹愹挱㐵搰㑡㠲㌶ㄲ搰愳散㄰㡣慡ㅡ㤴攵搰㑥㠲づㄲ扣っ㈴扥㍤戲㤳㈹㍢攱愳㥢愰搴晡㉤昳㑣搰㥤〱㐵つ㍥㡡㤱摣㔴〲㝥㈱㐶㘹つ㕢㌱㉥㔷㉢ㅢ㌶㝡㍡〳㌱㕥㕤㝡㥡㥢㉦摢㠷慡㙡㑦㉣戹㘹慤㡡㌱攷ㄵ㝣㝣摦昹㐳昹㙤攲㝣㜹㜶扣㜰敤㤲㘵ㄸ戴㉥攰㑦扣㌰ㅥ捤愴戳㘹㌳搷㌸〲㥦㘷㈳㙦慥挳㘴㙢改昵㝤ぢ㌵㔶㙣㤳〳慢㑥㘱㈰扥㕤扣挹ㄹ搸㤹㑡㕦㤹㔲扤昱㘵㜹㠱㥦慤挹㥡ㅡ㌶ㄳ挰㐷㠵挵㘰㕥攸〰愲㈱㝣攴㙡㤰〴ㅢ㐲慦㈱敥挵㐷㍢〷改㈵晤㝤晤㕢挷愲慢㕡愲㘶慣慤扢慤愵㝢㔵㝢敢㉡愳㍢戲慡㍢摡戹慡愵㔳㌷㘳㘱摤搴戵㜳昳愴ㅤ㔱㘳㔵㕢愴戵愵慤㉢摣摤摥愹敢摤㔱扤搳㘸搷昵捥㙥㈳ㄲ敤㙡㔹ㄵ㍡㘸㔷㉦搷愰㡣㍣て㈰㐴〷〶㕢㤴㙢㠹敡㈱㡡敥っ㠵捡㔳昹摥〲㙡戶㕥〶㌲挳戹挹㔶㕤㔳㔳㘶㘴㤴㜹㈷昲㜷㝢㌵㡤捥〹摦㤳㘰㜳改昵挲捡㠵搰㕢搷㉣戲㌰挵㥦ㅣ攰㔰〶〱〲㈱晡㈶㠸搳㠶㤰㥣搳摦㌷㔶晣〲愳戶づ攸㍡愰搵摥戹ㄵ㔷晡戵昵挰搴〳攳昲挶㠶摥㜶㙡ㅥ㐶愶㝡户㑦扤攵㈷摥〱ㅥㄸ㕣〰〶㘴㐴㝤㝥㠶〸㥦〷昱㌸〶挲㔵㠸㌸㙥昴㈲㙦摡愵㈵ㅥ〵ㄹ㤷㔷昱昲愰摢㐲㉤㡦捤㈸㡣攵㐱ㄷ㠵㕡ㅥ㕢㤰戶㤶㐷㙢㝢㑢㕢㘷㘷戸慤捤㡣㘰捥扢愲ㄱ搳㘸㡢㜴ㄸ戱㐸㌸㙣ㅡ㕤㉤㥤摡搶㍣㘹㘷㐷㥢搹㙡戴㥢㥤㉤㘶愴扤扢戳㑢㕦ㄵ敤攸㙣改ち㜷㐶摡㕢愳搱搶㔵㈱㍡㍦搴挴㡦愰㡣ㅣ〵〸搱攷愱㔰摢㠸摡㑥搴慦ㅤ㔴㥥㑡搰戱挱㈵㈲㍥㡦㈱㜰晡搴㌴㝣㤰㐵㉥〱〸㠴攸摢㔰㌸㑥㠳㈴搳㈵昹ㅣ愲扢㐳攱挷㠸攲敤㔸昵ち㘲㠸慥づ㠶㄰摤ㅤっ㈱挵㐴㐶ㄴ㡦ㄹ愱㌳〳㝢㥡㐷㡢戰㈶捣㔸㤱挵慦㐵㠱つ㡥㔹晥㌲㌵扢㔹㉤〶㔴挹搴㙡㝣㌶㠳㙡〱㘴㝡㘳戱っ㑥晦㌵ㄳ愸ち㑢㘵〷搰挵㑢㘵ㅣ㤸㕡扥㤷〴㍦ㅥㄷ㜱㠸慥ㄵ㜶挹㑦㈵昰㔴昶敤㜲㘰捥㍢昳㤲㐵昴㐲摡㘷㈹㤵㉦㌶ㅦ晣敡つ慦㝥攵㥥㔶㈳摢慡㉥㈹㕦捡ㄷ㔱ㄲ㘷㉥ㅡ㙤㕦㈵㜷愲づ昵愲㥦摦㡦㤸㈷㐴㈷つ㐳〸ㄲ搲㡡昸㥣㠸收㐴㙡㄰㘱㑦㈴㤹㈳挹ぢ挹搱㑢づ㔷㜲㠰㤲挳㤱ㅣ㐱㠸戵收㝢扤ㄸ㠵戴㐹㘰㡥慡搷慤慤㜲ㄷ敢㙦㐲㙤㔶慦㝤戴晦㑢㥦㙡搷㈹㠲换捦挳扥㠴㕣㑥㈰㈵ㅦ收㤸昶㍤昰㑤戰㐶㜲㐴ㅤて㍡㙣戵㘵ㄳㅥ㔶㌴慡㈱㕣㜲㈹㈵㔴㈹て㡡㈵㥢㍤㌶昵慡挳㤱搹㡣〱摦㑤㜸〰㘷搷ち愶愴㠲晣っ挸㈹㘴㔰搳愲㥦㠶㌴昲㉡㐲㍢昸㘸敢捣摥戰㘲挹戹〵愷㍢㡦㔷㔶㈴㘰㘳捥攲㌴敢㙡㤴ㄵ戴愵㔸㠷扣〶㤰愲㠸ㅦ愱㜴㜵㘲㍦㙣㘷㔳㡡〸敡敡㑡昲㕥てㄶ攴㈵㉦㡦㈹愶㤷扣㝢㐰㕡㈶㜹〵㜵㝡晣㝢攴㜵㠰ㅡ㈲晣㠴愸搸㉢㜹㝣㍤㈲昲〶㠲扦㈰昸㑢㠲㡦〰〴㙢㐳昳昰挵㄰愲㜲慦㈲搴攴㔵㠴摡㍣㐳〳昵㙦㑡㝡㔶㝡㑣㐳㠸㕡㝢㈵㐱㑢㐵㕥攱㍦㠶㠸㝡愳㔴扤㕢㉡㤴ㅥ㡥㉥挸㡦〳㡦㝦敢㐳㍤㕣昱㌱攳攲愳攴づ㐶㍤㐸㑣㔴㘲㔹愸ㄱ搹㡡㌹㌷㈳㠲捤㡡㥡㌷攷㑡扢〵ㄱ㙢戳㡡戴戵㜶㘳换㘹㌳扢㔶ㄹ敤摤搱搶敥敥㌶愳愳ぢ㡡㑡愴戳扢扢挳〸㙢户收㐹挳㤱㠸搱搲ㅥづ户㜷㜶户戵㜷戶㜴㜶㜵㜷㜵挶摡摢㘲㐶扢ㄱ敤㙡㙢搵㐳㘷搸搵换扦㐵㐴摥〶㄰㕡散愰ち㥢㔵㤳㠳捡㔳㠹㌳㠱㔲㥢㤵㠹㘱攴㌷慢扤挰捡㍢〱〲愱愵㠰㤵㜸㐸㈵㕥攱敦㈱㙤ㄸ㐳㔳慦捥㠶愸挰㌳㠴愸挴慢〸㌵㜶ㄵ愱搶慥㈲㔴搱㘷㉢㡦愹挹攷攵㌱慦搲㘸て〲㜳㔴昲戸扤㔵㍥㠴㍡搴㥢戹昶㉥㐲㥢㐰㜵㡤㜶㠱㡡搰〸㔰㤱㌶㈷搲㡥〸㝢愲敤㐷愴㝣㡢㝤ㄸ搸㤲㉤昶ㄱ愰㑡户搸㐷㐹㔶扣挵㍥〶㔴㠵㉤昶㜱愰㡢户搸㝦〰愶㘸㡢敤〰㈲捦㥣㜳搹户㉦〱戳收㘸戶搸㔶昹㘵㔴愱㕥㌶戶㜹搳㠹戴㕡捡㕦㐱㈴搸攰愳㜶㝥捥昴户㔱㕤慡攲ち戸㤵㡡㕥㑥ㅤ挴换愶㔳㝣っ慡㜰㘲㘹㥤昳㔵㝢㔷ㅦ㔹㕤摣㐵敡㔰ㄵ㍦扥㈱慣摥愳愸〷㈳㜲㠹㝥搶㜸㍡㍥昲慢挰晢愸昷㔷㜴㕢捤昴㤳ㅣ㤴㘵昳㤲挳㔹㈸搱戸捡㌹㥡敥捤晦㉥挸ㅣ㐷戹㕥攱扣㌳戹愴㠰㜱扣挲㑥戱㑤㤹㝣㌹扣㠳〸㘳ちㄹ㉢昸㠶攵扣㐲捡㜵㑥扡戰㠰挵㐱〰㕣㤴㐶捣愹㌱㡢挳挲㙡㙦㔵搹㥤㐸愵㜴搸扦〰挲㠳㔱搶㠶昷㠱㠷㘳昵ㄸ挱挲ち愷挴㝤昱㥣扡㘵㐱搷愹㤰攷㠰㌹摡㤳〴㙢㥡戶㌷㠵㕢㝣㝤㤸㠸㔲昷捣戴㙤愰㥣㡢敤㙣㤱ㄲ㈵㈰扦㡥っ㐱㠳㡣扣ㄷ㤲㌶㥤昶㌴挱㥡愶㐱㌴㈲捥㐳㈳㙣㠸㉢㈹㈰晦㤹㐴㙢〱㠸㘲〵愲挷㑥㌰扦㘱〰〹晡㥥㑡戶ㄷ攷㍡㤹愷〷㜹〸晥ㅥ昵攵〹昵㌴っ㍡㈵㉥ㄵ㡢㙥改昵扤㜴㙤改敤㑢换攷晣挳戵㝢㙤㈷戴愰㈵㜴㈲捡㤷扥㑤搶㡤ㅥ㔵扣㍣搹㘵㘷㤴扥㕣ㄷ愲敤愴ㅥ戶敦㈰ㄲ㙣㄰戴㜵昸挰㠹㑥㤴攰㉡㔷ぢ昳扢挴㡣〰㔸っ愲〱愴㍤〷攰攳㉣㜴㠸㔶搰㌹捣〸挸敦㤱㜸㌴㑦扣㤵挴捦㕢挴㠳㈰㙥戶㠹㉤㘶晥㠰挴摣㌱㥣昲㘲扢㥤㔰捣晣㈰换㘱愰戳㘷收㈵㑥㠹改㤸愹搸扥㘷愸攷挱㝤っ㠱ㅥ㌱㠶ㄲ㤵㤸戹っㅤ慤挸捣愵㜶㐶改慢㜹㘲㘷㔱㑤㔷㜳㠲戶〳㠸愶改㙡㕡㙣㘷㤴扤㙦戳㙢㥡㥡㑥㥦慥愶搳散㡣搲ㄷ㔷〴戵㐹晣㝢攴㡦散〸ㄳ愱慢〸ㄱ挴搵㌶㔶扥敡㘰㠰つ㔱摢㔳慢攲〰㈲昲㌵㠰㘰㝤攸挳づ昲㈰搳つ㈱㉡㘷㡡攸㜵㐴攴ㅢ〴㍦㈶㜸㤳攰㉤㠲㥦〰〴〳㠲晡㥡㕡㔳㈷愰㤳㕣㔳愷愱つ㔸㘹㠲㍡㥣捡㤸㘳㘷昰㤱昴摢㜳晤敥㈱㐱昵㑥攵㠷散㝣ㅥ㡤戹昲愹昹愹晣〶㍢㝦㘱㜱㍥㤵㐲㤵㕦㙦攷慢挵晣㜳㘰〵㌵戱挲愴摦㡦㜲搶㔴㐹㔰㔶㥣㜴扦㥤㔱㝡晤㌸㐴摤㑤戱攱㌷㠸攰〹扡ㄹ㕦慡㔱捤摤攸㙦㠱ㄵ㔴㠳慣㈷㠸㕡㤹昶㝢〰昵〴㜵ぢ㉦㘸㥤㈷㈰㈰て㤱㤸㑡㤵㐵㝣㉢㠹〵㥥〷㄰て㌶㜵㡢㍦晣摥㉤㡥慡㤰搱戰㤷㔵㘱㄰戳㝦㑥愸㙤愹ㄲ㌳㍥㈷㄰㑦愸ㄵ攱㥤戵㠲㡡㔷㠱㘵摢㠰戴㔸昶ㅢ㜴愷㈲换摥戵㌳捡㙥㈸㔳ㅢ㉡搴㔴㜸㑥㝥㌱㕤㑤㍦户㌳捡㉥晢㔲㜷愸㔴搳㑦愷慢改㙤㍢愳散づ㉤㤵㡤挳摤愱㜵晤扣〷㔷愲捦愴晢戴搶戴搰搴て搴㐱㜸㐲昹ㅥ敢㜰攵㉤㠳ㅦ搸搸㠰㥢㥤戸攸㠶㥦挶戲㥤㕦戸昱挹〳〲攷㔲㤵㔴㈹ㄶ搶捣㑤ㄹ摣戲慡㌱㠷戳㜰愶挴晣昸㠱㠰ㅣ㕥ㅡ㑢ㅤて愶㌶扣挱搵ㄴ挸搸㌱昹愳ㅣ摥㡡㡥搸㍥㘴㔷摣㡢搵〵㤲收〲㍦㥣㈳㍦㉦㙦捡ㅤ㤹愱慤捤㐵㜷㥣㤳㡦㤸敢敥㘷戵㜸ぢ㔳㙣搹㤴㝢㍣戶攳捡敢㤱扣㈵愳捤〷愸挲㥢敥㑡㈲〲〴攴〲㘰慣扢㜶扣㌲攴昱㝤㤵ぢ慡挴戳㑤搷昸㄰攸㍣㈵扦㝥㔱㕢摢挷㌲㜶愸愶ㄶ㌱㤳〶㐳㔵愱㈶㌹愶昳㘷晦晣挹戱㠴㤱摡㤱ㅢ捦晦搴ㅦ搴㙡扣㄰㈲㑦㐶㍢㙣㡡ㅦ㐱㑤㠳戵捡㔳摣㔸敥搴㕣慤摡㐲㘰㉢戳攰搵㡡㉣㌸ㄵ昴摡㘹〰挵㉣㌸ㅤㄸㄷぢ〴㌷㝢戲挱〹㠲ㅢ扡敡挶㈲㔰攲摦敡ㅣ㜷㙥㠵㍤挳㠵つ㜱㤷愹〶㠹㕣っ㙣戰㉡挴㙤㠵搲㌱ㄸㄲ摣㑢㤴㘰晣㑦昴㡥摢挰㝣攰攱晥ㄲ摣㕦㔴挶㝦搸ㄹ㍣昴昰晢㜱摢晤㤰攰㕥愳〶晢㝥搴㔷㜸愹㘹ㄷ㤵搳慣㔷晣搰ㄹ攸㥢慤㈷ㄷ收㝡㈹㘸戵㘵〰㝣慤㠴㠲ㄳ扣挴㕣㉦㐷捣㍤㔰敥㕢慡摤ㄷ敤㜶㤵㌶㈸戸㤳㈹昴て㙣昴ㅣ㤴て〸敥㙤ち晤㠲㡤㘶昷〳㠲扢㥤㐲㍦㙦愳搹昹㠰攰晥愷搰摦户搱㑢ㄵ㥡㍢愲㐲㝦捦㐶㉦㔳㘸㙥㐹㘴昹〳㙢摦攸昹昳㥥㡦昵ち敥㈵㙡搸慤攸㜳攵㌹㝥づ㌵㤴㉦昳㜶搰㙢ㅤ〰挵㜳摣㔹㌲昴摦摡つ愲㜵ㄵ挴㈱㈰搴㙣㜶㠱ㄲ晦搶ㅣ㜳㙦㔱搸㙥ㄷ搶挷㐷㘹搶捦㌹敡㍤㔲て搴㙡戴㈳昸㠰戲づ㜹㡥慢ぢつ㝣㑣㠸昵㜳捡ㅡ昸㜸攴㔳㠲换㥣㕤㤴攷ㄲ捤搵慤捡慦㐱〴晦敡搳挰㤵㥣㉦搱挰ㄵ㥣㑦〹慥㕣㌵㐷捦搸㜳戴㤶捤慦㈵つㄷ㤶慡扡㠷㈹慥㈷㔵㜵㉦㈲㝥昶〶ㅦ挱ㄹ㔰㌴㝤捣㈶攳ㄵ㑤㍦㈲昸户㥡㈷㤳昳つ㌶㤰戹昹㤴㔰愳㘶㡢〳㈴户㐳㠸愳㔷㕡挶㈰㈲㤲搲㈸㔸㉦搴〰㐱㈱搷戹㐹㌹㔰㐵扡㥥愴挳㡡戴㠱摤扦〸愴摥摤㈲㝡㔹散戲换摥㙤愸㙥㍣愵晡〳㍤㜵㜷扣昴慦慦摣昲攲㠷搶ㅣ晣摤㥤㜷扥昸敡㉤捦晥敥㙢㤱㌵摦扡敦扥㙦㥣㝦昷戳慦㥣㘰摥攳晤搲扢ㅢ敥戹㈶扣昳㥡㉢捣㙤换搷㕤㜳昱攵㕢挲㥢攷慣愸慡慡愹㌹㜳敥户㑦㕡ㅡ摡㜳挵ㄳ攲改ㅦ㉥㐸〹挵ㄱ昶攵㝣戴挴㐰捤㌷㐴捥愸扥㕣㠰㠸摣㐰㜰㈱挱㐶㠲㑤〴㥢〹戶㄰㙣〵〸晡㠵㘲ㅢ捡捡ㄱ愴㥤㄰㈲晢㔴㐵愳㈴摤㐶搲晡㄰㌹㐴㈴㠴ぢ搹愲㈶㙤㥦㍤㘹㡡昸㈲㘰〵㤹愵戲扥㘰㘷昵愱〸攴㑥㠸㕣戳㡢㤳㔵㡡收昳敥攲ㅦ〴㔶㤰㠱㉡敢㜳㈵挵㌹㔰扢㌸㐷愷㘸㍥敢㉥㝥㈹㡢㜳捣㉡敢㍥㍢换ㄲ㌲攴㠲㐲摦㙢愳㉤㈱㐳扥㈸昴㍤㌶摡ㄲ㌲攴㤴㐲摦㙤愳㉤㈱㐳摥㈹昴㘷㙣戴㈵㘴挸㑤㠵扥换㐶㕢㐲㠶晣㔵攸㍢㙤㜴㥦捤〷㌲摡ㅥ〸戹慢㘸昶摡㌴㡡㡤㡡て攴戹捡扡愳戸戸㈰㤳戹攰〳㠲㜴㔶㡣㐳㘷㑣㡥〳〸〵搰㤸㡣㈳攵㠴㄰ㄳ㔶戳戵晦ぢ㘲㘳〷〶</t>
    <phoneticPr fontId="10" type="noConversion"/>
  </si>
  <si>
    <t>㜸〱敤㝤〹㥣ㄴ挵昹昶搶戲摢㙣つ㉣㍢㡡㈰㉡㉡攸慡㈰扡㤹㙢㘷㘶㔱攴㐶㐰㤴搳㍢㡡㜳昴挰敡ㅥ戸扢㈰㜸㠲ㅡ挵㈳昱㠸㜷搰愰昱㡥㜷扣攲㤱㘸扣㡤晡㔷㘳㑣㍣㠳挶㍢摥ㅡ敦挴敦㜹摥慥㥥改㤹改㔹挰㤸敦昳晢晤晥捤捥㑢搷晢㍥昵㔶昵㔳搵搵搵搵敦昴㔴愹慡慡慡㙦戱昱㝦㙥㌵摣ㄹ㍡㜷㔹㜷㡦摤摥㌴戱戳慤捤捥昴戴㜶㜶㜴㌷㡤敦敡㑡㉤㥢搱摡摤搳〷〰㙢㝥㉢散摤戵昳扢㕢て户敢收㉦戱扢扡〱慡慤慡慡慢搳搵戰㙦㘲㍥㐱㌷愱㤹㑢搷㔰〰㔵愵㉤㡡扥ㄴ㜵ㄴ㥡㈲㐰搱㡦愲㍦㐵㍤挵〰㡡〶㡡㈰挵〶ㄴㅢ㔲っ愴搸㠸㘲㄰挵㘰㡡㡤㈹㠶㔰戰㝣扤㈹挵㘶㄰晤㠷㐲捣㥢㌸㘱㘶晡㘰ㅣ捤摣㥥捥㉥㝢㠷㘱㝢㌹㜵ㅥㄳづ㌷㠵㥢㈲搱㤶㜰㔳㘸㠷㘱ㄳㄷ户昵㉣敥戲挷㜴搸㡢㝢扡㔲㙤㍢っ㥢戵㌸摤搶㥡搹捤㕥㌶慦昳㄰扢㘳㡣㥤づ㐵搳愹㔸㌲ㅣ㙢㙥捥戵戴㈴晢㙦づ捦㝢㑣㥣㌰慢换捥㜵㝦㕦㍥户愰捦㤹ㄳ㈷㌴敤㘱昷㝣㕦㍥户㠴㑦戸㥣搴搹㥥㙡敤昸㥥㥣搶戲㑤挳㤳散㑣㉢ㅢ摦戶扢㕡㍢ㄶ㌴愱摡㐵㐴㈳㤵㘸〲㘶慦㔴搷㐴扢慤㙤㡥㥤㘳㠳て㘸摦戳摢㥥戸戸扢愷戳㝤㡦㔴扢摤扦㥤〴摡㕤㜶㐷挶敥ㅥ搰㍥㜹㘹挶㙥㌳攸敥扡㜶㘴㈵愸㠶㍢つ敤㑥㈳㑥换摡ㅤ㍤慤㍤换敡改㘸㑥慡㘳㠱㑤㐸㙤晢慥㡢㕢戳㔵㌵㌵慡愶愶慡㡦摡挶慦㙥搲㔴愶㐶戲捦㈶㕣愷愳㈸慡ㄶ扢搴搶㈵晥搹㘶㌳ㄷ昵散㘶㜷㜵搸㙤愶〸㌶收愸ㄲ㥣㜰攴㌴㐵㥥㉣昷㠰搸㔰慡㥦㌹晦㜸㌴㉣㐸改㘱㤰㝡㌸㠴戵ㄵ㐴扦㌹㜳收扢㍥昵搶㌴㌵㐲愸㥡ㄷ㜰㈲㝢昳昲㘴慡㥥㥦慡㥥㥦慥㥥㥦愹㥥㥦慤㥥㙦㔷捦捦㔵捦㕦㔰㍤㝦㘱昵晣搶敡昹〷㔷捦㍦〴ㄸ㜷慢敢摢户摡㙣愷㍥摢敦㜲ㄵ晡㘸收㉦慦ㄸ戹捤㉥㈷っ昸愶㤶攷㙥戳㕢㘸㙦㡤㍤扥扢㝢㜱晢㈲づㅡ㥥〶搷敤㤳扡㝢㘶愵扡摡扢扦摦戶㐶㐳㑢㕢㙦攷㔷㌳愷愹挷㜷户㑦㕣㤸敡敡昹てㅢ㝢㔸㐹〹㙣散戹慤敤愶戱㔱挸昷搲搲搶戶愰㜹挴ㅥ㥤㕤敤ㄸ㝤㜶户㔳ㅤ㘳㈲愱ㅤ收昶㘴㈷搹㑢挶㠴㥢攲挵㕢㐲㙦〷戴ㅥ〱㘱㡤㠴ㄸ搰摤摡扥戸㉤㐵敡㐷挷㐲愳昵昶戴㡥㠲㔰敡ㄹ昴っ昶㡥㕤㡥攸㍢晣愶搹挷㑣戹晤摤搳摥㝣昷㉦昱㈷㙡㌹ㅡ㐷㑢づ捤昷ㅣ㥥㠲㔱㌳㤳敡敥㌱㡤捡戱晢晢㙤捡戵户攴㤴慥捣㝦扦㈵㔱挸昷搲㤲㝡㐷戲摦〴㘱晤〸愲㘶捣昸收愴づ㔱ㄷ㠶㔰敡〹搳㈲㐳㥡敦㡤摣扤愰晦㡣敢㥦㥦昰晥㔵ㄷ敢㘵㡡㤷㐶㥥㙣㔶ㄴ㘲㤴户㉢㠴㥡ㄲ捤㙥㘷〸㌵㠵挲挵扤㈱愹㘳挸愰㥢㤹㌵づ攱敤つ挹昰㘸㥤愰㌵〹愱搴㐳愶散㔵ㅦ捣㍥㜶挷户扦㥥晥慢捤晢ㅤ晥敥ㄶ㡦扣慤搸慡㔲昶㘸散㡣昴㤶ㅤ㘹㉥昴挳㜸㐹㐷㑣敡㥤攸㝢㘷〸㙢っ㠴户攴〸㑡摥㠵搶戱㄰㑡摤㘳㑡摥㙣昰挱㍢㝣㌹㜸挶昸昳㙦摢攴挸㔷㡥㝥攲㉥挵慢㠲㤴㍣ㅥ㍢㍢㜸㑢づ㌵㌵昷㜲搴昱愸㥥㐰昷ㄳ㈱慣㐹㄰摥挲㘳㤱搱㝡㌲慤㔳㈰㤴晡慤㈹㝣攵㠲〷㙦扢昷换㡢愷㥦㍦㘲愷搵㠳敥㝦㙢㕢挵改㠷ㄴ㍥ㄵ㍢愳收㜵戵攲㠲㠲ㄳ愹㙢㠷摤㕢㍢挶㐴㘳愱搰づ㌳㕡て戱摢㕡敤敥㥥㌱㐸㠵㜶搸㍤戵㜴㑣㉣ㅥち改㘹昴㍥ㅤ挲摡㡤㍥挶㑦㡤挴昴っ敡㜶㠷㔰敡㈶㔳攲昸㝦敢㌹㥤摦㡣㥤扡㘲昲戱㠳摦ㅡ晣昵㑥㡡㜳ㅤ㈹㜱㈶㜶搶慢挴㔹昴㍥ㅢ挲㥡㐳ㅦ攳愷㠶㐳㝡㉥㜵昳㈰㤴晡戵㈹昱愷㔷晦捦挱㉦㐶慢愷㥤昵敢㌷晦㔵㍢㝦扢㙤ㄵ慦〵㔲攲㕥搸搹搸㑢㜰戸搰戲㝡㙦㝡摡〷挲摡ㄷ愲摥㌳愰㈴㐶敢晤㘸摣ㅦ㐲愹㑢㑤㌱㤷㥦户搵挸换㙥晦摤戴㔳摥晢敡㡤㠳ㅦ㍦晥昷㡡㔳㌷㈹收〰散㡣㉣愱㌲㔱挴㘴搲㄰ㄹ〶愳晡㐰晡㥥て㘱ㅤ〴搱㘷晣搴㤸㑥㔱㤵㠶㔰敡㐲㔳摣㥦戶㍣愵㙡㜶慤㥡㜰攵敢昷㕥㍦昴挹㍢敥㔶㥣㈴㑡㜱㔹散㙣攲㍤慡㈸扣㥢㠱戳㌹愴㙤晡捡㐱㔸ぢ㈰扣㝤㈴摣㌲㕡㉦愴戵ㄵ㐲愹㜳㑣㐹㜷慥㍡㝦攷㈵改㑢愷慥摥㝡搷慡戳捦㍤㜸ㅢ挵㤹愸㤴挴ぢ㘶搱愹㠱晡扢㈵㐵㥢愲挵㕢戳㙥愳敦㜶〸慢〳挲㕢㜲愴㜹戴敥愴㜵ㄱ㠴㔲愷㤹㤲昷㌹㘴搶㤱㐳〳㑢愶摥㌲散昹㡢昶㍥敥搰㤳ㄴ愷扦㔲㜲ㄷ㜶㑡〶㠴㘴搲㉤摡㙦㐰攸愶昷ㅥ〸㙢㌱㠴户散㘸㜴戴㕥㐲敢㘱㄰㑡慤㌴㘵捦敡晦慢搰㈳㝤〶㑥㍦㝥敢〵戹敢扦㍤昱㕣挵㔹户㤴扤っ㍢㐵搷愵㘸晥愴昴㌹攸挳改晡〸〸敢㐸〸㙦挱㘱ㅣ昴㔱戴ㅥつ愱搴ち㔳昰㈷㝢慣敡㡡㝦昱攸㡣㥦㑤㔹㌱慥改愸㍦㍣慤㌸搳㤷㠲㤷㘳愷愸攰㔸㙦〵慦〰㕡ㅦぢ㘱ㅤ〷攱敤扦戱搱晡㜸ㅡ㝦〲愱搴攱愶摣愳㌷㍢晦㤳㑦捦㍦㜳昲戹昷㙤ㄵ㘸㕣㜹搹戵㡡㌷ㄷ㔲敥㠹搸㈹ㄹ㠷ち㠷㕣㑥㜶㈲慡㔷搲晤㐹㄰搶挹㄰摥㠳㡥㈵㐷敢㔳㘸㍤ㄵ㐲愹㙥㔳昸昲㡦扥ㅡ㤶戹㙤搵挴㙢戶㕢㜱昶㝤㐳㥥㥢愲㜸㔳挳㐹戵搲㍦㈳晡㌴〸敢㜴㠸㝥㤳㍣昳扤㌳㘸㍡ㄳ㐲愹㜶攳攸愱㕢摢㑥ㄸㄲ扦㜹捡㥤㤷摣晥挵攷攷㡤㌸㕦昱挶挸㜱㜴ㄶ搱㘷㐳㔸攷㐰㌴㑣戲扢㕢ㄷ㜴ㄴ㈶㡦攷搲㝣ㅥ㠴㔲ぢ㡣戳敢㘷晦㝢攸㤷㉦㝣㌶攱扣㘱ㄷつ㥤扡挹ㅤ昷㉢摥㘰㌹捥㉥㈰晡ㄷ㄰搶㉡㠸㝥㝢捥㉢㌸扡㤰愶㡢㈰㤴㑡ㄹ㐷㙦㜷㉤扤晦扤㜳㌷㤹㜸敤挷㕦㡦㡤㑥㝢愶㐵つ㠶戹㤶戸搵ㄴㄷ㐳㔸㤷㐰昰搲ㄸ搷扦愲敥㔲〸愵昶㌷づ㍡攳㍢㍣㍡㘸搹㥢㝢㕣昹搷扢て晥㥦㡦戶㕦慡㌶㠶搹愹挹攵㐴㕦〱㘱㕤〹搱㙦愲㠷㥦慢㘸扡ㅡ㐲愹㍤㡤愳㠷㜷扦攳收攴㈵摦捥扣㝤挷㤶㤱㌵㝦㍡攷攷㡡㌷㠹㔲㤳㙢〸扥ㄶ挲扡づ愲㝥㑡慢摤㤶挵㑣㉦㠷晢挴㙥㝤㍤㡤㌷㐰㈸㌵搳㜸扡㈷晢昴愲㠳㈶㝥㌰攵摣㥢㔶㙥㌱㌰晤挵〵㡡㜷㥡搲㕦㙥挲㑥㔱㍦㉤昴ㄶ㥦ㄳ攴㌷㜴㝤㌳㠴㜵ぢ㐴愰㌰捥敡㕢㘹戹つ㐲愹愹愶搰〱㥤㠹昱㉢㠷㐷昷戸昱㡤搵ㄷ㙥昲挱慢㉦愹㑤㘱㤶敡晦㤶攰㍢㈰慣㍢㈱㐰㘴㍣愴敦愲敥㙥〸愵㈶ㄸ〷敦㉤㙦㝡昰戴〵扦㥡㜹晥㈷㔷㠴㌶㠸㙦搱愲㌶㈳ㅡㅦ敢昷㄰敢㌱㑡摦〳戸扥㤷ㄹ晦〰挱㡢㑦㕣摦㐷摤晤㄰㑡敤㘴捡ㅢ㥤戳挲㕢㕦㍡㘱捡昱攱敤昶㕥昶昰㜱慡㜶ㄸ捣敢㜶㌷挶搹捦戰㠹ぢ㍢扢敤づ㤹戰㡦㙡㥦搵㥡㌹挴敥㥡㙢㜳㈵挲捥捥敤㐹昵搸㠳㘸㌲户㡢愳㘶㜶㘰㔲㠸ㅢ挰散㔶㕥㙤㙥昲搲ㅥ扢㈳㙢㘷㘷㜵㜵㉥戲扢㝡㤶捤㑢愵摢散挱㐵㤰昱㔸摡㔸㘲挳戰㐹㤱㝡㑡㘷㘶㜱昷挴捥㡥㥥慥捥戶㘲换昸散㤲ㄴ㙥㔱戳扢㜷㘶敤慡㍥㝤㤴慡慡ㅥ㘸㙥搵㈶㉦挱つ改搴㔴㐷戶捤敥敡㜵昹㐴㙤㡥㈳戴〲搸慡㙡㠷㘳㜷晤㙦㍤慢㤱㑢换㥤㉥搶㈵扡㙢摢㌱㌳敦敥搳挷慦搰愹愹敥㠵㍤㍣敥摥㡤昴昷㈰挵㐳㄰戵㕢㐳慣换㥤㉤㝢扥㑡愹戴捡愸慣戲晢戶攳捥㜷昷〵㕤戵㜲㐳㕦摢㡥㠱㈶愳㜹挷㍥つ㡤戰搴挲㕥摢㘲摣攷㤳㔶㝢㘹捦愴㔴㑦慡㙦㍢敥〷㐱摡〰㘴〴㙥㤴㜱搰摦㑤捡挲㠰㥢愰扢愰㥢㜰扤搶ㄷㄴ㜰㍥搰㑤㜹捡挸晢㜶㡡搲㔲づㅤ㍢㝢昴㕡㉦㍡搷㘵挰愴攰㉦㈸扢ㅥ㘷晤㐴攱㜸挲戱愳晦愳〳㔴昵挱㝤㡢晣攷㐸㡢㕢敦昴愱㥥㈰㙡ぢ㌸愸戳㝡㙤㤸挶㤲晢㌲㔹㕦挸愴昷散㘹㙤敢㙥㐲㘵㜶敤敡㕣扣㠸㝥晥㙦㤷昷㝤搵㥢㜵㜷戶扡㜱捥晦挱㤲晦㍦攴㙤〳戶扡㜱〱敢㘱晣敦㕤昹戰ㅥㄱ㤳㐷攸㐷㤱〸〴㌴㤱扡搴敡ㄸ㝢戳搵㌶㈲摦晡㉣搶㜰っ敥摦㍥㌳㤳㥥搷㘵换〲㔴㥤㈴㤶㉤戲敢摢昷敥散㍡㈴摤搹㜹〸㝢摢〰㐹㜵㉦戴敤ㅥ㉥改昴㌳㡢㔸摣㔷㑡昵改㔳戴㘶攳㔹晢搹ㄲ晥慤愷㈰敡挷户戵つ㜳㍤㜶㕢㑦㔳㡦捥㠱㍥㘰晤〹晢〷づ㥦㌵㜹捥扣昹㤳㤷愶摡ㄷ戵搹㍢捥㕥㥣㙡挳摡搸㡥攸㘸㤳扢㠷㉤〹挵㠶㡤挰敤㕢㉣ㄲ戲扢㐷扥㝥摤㈹㙦㉤㕦昱晡敤㉢㕦㍦敤㡣户㤷慦㜸昳㥡㙢㕥扢㝤昹㥢㈷慤ㅣ㠱摡戵戵㉤㝢敢挴慢㕦㕦昹㡢㌷捥扥攱㡤㥦㕥ㄷ晥攰慥㤳㥡㤶戶㜵㉦㔵㍢㤸㜱晤愶愹晤㘶摦昰昸捦挷摤戰攳戳㤳㐶㕤扢㜰扥ㅡ㘵っ愵慢㐵晤㥦㐵慤㘶㥢㈳㤹搴㤵㍡っ㑢㠳㠵㔵挷㐸ㄳ收㑦敢戲摣㡡搵搶㕣㜳㉥㤱ぢ㠷戳捤愱㔴㌴㔵扢ㅤ摣慥敢㔲て愷慥晤㜳㝢户㜶㘴㍢て攳昸摥㍤㜴㐲ち㡢㡥昹愵愰㔱挶㌶愱㜳㜱㐷戶㝢㌳㝦愳㕣㙥㌶㉤戵ㄵ㥣㤴㘵㥢㡢㘵㔰扢㕢捡摢愲㌴㥢㡣㠱攳㤷戶㍡收捤㑢捣㔸〳敤㑣㔷戶㑥改戲て捤㕢换㙡攴㕣捡㘸㉦㍢㑡挷攴搴敢晦㡢㉢㉢搶㙥㙢戸㔵㈹攷ㅡ扢㝤挹㌰㈸换㔳挲㜰㤳㌴㠴愷㠹㜹㙤ㅤ㔲摣敤㥡收㘰摥㠰昹㐱㥢捤㍥㔹㕤㍡愶㤶㍡ㄳ扦㜴㌳戲㜲愹挴㤸搹〷ㅦ㠸㄰㍤愲㌲㕡敡㤸㙦戹晦㉥戸晡㍢捥㐷昴㕦㜰っ戵㈳㜰㌶㔷㘴㡦搳㐵戵㔴㉤慢㍤慣㌵摢戳搰㕡㘸户㉥㔸挸㕢㑢㍣昲愹慢㈳戵㘵㥢㝥づ㉡晤㍣挵ぢ㄰㤸昰挸㤸㙣〵昴㑢㑥㔲㡤挰晦㥣〳改㤷㈹晥〶㔱扢㍤挴㕡㤷㕡攵㡥㤸㉢捡昵㤸㘷攴㔲㜸㘸㈳愷㤶㑡慤晦散攳晢㥢ㄲ愰搷㝡㈷〲扤ㅦ〴敡捥㡢㥦㔵摡换㡡㔷㤵昱㘰㈳扢慢摤㌱てㄷ㤴㙥挲扦慦敢敥昷攵㠷㜵搲㙢㈰摣慤㜶㑢㜴愱㜵㍦㈶捣㥢慡晡㉥攱捣㜰晥晣慡㍡㝡愳挶㝡ㄵ愲攸昶ㄹ㙢搹扣㥡挳昷户昸㑦㌶晤ㅡ晥ぢ㘸㐲㉢搸搴㈸搸㜸㐵搷扣㠲㕡㙦㐳昴挱㌲扤收〵㔳つ㠲㉢慥㠷㤷㕤搱㌶㌲㠶戲㠵昲ㅤ㤱慤㤷㑢㑦搱摡㌴㙦扦㡢㉥㍤晤㜳㔳㕡摢㝡散㉥ㄹ㕤ㅡ㜲昸捦㜹㘸㈶改㝡摥慢㜴愵㌲捥ㄳ㡡㡤㜲ㄳ㜱扢㠲愷㜴㍤换ち㤷㤹戲㐱摤ㄹ昳晥昷搲昵〳扢㈹㤴敢㔶挹攵慢㤷㑢〳㍡㑤挹挵慢㜷戰愷ㄳ昱㍡攲㍢㔵㤵㉥搵〴捦挵㥤㡣昸搲ㄳ搳㜳敤〳摥摢〹㠹づ㔵扥愴戱戳㤷㜷㔲㘶慡㜸昹昸摦㡢慦㕦㉣㠵㉣〶攸昷㐰㥣㝥㥦攲〳㡡て㈹㍥㠲㔰〳㌰ㄸ昱愲㡣晤攲㑤㝦㠲戴晥㤴攲㥦㄰㥥㑢敢攷㐸㕡㕦㐰㌴戸て散㠶㌹㕤㉣愰㔴ㄳ搴㜲戹晤ㄲ㍢晡㉢㠸晥㕦㐳散㌱搵㙥挳ㄲ挹昷ㄵ扦㔰ㅢ㠲捦摥慦㝥攸㍦ㅢ〲㌴戸㝤敥戲㡥捣挲慥捥づ㐴㤱㜰㐹㘰㝣〶捦晦扢㔵捡㙡㥦搱㌹㜱㜱㡦搵㍥戵ㄵ晦昵㙦㥦㘳㉦戲㔳㍤ㄳ㌱㔱挷ㄵ㝦〶ㅥ㐲捡攵㝥㕡㜶改晦换敢扤㉣愰㘱搱㡢㑢〰㐶㤶㥥扤捥㥤扡愱户㘹㔲㈷㠲㐹㙣㠹愳㈱敤㤶㠵㠹搳昷戴〰昰㝤昹攱㈵戸㑡㝦〳昱换㡦慥摥㘹㥢ぢ慦晦搶晣㝦っ㝡愱㙣晡㐷㐴㤴㕤㡤搹㐵〳扤搹㔴ㄸ㠸挲搵㤸㘱㐶㝤搰つ㥣慢昱㔷晦慥㜰㌵晥搲ㄸ捡ㅥ㤲挶攰㡤㌷㠳扡づ㡥搴攷㠰昹㥦㈷〱㤸㜵㍦㡡晥㄰㥥昳㘴㠰㤳㔴捤㜰㌲㥣㡥ㅡ〸ち㐲愸〴㤲㥣㠶敡つ㤰㜲㌷昵㍥捡搸ㄲㄴ㔰㘷つ㠴昴捥㔰昸㝣戵㡣㤳㐱〰〵㌴愱ㄵ㙣㉡〹㕦㜹㑥㌴㘷㈸づㅦ慦㔵攲攳敦挶㔰昶攰㜶㈷攴ㄵ㍥戶㐰㜱敡㤵㡡㝣っ㘳㙤㠶㔳㙣〵攱攱愳搱㐹慡㥤攱㘸㌸㉢戲つ㐱摢㐲愸㕤㤰ㄴ㍥戶㐳捡摤搴㕦扤㝣㡣㠴挵换〷㥦晡㤶昱㌱ち愰㠰㈶戴㠲㑤㡤㠵㜷㍦㍥㥥愸挴挷攳挶㔰昶㌸㜹〲㍣〹ㅦ㌱ㄴ愷晥㔸㤱㡦㌸㙢㤳愰㐸㐲㜸昸ㄸ敤㈴搵㐴㌸ㅡ㡥㡦摥㠹愰㥤㈱搴㘴㈴㠵㡦㌱㐸戹㥢晡㠳㤷㡦戱戰㜸昹攰㠳攸㌲㍥挶〳ㄴ搰㠴㔶戰愹㈹昰敥挷挷敤㤵昸戸捤ㄸ捡㥥㜰㑦㠳㈷攱㘳㍡㡡㔳户㔴攴㘳〶㙢戳㍢挵ㅥ㄰ㅥ㍥㘶㌹㐹㌵ㅤ㡥㠶攳愳㘷ㄳ㌴〷㐲捤㐰㔲昸㤸㡢㤴扢愹㙢扣㝣散〹ぢㅦ㡥㠷捡㡦㜴㙦㤸〲㥡㠰ち㌶戵㍢㝣晡戱㜰㐹㈵ㄶ㉥㌶㠶戲愷敥戳攰㐹㔸㌸〸挵愹㕦㔶㘴㈱捤摡㘴㈸戲㄰ㅥㄶ㜲㑥㔲捤㠶愳攱昸攸〵〴㉤㠴㔰㜳㤱ㄴㄶ㕡㤱㜲㌷㜵㡥㠷〵㍤〷敡昲㠳㙣〷㍥搰㥢㑤捤㐳㍥㍦〲㑥慤㐴挰㈹挶㔰ㄶ〴戰㌷㍣〹〱㑢㔸攵㤳㉡ㄲ戰ㄴ㘶㠴愲㐰ㅣ捥摡ㄵ敥摣㡦㜴㤲㙡ㅦ㌸ㅡ捥挳㌹㡡愰愳㈱搴㝥㐸ち〱挷㈰攵㙥㙡戹㠷〰㙢〵㉣摥㘷戲㠸㈹㈸㍢㉢㡥〳㈶愰㠹慣㘰㔳晢挳戹ㅦㅤ㑢㉡搱戱搸ㄸ捡㠲ㄵづ㠴㈷愱攳㔴ㄴ愷扡㉢搲昱㌳搶收㌴㡡搳㈱㍣㜴㥣改㈴搵㝣㌸ㅡ㡥㡦晥㌹㐱㘷㐱愸ㄴ㤲㐲挷搹㐸戹㥢㍡搸㑢挷戹戰㐸愴㐳ㄹ〹攷挳ㄲ搰戴㤷㤳㈰㌶㤵㠶㑢㍦ㄲづ慡㐴挲㝣㘳㈸ぢ愱戰攱㐹㐸戸〴挵愹〳㉡㤲㜰㈹㙢㜳ㄹ挵攵㄰ㅥㄲ慥㜴㤲㉡〷㐷挳昱搱㔷ㄱ㜴㌵㠴㕡㠸愴㤰昰㙢愴摣㑤捤昳㤲㜰㉤㉣摥愱㤲昱ㄸ㘵㝣㕣て㔰㐰ㄳ㕡挱愶㕡攱摤㡦㡦改㤵昸㤸㘶っ㘵㠱ㅥ㙤昰㈴㝣摣㡥攲搴慥ㄵ昹戸㠳戵戹㤳攲㉥〸てㅦ扦㜳㤲慡ㅤ㡥㠶攳愳㝦㑦搰㍤㄰慡ㄳ㐹攱攳㕥愴摣㑤敤攲攵攳㍥㔸扣㝣㌰㑡愴㡣㡦〷〰ち㘸㐲㉢搸搴㈲㜸昷攳㈳㔶㠹㡦愸㌱㤴㠵㥦㜴挳㤳昰昱〴㡡㔳攱㡡㝣㍣挹摡㍣㐵昱㌴㠴㠷㡦㘷㥣愴敡㠱愳攱昸攸㍦ㄳ昴㉣㠴㕡㠲愴昰昱ㄷ愴摣㑤㡤昰昲昱ㅣ㉣㕥㍥ㄸ戹㔲挶挷ぢ〰〵㌴愱ㄵ㙣敡㌰㜸昷攳㘳㡢㑡㝣㙣㙥っ㘵㈱㌱㠷挳㤳昰昱ㅡ㡡㔳㥢㔵攴攳つ搶收㑤㡡户㈰㍣㝣扣攳㈴搵ㄱ㜰㌴ㅣㅦ晤て㠲摥㠵㔰㐷㈱㈹㝣扣㠷㤴扢愹つ扤㝣㝣〰㡢㤷て〶搴㤴昱昱ㄱ㐰〱㑤㘸〵㥢㍡ㅡ摥晤昸愸慢挴㐷㕦㘳㈸㡢搴㔹〱㑦挲挷㔷㈸㑥搵㔶攴攳ㅢ搶收㕦ㄴ晦㠶昰昰㔱㔵㉤㐹㜵㉣ㅣつ挷㐷㉢㈸㜴㌵㠴㍡ㅥ㐹攱愳て㔲敥愶扥昹㤷㘷㉡㕥ぢ㡢昷㥡㠲㌸㥦㌲㍡晡〲ㄳ搰㐴㔶戰愹㥦挰戹ㅦㅤㅦ愳㈸摦㜵挲㡦㡣愱㉣㠰㘸㈵㍣〹ㅤ晣敥㠳晡〰㌰晦㍢㤳つ㔹㥢㠱ㄴㅢ㐱㜸攸ㄸ散㈴搵㐹㜰㈴㜴㙣㑣搰㄰〸挵ㄸ㈲愱㘳ㄳ愴摣㑤扤攱愵㘳㌳㔸扣摤㠳愱㐷㘵㝣㙣づ㔰㐰ㄳ㕡挱愶㑥㠵㜷㍦㍥㕥慣挴挷ぢ挶㔰ㄶ搳昴㌳㜸ㅡ㠶㡦ㄳ昲愰㑥挳慥ㅣ搵戶㉣㝤㍢〸㜵〶㔴っ㍡㜰戶扡㜱捥晦扤㍤〹ㅥ㠱㙣㐵㌱㔱㍣㐲敦愶户〷〲て㠲〹㤴㐳㉣㌷昶㘶㔳㘷〲㕦㌸晣愷㤱㜲㙥捣ㅥ慢㜴昸㝦㌴㠶戲㐸慣戳㤰㜷ㄸ㍥㝤㈵攲㐳㥤㡤㕤㌹晣㌸㙢㤶㠰㔰攷㐲㔵㌸㝣昷㠱昷ㄷ敥愲捦㌸㤸戱戹晡㌵扦て攸㜳㤰㉥㙦戸搱捥㈱昷㘲散㉤愳㍡て㑥晤づ昹慥㑡㠷㝣愷㌱㤴挵㡢㕤〰㑦挳昰㌱㠷晣ぢ散捡㈱㑦攱㈱敦捡㐳扥㄰慡昲㐳慥ㅡ〷㌵㌶户〷㜸て㤹昱㘶攵㠷㍣摤㌹攴㕥㡣扡ㄷ㥢扡〸㑥晤づ昹㥡㑡㠷晣㙢㘳㈸㡢㙣㕢つ㑦㝣㐰愰昷攲㌱敥㑤戱て挵扥ㄴ晢㐱愸换㤰㤵〳〱㐳〶戸㙤㔸㔳㔵戵ㄸ㠶㉡晤㘳㘲づ愰㌸㄰挲㌳㄰ㅣ㐴ㅤ㤷昲戰㜴㜷㌱晥ㄳㄲ搳㔴㘶㈰搴慦愰攲㔲ㅢ㙥㔲㤰慣戸㕥㜳〹ㄱ㘵㈳挰〲㘴〹攸㕥㙣敡㔲攴㉢㤰㔳愳攰㐵㥥㥣㥣㔹㠹㥣㌳㡣愱㉣㙡敦㜲㜸ㅡ㠶㡦ㄹ〱慥挰慥ㅣ捡㈲搴㐱ㅦち愱慥㠲慡扣㍦戸敤㕦㌵づ㘶㙣㙥㥡戱㈰㕤挸㔶ㄴ昵㔷㌶〲昴〰㠱ㄱ㠰挰昲ㄱ㐰㡣扤搹搴搵㈸戰㜰昸㠵ㄱ攰搸㑡㠷扦挲ㄸ捡㘲つㄹ㘲㈸㝤㘳㌹慢戲㠲攲㔸㡡攳㈸㡥㠷㔰㐷㈰慢摢㌷づ〰㝡㜱㥦慡慡㌶ㄸ慡昴〹挴㥣㐸戱ㄲ挲搳㌷㑥㐶搲㍡〵挲㘷㤹昷㕡攴ㄴ㠲㑦㘵挶㥦㐲愸敢愱㜲晡捡捦㤰慣搸㔷慥㘳㤹㘵㝤攵っ㘴〹攸㕥㙣敡〶攴㉢㤰㔵攸㉢ぢ㉢㤱戵挰ㄸ捡挲㈹㝦〳㑦㜲昵扣㠰搵戶つ㌱㔰ㄶ㙦㝡ㄵ捣晡㐲㡡㡢㔸扢挲つ敡㙡㈷愹㙥㐶〶㈱攱㘲㠲㉥㠱㔰户㐲㈵㔷捦㕦㈱攵㙥敡挷㈸㈳扦慥㜷ㄹ㜳㝢㠲㌱换戸戸㠲〰㑤㔸㌹㑦㘲㔳户挱㜳㠱㡢户㤱㜲捥㥢㌹㤵戸㤸㙤っ㘵㔱㥥っ敥㤴㡥㜳〳㡢扢㤱攲㈶㡡摦㔰摣っ愱㜶㌳晣㤴づ㉡㑡摦㑡捣㙤ㄴ户㐳㜸昸戹〳㐹敢㑥〸㥦㡥㜳〷ちㄴ捥敥㘲挶扢㈱搴㕤㔰㌹ㅤ攷㜷㐸㔶散㌸㜷昲㌰换挸扡ㄷ㔹〲扡ㄷ㥢扡ㅢ昹ち㘴ㄵ㍡㑥戲ㄲ㔹〹㘳㈸㡢㘸扤〷㥥愴攳㍣捡㙡㌷ㅢ㘲愰㉣摥昴㘳㌰敢挷㈹㥥㘰敤ちㅤ攷㐹㈷愹敥㐵〶㈱攱㈹㠲㥥㠶㔰昷㐱㈵ㅤ攷㑦㐸戹㥢摡〱㘵攴㍢捥㥦㘱㘱㌸㙣慣㥣㠵扦挰ㄴ搰〴㔴戰愹晢攱戳挰㐲愱换㙣㔵㠹㠵攱挶㔰ㅡ㘷㕢挳㈸捥㕥㐳ち晢〲㄰㤸搱㤹捡㑥挱昳收捥慥扥收㕢戰㜵ㄳ㍢摢ㄷ㈱ㅡ戳㉢挸㤰搱㠹〸㙦㐵㌰搲㤲搶慣摤㔵㐷挵㕣㍣㥦愹㘱戰愹㈵て㕥㜰㐷搸愷㑦㔵㙤㙤扦㍡扦戲愶戹扥ㅡ㑤㈰㡥昷㕢挴搳捡晣扦㍢㍢挹㘵㕦㌴㐵㍦㐸扤㠶㍣扤〲愱ㅥ㐲㤲挷㔳〲㜸㤵㠰扦ㄳ昰愸〷㄰㠱㈲㄰搸㤸ㅥ㕥㈳攰㜵㠸摡扦㈰戹ㅥ挱㐳㔲㝥㙥慦㔶晢㌰〶㕣っ挸ㄵ㝤㐵戵㍥㌷愹㜳㡦捥㥥㐹慤摤㡢摡㔲换〶收捣捥摥ぢ敤づ挴㠸㜵㈱㌲戹㐴搷戹㘸㤱㥤搵戹戹㥤㡢扢㌲昶戴㐹㍦㠸㤰㘵昰㔱㠵㜰㐳㠵戸㘵挴ㅤ慡敦ㄶ扢㕣㠵㥣攰㕡〲㤸ㄹ攱戳㑥ㄱ㔵㐱〰ㅢち㡣捥㙢敤㘹戳晢攵㈴挰㐱昶敢㜲㘰ㄱ㜱摥搹扥戹㜹ぢㄱ㑣㌹愹㍥户㙢㔷㙢戶慤戵挳㘶㘳㈰㈸㠲㜱㝢㌳散〵㠸改㥥搵搹摤捡敦㌸搶攷收㜵愵㍡扡搹㙦㍢㌲换㌶㉣㑡㐹㍦慤捤㑤㘸敤攸㐶㌱昲㐵㘳敥㌷攴收㉥散㍣っㅤ㜲㜱㝢挷慥愹㐵摤㍦㠸㔶㔱㙣ㄶ搹愴㘹㔴戵慡慥㔶㜵搵㜵摦戵㝤慣㌷搰昹〷㍡摦㠵ㅡ㠶㝥摡搳搵㥡㕥㑣挲愴㡣〸㘴つ㠵戴㘱㔵敤昳搸敢㈵㌰㠰攱〴㥥㔸㌷搶戵攸㙢㥦扥㜱攷昹㜷〵㙣づ戸㝥ㄳ搵改晦ㄶ挴昴㕤昷㥣㔶㠸〲晤㡦扥㜸㕦晢〲㍣㤷㍥㙥昵挴㌳ㄴ〷摤つ〲㜸㠰搳㠵ㄸ㠸挷ㅥ㠵㌳ㄳ㍤㠱愹搲㙥ㄹ挸〹㠶㍤㜴㐰㘱㜷ち〲搷晢攷㘶愴搲㜶ㅢㅥ慣户愷㝡〶㌸〹〶㐹攰扢扡摤挶㠶戱慦㍤挵㉥挷敥㍡㌷㤳㙡戳敢㜲攳ㄷ昷㜴攲㡢㠴㍡〷㈱晤搲愸㔲㑢愱㑡㉤ㄵ㔵晦摣ㅣ㠶愱㍡挳㉢㝣㜵㉥㐸㜵戵昶㉣㙣㙦捤搴㌱挱㔰搱ㅦ㐴㕦挵昸㔱〳㌲摤捤ㅤ㑢㑡ㅦ昷㍢て扥搱摣㑤〸㍥㈰㜵㙣㝥昴攸㙡㘵攱㥦晡㡥㔱㡡ㄸ㜹攴ㄲ慡摦㠱㌷慥收挸㔰㈴㜵昹昰㕢㜳ㄶ㝤挸愷て捥扤昶㑢〴攰愳晦〱㈸㜷攴昳㌲㜶摣换ち㉦敡收扡昳㉥㌰晡㍤〲晦收て㜸㥦㠰て㈰㙡搷〰㔰㝡挰挵㜱㝢㠸敥搳〰搵㌰昶扢㠶㕦㌲愸㐳愴戶㝣ㄱ愲㔶㕡戸㥦攷㕢〵㤶昳㠵㠲㍡攴挱㕥㝢户㌵ㄷ㕤挷捥〶㥣㐱㡢㔱ㄱㄸ㙥慢慡慢㙢挰㥦㔵ㅡ㠰㔶㔶㉣㕤捣戵㈵戶㔰㙤㠱㉡㔸ㅦ愲挶㠳搹〳攱ㅦ㙦敢㈸晡㝥㜸改㠴つ户㑢ㅦ〳㡥晢捤搷㈰㕤㤲昶愰挶戹㌸㝦〲慢晥ㄴ愲昶㍤㈸㝢㌹晤昰㘴摦ㄳ搸㌴〰㘰㉢户㘷㐷㙢て捥っ搶㘵㑡㙢て慡搳㍦〷㠱㕤㠹㔸摡㔴捥ㄸ㑦愶㔱昹㉢昱㤶攵愶愲㑢昳ㄶ攵㜶敦戵扡搱挷散㕣挵㍤ㄷ敦戵㠱攴㙡敥㔳挷ㅦ搲攵㕤㌹ㄱ㈹收ち摦敢摢㉦ち扣㜳㠴晥て㈶〳㜲㍥㔶改捦搸㙤㍣昳㠲昷搷摡㍤㍣愱㙣㥣㜷〵㌸㌷㜰㜴昵㈶㔶㜲㕡㐷㌷㈶愰〱㤳挲搸㌹挰散捥㕣摣㔳㘴㐹㉤ㅤ㘸㉣昸㤶挴捣づ㕣昱㌲愹慥散て㘴戸挴戱㌹㔷㜵ㄹ昹扥攳㡣ぢ㑥戸㜹〶㌹㜳昱晥〰摡昵㠹〲㙣〰扥㥥㔴攷㠳〳敢㤸攲㡢㈶愴〵㥣㉦㑣换搴㜷㤶㡤㜹㉢摥戱搲㘶て㤴っ昹愴㡣㘰㍡㌷㍥摤㡤㘹㔴て慦㤱㘶㑦㑥㜰㥤㥢㘳昳ㄵㄴ㑢㙣㕣搲捣摥慣㑣て㘲㕥昳づ昸㥤㡡ㅦ㑥敢㠰㤱ㅡ搳㐲㑡摡挸敡㘵㕣㉢㍥〸㥥㍢摦戱㐵㌱愴攷㘴㝢㝦慣扡攰㝣㙥㔷㡤慤㜲㜷捣攴晡㐳戸敦㘵㘶㠶㌱搶ㅢ戲挹戳㘸愰ㅢ㐹散㡣㙣㌲㘸昵㜷㜵晣慡㐲㍤愷搹㕤㍤昸㌶づ㕦攳搱挰搳愶つ户㠰㍤慤㤸愹戴㉤ㅢ㤰㥢搶㤱㘹㕢㥣戵㘵㥡攳㡥搵㌲摢昹㐱戴ㄷ搷〷捣搹搴ぢ㉦㠶㤴㘹㜸㐱㤵晢敤㡣敦㝥慦愳㍦攷㈵㡦ㄷ㑡昸〸攸㉦㤱挲㥡㐱㉤愳㌳搷㍢㍥㌶㠰㑣ㅢㄶ愲扢攵慤㐵ㄸ搶捡㔴ㅣ捦ㄸ攴㤸て戱㤵㌳捥〳㥢搱㌹愳㤳昷㑡ㅥ搵搴㔶㐷昵㠳㘸㈷ㅣ愷搳㑣昸㉡攴㜷扥换愴ㄳ㡣㜸昲㕦搵㠷挷㤸晦戱㔴攰㑣敥㍥㠱㠲㜷㥦㔵搶㔷㘸㤳扥收㉢㙦㌲挷攳捤㑤㜵攱づ㐷㝤㡡㌴敦㜲昴搷㐰㉡挶换昲收〱戳㐱㘷㌲昹㉦㘸㝢㥤㑣敡㝦㍢慤慥㍥㤷㕣㜰昴㉤ㄴ㥣〶昳愳ㄸ㑣敢捥㤵㌶挴扥㤹㉢昱㡢敡㕡㐱愸慦晣〱搵〴㘰ㅤ愵慡昶ㅢ〰㑡〷㥤㡡愱愳挸㔰㠵慦搷㘲㕥㔸搷捥㜵ㄹ㥣戲ㄶ扥㔶㡢搰㔸慣敤㔸晤敡扥㠶㕤搷〰昵昸㘳㡦㡤挱㝥㤵㈲㠷㙥〵㍤㤳㌹扥扥㑢㕢㄰㡡㌱㤴㕣㉢昱㕣挱ㄵ〳㈷ㅤ㝥晢〲戲慥㜷㤳㡡愱㤶挲㜵ㅤㅤ㌳收搲攱摡㑣摣〳搰昶捡㌵㔷ㄵㄴ㘳㌳昱㠷挰㑤㍡㘱扤昸㘹㠰㜴て挳㌳㜱敦て㡣慥㈷㤰挱㥢㍥㠰〱〴㌴㄰挰㜸捥㌵㜰㘵〵㤱昲㥢ㄴ晢㠵㜱㘲㔲扣㈱攰㤸ㄴて昲昸昷昰㌸㤰晥㌷愲㝦挶㕥㤶昲㌸っ㍡㠷挷㐱㠰慣㌳㡦挳㤱㑤㜸ㅣ㑣挷㡣搵㉣攲㜱〸戴㙢攷戱ㄱ搹昰㠷搷攱搱〹㜶攴挳挰㑥ㅦ㥡㌶〵㐶㙦㐶㈰㠳㍥㝤〰㐳〹搸㥣〰挶㠱慥㠱㍢㙢ぢ愴晣㜸昴ぢ晦〴㡦挳〰〷㡦㡣〳㜵晤㝢㜸ㅣ㑥晦㕢搱㍦㘳㌶㑢㜹㘴愰愶挳攳搶㠰慣㌳㡦〹㘴ㄳㅥㅢ改㤸㌱㥥㐵㍣㙥ぢ敤摡㜹㘴㉣㈸晥昰戸㥡㑥戰㈳ㅦ〶㠴扡㠷攱改㡦㈳㠰搱㈳〹㘴戰愸て㘰㝢〲㐶ㄱ挰昸搱㌵㜰㘷敤㠰㤴ㅦ㡦㝥㘱愳攰戱〹㜰昰㌸摥攳摦挳攳㡦攸㍦㐴晦㡣昵ㄴㅥ㜱㘲换戰㠹㜳㡢〱㥥づ㡦㘱㐰㌶㉥扣愰㘷慤㉢㐵㙡㜷㘴ㄵ㉥㈳㜴捥昸搰㈲㉥㘳搰慥㥤㑢挶㤱攲て敦愹愲ㄳ散挸㠷挱愴㉥㔵㝣摣㘰挶搰㌸㌰㍡㐱㈰〳㑤㝤〰㐹〲㕡〸㘰散改ㅡ攴戴㐶㈳搵摦扤攱㤵昷㌱昹摣收敥っ㄰ㄸ摣摢攳搵挳攰ㄸ㝡摤㠵㕥て〲愰㤴㐱〶㠷㍡っ㡥〵㘴扤ㄸ㘴㐸愹㌰㌸㡥捥戳㐸ㄵ㌱㌸〱摡戵㌳挸ㄸ㔴晣攱㤵㔷㜴㠲ㅤ昹㌰㄰搵㠷愰㐹挰攸挹〴㌲㐸搵〷㌰㠵㠰㕤〹㘰摣敡ㅡ戸戳愶㈲攵㘱㌰ㅣ㤱敢㈴㥥㕤㥢㡢㌱㥢㐷㑦〷〸っ戶㝢扣㝡ㄸ摣㡤㕥㘷搰㉢〳㑤㑢捦㘵㐶㤷㍡っ敥づ挸㍡㥦换换㤰㑤搸摢㠳㡥ㄹ㤸㕡挴摥㉣㘸搷捥ㅥ〳㔸昱㠷昸㘵㍡挱㡥㝣ㄸ挵敡㤲攳㌹㤷攷〰愳攷ㄲ挸〸㔷ㅦ挰㍣〲昶㈴㠰换㑥㙢攰捥摡ぢ愹㐱㙥晦昳㉣戸昸挴扡㠲挶㝤㠰〶㡤っ㝡㜵摤㝢㘸摣㤷敥昷愳㝢〶愸㤶㜶㐴㐶愵㍡㌴敥て挸㝡㜵挴搳㤰㔵愸晣㌱㥤㌳愸戵㠸捡〳愱㕤㍢㤵っ㝥挵ㅦ㕥摢㐵㈷搸㤱て㈳㘰摤㐳㘹攴挱㌹㑢㐷〷〱愳㔳〴㌲㍡搶〷㤰㈶㈰㐳〰〳㘶搷㈰愷㤵㐵慡㥦㑢㈵摦〸收㜳㈶攷㠰〱㠱っ㡡㜵㥤㝡〸㕣㐰愷ぢ改㤴挱慤愵晤昰㔲攸㠴㐰捤㙢戳㙣㥣㌶㝡㔶挷ㄵ攳㕤㠵愸㠳改㠴㠱慦㐵㐴戵㐱扢㜶愲ㄸ㈰㡢㍦扣戴㠵㑥戰㈳ㅦ㐶挹扡㔵昶昴戹づ㘰㜴㈷㠱㡣愰昵〱㉣㈲攰㔰〲ㄸ㔴扢〶敥慣㉥愴晣慥ㅦ㝥戱戴攸㜴昲ち摦㠰扡摥攳摦挳搹㘲晡㕦㐲晦っ㠰㉤攵㡣㔱慦㙢攱㡣㌱戱挲搹㔲㍡㘱㜰㙣ㄱ㘷㠷㐳扢㜶捥ㄸ㐴㡢㍦扣㐵㡣㑥㕣捥ㄸ㐹敢㐳挹㤱挰攸愳〸扣挷ㅦ㜰㌴〱挷㄰㜰㉦〰挲搹㜲愴晣㌸昳㡢户〵㘷挷〲㡥㝥挶挰㕢户〲ㅥ捥㡥愳晦攳改㥦㐱戲愵㥣㌱㌲㜶㉤㥣㌱㙥㔶㌸㍢㠱㑥ㄸ㐰㕢挴搹㑡㘸搷捥ㄹ〳㙤昱㠷㤷㤰搱㠹换ㄹ愳㙤摤㉡㝢晡搹挹挰攸㔳〸㘴㈴慥て攰㔴〲㝥㑡〰㠳㜳㠵戳㥦㈱攵挷㤹㕦㑣㉥㌸㍢ㅤ㜰㜰挶攰㕣搷扦㠷戳㌳攸晦㑣晡㝦つ㠰㔲捥ㄸ㍤敢っ㙥㍦〷㘴㥤慦ㄱ㡣户ㄵㅥ捦愲㘳〶摥ㄶ昱㜸づ戴㙢攷㤱〱扡昸慢搲攷搲㠹换㈳愳㜴摤挳昰昰㜸ㅥ㌰晡㝣〲ㄹ挱敢〳戸㠰㠰㕦㄰挰愰㕥攱㜱ㄵ㔲㝥㍣晡挵昲㠲挷㡢〰〷㡦っ敡㜵晤㝢㜸晣㈵晤慦愶㝦〶攰㤶昲挸愸㕢㠷挷㡢〱㔹㘷ㅥㄹ愷㉢㍣㕥㐲挷っ搸㉤攲昱㔲㘸搷捥㘳ㄵ敦户挹攳㘵㜴攲昲愸愰㜵て挳挳攳攵挰攸㉢〸慣昶〷㕣㐹挰㔵〴昴〱㐰㜸扣ㅡ㈹扦㙢慤㑦っ㌰㘸扣〶㘸搰搸搷攳摥㐳攳戵㜴㝦ㅤ摤〷〱㈸愵㜱㐳攸㥣㔳㤸户ㅦ戲㤵㕥㉡ㄸ换㉢㤴摤㐰㈷ㅢ㈱㔵㐴搹㑤搰慥㥤戲挱挸㈶㤴晤㠶㑥㔰㡥㝣㌶㠶搶㠷戲㥢㠱搱户㄰挸攸㘰ㅦ挰慤〴摣㐶〰〳㠶搷挰㥤㜵㍢㔲㝥㕤捦㉦㑥ㄸ㥣摤〱㌸㌸摢摣攳摦挳搹㥤昴㝦ㄷ晤㌳㥡搷慤〰㜲戸㔷晤扢〹昸ㅤ〱摢昹〳㝥㑦挰㍤〴㙣敦〱㌰㌲搹㐴㜳摣㑢挰ㅦ〸㠸㝢〰㥥㈲敥㈳攰㝥〲ㄲ晥㠰〷〸㜸㤰㠰搱ㅥ〰㘷㝣愶㠸㠷〸㜸㤸〰㐶愸晡ㅣ挵㈳〴㍣㑡挰慥晥㠰㍦ㄲ昰ㄸ〱搳㍤㠰㠳ぢ㐵㍣㑥挰ㄳ〴散〵〰ㅦ㥥挹㕣愶㑡㍦〹㥤㔹㜶搱㑦㘱㥦换ㅦ㝢〳昲㍥㡦搰㙣㘵换晥㡡戱愵㕣晡㘷敦㔸摢㌲戲㘲っ㉡㤷㤲ㄱ捣挴㕡攴搷㌲㥦㌱挵敤〷㍢搷㌳㥤慤昲㡡ㅢ攳㔴㥤㤱攴捦挸㘹捤㥢㍣㜷㕥㈸㉣㔵攰㤹攰㕤㜰㍢〰㐸㌹ㄳ㥥〵㔰㌱慡搵㌹ㄳ搶㜹挱敤㌹㔳戵㠳㤰㤵㈷㠰㝥ㅥち〶戹昱愳搲搰扡慤攴㔹㜰㝢〱ㄸ晤㈲㑢捣昸〳㕥㈲攰㘵〲ㄸ㌰换㐵㌷晤㌷愴昲敢㘴ぢ㍣搹㍣㥤㝣つ戳扤挲㙣㡢㍣〰攴㜶㍢昹慢〴晣㥤〰〶戳扡㌵昳〰㕥㈳攰㜵〲ㄸ㜷敡〲㥡戰㙦㝡攰ㅢ〴扣㐹挰㜲㈸㍤摤攳㙤攸挰〰敦摥昵㍢搸㘷昷㔸〱㐸挵敥愱晦㘱㔰挷〲戵捥㕤攴㌸㠰㥤㉥昲㉥戲ㄷ扡挸晢挶ㄹ愳㔴搹㐵挲晢敤扥㙡㤷ㄱ攷㡥㕤晤攵㌹㕢ㅦ㌵昰摡戱㙥摦㘳挵㔸㌵㠶慢㍡愳攴㜵㍣㝣戶㕤㘹摦㌸ㄱ㄰改ㅢㅦ挲户㘲㔴㙢㔱摦昸ㄸ摡㕥㐷㐹晤㠹愹搳挹挸㉡㝤攳㔳㍡㜲ち挳㝤ㄲ戴㉥挱慣㠱戹晢昸㈷㌰晡㌳〲ㄹづ敢〳昸㥣㠰㉦〸㘰㠰慣昴㡤㉦㤱捡昷つ挶挰扡搹㜶㈸昸晤㡡搹扥㘶戶ぢ〰㈸扤㘸㌰㐸搵㌹㘳扥〱㘴㥤慦扤ㄷ㈲㥢㔰昴㉦㍡㘶㝣㙢搱㠵攴㕢㘸㝢愵㐸㥡㘲㌵戲〹㍤㕣愴捥搳㜳㌱戴敥㘱㜸慥扤㡣改搰㠸㌰挰㙤㤲㍦愰て〱㜸㈳ㄷ愲捥〱㔸〳〲㉣晥㈰挰㠶敥捤㔹攱㍥搷敦ㅥ慤㉦愰戸㠸㕣攱昱敤㌹扦敡攸㥢㍦つ愲㙥〰挰搳昹晢㌱㥢昳㔰㔹昷挷㍥㝢ㄸ愳㘰㉢㜶㝥㌹昰㥢㠰㔸攷㡥捦㔰㕡愷攳搷戳ㄶ昹戱戱挱ㄴ挷㈸摢㜵ㄹㅢ㙦〵捥㘹改㈰㜲㍡㘳㘳ㄴ㤵㉦敦晦户〱㈹㡤扢〱㠰㡡挱戹㐵晤㝦㈰戴扤㌶慥摥挸㔴敤づ㘴㤵〶ㅥ挴㉣㘰㑡挶㐶㐶敥扡つ散ㄹㅢ〷〳愳㌷㠶㔰㜷晢〳㠶㄰戰〹〱㡣昳㤵晥扦㈹㔲昹晥㝦慦㈷㥢愷敤㌶㘳戶愱捣昶㈸〰搲晦㍤㙢㡤㡣戵㜵㔸搹ㅣ㤰昵㕡愰㘰㠴慥搰戴〵㥤㌳㔴户攸ㅣㄸ〶㙤慦㌴㐹㔷㜸ㄲ搹㠴愲攱㜴挲捥挴て攳㝡㕤㡡㍣㙢㡤㕢〱愳户㈶昰㘹㝦㐰㈳〱摢㄰挰㌰攰㌵㜰㘵㙤㡢㤴㜷愵㉣敥搷晢㐷〰㠴摥晦ㄷ㡦㔷て㠳㈳改㜵㝢㠸攰ㅡ〰戸〵㕦㜱㜷㕥㜵㜷晥敥敥㌰戶戵㉦㌰搶㈸收㤸㌸㘱㝥㔱㈰㡣戵〳戴昵昳㥤挸㈱㈷㤴捣摡ㄱ慡〱〰㝡攲昸慣㈶挲愰㐳㔰搲昸㙣戶ぢ慦㕣戱㝥〴搵〶㔰ㄵ晦扡㡡ㄵ㠲扡扦㈰昱㡥慥㌹㜸㠷愲ㄵ㠶愶ㅦ㕦晢㡣捣㡣愳ぢ扥㙥慡㔴挷攷愳挳㔸户㈸㈰㘳戶摢㝦㌸攳㠰㑤愸愶晦慢㈹摦扣昳戸搷㝥扢㍡㘲㜷㐷攴㌵㤳〷昰戵扡㙤摢つ㥦㤷搰㌱戸搰挳攱慣慥㑥摡散㑤ㄴ挲ㅤㅤ㠷㐱㌴㐸搴扥〳㙤㘹㈰㔶㔹攴ㄹ㌲㈰扡㠴㌱㘸㜳㝢㤶戵㈱敥㡦扢昲ち㔸㐷㠹㐷㘸㡥ㄹ㔱愱㥤㕤㌵〸愲㈹㝤㠷㔱㍥敦戳㜰搵㙦愳㤲搷ぢ㑡㌶㕡ㄸ攲㔶晢挸搷攵慦搰换攷㘷挵ぢ慦㍢㘳ㅥ㙥㔶ㄲ㔵摣㘸昷搶㑣㔷㘷㜷㘷慥㘷搸㕣挴戴づ攳敢ㅡ㜳㜸挶㍣扥昶㈱㜸昴㉤㤳〷㔶搳挱㕦扤㔹挲㌷愸〵づ改攸㍣慣㐳㙡㔳摢捤㤷㈴ぢ㕦㝤晢戲㤸〰换攱戶㌵挸ぢ㌲ㅣ㉥㠸㠴ㅥつㄷ昵つ㐱㠶扥攱慦捡摡〹改㙤㈶㑥挰换戴搳㤱㕣㈸㤶㑥㈴㔲愹㘸㈲㘶㐷搲㐹㍢㤵挱捦ㅥ攵㘲戹㔸㍡ㄹ捥㘶慣㥤昳搰㘸㈲㥤挸攲摤㥣昱㐴㜳㈴ㄶ㙥㠹㈷攳搹㜴㌸ㅡ挹㈵㐳㤹戴㥤㑢㈷㠳っ慡愳㝢㍤〶㜹昴㉥㄰㐱挶搲㠹㙡㉣㔵攳愸㘲㘴㕤㌱慡㤶戱㘸敢ㅡ昰〶ㄷ㤸ㄸ㍡慦㈲慥改摢户㉣昸愹㉣㔰㡥㝤㔷摥愹㘷㔹㡣㤳慢扤ㅢ㌴㤷扥愱摡㍦㔳㜱㉢㌲㌳㉥挸㔵㝡ㄲて㘵㌲㐴㈰挸㌰㌹敡慣㈹㐸晡㥣㔵扢㐲㕤㝣㔶㑤㠵愶攴㉣つ㌲捥㑥㍣㑦㠳㔱㝥攴㐵㝥敥愵昶㌳攸㑢㙢敡㠹㝣昵挴搴㜱愴〸㝡〲敥攴㤸㌷挸㤹㘷攵㌳ㄱ晤搱㐳搵て㈱㘶愰挶㠹挱㔹㙢㜳换㈱散㝦〰㔹㉦攵愰戸戵捣戱㐹ㄳ㝦户ㄸ㥤㐰敤捤㙢敤ㄳ㙥㈹晥㝤㈲愰㜷㐷搳㘱摡㔲晢㌹摡㙣摤㐳㔶攸㙤㈰捥㘴昳摢㙢っ晥ㅤ搵挶㕦㕥昳晢扡㐵㜱慣昵ㅥ㈸㔰㌱㑡㐵捥晥㤹㐸㘱㕦㍥㑡愲ㅦ㤰搰戳㠸挱づ㍢㤷晡ㄷ散ㅣ㐷搵昵㌸㔸㡥㕥㔰攲愷㐵〰愹㌸㈴愹㙢〱攳戰㔴㌴慣㈸㐶㐹㐸愹昳㤰搹愲ㄷ㝣㠲っ㤵㤰挱㘶㑦㘸昵㕥ㄴ㝢㔳散〳㔱摦㍦挸㑡㌰㤳戵㉦搲捥搸㤳换㠴散㔰㈸㘷㌷挷㐲㉤㌱㡣㈳愹㐸㌲搵㥣捡㐴戳愹㑣扡㈵ㄵ㡡〷㤵挹愳昷㐳㥥㘰戵㥢摡㥦愹㍥㙥㡡戶㠶ㅡ愴㔸㐹搶攴㝢摤㠲戵昰㡣㍦晣戲っ捡搱㍣愱㌵捦攱愰攵敡て愲慡㠹㠸ㅤ㈱㔴ㅤ昴㐲㑥〶㝡敥挸㈷〰慤㤰扦捡㑢扥つ㐸㘵昲㉦昰㈳㍦搸て㥥㠴收〵挸㡣㌱扤㍦搲㘰扥捡㕡㠸戴挳㙢㈸ㅤ㡥㘴㥢搳攱㔴㑢㈲ㅤ㙢㙥㘹㑥㐶㥡ㄳㄸ搰㈳㉤改收㈸㝥搹㈹㘵戵收愱㠹收㑣㈶㥢戵挳戹㔸㈶ㅣ㑢愷戲㉤愱㤶㘸㈸㤹㡤㘶㌳愹㜸㌶㥣〹〵敢㡤㝢㝤㌰昲攸㐳㈰㠲〳㕣㔵ㅢ㔵敤㔴㌱攸㠲㤵㄰㠰㐰搵㠶㔰㜱㕣㔷愷攳㌰㌸收㈲㡤愷ㄹ捣搲〵ㄱ〸づ㠴㠲㍡慢ㅢ㐹㥦戱戳〷敡攲戱㜳㌱㌴愵㘳攷㐶挶㡢㕥〲愳晣㈴㤲晣㌸㤲ㅡっ扤㌴挳㌲攸昳捤㌰〴㕡㘹㠶ㄳ㍣捤愰㜹㔹收ㄵ㔸ㅤ敦换昸㈶挸㈴㡣ㅦ〵ㅣㄸ摦ㄴ㘹㘱晣㘸愴ㅤ挶ㄳ搱㜴㌸ㅥつ㘷㙤㍢㥥㠹攵㜲挹㜴㈲づㄶ㤳㉤昸ㄲ㐱㈸㤲㑣戴㔸挷攴愱愱㐴㌶ㄹ戲搳㐹㌴㑡㌲㤶捥㠵搳㘸慤㔸㌶㥥捡㘵㘳愹㐴㜳捣づ㙥㘶摣敢攵挸愳㔷㐰〴㠷扡慡㘳愹㍡㡥慡捤㕤㔵ㅥ愵㠶㐱㈵㡣ㅦ敥㘵晣㐴㘶㔹〹ㄱ〸づ〷〰㝦㘵㕤㜹㉢㔷㝦㉡戱㍢ㄳ戱ㄳ㠴㙡㠴㕥㌸㍣つ晡㍣㠷摢㐲㉢ㅣ㉥昲㜰㘸㥤〱㐸攵慥摣攱㑢散㜶昰㈴挴晥ㅣ㤹㐱散〸愴㠵搸戳㤰㌶挴㘶搲昱㙣㈸摥㥣㡡㐵㘳㌱昴攴㤶㕣㑢㉥摢ㅣ㡦攵散㘴㈸搵㘲㐷慤戳昳㔰㔰㙤愷㜲㜶㌴ㄷ㡢愶㘲㠹㘸㌸ㅤ㡦㈵散㔴㈴㥢づ搹㘱㍢ㄵ㡤〴㐷ㅡ昷晡ㅣ攴搱攷㐲〴户㜷㔵攷㔱㜵㍥㔵愳㕣ㄵ〱〲㔵㑤㔰〹戱㔹㉦戱ㄷ搲㝥ㄱ㐴㈰挸㐰っ晣㔵㔹扦㐴搲愷㉢慦㠶扡戸㉢㕦っ㑤㘹㔷づㄹ㉦晡ㄲㄸ昵㐴㌶挳〴㌶㐳〴㝡㘹㠶换愰捦㌷㐳っ㕡㘹㠶晤扣捤㜰〵㈰㤵㥢㘱ㅦ摦㘶㘸㠶㈷㘹㠶慢㤰ㄹ捤㄰㐷ㅡ㝦㔵搶搵㐸㍢捤㄰〹挷㈳ㄸ㔲挲㜱㡣㈰㌱捣晥搲戱㕣㌲挳㜹㘰㌸㠹㤱㍢ㅢ戱㝥㥤㠷收㘲攱㑣㍡㥤捤㘴㌱慦㡣㠵㜳愹㤶㜸㑢慡〵㑤㤰㡢㘶㤲ㄹ㍢㤵戶慥挹㐳㙤捣ㅡ㐳㉤㤱㘸㍡㙡挷㘳改㐸㈶㤵捥㈶㥡㥢搳捤㜶㌲ㄳ㑤㠷㈲捤㐱〶㠴戰㈶晡㕡攴搱搷㔱㕣てㄱ㑣扡晡ㅢ愸扡㤱攲㈶敡㕢㕣扤攰〹㤵㑣㙡㘷攸愵〱愷㥢〶㘴㉦搳户搱㝥㍢㐴㈰㌸挶捤㔸㌲挸敦攲敡敦㈲㜶㍡㜳㑤㠳㔰攳愰㤷㈶昹㍤昴昹㈶㤹〰慤㌴挹㌸㑦㤳㘸㌶㠹㡣㉥扢昸戲㍦ㄱ㤹㠴晤晢㠰〳晢㤳㑣㤱搶晤㐸㍢散摢㌹㔰㥤㡤㘵㈲㤹㔰㈴㤶㐸㠷㕢㌰攳㑥㈵㙣㍢㠴ㅤ捣搶愳搶〳㜹㘸㌶㡤㜱㈵ㄴ㡥挶㜲昱㐸っ挳㝥㉡搷ㅣ㑢㘳挸捦挴ㄲ攱㑣戴㈵㘹㍤㤸㠷㐶㌱扦㡦㠴㈳昱㜰㑢戳ㅤぢ愱㐱攳㈱㤴㤳㘹㙥㙥㠹㈶㙣㕣㠹㠳㤳㑤㑤昴㐳挸愳ㅦ愶㜸〴㈲㌸挵搵㤷戰扦慢慢㈷慡㤰㐹㑤㠷㕥搸て㜹搹㝦㡡愰愷㈱〲挱摤摣㡣㈵散捦㜰昵捦ㄲ㍢㥢散捦㈲晢㝢㐰㉦散㍦〷㝤㥥晤㔹搰ち晢摢㝡搸户㕥〰愴昲〹搱攸摢㈴っㄸ㤱㈶㜹〹㤹搱㈴㜳㤰㤶㜱改㘵愴㥤㈶㠹挶戳戱愸㥤㑤戵愴戳㉤戱㙣㉡㥢捥㘴㜲搹㘴㌳敥㠳ㄲ愹㤶㘴㈶㘴晤㉤て挵慤ㄵㅡ㈱捥愶㡡挵戲攱〴㜶㈲㜶㌸搴㤲㐹挷搰搵攳㤱攰㕣攳㕥慦㐱ㅥ晤ち㐴㜰㥥慢㝡㤵慡扦㔳戵愷慢捡愳搴㍥㔰〹戱㥢ㅡ㘲㤱挶敡㌲戳扣〵ㄱ〸敥ぢ㠵攸㌸㉥㘹㡥㐲㥡〳㑦㜰㍦㔷晦㉥㔵㝣挳㥢晣ㅣ㥣晡㌱昴㐲散〷搰㜳㠷㤹搵㠱㤰㐲㙣搰㑢散㐷㠰㔴㈶㜶㠰㉦戱昳攱㐹㠸晤〴㤹㐱散㐱㐸戳〸敢㔳愴ㅤ㘲㜳㤱㐴㈲ㄷ㠹㐶戳㜶㑢㉡㤶挱慤㘹㉣摢㥣㙤捥㠰扢㘸㌲ㄹつ挷慣㝦收愱戸ㄸ㌴㐷㜰㐳ちㅥㄳ戱㈴㝡慣ㅤ㠹戵挴㜰㡤挸愶㈲攸挹㘱敢戳㍣㌴ㅡ㡤㠵㌱㈶㘱㍡㘴㠷㘲搱㙣づ攴㠷㘲攱㔰㈲ㄳ㡥攰㝥㌷㤳つ愶㑣㑤昴攷挸愳扦愰昸ㄲ㈲㤸㜶昵㕦㔱昵㌵挵㌷搴㘷㕣扤㐰㈵ㄳ昱㉡〷扤㌴㐹㤵㘹ㄲㄹ㘹ㄴ㔶散㜴㌵㐴㈰戸挰捤㔸搲搷ㄷ扡㝡㡢搸昹㙣㤲〳㐹晥挱搰㑢㤳昰搷㤴昳㝤扤つ㕡㘹㤲捦扥㉡捣攵ぢ昳㤸㑦愱㉤㥢戶〷摢㤱㐹搸慦㠷㉢戰摦㠱戴㜴敢〱㐸㍢散户搸㜶っㄷ捣㕣㌸ㄶ㙢㡥㘱㍡〳㙥ㄲ㉤戹㑣㌶㙤㐷攲ㄱ㑣捣慤㠶㍣㌴㥣戳挳戱㜸㈲ㄵ挱㡣㌱ㄶ捤挵㔳改㘴㍣㤷㠹㘶挰㙤㌲㠷挱㈶挸挸ㄶ㌹晡㈰昲攸つ㈰㠲㡢㕣㔵㘱ㅥ挳昰ㄶ㐱ㄱ愰〹㔵㍤㔰〹㠷敦攰㌰昲㌳挷㡤㘹ㅦ〲ㄱ〸㉥〶〰㝦㘵昳㤸㈵慥㝥㈸戱㔸㔴愹㤲㕦〳㔴㑢愱ㄷづ户愴㝢戲捡捦攱搰ち㠷㙢㝣㌹㝣搹㤷挳㈳㤰㐹㌸摣ㅡ慥挰攱㤱㐸ぢ㠷㡤㐸㍢ㅣ㈶戲戹㙣愸㌹ㄱ捦㘴㌲昸㐱㐹㑣㍤搲㉤㤹㐸㌳㜸挱〸㡥㙥ㅣ戱戶挹㐳搱ㄳ㥢㌳愱㘴愲㌹㤷挶㡡㑡㈲㡥㡢㘵ㄲ㤷搷㔴㈲㙣㐷㐲昱㙣㌲㜸㤴㜱慦户㐵ㅥ扤ㅤ㐴昰㘸㔷㔵攰昰ㄸ㔷㐵㠰㐰搵戱㔰〹㠷捦㜸㌹摣㤱昶㈶㠸㐰昰㌸〰昰㔷挶攱昱慥㍥㐲㙣㍢ㄱ㝣㑤㥥㍡〱㝡攱戰ㄹ晡㍣㠷㉢愱ㄵづㅦ昵攵昰㘱㕦づ㑦㐲㈶攱戰〵慥挰攱挹㐸ぢ㠷愳㤱㜶㌸攴ㄹㅡ㡥愷ㄲ㘹㔰ㄱ㡢㐵㥢㜱摥㘶㌱搰㌶户㈴搳昱㐸㍣摢㙣敤㤴㠷攲昲挶㔵慢㜸㉥摣㠲㑥ㅢ挶敦㜶㐷散㔸㑢ㄴㄷ挲㜰〴搷挷㐴昰ㄴ攳㕥敦㡣㍣㝡っ㐴昰㔴㔷㔵攰昰愷慥㡡〰㠱慡搳愱ㄲづ㝦攷攵㜰㈲敤㤳㈰〲㐱挶戵攰慦㡣挳㌳㕤晤㔴㘲昹㌲㍣㡤ㄷ㈹㈰ㅥづ㝡攱㜰㌷攸昳ㅣ㥥〳慤㜰㜸戳㤷㐳㕥户㘴搶㜰㤳㉦㠷㡣㔷ㄱづ㘷挲ㄵ㌸㍣て㘹攱㜰ㄶ搲づ㠷昱㤰㥤㙣戱㤳昱㤶㑣㈶ㅥ㡢㈵搱つ愳戹慣ㅤ捡㘵挲挹㕣㌴摡㤲戰㘶攷愱ㄸ㌶㈳㜶㈴搳㤲攵戹ㅣ〲敢㘱搰㥦挸㠵攲㤹㜰ㄸ㍦捡ㄳち㥥㙦摣敢㌹挸愳攷㐲〴㉦㜰㔵昳愸摡㤳慡㕦戸㉡〲〴慡㉥㠲㑡㌸扣搲换攱扥戴敦〷ㄱ〸晥ㄲ〰晣㔵改㤲㑢搴㙡㔷㝦㈰戱㐷㄰㜱㌸㠴扡〴㝡攱㌰〵㝤㥥挳㑢愱ㄵづ㉦昲㜰㘸㘵〰愹㝣㠹㕡攵㑢散㘵昰㈴挴摡挸っ㘲㉦㐷㕡㠸捤㈱敤㄰ㅢ㑢户攴挲㜶㌲摢㤲㑣搸搸户㕢㕡㥡挱㔲㍣㤷换攲晡㠲摦㡣戳ㄶㄴ愰㠹㉣㘶挷㠹㔰㑢㌸㠱慢㔹搸㙥㐹搸挹㜰㈶㡥㠵づ捣〲㜲戸㈷戹挲戸搷ぢ㤱㐷户㐲〴慦㜴㔵〷㔳㜵〸㔵㔷戹慡㍣㑡㕤〳㤵㄰㝢愶㤷搸㑥㘶㔹〴ㄱ〸㕥ぢ〰晥捡㍡攷㜵慥扥㠷搸㘳㠹㔸㐱㘲㙦㠰㕥㠸㍤っ晡㍣戱㌷㐱㉢挴慥昴㄰慢㜹戳㈷㥤昳〴㕦づㄹ搱㈲ㅣㅥ〱㔷攰昰㘶愴㠵挳㈳㤱㜶㌸㡣挶戲昸愱愷㐴㍡㤷㑣挶㘲改㜴㍡㤹㡥攰慥㌸㠱搳㌶㡣搳㍤㤴戰㡥捡㐳戳㔸ㅡ㑡㌵㘷ㄳ㠹慣㥤㡣攵㔲㜶㉡摢ㅣ〹挵㌲㈰㍡㤲捥㌵㌷攷㠲户ㄸ昷晡㘸攴搱挷㐰〴㙦㜵㔵㠵晢㍡〶挷戰ㄲ〲㄰愸扡〳㉡攱昰㐸㉦㠷㍦愱㤷ㄳ㈰〲挱㍢〱挰㕦㔹攷扣换搵㥦㑣散㐹㐴昰㘵㠰挱扢〹收捥敦摣㥤摦扢㍢昷戸㍢昷㘲㠷换戵㥡て㜶昴づㄴ㍢㔲昰㔱㡤晥ㄱ〵ㅦ挵攸㌰㐴昰て〶㉢㑦㕣㝥㠶㑣搶搹㈸㜰㤷晦攴㠹㑢㌸愱捦㘱愵㑦㠳㌷攷㤱㑢昰㍥户㙡昷扢㍢て戸㍢て扡㍢て㘱㐷ㅥ㐷㥤㠷捣攵㡦愳捥㠷戶攴㜱搴〵㔰㤵摣攱㕡扦㈰慣昸㜱搴㉡愸㝣敥㤸㉦㠴扡昸㡥昹㈲㘸㡡ㅥ㐷㍤㙣慡㈴攴昰攵㝢搶㙡㐰晥㌳㜲㈲晡㘲昸㤰㕦㔱㌵攴㍣攲㌲昰愸扢昳㐷㜷攷㌱㜷攷㜱散㐸㤳㤲ㅣ㑤㉥㌴㡦㕥昳㜰㌵て㔰昳㜰㌴㡦㈰昸㠴挱㑡慤㉦㘰慤㝦つ昵㝦㔴敢㘸㐴㕦㐳晦扦挸㌷愹㝡ㄲ愵昰改㐱㐰捤㐱搷收敡㌶敢ㅡ搰搷〳挷㠷敢っ㐰㤲㤳晤〶㈸摣㑤㍤つ㉤搷慦昵㡤搰慡㘷㕣捣㑤㐸昱捣攱㐷㍤敢㙡㝦㐳っ㌴㐸㔷愹攷㕣敤捤搰收㔷㠴㥦㠷㔶挶㠱㕢愰搵户㔲摣㐶㜱㍢挵㙦㈱敡晢〵㕦㌰㌹慤㍢㤰㜶挶㠶㄰收晦戹㘸愲㌹ㅣ㡤攲ㅥ㌶㥣㑡挷㐲ㄱ摣㔵㐵㘲㌱慣㔶㘲㉤㈸昸愲㕢摡㥤挸ㄳ㝣挹㑤摤挵搴换㙥㡡戶㠶扦㈱昵摦㔹ㄶ㕥〳捦昸㉢ㅢ㕥㕦㜱昵昷愲㝣㝤㌱ㄱ慢㈱㠲慦ㄲ捣㥤扦扢㍢慦戹㍢慦扢㍢㙦㘰㘷㕤㠷㠶㌷つ㔶晡搱攵㜰㙣㍤㠶〲晦愳㝥ㄴ㐹攸挷㔹改㉢攰捤㍣㡤㝤ㅢ愵㌸晤㈸㕣搴㡦㥥〴㡥晤攸ㅤ搸愵ㅦ㍤〵㠵扢愹㝦昸㙡摦㠵㔶㝡搷搳挰慡昷㝤㌱ㅦ扡摡㘷㠸㠱㐳愴慢搴挷㤰㜲ㄱㅡ㠵㑡攴㥦㕣㍣ぢ㐸攵慢晢㐸㐰换㙥㠱ㄴ㐳㡡愴扥㝦㐵收㝣㍦晤ㄴ㕡っ户㔵晡㌹㘸敢晢〴晦挹㔲戱〵㍦㜳㜷ㄸ㌴㈴㥡㉦捣㑥挳㤷搸昹敦昴慣慦攰㤹愵㔸捦愳㌶㍥㐳攳ぢ㔰ㄷて㡤㉦㐲㔳㌲搴〶扦㌶㕥昴㑢㌰捡敦ㅥ㙢扥㥥㔰晤ぢ㝡㘱㘰つ昴摣㤱て㠷〷㘱㜸㑢㉦挳慦〲㔲㤹攱捤晤ㄸづ㤲㐸㌹攷㕦㐳㘶㕣晢ㄵ搲ㅣ㌸慣搷㤱㜶捥敦㐴ㄶ㑦㈳戸㈲搵ㅣ挷㌳㠷㐴㈴ㄵ㑤戶㘰㑥㥡换愴㜳㌸改㘳㔹敢㡤㍣㌴ㄳ挷摤㘷㈶ㅤ挱敦挶攳〱〶敥昱搳㤹㙣㜳㉡ㄵ㡦攴戰攲㥥㑥㐵㠲搵挶扤㝥ㄳ㜹昴㕢㄰挱㍥慥敡㙤慡摥愱㡡昱㑣慣㐴〱愵晡㐲㈵搷晥㠱㌸㡣晣㑤收晢捣昲〱㐴㈰㔸〷㠰㌴挳㠷㐸晡㌴挳㐷㔰ㄷ㌷挳挷搰㤴㌶㠳㌶㕥昴㈷㌰捡捦㐰敢摦㤰昴㝥搰㍢㈷㔶〰攵ㄷ〶攸捦〱攳㠹搵ㅦ㜶㘹愶愲〱扡ㅥ㕡㌹㠵扥〴㑣㌵戸㤸慦㤰捡て搰ㅢ戸摡慦㠹㐱㔹㍣〸㌵㄰㕡㘹攰ㅡ㙦〳晦ぢ㤰捡つ㕣敤搷挰㙡㈳搷㍦㕦㜰㥡㍦㠵〶㐱㉢捤㑥㤵㔶ㄴ搵ㄴ㝤㈸㙡㈰㌰搴て㌶㌹慤㕡愴捤㔰㥦戱挳㠹㙣㌳收㜷㈱捥晢搲㘹摣挶㘵㈲攱㜴㈲㤹捥㐵㥢㌱㍦摥搸㉤捤㐲㥥攰㄰㌷搵㤷愹㑤摣ㄴ㙤つ㥢㈲昵摦㌹㈱㌷㠳㘷㤲㔸㝡㡢挲㘸㈸搱昷㐷昹昲摢摣晡户攴㝡ぢ户㕥つ搰攷㑦戱㘱搰㑡ぢ㝣昸愵㘷㄰摢〰㤰捡㉤昰㍥愰㘵㠳㔸㜰㌸㍣〹搷〳㤱ㄹ愷搸㔶愶ㅥ搶㐶㐸㍢扣㘲戶㥣㑡挶㤲㉤捤搹㘴㌴ㄶて㐷搳戸㕤挱㤳扥愴ㅤ〹㠷㜱ㅤ㙤戱〶攵愱挹㐴ㄲ昷㉤搹收ㄸ㙥慤㘳挹㘸㍣㠹攷㝦愹㐴〶㑢捤戸挹戱愳㈱㙢㜰ㅥ㡡㈵㈱㍢摡㡣㍢挳㜸㜳㈶ㄶ㡡㐶㕡ㄲ搱㔰づつ㤶㡡挷㌳搱㜸㉡ㅡ摣摡搴㐴㙦㡣㍣㝡〸挵㈶㄰㐱〶㔴〹㔳㥢㔲戵ㄹ挵㔰敡户㜱昵㐴㌹㜸收㔴㈳愰㤷㤳㜳つ〸攰挹㈹㈷敦㜰㠲戶㠲〸〴㐷㥡㡣搶搶㐸晡㥣㥣㡤㔰ㄷ㥦㥣摢㐰㔳㝡㜲㌲ㄸ㑢慡戵㉤㡣晡㕥㌶昱㍤㙣挰ㄸ昴㡤㑣㍤㐵昱㌴挵㥦愸㝦〶戵㜹〱㕦㡥㉣晢㈹挱㍦ㄹ㐳改㡦攳〶攳昰㈴㑤搵㠴ㄲ敡ㅢ㙡㐷㈳扤㔳攵㕦㕢昳㠴㙥㡤挲换㉤㡡㝥搵㝣㌲㝥愵㝣ㄹ㜹攸㠳搷㌳㍡㉦㤷慡愹ㅥ晤摤㝣㌱戶㠲慦㌴攱愷昶㈹㔴晥㍦昰挳づ㕥〸㜵愲挷㉤昱搱㈱ㅣ㜰㉤攳㠰㝣㕦㥥攱〴㥦捤挵㝢㈹敤愶㠹ㄳㄲ㑤㤳㤷㘶散㌶扥愸〴㤱㘷挸㔸㌵愸㝤㕡㌷㜶昱㔳㘵昳㍡挷换敢㌳ㄸ挷戵㠱㐴扡㐱㍦捡晤㑤昴㙤ちㅡ昷摤㌴㙥戶㤹㕤昹㝣昸攱㙦㈷愸㙤ㄴ㝦㐱㝤㔰㈱攵㜹㌹搷㘶〵㉤㕥㐷㠴ㄷ愵搸㔹搷㘳㌷〲ㅤ㙢慡晢愸搲ㄷ㌷㐸㈸捥愴捥㜶晣㠲㘳ㄳ摦挶㐵㙦昸㈱昹㘹㔹ㄲ戰㤹捦㉢㌱㈷戴昶㐸っ挷㔰搸㤵摥〹攴㔸ㄱㅣ慤㌵愶㜱㥦挶㜰㑢敤攳㘸㠸㜵㉥愳㤸㜶㤶挸㥥ㅣ搰㌱㌸㔴扢挰㌵戹㔷㥡搱㕢㔶摣㈹㘴ㅡち㔱㡦愰㄰ㄶ挴㥥ㄴ搰㐹愲挷〲㐳ㄵㅤ愸㜱㈶㐱㝢〳㈳㥤㌰捡换㌰㡦晦摣捤㝤㍤㜳搵㌸㐷㔳㘷晥て㡥㙢㤸散收㌸㐰つ㍦㜳㝣敤㥡㘳㑡㕦㈴敢攴㠸㡤晢昵搵摣扥ㅡ慢愶㈱㐷㈳戴捥挹昶㌶昷攴㘴扢ㅦ㌵昲㍤搹敥㌳㠶搲摦敤㔴扢挳ㄳ㘹搱扢昰愸戰㈳ㅦ㠹㤳愱㜶㉣戴摣愸つ捥〴㔶㑥捣㜱搰敡昱㄰昵〳㠲っ㤷ㄱ攵〴愶ㅢ㠲昳摣昴㐴㠲㈶㔱㑣愶㤸㐲戱㉢挵㔴㠸晡㠰摡ㄳ㐰㥥摡敡㌶搴㡤攷ㄳ愳㤶㌰㌳㔷㝢戹㠶㕢㡤㘱〰つ挸挴敤㡢㙦搵摥慥晤ㄶ㘳㙦㠰摥㘳摦挷戵摦㙣散㥢ㄵ摢昷㠳摤㘹攸㝤戱㘷敤〱捦攸㑤攳ㅢ㥢㤳戵㌷㈲㠷敦㉢㔱㑤㡦挵㑢㠵摣㉥㍦戹㘳㌱扦摤敤㌹㡤搹㥦戸〵昴㉣戸㔴晢挳㌹晤㔱愵づ㐲愲ㄱ㍢㑥㠳㈱㡣搲㌴搸㌵〰昸㌶搸慦㡤㘱㐸昳扤㤱扢ㄷ昴㥦㜱晤昳ㄳ摥扦敡㘲扤㉣㤸㠱㈷攱㝢㉦搲搸愰ㄶ㈰㉤㌴㕥㠵ㅣ愴㤱搵搰晢戰〶㡣㍥㜱づ㜴㈱昶慣晤㥣〳摤扤㌱ㄶ㔲㤷〱㔸攸搱㍦㈶㥡㘱㉡づ扡㤵攸〳ㅤ昴㝥㐴㕦㙣搰捥搹㜲㄰搱㙤挰攴晢㝦扢㐹㐸晦㍦ㄴ㠹昵敢晦っ㙤㤱ㅣ扤昷晦户挶づ摡㠰摢ㄹ㘳搵ㄲ攴㘸捣搳㔹攸晦慢㔰㔱㕦㍡㝦㘱っ愵扦っㄷ㕣〶㑦㐲㈷㠷㔰搰㜹ㄴ搲㐲攷昹挸㤱愷㜳㈱て㜹㌹㑣づ㐱㐷㘳捦㍡搸㈱㘸慦挶㐸戳㍡扢㠸愰㌶愲㔷攴搱挷㄰摤攱愰㈷ㄳ㝤㠶㐱㍢挳挹㈲愲戹愶㥥愷昳㌸㤳㄰㍡㑦㐴㘲晤攸㕣改收攸㤵捥㜱㥤㘶㌸〹㡤㔳愷㈲㐷愳て㥤愷ㅡ搶捡慥摤愷ㄸ㐳改て换〵㑦㠳㈷愱㜳〹㡥ち㜴㌲㐸㐵攸㍣〹㌹昲㜴㉥攵㈱㥦〳㤳㐳攷㔹搸戳づ㜷〸㥡搶ㄸ〹愹㥦ㄴㄱ㜴㈴搱攷收搱っ㕥戱㡥㜶搰晢㄰扤挲愰㥤摥戹㥣㘸慥㘰收改㍣摦㈴㠴捥ぢ㤱㔸㍦㍡㉦㜲㜳㔴愲搳㜹㉦搹㉢㘳㠳㙥敦扣〴㌹ㅡ㝤攸㍣搲戰㔶㐶攷ㄱ挶㔰晡扢㜴㐱〶慦〸㥤㈷攰愸㐰攷㔵㐸ぢ㥤换㤰㈳㑦攷㑡ㅥ昲戵㌰㌹㜴㌲〲挵㍡ㄹ扡扥ㄸ搵㘶㤰愱挵㠶㈱ㄸ㌰㍡㥤㑡㌸攳㐲ㅣ㌸愳㔰慣㥦ㄹ昸㜴挲て㌵㜰愷㝦㥥㑥昸昵㜹昸㌵㠴㥦㘹攰扢ㄱ摥㙥攰づ晦㘷ㄱ捥㈰〷昲㡦晦昰愵ㄴ㤳㤰㑢㈵㐳㑥㘸㤱挶戸つ〹挰攵㠳晦摣慤昲愵搲㐱㙣㌴慥攱㜶㌷㘷愵㐶ㄱ攴改㔷㡦㤳晦挷㕤敦晣晦挵㡤攳ㄴ㠳㔲ㅡ愱㉤扤㜴㉥㐴愵㝣㠷㡥〵挶㔰晡㜳㜹挱摦挳㤳㌴捥〵㌸〶㌴捥㝤㐸㑢攳搸挸㤱㙦㥣㔵攴攳㈱㤸ㅣ戶ㄹ愰㘲㕤〴ㅤㅢ㘷户挶㜰㐸愵㠰㜶晢㙡㐰慦㈶晣攱㍣㥣㐱㉡搶㈵〶㍥㥤昰〳っ摣㘹㥣㑢〹㝦㈴て㘷愰㡡㜵戹㠱捦㈰㝣㕦〳㠷〱㑤㝦㈵㑣つ㑦ㄱ㠴㈴㍦㥥㙤ㅤ㔸㘷攴㠹攴㕣㙦搶㥦㐵捥㐶ㄴ㔶捡晡㍣㔴捦㤷昵戹挶㔰晡ㅢ㝤挱攷攰㐹㔸扦づ㌵〱敢㉦㈱㉤慣捦㐶㡥㍣敢㌷挰愸搶挰攴戰晥㌲昶慣㥢愰慢攵戴戱㐵敤㙥㔸㜱扡散捤〴扦㤲〷晦㡤攰㕢ㅤ昰㌴㠰愷ㄹ戰挳昸敤〴扦ち㠸摢㘶敡敦㈶㈱㕤晡㑤㈴搶㙦㝣㜹换捤搱㉢愹㔵㡤攳㥣戶晡㜰慣㝡ㄷ㌹ㅡ㝤挸㥣㘴㌸㉢ㅢ㕦㈶ㅡ㐳改㉦晣〵㍦㠰㈷㈱昳㜷㌸㉡㤰挹㄰ㄳ㈱㜳㍣㜲攴挹扣㠷㠷晣㌹㑣づ㤹㥦㘲捦晡〳㜴㥣㌵敤搶ㄸ㔳㘳っ㐱づ㥢昷ㄳ晤㐵ㅥ捤搰ㄳ敢㐱㠳㥥〱㜴㡢㐱㐳㡦ㅥ昹㌰搱㕦收搱㥦ㄱ晤愸㐱㑦〷扡搹愰ㅤ昲ㅦ㈳晡㉢㘰㐸㍥ㅤ愸慦㑤㐲〶ㄷ㐶㤹搰㈲㉤挱昸ㄱ挰攵㠳晦摣㙤ㅤ扡㌹㠳㑥㈴㘷慦㉤戲收㈷攳ㅣ㥦㈷㌹晦㡦㍢㙤㥣戲㤰戳ㄱ摡搲㙥ㅥ㐲愵㝣扢昹㡦㡣愱昴㘷〷㠳㡣㕣㤱㤶㜹ㅡ㌵㐱换㌰晣㐴㕡㘶㐷攴挸户捣㌳攴㈳〸㤳搳㌲㡣㐹戱㥥㠵づ㉤㠳㤹㐶㑣㡤〴搸㈵㈴愰晦㑡昴〶㜹㜴〳搱捦㍢㘸捣㘲㘲㙡ㅢ㠳㜶摡昱㐵㔸ㅡㄸ㐰㠲扦㜵㈷戱㘱㠸㥢愳㔷昲敥改㜲㐸慢㥡㌶㑥つ㐵づ㍦搲㠶ㄹ㙥捡扡昳㤶挶㔰晡摢㠴㐱㠶慡〸㘹慦愲敥㈰㡤昱㈶㐲摡收挸㤱㈷敤㌵搲戰㉤㑣づ㘹っ㐲戱摥㜰㘸㤸摣ㄸ㡤愹㑤っつ㑥㤷㝢㡢㘸挶㠸㌸㘸挶愱㔸敦㌸攸扤㠸ㅥ㘴搰づ㘹敦挲搲挰㠸ㄱ晣慤〷㘹っ㉦㤱ㅣ扤㤲㔶戵慦㤹戲〵挶愹〸攰㝥愴〵つ㌷㘵愴㌵ㄸ㐳改てㄸ〶ㄹ㥢㈲愴㝤㡣扡㠳戴ㄶ愴㠵戴㝡攴挸㤳昶㈹㘹搸ㄹ㈶㠷㠶搱搸戳㍥㜳㘸㤸摣ㄸ㙢㔶摡搰攰㤰昶〵搱㘳昲攸㥤㠸晥捡㐱敦㐵㜴慤㐱㍢愴㝤〳㑢〳㐳㐴昰户ㅥ愴㌱㥥㐴㜲㔴㈲㙤攴㡦㑦晢挳㍦㐷扣㕢戸㙤㘰㘸㠹ㅦ㘹㔵㠶㥢㌲搲扥晤挲㌹㙦㑢㝦攵㌰挸㘰ㄴ㈱慤ㅡ捦㥥㐰摡㑣愴㠵戴㝦㈱㐷㥥戴ㅡㄸ搵ㅣ㤸ㅣ搲㘶㘱捦戲愰㤳搳㌳摣慣扥〴戸㜰㝡搶ㄱ捤㈸㄰〷㍤㥢攸㠰㠳摥慢ㄱ攸㝦ㅡ戴㐳㕡㝦愲ㄹ㐶㐲〷㔴㈹㠶㤳戸摥ㅡ昶㐵〲㝦敢㐱攷㝥㙥㡥㑡㜴挲㕢㔵搵昲昱㠵㍥挸㈸ㄳ㍦㍡㍦㌴慣㤵搱昹㠱㌱㤴晥㐸㘲㤰㜱㈹㐲攷㠶㌸㉡搰挹㌸ㄲ愱昳㍤攴挸搳戹ㄱて㤹搱ㅣづ㐱㌹散㔹㠳愱㤳㡢㝡㑣扤㕤挴捦㄰㠲ㄹㅢ攲㠰ㄹ㕥㘲㙤敡㠰愷攱扡昲扡〱㍢晤㜵㈸挱っㅤ挹㤳挹㄰㤲㍣㤹㥤㐸攰㙦㍤挸㕣攴收攸㥤捣㈹〵㌲ㄹ㔹攲㐷收ㅡ挳㔹ㄹ㤹㝦㌳㠶搲㥦㔸っ㌲ㄶ㐵挸摣ち㐷〵㌲㡦㐰㕡挸㝣〹㌹昲㘴㌶昲㤰ㄹ晣攱昰㜳㈴昶慣㙤愱㐳摦㥣搶ㄸつ愹攷㡡〸ㅡ㐱㌴愳㐴ㅣ昴㔱㐴㙦敦愰昷㈱晡捦〶敤昴捤ㅤ㘰㘹㘰㐸〸晥搶㠳戴ㄳ摣ㅣ㤵㐸㜳㕥愸昰散搸㠱敥㥤ㄶ㐳㐹晣㐸㝢搲㜰㔳㐶摡晦ㄸ㐳搹敦㌰㌲扥愳攰愹戰㝣晤挷㑡㥥ㅥ㌵㠶戲㥦㌴㘴㌰㠴㥦愷〷㉢㜹㝡挰ㄸ捡㝥㈹㤰〱ち㝥㥥敥慤攴改ㅥ㘳㈸晢〱扥敢攱㠹㡢㔵㝡㍣摢ㄱ㍢晣〴摤挷㘴敡㐶搷㍣〱㘶㙥㘲扥〹㕡改㐷ㄳ愱搵㤳㈰戰摣挷〸〶㔱㑥㘶ㅡ㘱㑡㙥㝡ち㐱扢㔲㑣愵㤸㐶㌱㥤㘲㌷〸㉣昷㌱㥣㐱㝡攱捤愸㈴㝢愱扢摣挷㄰〷㌱晣挶ㄸ㑡㤶晢ㄸ晤㈰昶㥢㡣扤㘴戹㡦㠱ㄱ㘲扦搱搸㑢㤶晢㝥敢摡㙦㌰㜶㔹㈰㥢㡤㕡愹㍢㘱㜲㍡昴ㅤ搸戳收㐲挷㌹㙤㘳㜳㕣㕤〳昰㡤愸㈵搹挰敦慦ㄳ㝤ㄷ㌰慥㑡㌱㔲愱搰㌶㠵〵扤㉢㤰捦㜷愶㜷戹㌱㤴晤晥ㅦ挳〷ち㥥ち㍤敦㤲㑡㥥㉥㌶㠶戲㥦搲㝢ㄲ㥥愴㤵て㘲㜵摤㘶㝣ち㕡㙥敡㘹搷㥣搷㐰ㅢ㘴搰㐰つ㜶㜴ㅡ㤹昰ㅣ㥦て昹敢㤸捥㈰慤戳ㄴ㌶㐵㡥㘲〱挵㐲㠸晡㙡昵ㅣ㠰挲晢戹愸㑦㝥㔸㌹ㄸ㐶挵挷攷㠵㐳㉡㤰㜳㘶愵㐳㍡挳ㄸ㑡㝦昰㉥戸〶㥥愴扢㉤㘲愱つ㡡て挸愵搰搳扣㠵㜶戱㔰㍥捣㜶ㅡ㤳㑦捤㉤扥敦ㄹㄷ〶㑣㌷搴㈹挰扡〳㝢㐰㉦㈱㤸て扤ㅤ昰ㅢ〴㉦㜵挰㤸挹愸ㄳつ搸戹㌰ㅣ㑥㌰㥦㠹扢昹ㄵ㥦㡤攷㉦っ㝣昴㡤扦昵ㄸ攳㍥㜰㜳㔴ㅡ攳攰慤昸㉡换㠷攰〵㌲ぢ㙢㥤挷ㅡ捥捡挶戸ㄵ挶㔰昶㡢㜹㝣㑥㉥晤㘳㌹㡦ち挵挸攷㑢㔷扢〲㕡㙥搴〶昹㜸㕣㠸㍦ㄶ㕡㝤ㅣ〴㑥㝥㍥ㅤㄷ攵昱㑣㌷〴昹㌴㕢搲㍦㈱攸〴㡡ㄳ㈹㔶㔲㥣㐴㜱㌲〴㑥㝥ㄲ㈴捤戶ㄸ㜵昳㥥晣㝣攸㉤㠶ㅥ㘳㈸㌹昹慢㕤㝢户戱㤷㥣晣㝣㔴㉥昹扢㡣扤攴攴慦㜱敤㠷ㅡ扢㥣晣愷愳㔶捡㠲挹改〲㝣戴㙥㥤〹㥤㥣晣㜱慣㘸〱散㥥改〱㝤ㄶ搱㝣㜸敥慡㔴㝦㈴ち㑤㔲攸摦ぢ㤱捦昷攴㕦㘰っ愵扦换ㄷ攴搳㙥㘱昰〲ㄲ搵愰昸㜴㕡㡥挷昶搶㜷ㄵ㙢挰㠷扣㑥㝤㌷挲㥥㜵ㄱ㜴㕣㐳挲愲㔰㑣愵㠰㜶㍢㈵搶㤰〸ㅦ㤲㠷昳戱戵㜵㠹㠱㘳挹㈹愶づ㌰㜰攷㙡㝤㈹攱㝣㤸散㜸ㅦ㑣昸攵〶㡥㌵愴㤸摡搷挰㌹㑣㘰つ㠹昰㑤〱㘲㠱㔴㈹㍥㥢捥㥦ㅦ㐳㑤㠲攷㑦〳㥦㍥攳㙦摤捦て㘰戱㘱㠱㙦㉢㌷㘷慦攷挹㥡㥦㡣㤳っ㔵㥥㝢昰㙤㤱戳搰㌸㠵昳㘵ㅥ㡥挲户㜱收ㅡ㐳改捦〵搶㌶挱㤳敦搳㈰昹㐹㥥㈶昹攱ㅣ扥㠹挲敥ㄶ〵扢㘶㙤㡥捦㕣晢攵ㅣ㌵ㅦㄹ换㉦戴戴挹㡢㈷晡攳昷慣扡づ戱扢㘶攰㘷摢昰㡢㔸㜳㕢摢捤晢㐴昰㜳㙥㝣㘳扤晢愳㠲㕡㔲捣㙣攵㘶㜶攱㔷〶晢收愶㜵攳㔵㈶搹扡昶㔹愹㥥ㅥ扢慢攳㠷昰㑥〲扣ち愴㠶㡤㡣㠷愸昲㤳㜹扥㙦攱攰敢㌵㝣ㅦ捦㍡ㄴㄶ昸㜰㝦㡢愲㥡㍦㠳昵摤摥㐸㘰㕤㠷㥥改扥㐶㉡敢昹㘱户ㅡ㌵ㅢ㑤散挴㠴㉣慦㤲㑢㍡㘳㝦昴つ挰㕢㌷㐲昴ㄹ摦摤㉥挳ㅥ㐴㐰摦〴㡤扣愹㐶㐴㔵㙤〸摤愰昴攰昸搳〲㝣ㅤ㕥㔵敤㘱慤搹㥥㠵搶㐲扢㜵挱㐲㝣㘹愱㕦㍦昷扤㈵㈴愶㈶㠶慣扤㍤搴收〹搸户㝤㝥慡慢㉢戵慣慥㝤㝥㥢摤戱愰㘷㘱摤晣㈵㜸㠶㡦ㅦ愴㐳㍤敡敡敡昴捤昸㥦㐵昱愳㤲昰㐸慦晡ㄶ㡦㌶戸ぢ㌴㍣ㄵ昵慤搰攲㈲捥挷戶ㅣ㔶敡㠳㙡ㅣ㜶㘵㐴㤹〶づ㌸昴づ㠶ㅥ慦㡤㔱㝣㝥㉢㠶愹挶戰㌱つ㜵㝣㤱戵㥡〰ㅢ㝢扦昵㕢昸㉢晣ㄴ敡ㄲ㠶〴㜴㔷慢㈹㉥㥤晦㠸㙣㔲愰昳㑥㘰慤扢㈰晡攰㌱愹㜲扡〶攸扣ㅢㅡて㥤㡡捦㠵愵摣昱愶㕣ㄹ㠵搴㈴㔷㍤捥愸㌷㐰㜵〲㡡捦㡥〵㍤搶愸㔹晤㠰㥡攲慡㜷㌱㙡㔶㍥愰昸㝣㔹搰㘳㡣㝡㠴愸愷扡敡㥤㡤㝡愴愸㘷㐱㉤㕣㍥㠰㉡收ㄹ摥ぢ㕡㌹昶〷愱昵敦㑥㉤㜰㔳摥㥤ㅥ〶摥㝡〴愲戸㍢㍤ち㡤昷昸昷㠱㝦㜶㈹㜷㔳㍦㜶慢昱ㄸ㤰昹㙡ㅣ攴㙡ㅦ昷㙡㜳搰㑡攵㥥㠰搶扦㜲㘱摦捡㍤〹扣昵ㄴ㐴㜱攵㥥㠶挶㕢戹㠵昰㕦㔴戹㌶户ㅡ捦〰㤹慦摣㈲㔷晢㘷慦㜶㠹㕢戹㘷愱昵慦摣㐸摦捡晤ㄵ㜸敢㌹㠸攲捡㍤て㡤户㜲㑢㑢㉢㜷愴㕢㡤ㄷ㠱捣㔷㙥戹慢㝤挹慢㍤挱慤摣换搰㝡㕦戶㔵㍣㔲っ昷慤攰ㅡ攴戱㕥㠱㈸慥攰慢搰㜸㉢戸戲戴㠲愷扡㔵㜹つ挸㝣〵㑦㜷戵慦㝢戵㘷戹摡㌷扣㕡㍥㕢㤲〶㝦ㄳ摡捡搵ㅥ攲㕢敤户㤱挷㝡〷愲戸摡晦㠰挶㕢敤㔵㈸愳愸搱㔷扢㔵㜹て挸㝣戵㉦㜵戵敦㝢戵㔷扡摡て扣摡敢愰㤵㙡㝦〸慤㝦㔷㘸昰慤昲挷挰㕢㥦㐰ㄴ㔷昹㔳㘸扣㔵扥〱晥㡢慡㝣戳㕢㡤捦㠰捣㔷昹㜶㔷晢戹㔷换㠷ㅤ㔲戹㉦愰慤捣㘹㕦摦ち㝥㠵㍣搶搷㄰挵ㄵ晣〶ㅡ㙦〵敦㈹慤攰晤㙥㔵晥つ㘴扥㠲て扢摡㙦扤摡挷㕣㉤敦挴昲㔸㍥〹㘰戵㌵捦晤ㅡ昵敦捦晤〶愱㍥挸愱㜹㥥ㄷ慥㘷戵㔴㍤〲㡤〸㐴攴挱㐷ㄱ㜷㝦㜵㡢敢敢㉤敥㐵㔷㕢攷搵㜲㘵摤㔳㠹捦㝣㉢搱慦扣ㄲ昵㈵㤵㜸慤戴ㄲ㙦戹挵㌵㜸㡢㝢搷搵〶扤㕡慥㔴㝢㉡昱扥㙦㈵〶㤶㔷㘲㔰㐹㈵㍥㉤慤挴ㄷ㙥㜱ㅢ㝢㡢晢挶搵づ昱㙡慢㐱戲昴愲㑤愰昵敦攲㙦昸㔶㙣㌳攰慤愱㄰挵㍤㘸㜳㘸扣捤㔴〳晦㐵捤㔴〷㐵っ㔵搱㕢〲㤹敦ㄵ㕣〷ㄶ敤㌰慦㜶㐳户㜲挳愱昵慦摣换扥㤵摢ㅡ㜸慢ㄱ愲戸㜲摢㐰攳慤摣㐶愵㤵攳㜲慢㔴㘳㍢㈰昳㤵ㅢ敡㙡㐷㜸戵㕢㤹捡㘹㕥㈷㙡搴戳扥ㄵㄹ挵ㄲ㜹㑤㈸㜴攴ㅤ㑢㉡搱〸㙢ㄱ㐳㈳愰㤰㑡晣挸㕢ㅣ㔷㈳㐵ㅢ昲㘸㠳㕣〹㤳㈹㔳ㄸ㕡㑣㤹㈶㈰㙤愶㑣㕣敦㤲㔹挴ㄳ愸㤹㜷捡㌴挹㌵㍣㙥っ㥥㈹搳㘴搸愴㍢挴攰慦㝣捡昴㐷昷㈰㡢愶㑣㜱㘰慤〴㐴㘱捡挴ㄹ㘸ㄲㅡ㉦摢㔳摣㜲ㅦ㌴攵㍡㔳㈶慥戶㐹㍤ㅦ㌰㙡㘷捡㌴搵㔵摦㙦搴捥㤴㠹㉢㜲㠲扥捦愸㥤㈹搳㜴㔷晤〷愳ㅥ〱捡〳㡡慢㜶㠲扥搷愸㥤㈹ㄳ㤷捤㐸昹㔵㘳摦ㅥ㜷昴戸㤳挷㉢慥㡣〹戹攳㔰㘷户摤㠳㕣㠰ㄲ㜲挷㐳㕢摦㐷愵㤱㤶ㄳ㤶攴㔴慢扢攱㔳收㑦㐵㘴㑣㠲㑤㤳っ㘷敥㐸㈲愶㔰攵ㄹ扡戸㈶㈵戵扡摤搴捡㈱㈲敢慡㙦㌳㙡㠷〸摢㔵摦㙡搴づㄱ㌹㔷㝤㡢㔱㍢㐴㜰㙤㑢㝣摦㙣搴㈳㠴㠸㠵慥晡㌷㐶敤㄰㜱㌰搴㐵㐴㉣㠲㐲摡㝦て搴搹晦㡣扢ㄱㅥ捡愷㡤戳㠰户㘶㐳ㄴ㥦㜱㜳愰昱ㅥ㝡㤷㈹㄰㤵㤲㑤㉤㠱㐲㤸㥦〷愴换扣攲㠲㤵㘸昷昴㘸㠳㕣昰㤱昶搸ぢ㕡㜴㜶㉥昵㤸捥㝥㉣㜶攵戰慦㌲挷攷摥ㅦ㜰捤㐷っ㔷ㅡ㠳愷戳ㅦて㥢愷㍤㉦㜷て慣愸㍤昷攷ㄱㄴ户攷〱㔴㜹摡昳㈷㙥ㄹㄷ㥢㌲㥣昶㍣挱㔵慦㌶㙡愷㍤戹戶㈴㌵晡愵㔱㍢敤戹搲㔵㕦㘴搴㑥㝢㜲晤㐹搰ㄷㅡ昵〸昰ㄶ㔰㈷扢敡㔵㐶敤戴攷改㔰ㄷ戵攷㔹㔰〸㤱㌶敡㥣愷㤷换㌴搲捡㌹㘸㉢㑦ㅤ捥㠷敦昲㤶㕥㠸㍣㔶㉢㐴㜱㑢ㅦっ㡤㤷㤴㔵愶㉡愶愱慢ㄴ搷㜳愴㉡㙤㐰收慢㜲愹慢㙤昷㙡慦㜴戵ㅤㅥ㙤敤つ搰慥昳㙤㌸搷晦扥攳晢昵㍡㔱愸扡〹㠵搱㠷㕥攴愹㐲挳捤㐶㕢挷㈶㙥攰摤㉢㌱㤲㔲户㈲㈵㑤㜵㥡㘹㤳戱捣摥㐵㘷扣愹㘴敤㜵㌷㔳扣㤷ㄴ搷㍤㕥搷てㄸ慤攳散㘱㌷挷㘲收㜸搴捤戱挴㥢㠳㜷㕡昹攲ㅢ㜸㠷㤵㑦愹㈷摤晣㠷㌱晦搳㙥晥愵摥晣捦㜸㜳㌴昰㈶愸㤰㥦㌷㌳㔲攳㘵捣捦㝢ㄸ愹昱攱摥晣扣㕦挹攷㘸攰㝤㑡㍥愵㜸慦㈱昹㡦㘰晥㔷摤晣㐷㝡昳扦收捤搱昰㝡㔱㡡户て〵㙦扣〵㄰㙦㐷搱ㅢ㘷晥㔲㥢愳扤摥㌸换捦攷㘸攰散扥㤰攲慣㍥㥦㔲ㅦ㈳㈵摥㡥愱户㑦㡤㑤㉦昷㝡攳〴㍣㥦愳㠱ㄳ敦㝣㑡㜱昲㉣昹㔷㌰㍦攷捣戴改㘳㤹挲づ㍦つ㥣ㅦ攷㜳㌴㜰㕥㕣㐸㜱㍥㥣㑦㈹捥㜵挵摢㜱㔴㜳㥡㑢㥢㍥ㅥ㍢敥㔹搲挰㈹㙤㍥㐷〳愷戲昹㤴攲㌴㔵昲晦㠴㙡捥㔰㈵晦〹搸挹攷攷㙣㌴㥦愳㠱戳搰㝣㑡㜱㠶㈹昹㑦愴㥡㤳㑢挹扦ㄲ㍢昹晣ㅢㅢ慤搳敤㌹㠱㉣攴攷㐴㔰昲㥦㐴㌵攷㝦㤲晦㘴散攴昳㜳慥㤷捦搱挰㌹㕥㍥愵㌸㔷㤳晣愷㔰捤㈹㥡攴㍦ㄵ㍢昹晣㥣㡥攵㜳㌴㜰ㅡ㤶㑦㈹㑥戱㈴晦㑦愹收散㑡昲晦っ㍢昹晣㥣㐹攵㜳㌴㜰〶㤵㑦㈹捥㥣攴戴㍤搴㝢摡㥥㑥っ㈷㌶攲晡っ愶㌸㥦ㄱ搷㘷㘲㈷敦㥡㌳㠶㠲㌳捥ㄴ挴㔹扢搷搹㔹挴㜰㘲㈰捥捥㘶㡡㜳〲㜱㜶づ㜶昰㈷ㅦ㌵ぢ㝢㠲㌹㤷㘶㕥㍣〵㜳ㅥ㜶昲〵昲㐲㤹㉦戰㠱ㄷ挸㝣㑡昱挲㈸挵㉦昰ㄶ㝦〱㌱扣㡥㠹敢㕦㌰挵㑢㤸戸㕥㠵㥤扣㙢㕥㈴ち捥㌸搰㑢㡥ぢ愹收昸㉥㌹㉥挲㑥㍥〷挷昲㝣㡥〶㡥攱㠵ㄴ挷敥㝣㑡挹愰捡㡥晤㑢愸摤㉤戸〸〹㜹㜲戰ㅡ㍢晡㘲㠸晡〱つㅣ㌲昷〶愴㝡愹捡ㅣ㤴㍤攸愰㉦ㅡ㙡㠶㙤㕡戳捦戸晥攷慦㜹昴搵㌳㥦昹昱㤸㌷扦㔹戵敡㤹搷捥㝣散㥢扢搲㘳ㅥ扡攴㤲晢愷晦昲戱㔷㌷捣慤慥扥昵㡢ㄹ慢㡦っㅦ㜲攴愱戹㍤户摦昵挸㝤て㥥ㅤ㥥戵挱愸㍥㝤晡昶摤㙥攰挳㐳㐶〴㤷ㅦ㝡扢扡昷戹㡤㍢㤴㡣挲㈸㐰㕦㠲㤲戸㜱㔶ㄱ攴㘸㉣搳㡢㕦㘱㐷㕦ち㠱攷㠳㌲晣挲慡㉦㌳㔰挲㠳ㅣ㠶愵摡㤷ㄳ㝡〵愱〳㤴㡣戴㠴ㄶㅤ㈱㐷㕣㠱㕥㐵攸搵づ㔴〶㔵㐲㝦㡤戴扢〵㌹戸ち昴ㅡ㐲慦㜵愰㌲㝥ㄲ㕡攴㤵攳愸㐰慦㈷昴〶〷㉡㠳㈳愱㌷㈲敤㙥㐱づ㤲〲扤㠹搰摦㌸搰㘳昰㥦戴收捤搸㜱户攰㜲㈴〴㝡ぢ㜶昴慤㄰㌸㉣ㄹ攴〰搱户㜹愱ㅣ散㠴慣摢㠹敡愳㘴昰㈲慡愸㥡ㅣ挴挴攱ㅤ搸搱㜷ㄲ㍡㐰挹㌸㔵〶攵㜸㈵搰扢〹晤㥤〳㤵㈱愹っ捡愱㐹愰昷㄰㝡慦〳㤵搱㠷搰㈲㑡㌹ち〹昴㍥㐲敦㜷愰㌲搰㄰晡〰搲敥ㄶ攴㠰㈳搰〷〹㝤挸㠱捡㤸㐲㘸㤱㔷㡥㉤〲㝤㠴搰㐷〵摡挰ㄱ攳扦摡㙢㘵㄰㘲㕤晥㠸㤲戸㐹慦攵㘰㈴つ昱ㄸ㜶昴攳㄰昵搵つㅣ㜰晥慢㜵㤱㌱っ㔵搰㑦愰㈴㙥㈱㝣㠲敥㔸愶晦㠷㜵㜹㤲攲㈹㡡愷㈹晥㐴昱っ挵㥦㈹㥥㠵㔰㌲捣㈱愷晥ぢ㔲敥ㄶ攴㜰㈷昴晥㤵挰攷㈰㌰㈸㜰㄰晢慦ㅥ㤲㡣㡢慣换昳㈸㠹㥢搰换昱㔱攸㝤〱㍢晡㐵〸っち㌲㈰〲愱㕦㌲㔰挲㠳ㅣㄸ愵摡㉦ㄳ晡㌷㐲〷〴摤搳㐱㜱㠰㤳愱㜹㤸ㄹ㥡〵晡ち戴㡡挳㥥㤸戶㌰愶〹㜰㠷㠷ㅢ㐱づ㑦㉣扣扥㐶㜱㑣ㄲ捣收挵ㄸ挵㜱㑡っ㐳扤㝥㕦㠷㌶攸づ㔹㡡愳㤴㘰㌶昵㘲摥㠴㔶㜱散ㄲ搳㤰ㄲ扦ㅣ慥挴戰戱㌷捦㍢捣挳㐱㑣㑣㠳㡡昳〴摤㤳㐴㜱〰ㄳ挴㐶摥捣敦㌱㌳㠷㌵㌱㙤㔸㥣㔹㜱㈴ㄳ挳〶摥㍣ㅦ㌲て挷㌷㌱㌵ㄴ攷〹㜲愰㈳㡦㜸㐲挴搱㑤㌰〳捡戲㜳捣ㄳ㔳㝤㐹㜶づ㝥㈶㍢㐷㍣挱昴昷㘶晦㈷戴㡡攳愰㤸〲㈵搹㌹㈰㥡散ㅣ〵〵愳㡢㌱㡡〳㥦ㄸ敡扣㝥㠵㐶づ㠷㘲戲㑡昲㜰〴ㄴ㐳㙤㔹ㅥ㡥㡢㘲慡㈹挹挳愱㔰っ㝤捡昲㜰㠰ㄴ㔳㜵㐹ㅥ㡥㠹㘲㔰摥㍣㔵ㅡ挷捣㤱㔲㑣摦㝥收㉣ㅥ戹㕤㤲㐳愶㌹㘶㡥㤳㠲昹户挱㔰慦晢㌰㍢㐷㑦㌱㝤㔳㥣㕤㜱挰ㄴ挳搷摥㍣搲㌱㌸㡣㡡改换攲㍣㐱づ㜷收㉣攰ㄸ㈷㤸㉦㡡㌱㡡攳㥥ㄸ㍥昷晡つ愰㉥㐱㡥㔰㈶㍢㠷㈵㐱晤搳㡢敡捦ㅡ㜳戰ㄲ搳㈷挶攴摣挳㜳昸ㄲ昵挷㐶敤摣挳㜳㐰ㄳ昵㐷㐶敤摣挳㜳㠸ㄳ昵㠷㐶扤㌱ㄸ〹㈸づ㝡愲晥挰愸㐷㠸㥡挳愰愸摦㌷敡㤱愲收挰㈸敡昷㡣摡愵摥ㅤ㈳ㄵ㠷㐵㐱扣㙢㄰㐲晣㈰ㅥ〶〷㑢㌱扤㔳㤲㤹㠳㥡㘱㠱㈳㤹㘰摥㉥挶㈸㡥㙥㘲㜸换敢㜷ㄳ㤲攸づ㜴㡡㘳㥢㘰摥昰㘲㌶㘳搹ㅣ昱挴昴㕡㠹㕦づ㜲㥣㐸〶ㄴ㠷㈵㤹㔲㙥捥っㅣ㠰ㅣ㍤捦〷㘷㡦㕤挱搹攳㤹敦散昱㉣㜴昶搸㌷㥤㍤㜶㌳㘷㡦㡤捣㍤扤〵㝤戲㌱㈵戵㈵㔳攴挴㐱昱㈸㐴㍦㡣㝡搶搷搱㑢㐵搸㙦㠷㐳攵㙥㑡㕣㤵㘹挵㈵戵㕢ㄹ㉣〹㔵攲戰ㄴㅢ㜴摤〵㠹㜵㑥㤸㝥晦〷㍥㘰㤰ㅥ</t>
    <phoneticPr fontId="10" type="noConversion"/>
  </si>
  <si>
    <t>㜸〱敤㝤㜷㥣ㅣ挵戵昵搶㑡摢摡ㅥ㠵ㅤ㌲㈲㑡㐲〲㠱㤰㤸扣㌳㠰㔰づ㡢戲㠴㐸〲挴㠴ㅥ㘹搱〶戱扢㑡〴㈳㤱㤳㠹挶㠰挹㈶㘷㌰挶㘴〳㈶㈷㤳㡤㌱挶㐸搸㈴〳〶㡣㌱搸㠰昹捥戹摤搵㕢㌳搳愳挰昳晢㝤晣昱㕡㌳㔷㕤户捥扤㔵㝤慡扡慡扡晢敥㜴㡤慡愹愹昹づㅢ晦攷搶㤳㍢摢捣㔹搱搹攵戴㡥ㄸ搷摥搲攲攴扢㥡摢摢㍡㐷㡣改攸挸慥㤸摡摣搹搵〳〰㙢㝥㌳昲㍢敢收㜷㌶ㅦ攱搴捦㕦敡㜴㜴〲㔴㔷㔳㔳㕦㙦搷㈲扦扦昷つ敢㠴㑤㉢扢㈷〵㔰㌵戶㐵搱㡢愲㥥挲愶〸㔱昴愶攸㐳搱㤷愲ㅦ㐵〳㐵㤸㘲㈳㡡㡤㈹㌶愱搸㤴㘲㌳㡡捤㈹戶愰搸㤲㠲攵摢㕢㔱㙣つ搱㘷ㅢ㠸㝤挶㡤㥤㤱㍢っ㐷㌳愷慢扤挳搹㜵挰扥㙥㥤㐷㐶愳㈳愲㈳㘲昱㑣㜴㐴㘴搷〱攳㤶戴㜴㉤改㜰㐶戶㌹㑢扡㍡戲㉤扢づ㤸戹㈴搷搲㥣㥦攲慣搸愷㝤㤱搳㌶搲挹㐵攲戹㙣㈲ㅤ㑤㈴㤳挵㑣㈶摤㘷㕢㜸㥥㍥㙥散捣づ愷搸昹摦昲戹ㅤ㝤捥ㄸ㌷㜶挴㜴愷敢扦攵㜳㝢昸㠴换昱敤慤搹收戶晦㤲搳㍡戶㘹㜲扣㤳㙦㘶攳㍢㑥㐷㜳摢㠲ㄱ愸㜶〹搱㐸㌵㡥ㄸ搳搹戹愴㜵㌱晢搱㌸愷愵㘵戶㔳㤴㐶㙦ㅤ摦搹㌵㌳摢搱摡搹愷㤵晣㌹ㅤ㑥㕢摥改散搷㍡㘱㜹摥㘹昱㠰㥤昵慤晢㘶㍢愶㘷㕢㥤㥥摣㘹㘸㜵摢戰愹攰戴㜵㌵㜷慤攸摢㍡户搳㤹㥤㙤㕢攰㄰㔲搷㍡㘹㐹㜳㐱昵散㠹㑦㑤㡦㥤㠲㙡㈶つ㠵晡戴㡥㕢㤸敤攸㤲ㄴ㥢㌰ㅡ㠴㌵扡㡢ㅣ㐵㐹扤搸愵〶㤴㔹戱捤收㌴户㑥㜱㍡摡㥣ㄶㄶ挲㤶ㅣ㔶〶ㄲ㠲摣㜶昰㤹搲㠷挳㔶㔲扤扤㤳㡦挷挲㔲慣〱㄰㍢敦搳搱㡣挳㕣搲㤲敤搸㜵㕡㜳摢挸挶㐸㘴搷愹捤㡢㥣㤶㘶愷戳㙢㘴ㅡ愹㘹搹攵㈳愳㤱㐸挴ㅥ〸戸㍤㠸㠶㍢㐰昴ㅣ㌳㌹ㅡ戱〷㔳㌷〴㐲昵晣〳㑥㜶戳〸㥥㜰戵昳戳戵昳㜳戵昳昳戵昳ぢ戵昳㥤摡昹挵摡昹ぢ㙡攷㉦慣㥤摦㕣㍢晦戰摡昹㡢㠰搱㕢㝤慦㕥戵摥戶昹㠱㕦ㅥ晡搸敡㤹㘳敥晣挳戰攳㈷㌷㌴㍦㔳挷昳㍢ㅥ㜴扣攵㔴㑥挴㈹㤸捦㜶㜶㜹慤捣㠱攰扦摢〹搶摤〷㈶㜶攴晦昷晢〰ち昹慦昴〱㝢㈷㌰㘴て㠵戰㜶愶㤸㔰㉣戶㜷㜴搹扢㔰㍢っ㐲愹㔷搰慣㙣摡攲挴㥦慥㍣攰挴㠷㈶ㅦ㍢晤昰昰昰㘳慦㕥愶㌸摣捡㤰㍤ㅣ㍢㍢㑦㙦敦㘸挵戸㌶捤挹戶㡤㡣㈶㈳扢捥改㉡㡣㜷㤶㡥㡣㡦㠸㤷㙥㐹㝢〴㝤敦〶㘱㐵㈰晡㜵㌶户愲昳昱ㄴ摥㍤ㅤ摢摤㡥㌲㌷〶愱搴㜳㕥挹搷㙣㌴敡㥥㔵㔷摥㌷晥攷捦摤㝦攳愴捦扦㝣㔰㜱㡣㤷㤲ㄳ搸ㄹ㙥㤶ㅣㄹ㤱挹攸愲㈳㈳㈲㤱㘸慡㘴㑢㐷敤㈴晤愷㈰慣㐶㠸㤲搲ㅢ㜷户搳捣捤㐰㈸昵戸㔷晡愵愳晡捣搹昶戳〷挷㥥晦摢攲昲摦㥣ㅥ㜹㐲戱㑦㐹改㝢㘰㘷㤷搲搲ㄳ㐶攱㐹㥣㌳挶ㄶ戵昷愴昳㤱㄰搶㕥㄰㘶搱搱昴敥昶㈸收㡥㠶㔰敡㐱慦攸㘲攲㡥搹晢敦㌰㝢摣昵愳愷㝦㜹搲ㄶつ㍦㔱ㅣ摤愴攸戱搸搹戵戴攸㜴搲㈸扢散戸㔳㜱㝢ㅣ㉣散昱㄰搶〴〸戳昰㜴㘲㜷㝢㈲㜳㈷㐱㈸㜵户㔷昸㡦搷㑣㍤昱㥥㕦㥣㌳改㈷慦捦㕡㌶㜲昳㕤㙦㔰㥣㑡愵昰㈶散っ㌵ぢ㑦慤慤戹昷愶敢㈹㄰搶㔴〸戳攰㘸㝣㜷㝢ㅡ㜳愷㐳㈸㜵扢㔷昰㤳㥢扥昲摢㤳㤷㍦㌴晥搸㥦昵扤㝥㤷搶㜳收㈸㑥摦㔲昰㑣散㤴ㅤ㜵㜲敤㐷㍤㡢敥㘷㐳㔸㜳㈰晡ㅡ㝤㉤戳扢扤て㌳攷㐲㈸㜵㠳㔷昶摣㉢㠷㙦㝤换㜳搳愷ㅦ户晢慦㑥摣㙥捤㤰摦慢摥挸㤶挵挵㝥〴敦て㘱ㅤ〰搱㙢搶㤲㙣ぢ愶〹晢㐰慡攷㐱㈸㜵㤵攷攳㍦ぢ㝥敢㍣晢昹㝤搳慦㔹扤㘳昳㘵㌷㍦㌲㐴㜱搱㈱昵㍦ㄸ㍢㈳㑣攲搸㐵捤〳㈸敦慦愹戴㝤〸ぢ㤸て㘱ㅤち㘱搲ㄷ㐳愷挹㌲㌷〷愱搴㈵㕥昱つ户戴㥦㝤敡㍢㜷㑣戹敢㥡搳愳晤ㄷ昴戱ㄵ㤷㍢㔲㝣〱㍢ㅢ㌰摣㍢昴㕤㠴戰ㄶ㐰㘰戸㡦挵散㠵搴㌵㐳㈸昵㔳慦扣㙤戶昹㘰晥戳搱㌵愳㑦晣昸㔹攷㡤〳㔷昴㔳㕣㔹㐹㜹㡢戰㔳搲㑦愲㔱扦愳愴㐶㤴㥣㤸愹㐶扢㠵慥㕢㈱慣㌶〸昳㐰ㅢ㌱㉣戴㌳㜷㌱㠴㔲㘷㝡〵㑦㍣攰㤵ㅢ愷㕣晣搲戸㑢㝦昲敢愳收捤㝡攳㘱挵搵㥣ㄴ摣㠱㥤㥤㑣㥥㘳㠹㐶㝤㜲愴戱㈴㌳戶㠴摤㐹捦㕤㄰搶ㄲ〸戳摣〴晡攷㔲收㉥㠳㔰敡㘴慦摣㑤ㅦ㝥昳愳晦㙣㜹搰攸昳慦㝥㘹攵攰㈵晤摡ㄴㄷ㤰㔲敥ち散㤴づ㠴ㄹ攳㠰㡤㔲戱㥢㑥搸㐷搰昷㤱㄰搶㔱㄰㈵㈵㈷㜷户㡦㘶敥㡦㈰㤴㕡攵㤵摣㔸㍢敤昱㠳㘲晢㡦㌹㝥挸㙥ㄳ㤲㐷摦扥戵攲慡㔵㑡㕥㠹㥤晥收ㄱ㈷㔲晡㠰㈳㈳㤲昶㉡㘴摢挷㐲㔸挷㐱㤸㈵㘵愲扢摢挷㌳昷〴〸愵㡥昰㑡扡㙢晣晢ㄷ㕣晡敢ㄱ搳慦㝤㝣捦捦扦㜸晢愳敢ㄵ㤷挶㔲搲㐹搸㈹㘹搴㤸㝦㠸搱戲㌶㐵愳㥥㑣搷愷㐰㔸愷㐲㤸〵挷㜱〲㥥挶摣搳㈱㤴敡昴ち㝥攴愹㌳㍡㥥㍥昹昷㝢㥦㝦昸〵㐷㍦㝦搸摦ㄲ㡡换㜱㈹昸っ散㤴ㄴㅣ昷捦㥣㠰㐹收㑣扡㍥ぢ挲㍡ㅢ挲㉣戸ㄱ慤㝡づ㜳捦㠵㔰慡挵㉢昸㡥㥤㥢㥥㘹晦攳慤ㄳ敦㝥攵攲㤱㤷㕢㝤㝡㈹㕥〲㐸挱攷㘱㘷㤸挹㉤ㄸ敤㈶㌷㔲摡慣昱㔸捡晥㈹扤㥦て㘱㕤〰㘱㤶ㅤ挳ㄴ㜳㈱㜳㝦〶愱㤴攳㤵㍤攱挹ㅥ㜷㙤㌷㙦晢扤㔷㡥ㄹ戱敦㤸晤㝡㥦愰㌶㐳戶㤴㝤㌱㜶㑡づ㝡慤㙣㕦㐲搷㤷㐲㔸㤷㐱㤸〵挷㌱挶㕦捥摣㉢㈰㤴㍡挴㉢昸昷㠹扦昴ㄹ㝥晡昳㤳㑦晡晢㔳挷捣晢㌰昶㙦挵慢ㅤ㈹昸㑡散㤴ㄴ㥣㕥㕢㌳㕦㐵搷㔷㐳㔸搷㐰㤴ㄴ㡣晥㜵㉤㜳慦㠳㔰㙡㍦慦攰昰ㄳ扦摢晡慢㠷㕢愶摦摡昴攰㈶㐷㑦㙦㍥㐷㙤㠱㙣㈹昸〶散㤴ㄴㅣ㡤㘹戲㘳㤵㙢㠹ㅢ改晡㈶〸敢㘶〸戳攰ㄸ〶㡤㕢㤸㝢㉢㠴㔲㌳扤㠲昷散㜳昲㐶㝦晣㉡㌵昵㡥㍥ㅢ扦㜴搴㔹ㄳ扥㔲扣慡㤳㠲㙦挷㑥㔹㌳ㅢ攷㔰挵挸ㅣ户㝦㐱敦㜷㐰㔸扦㠴㌰换㑥㠲敤㍢㤹晢㉢〸愵㥡扣戲㍢㉦㕢戹㐳换戱扦㥣㜰攱敤扢昵搹㝤改㤸晥慡㍦戲愵散扢戱㔳㌶戱㐵搳晡戰㌱㐹㤴㑦攷㈹晢ㅥ扡扦ㄷ挲扡て挲㉣㍣㠶挲敦㘷敥〳㄰㑡㡤昵ち㍦㜰㠷㙤扦㝣昳慤㥢愷摦㝢搳攲㥤㍦㍡攴晥㤳搴㔶挸㤶挲ㅦ挴㑥〹攳㙢㕤扤㍤〴戴晤㌰㠴昵ㅢ〸戳攰㈴ㄸ㝦㠴戹㡦㐲㈸戵㠷㔷昰㌱㌳摦戰散㔵挵㘹て㝣搱㌴㍣晡搲㤸慤搴搶挸㤶㠲ㅦ挷捥ㄶ收㠹ㄵ敦敥㘳昶ㄳ昴昴㈴㠴昵ㄴ㠴㌹㜳愷㜶户㥦㘶收㌳㄰㑡㈵扣㘲晥㌸㘵捦㍤㘷㕡昵攳㙦㝢晥㤵㤳㤶㥤戵散攵㍥捦㈱㝢㤶㜷挵㌳扥㈳扢っ搷㤰摤㤷愷戱ㄱ㘰㜵㝤慥换㜱㔹㕥㑣ㄶㅢ㡢搱㘸㈱ㄹ挹挶戳㜵〳攱㜶㝤㉦〰㌹㌱昴㈹敥搷摣㔶㘸㕦㈶㔷㠴摢㡣捤㜶㍡摤ㄷ〷挳扣扣戱敤㑢摡ち㥤㕢〷㘷捥改捡㜶㌹㕢㤵攷㜵㍢愹㌰㥢㠳敢㘵愷㔳捡摢慥摣㙣摦㙣换ㄲ㘷捣昲㘶㌷㝢摢戲㙣㕣㉤户攷慡攷㑥散㜰づ昷㜳㉢㙡㌴〶户㜳㤶㡡敦㡡愳㜴戳摣㝡つㄸ户戰扤搳㘹㤳敡つ㙢㥤搹㥣㕦攴㜴捣㜱㜸㌳挸㈹挸愱㙥挶㉣敦㤲㝤搸㡣㌶ㅣ㈸㉥挲ぢ㠳㑣㙤㜱挲昲㉥愷慤攰ㄴ㔰摦挵㑥㐷搷㡡㝤戲戹ㄶ㘷昳ㄲ㠸㕢㈶㌲晡㤷愸㈷戶攷㤷㜴㡥㙢㙦敢敡㘸㙦㈹捤ㄹ㔳㔸㥡挵㙤㠲挲戴昶㠲㠳慢晣㥥摣㙡㔴㑤㡦ㅥ㑡搵散ㄲ㜴改㐹扦㥤㈳愴㈱㡣㈶摥ㄶ㙤扥㘵㘹户ㅢ㌱ㅢ㐷㠷愳㘸㜱搸㈷㙢〷慦挳㤹昸愵㥢㥤慢〳㡤㘳攲㥤㌳愲㠷㔶㐷㑢ㅤ晤㤶晢摦〵搷搶㙥攲ㅤ晤㠴愵戸㤵㌲㌹摢㔶㘸㜱㍡搶㝡摦㑦戱㐶昶㙦㈱敡愲㌸㥢慢戲搷ㄳ〸戵㕣慤愸㕢搶㕣攸㕡㘸㉤㜴㥡ㄷ㉣攴挲つ昷〶敢敢㐹㙤挵㘶扦〰㤵晤㈲挵㑢㄰愱㔰㡤昵㌲㐱㔶挸㝥㠵晦扤㑡攱㌶㕥愸愶㙥㄰㔲ㅢ㝥扦愶ㄶ㔶戶摣ㅦ挲捤扣捥扡㔶摣㠱攸散搱㈳攸㠰㈷㘷㍢ㄷ㜶戱愷慥㍤㤳晥㝥㐷昱ㅡ㐴摤㘰㠸㜵摥づ攲捡户㈷敦㝡昵㙤ㅤ敦ㄴ戳戸搷㈸㈷扡捡搶戵扡户慦挶㍢㥤㜹㥢昷戹㥡㜰摡㉣户戰㠷㜱愰㑦㉢㑦〴㘷㜹搷昸㙣㔷戶㔷㉢敥㤸愱挱㙣㠰㠶㠹㤵扢㐷换扥愲搳搶㈱㉦〵て㘱搹㌵扣昴ㄶ㠵敢〹攷㄰㑥㥤㥡ㅥ㥥㕣晢㐱愰敥摢攱㈰慣昲㍥㕦㝡攷ぢ㌷攴ち㤳㥣戶㝤㔶㉣㜶㍡〹慦户搶㑡㘵昹㤹㐶㘷㌳昲戹戹㕤捤㉤㥤㈳㔰搳㐹ㅤ敤㑢ㄶ晦㌷晤搰㤷晤㝢〸扤搵敤㠴づ扤晥挷〴扡㙡㝡㉤㘵摢捣㥦㕦㔳㑦㙦搴㔸㝦㠰攸㌱㘶㜲挶㘶攷㠵挳敦昰㥦㙣昶ㅦ昱㕦挸㘶㝥㤵扣扡㈱挸摢㤰㍢㠵㜵挰昷㘹〵㑢晢㜴㌸㜲敦戳㕥ㄲ㘰扣㙦敢㝥敤ㅤ㡢㜲敤敤㡢搸愷晡㐹慡㜳愱攳㜴昱㝥㘲㙦敦晥愹摣㈷㔵慡㐷㡦㤲㍢㠱挶㡤挷敤攱摦㕡つ搱㜷㑣㑢换〰敤戱搳㕡〳㔵て摣搹戴摥挶捥㈱〳㘷㑥㤸扤捦晣〹换戳慤㡢㕢㥣攱摥挵昶昰ㄹ㡢扢㈶㜴づ㔸ㅡ㐹っㄸㅡ㑢㐶ㄲ戱㠸搳戹昳㍢户㥣昶晥捡㔵敦摣㝤昲㍢㘷㥥晤挱捡㔵敦摤㜴搳㕦敥㕥昹摥㈹㈷て㐵搵㕡㕡㔶扣㝦搲つ敦㥣㝣搱扢攷摤昶敥㡦㙦㠹㝥㜲晦㈹㈳㤶户㜴㉥㔷摢㠲㐳摥搳晡挵攴摥戳㙥㝢敥摣搱户つ晦摤昸㘱㌷㉦㥣慦戶昱㌲㉡㙥㐰敥㠴㕡慤㘵摡㉦戹攷挷㉢㠷㤲㘹扦㑦㜱㘲㜳㑢㤷搳㈱㈳㝢㐳ㄱ晦戹㜷戶㈵摤㤷戳㔹㐷㌶敦摥㌳摥戴㌸づㄳㅡ㙥愵㜷慤攸㥥攲㉢㈶㔴㜷挸晡扦㘵挳て㙥搹㈰㡢㠶㤲愵挳㕡愶㘵㜴㥡戲㠵挳摡挱㐶㈷攲㡣ㄹ㜸㔶㑢㤷ㅡ〱捦愵㥤㡣昸昲㘱㐸㥥ㄷ昸㜸戳ㄳㄲㅤ愹扥㥣㘰㘷慦散愴㌴慡㍡㜵晦摦挲㈷攸㠱愷扢昰㜹〷挴搹敦㔲扣㐷昱㍥挵〷㄰㙡㜳っ㐶㕣㄰㑤挵㈴挰㑢挵㕢戱搴㜸㥦ㄳ㠲晤㈱挵㐷ㄴㅦ㐳㘰㔹㈳愳㍦㔶㌵㥦㈰㘹㝤ち搱愰ㅦ㠴っ昰㤶㌷㑡つ㠵㥡㑢ㅣ晢㌳㡡扦㐳昴昹ㅣ㘲晡㘴愷〵㡢攸晦搶㐳挶扡㕤攰㜳敤㜳㍤晡捦挶〰㙤摥㍡㘷㐵㕢㝥㘱㐷㝢ㅢㅥ昵㜲〹㌲㈶㡦愷㜴㥤㉡㙢戵㑥㙤ㅦ户愴换㙡㥤摣㡣晦晡戴捥㜶ㄶ㍢搹慥㜱戸㐸挲晡㘶㉡ㅥ敥挸敡愵愹戰晣晦攷敡㐶敥ち攳晡戳㝢㠱愳捡捦㕥㜷㥤攱搱㍢㘲㝣㍢㥥昸㍡昲戰㥢戴㕢ㄶㄶ慤㍦挰攵㑢㡤晤て搴敥戲捦㙥搸㘳挸㈵户㝥攷晤㝦っ㝡愱㙣搶ㄷ慣扡昷㤰愸㘲㌵昲㈵㌲㐳㌶㈱㤵慢ㄱ挹㔳挳㤰挷ㄵ㠹扤ㅡ挲晡〶愲〷㝡㠳捤㌹㕦搵愲㠴挰㐹㔹㜹ㄹㄵ㑦愰㐶挰㙣㈰扥㌶㤷㐹敡扢晦戸愷ぢㄴ愵㥢㕤㡢㙣扢〷〵㠳㄰㡣搳挵㜲㤳㙡㌷ㄸ挸愹搱㡢愰㝡〸ㄵ㠵㡡㙢㙦摢㐶㑡㙦敡㥦㈸㠳㑢㍡敡慣摥㤰收つ㄰㍥扥慡攰愴㉦㐰㈱㥢搰㉡㜹㉡〶㕦㍥㈷昶ㅡ愴㕣㍥㍥㐲㔹㠱㝣㝣攸㘵㔴㍣ㄷ㑢挲㜶㈰敤㌷㐷㜱敡㠳慡㝣㙣挹摡昴愷搸ち挲攰㘳ㅢ㌷愹㔲㜰㈲㝣㙣㑢搰㜶㄰㉡つ㤵昰戱㍤㔲㝡㔳慢㑤㍥〶㈲愷㠴て摣敤慣攰㘳〷㠰㐲㌶愱㔵昲㔴〶摥㠳昸昸㕤㌵㍥㕥昵㌲㉡㥥搴敤〹㑦〳昱戵㜷㐵㜱敡攵慡㝣㡣㘰㙤㜶愳㠸㐰ㄸ㝣挴摣愴ㅡ〹㈷挲㐷㥣愰〴㠴ㅡ〵㤵昰㤱㐴㑡㙦敡㘹㤳㡦㐶攴㤸㝣昰㈹㕦〵ㅦㄹ㠰㐲㌶愱㔵昲搴㘸㜸て攲攳愱㙡㝣㍣攸㘵㔴㍣㍥ㅣ〷㑦〳昱戵挷愲㌸昵㐰㔵㍥挶戳㌶ㄳ㈸㈶㐲ㄸ㝣㑣㜶㤳㙡㍣㥣〸ㅦ㑤〴敤つ愱㈶㐲㈵㝣㑣㐱㑡㙦敡㤷㈶ㅦ搳㤰㘳昲挱〷㡦ㄵ㝣捣〰㈸㘴ㄳ㕡㈵㑦㑤㠲昷㈰㍥㙥愸挶挷昵㕥㐶挵ㄳ捤扤攱㘹㈰扥昶晥㈸㑥㕤㕢㤵㡦〳㔹㥢㜹ㄴ〷㐱ㄸ㝣ㅣ攲㈶搵ㄴ㌸ㄱ㍥收ㄳ㜴㈸㠴㥡〶㤵昰㤱㐵㑡㙦敡㔲㤳㡦㍣㜲㑣㍥昸㍣戴㠲て〷愰㤰㑤㘸㤵㍣㌵ㅤ摥㠳昸昸㐹㌵㍥捥昵㌲㉡ㅥ戴捥㠲愷㠱昸摡㙤㈸㑥㥤㕤㤵㡦挵慣捤攱ㄴㅤ㄰〶ㅦ㕤㙥㔲捤㠶ㄳ攱㘳〹㐱㑢㈱搴㍥㔰〹ㅦ换㤰搲㥢㍡搹攴㘳〵㜲捣ㅢ扤㜸㐲㔴㐱挷㤱挰㠴㙣㈲慢攴愹戹㜰ㅥ㐴挷㡦慡搱㜱戴㤷㔱昱散㜷㍦㜸攲㜵㥦㝤㍣㡢㍢㠱攲㐴㡡㤳㈸㑥㠶㔰换㍣㡡㙥〴㙡㉣扥㡤戸慦㥤慥愵挹愹挴㥣㐶㜱㍡㠴㐱搱ㄹ㐸㕡㘷㔲㈷搷㜷〳㜸㉦㈳愴搴晥㌰ㄲ挶捥愲捤搹㄰敡㐰愸戸㤸慡戱捦㐱戲敡㡣㝣㉥㌲晤挷搱ㄵ㝣㥤㠷摣㤰㑤㑣㈵㕦㤲愷昸昰扡㥢㉦㑥挹敥昴㔳愸挶㔷摥换愸㜸捥㝤〸㙣〷搲晥㔲ㄴ愷戲ㅥ㌷㔰㤴㙥昶攵慣捤ㄵㄴ㍦㠷㌰戸戹捡㑤慡昹㌰㄰㌲慥㈶攸ㅡ〸㤵㠵㑡扡捦戵㐸改㑤敤㡦㌲晣改昸㝡攴㤸愷ㄳ㥦㡦㔷昰㜱㈳㐰㈱㥢搰㉡㜹㉡〷敦摤㝣慣㐱捡攵㘳㝡㌵㍥愶㜹ㄹつ攵て摥ㅤ搸づ愴晤㉦㔱㥣㥡㔲㤵㡦㕦戱㌶㜷㔱摣つ㘱昰㜱慦㥢㔴㐵㌸ㄱ㍥敥㈳攸㝥〸戵㄰㉡攱攳〱愴昴愶挶㥡㝣㍣㠸ㅣ〶㘹〵摣㌶㝡ㄸ㔹㈱㥢㠰㑡ㄶ㈴㑦昱ㄹ㝦㄰ぢ改㙡㉣㌴㝡ㄹㄵ攱〰㉤昰㌴㄰㕦晢㘹ㄴ愷㤲㔵㔹㜸㤶戵㜹㡥攲户㄰〶ぢ㉦戸㐹搵ち㈷挲挲㡢〴扤〴愱摡愱ㄲㄶ㕥㐶㑡㙦㙡㔷㤳㠵㔷㤱㘳昶ち〶ㄳ㔴昴㡡搷〰ち搹㠴㔶挹㔳㡢攱㍤㠸㡦㐱搵昸ㄸ攸㘵㔴㐴㈹㜴挲搳㐰㝣敤搵㈸㑥㙤㕦㤵㡦户㔹㥢㍦㔳晣〵挲攰攳㕤㌷愹扡攰㐴昸㜸㡦㈰㕥ㄸ慡愵㔰〹ㅦㅦ㈰愵㌷戵戹挹挷㠷挸㌱昹㘰㤰㐳〵ㅦㅦ〳ㄴ戲〹慤㤲愷㤶挱㝢㄰ㅦ㝤慡昱搱摢换愸㠸㥥㌸〲㥥〶攲㙢晦ㄳ挵㈹扢㉡ㅦ㕦戱㌶晦愲昸㌷㠴挱挷㌷㙥㔲㌱㤲㐲昸昸㤶愰晦㐰愸愳愱ㄲ㍥扥㐳㑡㙦慡挶攴㐳搵㤶昱㠱搰㡢ち㍥㝡〰ㄴ戲〹慤㤲愷㝥〴敦㐱㝣晣昳摢㉡㡢昸㉦扣㡣㡡㤸㡥㔵昰㌴㄰㕦扢て㡡㔳㥦〳挶㝢〰扡昲晥晦㜶㍦搶愶㠱㠲戱搰〶ㅦㅢ扢㐹㜵㉣戰㠳攸㘸ㄳ㈸散㑤㈱搴昱㐸ちㅦ㥢㈱愵㌷昵㔷㤴攱㡦愲㕢㈰挷散ㅦっ㄰愹攰愳㍦㐰㈱㥢搰㉡㜹敡〴㜸て攲㘳㜵㌵㍥摥昲㌲㉡㈲㑦㑥㠶㈷攱㘳㄰㡡㔳㙦㔶攵㘳㌰㙢㌳㠴㘲㐷〸㠳㡦愱㙥㔲㌱っ㘵㄰扥昶捥〴敤〲愱㑥㐳㔲昸ㄸ㠶㤴摥搴㉢㈶ㅦ挳㤱㘳昲挱戸㤵ち㍥㜶〳㈸㘴ㄳ㕡㈵㑦㥤づ敦㐱㝣㍣㕤㡤㡦愷扣㡣㡡㠰㤸㌳攱㐹昸攰㐲㐳㍤㔱㤵㡦摤㔹㥢㍤㈸昶㠴㌰昸搸换㑤慡戳攰㘸㄰扥昶㈸㠲㐶㐳愸㜳㤰ㄴ㍥挶㈰愵㌷昵㙢㤳㡦㜱挸㌱昹㘰㌸㑤〵ㅦㄳ〰ち搹㠴㔶挹㔳攷挲㝢㄰ㅦ扦慣挶挷ㅤ㕥㐶㐵㥣捥㑦攱㐹昸㤸㡥攲搴敤㔵昹㤸挹摡捣愲㤸つ㘱昰戱㡦㥢㔴攷挳搱㈰㝣敤戹〴敤ぢ愱㉥㐴㔲昸搸て㈹扤愹敢㑣㍥づ㐰㡥挹〷㐳㝣㉡昸㤸〷㔰挸㈶戴㑡㥥晡ㄹ扣〷昱㜱㘹㌵㍥㉥昱㌲㉡㘲㠷㉥㠱㈷攱愳㠰攲搴㐵㔵昹㈸戲㌶ぢ㈸ㄶ㐲ㄸ㝣ㅣ收㈶搵愵㜰㌴〸㕦㝢ㄱ㐱㉤㄰敡㜲㈴㠵㡦㔶愴昴愶捥㌱昹㘸㐷㡥挹〷㈳㡦㉡昸㌸ㅣ愰㤰㑤㘸㤵㍣㜵〵扣〷昱㜱㜲㌵㍥㑥昲㌲㉡㐲㥡慥㠲㈷攱攳〸ㄴ愷㑥愸捡挷㔱慣捤搱ㄴ㍦㠲㌰昸㔸改㈶搵搵㜰㌴〸㕦㝢ㄵ㐱挷㐲愸㙢㤱ㄴ㍥㡥㐳㑡㙦敡㈸㤳㡦ㄳ㤰㔳挲㐷搰㜸㝡ㄲ㐰㈱㥢搰㑡㍥㈴㑦㕤〷敦㐱㝣㜴㔴攳攳㜰㉦愳㈲搲㡡搷㉡挲挷㔹㈸㑥戵㔷攵攳ㅣ搶收㕣㡡㥦㐰ㄸ㝣晣搴㑤㉡㠶㕤つ挲搷㍥㥦愰ぢ㈰搴㉤㐸ちㅦㄷ㈲愵㌷㔵㌴昹戸〸㌹㈶ㅦ㡣搳慡攸ㅦ㤷〰ㄴ戲〹慤㤲愷㙥㠵昷㈰㍥づ慡挶挷㍣㉦愳㈲〰散ㄷ昰㈴㝣㕣㠳攲搴〱㔵昹戸㡥戵戹㥥攲〶〸㠳㡦㥢摣愴扡〳㡥〶攱㙢摦㑣搰㉤㄰敡㑥㈴㠵㡦㕢㤱搲㥢㥡㘹昲㜱㍢㜲㑣㍥ㄸ㍢㔶挱挷ㅤ〰㠵㙣㐲慢攴愹㕦挱㝢㄰ㅦㄳ慢昱㌱挱换愸〸㑡㘳㘴㤹昰㜱㍦㡡㔳攳慡昲昱㙢搶收㐱㡡㠷㈰っ㍥㝥攳㈶搵扤㜰㌴〸㕦晢ㄱ㠲ㅥ㠵㔰昷㈳㈹㝣㍣㠶㤴摥搴敥㈶ㅦ㑦㈰挷攴㠳攱㙣ㄵ㝣㍣〵㔰挸㈶戴㑡㥥㝡〰摥㠳昸㠸㔴攳㘳㌷㉦愳㈲㑥敥㈱㜸ㄲ㍥㕥㐲㜱㙡㜸㔵㍥㕥㘱㙤㕥愵昸ㅤ㠴挱挷敦摤愴㝡ㄸ㡥〶攱㙢扦㑥搰ㅦ㈰搴㈳㐸ちㅦ㙦㈰愵㌷㌵搸攴攳㑤攴㤸㝣㌰捡慥㠲㡦户〰ち搹㠴㔶挹㔳㡦挲㝢㄰ㅦ㕢㔵攳愳扦㤷㔱ㄱ扥昷〴㍣〹ㅦ敦愳㌸戵㐵㔵㍥晥捡摡㝣㐸昱ㄱ㠴挱挷摦摣愴㝡ㄲ㡥〶攱㙢㝦㐲搰愷㄰㡡㜱㝤挲挷㘷㐸改㑤昵㌳昹昸ㅣ㌹收㑤㈲㐴〳㔶搰昱〵㌰㈱㥢挸㉡㜹敡ㄹ㌸て愲愳㘷㌵㍡㝡㜸ㄹ攵㘱㠶㜵扦㠵愷つ〸て敢つ戸㕤摣户搹㔹挶ㅢ㍦晤㡡昸㉢戳㜱㑢㍡扢摡㈵攲愶㙦㜱㝣晢昴昶慥昱捤㥤㡢㕢戲㉢㌶㈹㝡㍢晢㉤㜴摡㄰ㅡ搷㠱〸戹㌲㕤晢攲挵㑥挱㉥捥㘹㕦搲㤱㜷㥡挶晦㄰㐲攷愴搵㄰晦愱㔴㑤慤挲昶晤愲挱搰ㄷㄴ晡っ戶㥡㍡挶㜰㤵㐷昲ㄸ捦慥扢挳㈴挲〰㌶㜴㌳扡㑦㜳㔷㡢搳扢㈸昹戲㕦㕦〴㡢㠸㌷㉣昴㉡敥戳㄰搱㉤攳晢ㄶ㈷㜵㌴ㄷ㕡㥡摢ㅣ㌶〶㐲㉦昸愷㝢㔳㥤〵㠸㉤㥣搹摥搹捣扦㐹敡㕢摣愷㈳摢搶戹㤸戱㔱昹ㄵㅢ㤷愴攴㌱㘴㕤㜱㙣㜳㕢㈷㡡㤱㔶攴㝥㐳㜱捥挲昶㘵昸ぢ搷㈵慤㙤㤳戲㡢㍢㝦㄰慤愲愴㕤㈸愴㘹㔴慤慡慤㔵昵戵昵摦户㝤慣晦攰散摡愲晢㙦〷〷愰慦㜶㜵㌴攷㤶㤰㌴㈹㡢㡦戵㝡㔲㐸㍢搶搴㌱ち㙦㉤㈱〸っ㐴昰愲㍥ㄹ搱挸晡㤶晣攱㕥㘰㐴㥤晦愷挳摢〲㙥㝦㠷㉡昵㘱㘸昱摥㤳收㌶㜵挷晡晥㡦晥づ户敥㈵㜸㉥㝦戰㕢摥晢晣搰捡捤〰敥攷㜶㈳敡搸慢㜰㜶愲㌷㌰㔵摥㌵㐳㐵挱戰㤷昶敢摥㥤㠸㤰扣㍥挵愹搹㥣搳㠲㐷昸慤搹慥㝥㙥㠲攱ㄸ昸〳扢㑥㉦㙦㕣㝢㙢㙢㤶摤㡥㕤㜶㑥㍥摢攲搴ㄷ挷㉣改㙡挷㥦㜰摡㐵〸改㥢㥥㉡扢ㅣ慡散㜲㔱昵㈹捥㘶戰戱散搳㔷晢㠲㙣㐷㜳搷挲搶收㝣㍤ㄳっ〸晥㐱昴㔷っ〰㍤㐱愶摥昴㜸㔲ㅥ㔸攰㍥㘲㐷㜳㡦㐰㤸〳愹㘳昳愳㔷搷㉡ぢ晦搴昷㡣㐵挵攰㈳ㄳ㠷㕤ぢ㙦㜵攸㔵㔰㜸㈷搰愷晡㑥搲愷挷㐰㈳〳㤴㝡㠵〰㝣敤ㅥ㠰㜳㠷摦㥥扦㠳㔸㙢㜴㘲㉦〰㐲㔳摢戳㠵㠹〸晥㙡敦攸攵晤摤㜸㍤㥡㤶挳㑤㐷㤸昱愲攳㄰㡤㡣㈸攷愵捤〵愷愳㥥㡡㌹〸㤶攸挹㐸㔳换㙤㐳㥥搰㌵㜵㜵扤敢㠳捡㙡搲扥〶㝢ㄱ㜸收摦摤㌷㔵昸晦㘸㔶㝡㔴㠴戵ち挹㌴搵ㄳ㠷㘳昳㙦戱搵㙢㔰昲㜸捡〰ㄶ〱扤㈰敡ㄸ昳㔸摥㌶愵愱㥢〸昰戴〱敡㈹㝦㜱捤愰搲㝡〴㘰㑡㌴㙡㥤ㅣ㐸㙦㈳㡡搴㜲〳㐸敢㘱㠳扤搶㑥㙢づ㝡戹㔳〸戹㘳㉣㐳㐵搸ㅣ戵戵㍤搱搴㔶㜹㔴㕥㐵戱㜴㌱挷㤱昰㔲挵㤰㑡慢ㅥ㌵敥挳㤳〵晥攷换㕦㌱㤷慦㈰㐲㈱㍢〴㔰㑤㐸晤ㄱ㔲ㅦ㌹ㅦ戴㜹搴昴收㤱昷攱㤱扦〳攵㕡挶〷㐴㌷ㄸ㌱㕥晤〰戶㡡㜳摢㥡扢㜰敡戲〶ㄳ㥢扢㔰㠹㍥㐵〸散㑡㌰搶㔶㜲㑡ㅢ㐶挳晣攵挲昶㤵㔹㈵敢㠷敤㉡昳捤〵挵攰㠰㙣㜷愹㘱慣㌰搶〵㤲㈵㐷㐰ㅤ㝦㐸㙢㄰攵〶攷搴戸换㄰㌵愴㝡㈸㥢挱㍢愷㤰晦挱㡡㐵〶っ晣慣〴扢㡤挲㍦㜴愱〶散㜳〱挳搸慥戵㜷ㄱ㈳戲㡦㘷㕥㠸㡢ㄸ㔷搷搷ぢㅤ㙤㙡敢挴㄰㄰昲㔲ㄸ攰晢㜹扢㌳㤶㜴㤵攴㘴㤷㙦攲攵㈰扥㜶㐶ㅢ愶攵㝣戶愳昰〳ㄹ搳㜱㙣敥昲㐳㠶攷敦扢㌴㠴ㄷ㙣挶㐸っ㤶挹昳㝢搰㙥㐸㔰㘴〳昰㝤㐹戵ㅦ㉢㔹捦ㄴ晦㠴㕤㕡挰晤ㄳ㜶㔹愳捦㜴戰挰挶て㐳戴㌸㥢㠸㠱㥦㤴戱换㉥㡥挹㜵㘲扤搷挵㠹摣摢㤳㤳摣㉥捥㜶昸户敤㑢ㅤ捣扢摥摥捣㝣ㄷ㐲㠰㝤〷晣㥢㤷ㅦ㑥敢㠰㤱㥥㕥ぢ㈹㘹㈳㙢㉤ㅤ户昴㈰㜸晥㝣捦ㄶ挵㘰㕥㤴敤㙦愳搴捦㉥攴㜶晤愸ㅡ扤挳戶㐵攳扥て昷㙢㔹㍥㘲㥣㌵㈳㔸㜹ㄶ㙤愲〳慢摤搱㑤〶慥㍥㕡挷㌵㘶㕦㕥て㜴㜴攱て挳昸㙢ㄱつ㍣㙤㕡㌰〹㜷㌵㘳㌹搵戲愲㕦戱愹㉤摦戲愴攰挸㕡㑣㡦搷戲㈴晢㐱戴㔷㑦慥㌲摣戶㕡ぢ㉦ㅥ㈹㑤昸㔱ㅤ晤㠷㐲摦晦愲捣づ㜳摡攳㘴〹ㅦ㈱㝢㘳㙦㝣㘳戰敡〶㠷ぢ㠷㘰戴㜱㜷戰扢晣搴ち㠶戵ちㄵ挷㌳挶㝣晡ㄱ挷㜲挶ㄹ戰愹敤㔳摢㜹㔱㘷愸㈶㌷扢慡ㅦ㐴㍢攱㌸摤㘶戲㉣慣㐸扦攷ㄹ㐲㈷搸㜶㝤晢敢㐷づ㜸㜳挰ㄸ晦㙣㜱㐷㍥昵㈱昲㜸㤹㕣㈳挱㤷戲〰攵㤵㔷㙤昷攵㤷㘲戴㌰㉦挱散㑤搱㙡㡡㘱挳扣戲挱㐴攵慥㜴㌷㠷㜶慤㉢㕤㝢ぢ户戵搵㈷㘲〵㐷㕢搲〴〹㝥搵㘷㄰㝡㥤㠴㕤搴㑢㤶㤰晤㠱戱户㠲㔰㝦て〶㙣㑤挰㌶昴挴戰搳昲挱愶㙡〴㉤っ㙡敡㕡戹ㄲ慣㙦攵㡡ㄸ愷慡㠵扦㘶㐲㠴㌰㔶搵㔶敦晡捦㤱㙦㙦ぢ搴㜳捦㍥㍢ㄲ晢㌵敡㑢〸㕤㐱㘳㈱户ㅤ换摦ㅥ㠲㜳㜶捤㙦〵敡摦㝡挰㘵㠴挷慢㌵〰㤰㑤摣扦㔵㕤攷愵慥敡〱㌳攱㝡㈰ㅤ昳㐴㜵戹昶慥㉡㜶㠰㜶慤㕣㜳挰挳攸换㑡愱㜶㠳愵㜶㙥㐲昵㠲㑡ㅦ〶㠳㠳㍣㥥㠷〰㘳敦㐸㈰㠳㔷〳〰㍢ㄱ㌰㤴〰ㅢ〰㉥搷慤㥤㤱摡㕣㉦㠳㡤㕦挶〸ち㘳挵㙡㘶ㄸ攰㔸㄰昷㌵晣ㅢ㍣敥㑡晦挳改㥦戱愷攵㍣㌲攰搴敤㥦攴㔱㌶㜶㑤攳昶㠰敡て㠸㜰戶ㅢ㥤㌰㉥戵㠴戳㈸戴敢收㡣昱慢昸攰〷㘴攸〴㍢昲㘵㄰㙢〰㈵㜱㘰散〴㠱っ㜰つ〰㈴〹㐸ㄱ戰㍤〰挲ㄹ〳扣〲㌹ぢ㜸敡〷捥㌲㠰㠳戳ㅤっ晦〶㘷扢搳晦ㅥ昴捦昸搴㜲捥ㄸ㤴㉡㥣㔹㝢〲戲摥㝤㡦㘱慣挲攳㐸㍡㘶㍣㙢〹㡦愳愰㕤㌷㡦㡣㝢挵〷㑦㠵改㐴昳挸攰搷〰㥡挶〰㘳㡦㈵㤰㠱戱〱㠰㜱〴㡣㈷㈰〹㠰昰㌸〱愹㈰ㅥ㠳㐲㘴挱攳㈴挰挱㘳挶昰㙦昰㌸㤹晥㥢攸㝦㉣〰攵㍣㡥㠷捥攵㜱㙦㐰搶㥢㐷㠶扦ち㡦㔳攸㜸㈲㔲㈵㍣㑥㠳㜶摤㍣㌲㕥ㄶㅦ晣挲つ㥤㘸ㅥ㥢戰ㄷ㐰搳っ㘰散㤹〴㌲愰㌶〰㌰㡢㠰搹〴㑣〱㐰㜸㥣㠳㔴㄰㡦㐱愱戵攰㜱㉥攰攰㤱㌱戶摡扦挱攳扥昴扦ㅦ晤㌳ㅥ戶㥣㐷〶挱扡㍣敥て挸㝡昳挸戰㔹攱昱〰㍡㘶晣㙣〹㡦昳愰㕤㌷㡦㡣戳挵〷昱户㜴愲㜹㥣㡦㍤㝤ㄸ挶㔸㜸㌰㌰昶㈱〴ㅥㅡっ㤸㑦挰愱〴㘴〱㄰ㅥ戳㐸〵昱ㄸㄴ㤲ぢㅥ昳㠰㠳㐷挶收敡ちㄸ㍣ㄶ攸摦愱㝦挶搱㤶昳挸攰㔹㤷挷㈲㈰敢捤㈳挳㙤㠵挷〵㜴捣戸摢ㄲㅥ㥢愱㕤㌷㡦扣慤㡡㑦㡤㝤ㄸ㥤㘸ㅥ㤷㘰㑦ㅦ㠶挱攳㈲㘰散ㄶ〲ㄹ挰ㅢ〰㘸㈵愰㡤〰挶昴ち㡦敤㐸㙤ㄶ㌰愷〴〴捤㠰挶挳㠱〶㡤㡣改搵敥つㅡ㍢攸扥㤳敥㡦〷㠰昷㔹扣㙢散㈵㌴昳慥戱㤷㘲㥦戳㈵愳㜳㜹㥤慤户㡡慢㐳㜵㈲㄰扣㐲攴㜱晢敢㈷㝤㤱㔱㜶戵愱㑥〲㠸㔷ㅣ昸敤ㅦ搶挲㕦昲慥昰㡡㘳昴㉦㤷扤愷㍥㜰搴攵㑤昱㡤挷㍣昷挴㑥㑦慥㠹㙤攱㉦捣㔸㈹㔶㡢㘱挰搲搸ㄲ㠲㉢㘵挷㘰㘶㉥捣㑥〳㐴ㅡ昶㐸昸㔶㡣ㄶ㜶ㅢ搶㕢㤸ㅤつ敤扡ㅢ㤶㔱挵昸㈰㜶㠱㜰散挸愲㡣戱挴㥡㔸攸昴㘲攱ㄸ㘰散㤵㉣㡤㜱挶〱㠰㔵〴ㅣ㑢〰㈳㡦戹㌰戳㡦㐳捡㕦㑢㥤㘷㤸ㄹつ㜶㍣捤㑥愰ㄹ〳㠰换晢晤攵搰戹晤晥㐴㐰搶扢摦㕦〱㌳愱攷㈴㍡晥㌹㔲㈵晤晥ㄴ㘸搷㑤捦㔵㌰挳〷㘱搹㜴㠲ㅤ昹㌲扡㔸ㅦ扤搱敦㑦〳挶㍥㥤挰㙢㠲〱㍦㈶攰っ〲慥〵㐰晡晤㤹㐸〵㡤ㅦ㐱㌱挸攸昸㘷〳㡥㡥㝦愳攱摦攰昱ㅣ晡㍦㤷晥ㄹ㌸㉣㍣㜶㍦づ㔳㡣ㄶ㜶㜹晣〹㈰ㅢ昲〸㐶㌱挶㔸戸㍣㡦捥ㄹ㙣㕣挲攵昹搰慥㥢㑢〶㈵攳㠳㠸て㍡搱㕣㌲㌲㔹㜳ㄹ攱挱戹敢晦ぢ㠱戱㝦㐶㈰愳㤶〳〰ㄷㄱ㜰㌱〱っ㘴ㄶ㉥㉦㐱捡戸㍤㡢㕦ㅤぢ戸㍤㝢ㄹ㐰㘰昰㘱挳慢挱攰攵昴㝡〵扤㌲攸戸扣㈷㌲搲搸㍤㈹戹㈲㤰㡤㈷愵戹ㅡ㘵ㅣ戲㌰㜵㈵㥤㌰㈰戹㠴愹慢愱㕤㌷㔳っ㕣挶〷ㄱ散㜴㠲ㅤ昹㌲㝡㔹ㄳ㘱昴扡㙢㠱戱慦㈳㤰㤱捤〱㠰敢〹戸㠱〰〶㍢ぢ㔳㌷㈲ㄵ搴敢㠲㘲㥣搱敢㙥〶ㅣ㥣㌱搸㔹晢㌷㌸扢㠵晥㙦愵晦搵〰㤴㜳挶㘸㘴户搷摤〶挸㝡㥦扤㡣㕦ㄶㅥ㙦愷攳扦㈰㔵挲攳ㅤ搰慥㥢挷㜷㘱㠶て攲攸改㐴昳昸ㅥ昶昴㘱ㄸ㍣摥〹㡣晤㉢〲ㄹㄱㅤ〰戸㡢㠰扢〹㘰㤰戴昰㜸て㔲㐱㍣〶挵㐶㠳挷晢〰〷㡦っ㤲搶晥つㅥ敦愷晦〷攸㥦〱捤攵㍣㌲㡡搹敤㝢攴㔱戶昲扥挷ㄸ㘷攱散㐱㍡㘱戰㜳〹㘷て㐳扢㙥捥ㄸㄴ㡤㑦㡤晤ㅢ㍡挱㡥㝣ㄹㄹ慤慢㙣㜰昶〸㌰昶愳〴㌲㙡㍡〰昰ㄸ〱㡦ㄳ挰挷㕦挲搹ㄳ㐸〵㜲ㄶ㄰㍦つ捥㥥〲ㅣ㥣昵挰挳㌴敤摦攰散㘹晡㝦㠶晥ㄹ昴㕣捥ㄹ㈳㥤摤扥昷㉣㈰敢摤昷ㅡ㘰㈶㍣㍥㐷挷っ㤲㉥攱昱㜹㘸搷捤㈳㠳愹㐹㥤晤〲㥤㘸ㅥ㌷㠱㔶ㅦ㠶挱攳㡢挰搸㉦ㄱ挸㘸敢〰挰换〴扣㐲〰〳戰㠵挷㔷㤱ち攲㌱㈸敥ㅡ㍣扥〶㌸㜸散㙦昸㌷㜸晣㍤晤扦㑥晦っ㤶㉥攷㤱ㄱ搲㉥㡦㝦〰㘴扤㜹ㅣ〲㌳攱昱つ㍡㘶㜰㜵〹㡦㙦㐲扢㙥ㅥㄹ㠴㉤㍣晥㠹㑥㌴㡦㡣挴づ愰改㉤㘰散搵〴㌲㑡㍢〰戰㠶㠰户〹㘰攰戶昰昸㘷愴㠲㜸っ㡡搷〶㡦敦〰づㅥ㜷㌳晣ㅢ㍣扥㑢晦敦搱㍦㠳慣换㜹㘴㘴戵换攳晢㠰慣㌷㡦㝢挰㑣㜸晣㠰㡥ㄹ㤴㕤挲攳㠷搰慥㥢㐷〶㙦ぢ㡦ㅦ搱㠹收㤱ㄱ摣〱㌴㝤っ㡣晤㌷〲ㄹ摤ㅤ〰昸㠴㠰㑦〹ㄸ〳㠰昰昸ㄹ㔲㐱㍣〶挵㜹㠳挷捦〱〷㡦ㄳっ晦〶㡦晦愰晦㉦攸㥦挱搹攵㍣㌲㈲摢攵昱㥦㠰慣㌷㡦戳㘰㈶㍣㝥㐹挷っ收㉥攱昱㕦搰慥㥢㐷〶㝤ぢ㡦晦愶ㄳ捤㈳㈳扦〳㘸晡ㅡㄸ晢ㅢ〲ㄹㄵㅥ〰昸㤶㠰晦㄰挰㐰㜱攱昱㍢愴㠲㜸っ㡡て〷㡦ㄲ敤㄰㔲昳っ晦〶㡦㜸搲㡤攸〲〸挵愰敥㜲ㅥㄹ挹㉤㍣摡攴㔱戶ㄸ愴戹㥥㔹〰㠸㜰挶㕦搲㔶っ昸㉥攱慣ㄷ戴敢收㡣㠱攱挲㔹㍤㥤愰〴昹㌲㍡㍣㠰ㄲ晥㈴扦ㅤ㈲㤰㤱攳〱㠰摥〴昴㈱㠰挱攴挲㔹㕦愴㠲㌸ぢ㡡㈱〷㘷つ㠰愳敦ㅤ㙥昸㌷㌸ぢ搳晦㐶昴捦挰敦㜲捥ㄸ敤扤づ捥ㄸぢ㉥㥣㙤㐲㈷っち㉦攱㙣㌳㘸搷捤ㄹ㠳挷㠵戳捤改㐴㜳戶ち摡〰㑡戶〰挶摥㤲㐰㐶㤷〷〰晡ㄳ戰ㄵ〱っ㌸ㄷ捥戶㐶㉡㤰戳㠰㌸㜳㜰戶㉤攰攰㡣㐱攵摡扦挱搹㜶昴扦㍤晤㌳㌸扣㥣㌳㐶㠴慦㠳戳㜳〱ㄱ捥〶搲〹〳挷㑢㌸摢〱摡㜵㜳挶〰㜳攱㙣㌰㥤㘸捥ㄸ㘵慥慢㙣捣戹㐳㠰戱㜷㈴㤰ㄱ攸〱㠰㥤〸ㄸ㑡〰㠳搲㠵戳㥤㤱ち攲㉣㈸ㄶㅤ㥣つ〳ㅣ㥣㌱㈸㕤晢㌷㌸摢㤵晥㠷搳㍦〳挸换㌹㘳搴戸㍢挶㡤〰㘴扤挷㌸挶㤹ぢ㡦扢搱㌱〳捥㑢㜸㡣㐲扢㙥ㅥㄹ㤸㉥㍣挶攸㐴昳挸攸㜴㝤ㄸ〶㡦㜱㘰散〴㠱㡣㕣て〰㈴〹㐸ㄱ挰㘰㜶攱戱ㄱ愹㈰ㅥ㠳㘲搸挱㘳〶㜰昰㜸㠷攱摦攰㜱㜷晡摦㠳晥ㄹ㜸㕥捥㈳愳捤摤扥户㘷戵㌱㡥戱攸挲搹㐸㍡㘱㔰㝡〹㘷愳愰㕤㌷㘷っ㕥ㄷ捥㐶搳㠹收㡣ㄱ散〱㤴㡣〱挶ㅥ㑢㈰愳摢〳〰攳〸ㄸ㑦挰㘳〰〸㘷ㄳ㤰ち攲㉣㈸捥ㅤ㥣㑤〲ㅣ㥣㌱攰㕤晢㌷㌸㥢㑣晦㑤昴捦攰昴㜲捥ㄸ㤱敥昶扤扤〱㔹敦扥挷ㄸ㜶攱㜱ちㅤ㌳㤸扤㠴挷㘹搰慥㥢㐷〶扤ぢ㡦搳改㐴昳挸挸㜷㝤ㄸ㐶摦㥢〱㡣㍤㤳㐰㐶挵〷〰㘶ㄱ㌰㥢〰〶捡ぢ㡦㜳㤰ち攲㌱㈸㍥ㅥ㍣捥〵ㅣ㍣㌲㔰㕥晢㌷㜸摣㤷晥昷愳㝦〶戵㤷昳挸㐸㜶㤷挷晤〱㔹㙦ㅥㄹ晢㉥㍣ㅥ㐰挷っ㠲㉦攱㜱ㅥ戴敢收㤱挱昲挲攳㐱㜴愲㜹㘴挴扣㍥っ㠳挷㠳㠱戱て㈱㤰搱昴〱㠰昹〴ㅣ㑡〰〳散㠵挷㉣㔲㐱㜷㙣〳攲敡㐱㘳ㅥ㘸搰挸〰㝢敤摥愰戱㐰昷づ摤㌳ㄴ㔷慡㕤㘴捡慢㜶㕤㉤㑥摤昲㈸挱㡡〸㑥㈹愱挸㔸捥㌹㕤㉢㕡㄰㍦换㕤㐶つ扡㝢㝣摡㡢㌰㈸攸㄰换搸摥搱ㄳ戱㕥攵扦㍡收摢㍥㠷㠲㝢㙦㕡昶㘳慣㘲挶㥣ㅡ搴愶敥挲慦㉢㝦㜰搴户㘷挵扢㝦㡥㔱㙣愰戱ㄶ愲㡡㥢㑥㙢捥㜷戴㜷戶ㄷ扢〶捣㐱㝣昸〰晥戸㉤晥㑣㍦㌲愶敥㝣㜸っ㉣㤳〷搶戳㡤㙦㤳㔹捡㕦㜸っ㉤㙡㙢㕦搶㈶戵愹敢攴㙦晣ち㕦扤㝡戱㤸㄰扥戲敤〰昲挲㍤㔰搱㌰㤲昶㘱㜰搱户㈱摣ㄳ㘹㝣㙡慣㐵㐸てㄹ㌷㜶摣散昹搱㐸㌲㤹㡥ㄴ㘳㠹㔸㉡㤹挸㘵㔲改愴㤳捥㈷愳㠹㙣愴㌱ㅥ㑤愷愲㔶㡢て捤㘵㡡戱㐶㈷㤵㉢㈶㤳昱㐴㉡㤵捤愴ㄲ戱㑣捥㐹ㄶ搲㠵㑣愴㤸㑡㔸慤㍥㌴搳攸㌴收㡡㡤㤱㘲㌶㥦㑢㌸戱㝣搶挹ㄷ㡡愹㘴戶㌱〵摦㤱㝣㉣㕣攷搵挴㙥㠳㡤摤㑥戱ㄸ㈲㙣㘹晤攱㔴㜵㔰㜴㔲摦㑢敢〵㉡㐶挴搷㠵愰㕦摦㌸㑥攰㙢㔴㑥攵㔵㐱㌹㍤㝢昵慡㠸敥慢㠸晦㘴ㄴ戶晣㕡愸㘵㌱晣戳敥ㄴ㌴㔰㜹㐸㘰戰㔱㘹晢搳ㄸ摤扡挶㕥捥攳㔹〱ㄱち昷昶づ挸㍡〲挹㡤挶㡤㥤㕦晡ㄶ㈱敢㐸愸晢㐰㉤㐱㉢戳昱㝢挱搶㔱搰昴㠳挶㠸㜷て昷搱戴ㅣ㡤㑣㝢㄰换ㄸ挸㥡昶㠳扥扣愶㐶散戹ㄱ扣挸㔸攲戰ㄱ㔱㉡挷扣㔱搱晢攱捣ㄹ〸㙤敡愲敡㠷㄰㄰搳搳つ㌰㕢㘷㜳换㈱捣㍢㤸慣㤷㜳㔰摡㕡摥戱㐹ㄳ㝦扦昰㥡㔰摤捡㜵昶〹㕤㑡㘵㥦㐰㈳攱慦㡤㔶愱改昸挴愷〱㐹㌹㤳㡦㠵㐲㙦㜵㘱㘸搷㍦㑡㡢昶㥢㜴㠷㙡㌳㈸㝦㔸ぢ〲搶搶攳㙦㈰㡥㐳愹㙡㘳㕤㠷攳㤱㘲㤷攵㔷㙤慡戵㈷㄰〳つ搲〸搷㠰攴戸慣㡥〰〵ㅣつ愱慣戱㑥〲愴敡㄰愷㤶〳挶㘱慥㘴㤸㔲㕢㘸晦愷挰搸愲ㄷ㝣挳㕢㐲㉢㠳搷愹搰摡愷㔱㥣㑥昱㘳㡡㌳㈰晡昶づ昷〷㠶㕢㜸㉢扤戳戵摥搹挶摢㘹搸ㄶ㍢㉣㡦㑥晦慢㕢㜸㍢㜸㘶㈹搶㤹愸㑤挰㌹㝣ㄶ搴愵攷昰搹搰㤴㥦挳摢㝢㕥散㜳㤰㈹㉦㔴㤲㔷㉢愹㠱搰㑢㝦㌸て㝡敥挸㜷〷㘸㠵昵挳㑣搶捦〷愴㍡敢ぢ㠳㔸てて㠶㈷攱昷㐲ㄸ㘳㜲ㄸ㐲捦㍣㥡㥦㈱敤㑥づ㤹㜴㍥ㄵ换愷㜳愹㜴愲㌱㠱㘱㍢㤳换㘴昳㤹㐸㌶攵ㄴ㔳㔱㘴㕡ㄷ昹搰㐸㌶㤱捡㐶㔳㤱㙣㌶敤㈴搲昹㐴㌶㤹㜴㤲㡤づ㉣㥣挶㘴捣挹㠵㜷昴摣摢ㄷ挳挶扥〴㈲扣㤳㔶㕤㑡搵㘵㔴㌱搰㠸㤵攸㐶愹㘱㔰㜱㤸㔷㠷攰㌰㌸〴㘳扦挶扥㤲㈶㔷㐱㠴挲扢㐲㐱㥤㜵㌵㤲〱捤㜰つ搴愵捤㜰㉤㌴攵捤㌰摣昳㘲㕦㠷㑣㜹换㤴扣㙦㑡敤〶扤㌴挳㡤搰晢捤㄰㠵㔶㥡㘱ㅦ愳ㄹ㙣㌶〳愷㜲㌵㍢㤰昱ㄸ㡣㠴昱㕢㠱〳攳㜱㍡㘱挵㙦㐳摡㘵㍣ㅢ㐹㐷㤲㡤搹㜸㌲㕥㡣㈴ㄲ昹㔴㉥㥤㜲ㅡ㘳愹㕣戴㌱敦㘴ㄳ㤱㐶敢㜶ㅦ㥡㑦挶㔳㡤改㘸扡㤰㡡挴ㄳ㤹㘴㌴㥢挹㈵㘱㤰㉤攴㥣戴ㄳ㡢愴挳〹捦扤晤ぢ搸搸㜷㐰㠴㤳㕡搵捤㜸㑡慢〸㄰愸捡㐰㈵㡣㑦㌶ㄹ扦㠷昹昷㐲㠴挲扢〳㠰て摥摣㐱ㅤ昹戵㐹㘹㜸て慤晦㌵㔵㈹㈲昸换㠲㙡㈴昴挲攱挳搰晢ㅣ㡥㠲㔶㌸摣换攰搰㝡〴㤰敡㕤㜹捦㐰㘲㐷挳㤳㄰晢ㄸ㡣㐱散ㄸ㝡㈶戱㡦㈳敤ㄲ㥢㉦㘲㐵㤳挸挴㤳挹㙣㍣㤱㡥㐷㜳昹㜸㈴㤳㉡挴㘲㤹㘸捣㠹挶㔲搶ㄳ㍥㌴つ㐴㈲ㄲ换戳〳㈷昲搱㔸㈶收攴昳戹㘲㉡搶㤸㠸愶㡡挵挶昰㔸捦扤晤㈴㙣散愷㈰挲攳戴敡㘹慡㥥愱㙡扣㔶ㄱ㈰㔰㌵〹㉡㈱㌶㘶ㄲ晢㍣昳㕦㠰〸㠵ㄹ㤰㠴㑦㡤昵㈲㤲〱㕤昹㈵愸㑢扢昲换搰㤴㜷攵㈶捦㡢晤ち㌲攵扤㘱昲〶㌱㌵〵㝡㘹㠶搷愰昷㥢㘱ㅡ戴搲っ㐳捤㘶㜸ㅤ㤰敡捤戰㘳㘰㌳㑣㠷㈷㘹㠶㌷㘰㡣㘶㤸㐱捦㍣㥡㍦㈲敤㌵㐳㍥㤹㐴摦㡣㌹㔸㈰㈶ㅡ戱㜰〴昵搹㔸㌱ㄲ㘹㡣挴搲㡤昹㥣昵愶て㉤㘴㤲搹㝣㉡㤲㡡㘷㡢㠵㠴ㄳ㡤愷ㅢ㜳愹㝣㉡㥢㡣㘷搳搱㍣摥㙢ㄲ㥥改戹户晦〴ㅢ晢㉤㠸昰㉣慤㕡㑤搵ㅡ慡㘶㙢㤵㡦㔲㜳愱㤲㘶搸挶㙣㠶㜷㘸昲㉥㐴㈸扣㉦〰昸搴搸ㅣ搸㙤づ攳㌶㐷敥昰㝥㕡晦㔷慡挶ㄳ㌱づ㐲ㅤ〰扤㄰晢㌱昴㍥戱昳愰ㄵ㘲㌷㌶㠹晤〴㤰敡挴㠶〳㠹㍤〸㥥㠴搸捦㘰っ㘲て愶㘷ㄲ晢㜷愴㕤㘲㤳ㄸ㉡攲㤱㘲㍥ㅥ㑤愰㝦㘷ㅣ㄰ㅢ挱㝦攸攸ㄸ户ぢ改愲昵戹て㑤攵搰昳攳㘸〶慥攰ㅢ戱敡㉦㐴㌱扣攳㌷搱昳㠹㈸㤶昶愹昰㈱㥥㝢晢ㅦ戰戱扦㠰〸捦搷慡㝦㔲昵㈵㔵㠷㙡㤵㡦㔲㜹愸㠴㔸换㈴昶㙢㥡㝣〳ㄱちㄷ〰挰愷挶晡ㄶ挹㠰晥晤ㅦ愸㑢晢昷㜷搰㤴昷㙦挷昳㘲㌳㔸㐵摥㄰㘷敦捤㘶㔸〰扤㌴㐳て攸晤㘶㘸㠶㔶㥡攱㥢㝦ㅢ敢㤴㍡㐰慡㌷挳扦〱慤㔸愷㠴て㠳㈷㘹㠶㕥㌰㐶㌳㉣愲㘷ㅥ㑤㍤搲㙥㌳ㄴ攳㤱㘸㍣㤶㑦愴ㅡぢ㠹㐴㌶㤱捦㌵ㄶ㡢搱㜴㉣㥥㑤㘲っ挹ㄴ㡡ㄶ摦㌵敢㐲㘳㐹愷㌱㤵捥挵㥣㌴摡愰㤸挸㘵昳昹㘸㘳㍣㥦换㘵㡢挹〲愶搲㜰㡢攷摥づ挱挶敥つㄱ㙥搵慡㍥㔴昵愵慡㑤慢〸㄰愸㍡ㅣ㉡㘹㠶㑦㜱ㄸ晥㡣戹ㄱ昳㌷㠶〸㠵㍢〰挰〷㉦戸〰扢㌶〷ㄵ㥢攳㐸戸㔳敢㌷㈷㜶㌶ㄱ戳㐸散ㄲ攸㜹㐹ㄱ㔲敦挱㈳㤷扣戴づ搹㕢搱ㅢ㤶慥㑢㤱ㄴ攲捤愵慢㕡〶㉤㤷慦昶㌶㠰愹ㄵㅡ戳㉤㔲㘴㡤㕦㜵愴搶㙥㐷っ㌴昵搴ㅥつ慤㌴搹ㅡ愳挹㙣㉥㉤㘵㜶㝤㉢戰㜵㝥〴㈳㘹㥤㐱㜰㘵敦㐰㌱㤸㘲〸挵㡥㄰㔸㉦ㅥ〳っ户昰㑡扤戳㑡敦ㅣ敢敤㌴ㅣ㠷㥤晦㥤昵攲昱昰捣㔲捡㠷㤵ㄳ戴㝥ㄷ㔶㜵㝦㈲昶㠳㔰㈷㐱㉦戴づ㠷摥敦捦愷㐰㉢攴扣㘴㤲挳㘹㔳挸㜹㈱㤰㥣㔳㘱㈴攴㐴㐹㐴㐳昸㌴㍡㠱㠱ㄵ㐳摡敤㡦戹㑣㌲㤵挸㌸㑥㍣㤲㜲ㄲ搹㜴㉣㕢㈸愶昳ㄸ㔰ㄲ㤱㘲㌲㠵㝦㔶摣㠷收ㅢ㜱〷㈰㥢挵晢昰㈲愹㐴ㄲ㐳㜳摡挹攴戳昱㈲扡㝤ㅣ挳㑤㈲㝣扡攷摥㑥挰挶㑥㐲㠴㝦慣㔵摤㌳攴ㄹ㕡㐵㠰㐰搵搹㔰㐹搷㝤ㅣ㠷攱㜷摤㍤㤸扦㈷㐴㈸㝣づ〰昸㔴㜴摤㜳戵㝥㌴戱晣ㅤ㐸㜹〱愲㍡て㝡攱㜰ㅣ昴㍥㠷攷㐳㉢ㅣ摥㙦㜰㘸㑤〰愴晡㤸㜰㙦㈰戱㡣㘵ㄲ㘲㈷挱ㄸ挴㕥攸搵挳㥡㡣戴㑢㉣敥慥攰㌵㔰㔸扥㌵ㄶ㈲㠹挶㘸㍣㥢㜰攲改㘴㌱㤶㙤㙣㡣㘵㜳搱愴搵攴㐳㡢戹㐲愴搰㤸㉣ㄶ戳挵㝣㈲㤲㘹捣愵㤳㡤㠵㕣ㄲ搳㘴㉡敦㌴㘶搲搶摥㍥㌴㥤㡢挷ㅡ㔳戱㔴㉡㡦㕢㉣戱㔸㌲㥤挲つ㥣㐸㈴摦㤸捥㌶㘲㙤㤳つ晦捣慢㠹㍤〵㌶昶㔴㡡㘹㄰攱㡢戴㝥㍡㔵㌳㈸㘶㔲㝦戱搶ㄳ攵攲㘹愹㉥㠳㕥㥡攴㈶慦㐹搸㙦散戹〴敤ぢㄱち㕦慥つ㌹愸摢ㅣ挲㙤㡥摡攱㉢戴晥㐰㘲㜱㡦ぢ户昸㈰搴㤵搰㑢㤳ㅣっ扤摦㈴㔷㐳㉢㑤昲㜳愳㐹㙣㉥㐳愴㕢㕦ㅥ挸晥㌵㌰ㄲ昶戳㜰〵昶慦愵ㄳㄸ㔸㌹愴扤ㄱ戹ㄸ挹攴攳㤹㈲搶ㅣ〹㑣㜵㤹㕣㉡㔵挰〲㄰换㙣㜴㜵摣㥣戲昲㍥㌴敡㠰搳㜸慥㄰㉦㈴㠱挵攰㥤㐸挴愳㤹㕣㍥ぢ晢㘴戲㌱ㄳ㘶㤴㤵ㅣ㝤〱㌶戶〳ㄱ扥㕥慢扡㔷ㅣ㌷㘸ㄵ〱㌶愱敡㘶愸㠴挳㥦㝡ㅣ㈲㡤㥦挷㘲㝥ぢ㐴㈸㝣ぢㄴ愲㉢㕢㜱摣慡昵㡢㠹㙤愵ㄵ㝦ㄶ㔳摤づ扤㜰搸㐹昷搴昰㝢〷戴挲攱改〶㠷搶ㄲ㐰慡㜷敢㔳〳㠹晤㈵㍣〹戱换㘰っ㘲敦愴㘷ㄴ㘱㉤㐷摡㈵㌶㥦挸攴愲ㄹ昴攵㕣搱㐹ㄴ戳㠹㕣捡㐹收搱ㄳㅢぢ㤹㜸㘳愳㔳戰㔶昸㔰摣㔱㡣攵昳㡤搹㔴㈴ㅡ挵㐵㑤㤱㡢㙦摣㘹㑣㘶㌲ㄹ戰㕣㐸㠷㝦攵戹户㡦㠰㡤㝤㈴㐴昸㉥慤㍡㡡慡愳愹㘲散㤵搰㑦㠰㐰搵㝤㔰〹戱㉢㑤㘲㔷㌱晦㔸㠸㔰昸㝥〰昰愹ㄸ㉦ㅥ搰晡ㄳ㠹攵㉦㘲捡晢㍣搵㠳搰ぢ戱愷㐰敦ㄳ晢㌰戴㐲散㔲㠳㔸㥢挴㑡攷散ち攴昰㌷㌰ㄲづ㝦っㅣ㌸㝣㠴㑥㘰㘰㥤㠱戴换㘱㌲㥥㉣㐴昳搹っ慥昵攲㠹㝣㘳㌱ㅤ挹ㄶ㥣㙣㌱捥㙦㍣㥥㈹㔸㘷晡㔰㤰㤷捣㈶昳ㄱ㈷ㄹ捦㈷昲㤹㘸ㅡ换戵㔴㈶㕦挸愷昳ㄹ㈷ㄹ㈹㠴ㅦ昵摣摢㘷挱挶㍥ㅢ㈲晣㤸㔶㜵㜳昸戸㔶昹㈸昵ㄴ㔴挲攱㘱㈶㠷攷搳换〵㄰愱昰搳〰攰㔳挱攱㌳㕡㝦㌱戱晣ㄵ㑤㜹㌳愹㝡づ㝡攱昰㌲攸㝤づ㥦㠷㔶㌸㍣搴攰搰扡〲㤰敡㥤昳㤰㐰㘲㕦㠰㈷㈱昶㑡ㄸ㠳搸ㄷ改㤹挴㕥㠵戴㑢㙣㈲㕢挸ㄶ㘳昱㘲㍡㡤ㅢ搳戸㤱㥤㉥ㄴ攳愰㌶攵㘴㤳搱㐲慥ㄸ戱慥昶愱戱㕣㤱㌷㉤戰㍣㡢攲戶㐵扣㤰㡤㈴㔳㤹㘸㌱㠳㐱㌸㤱㡥㌶愶挲㉦㜹敥敤㙢㘰㘳㕦ぢㄱ㝥㔹慢慥愳敡㝡慡㕥搱㉡〲〴慡㕥㠳㑡㠸摤挷㈴昶㘶收摦〲ㄱち㌳敡ち㥦㥡昲〵挱敢㕡晦ぢ㘲㡦㈵㘲ㄵ㠴㝡〳㝡㈱昶㑥攸㝤㘲摦㠴㔶㠸摤摢㈴昶㉥㐰慡ㄳ㍢㌹㤰搸㍦挱㤳㄰㝢て㡣㐱散㕢昴㑣㘲敦㐵摡㈵ㄶ户㜳㜰晡攲㑡ㄸㄷ挸㠹っ㠶搳㘲㍡㡡㡢っ㕣㉢㈷ち戸㥡㑥㕢昷㜵㐳㜱攱㥣㡣愴ぢ〵摣〵挲㠲㈲㤹挹㐶搱㈶挹㠲㤳㑢攷㈳昱㙣㌶扣摡㜳㙦摦てㅢ晢〱㠸昰ㅡ慤晡㌵㔵て㔲昵戶㔶ㄱ㈰㔰昵づ㔴㐲散㕥㈶戱㡦㌰晦㔱㠸㔰昸㕤〰昰愹攸戱敦㘹晤㤳挴昲㜷㍤攵㐵戳敡〳攸㠵搸㘷愰昷㠹晤㄰㕡㈱㌶㘱ㄲ晢ㅣ㈰搵㠹㡤〵ㄲ晢ㄱ㍣〹戱捦挳ㄸ挴㝥㑣捦㈴昶〵愴扤愱㈰㤱㈹收㈲改㐴㈲㥡㑢㈷㈲㔱㈷ㄳ㠹愷㡡昱㕣㌲㤳挴昹敤攴愳搶㡢㍥㌴搳㠸㝢㍥愹㘸愱㌱㤵捤㈵ち㡤戸ㄳㄷ㑤愵㌹挶㐶㥤〴㘶扡㕣昸㙦㥥㝢晢㈵搸搸㉦㐳㠴㍦搱慡㔷愸㝡㤵慡㑦戵㡡〰㠱慡捦愱ㄲ㘲㠷㥡挴扥捥晣㍦㐰㠴挲晦〰〰㥦㡡ㅥ晢㠵搶晦㠹搸戳〴〱愱扥㠴㕥㠸㕤〳扤㑦散扦愰ㄵ㘲户㌳㠸戵搹㘳㘵㌸摤㈶㤰㐳挶㕢〹㠷敦〰〷づ扦愶ㄳㄸ㔸敦㈲敤㜲〸ち㌲㠵㐴㍣ㅤ挵㑣㥥㠸㌸㔱㍣㙦捡㈵攳㑥慡㤸㡡㘰捡挹㘵慣昷扡愱戹㔴っ㡢愷㜴㌱㤷㑣㈴搲搹〴㠶攰㔴㍡㤶挱㥤捤㝣㌶㕤㡣收挳摦㜸敥敤昷㘱㘳㝦〰ㄱ晥㔶慢晥㑡搵㠷㔴晤㐷慢〸㄰愸㔲㔸戲〸㠷ㅢ㥢ㅣ㝥挲晣㑦㈱㐲㘱挶㘴挱慣愲㜳昶搰晡㝦㄰换ㅦㄵ㤵ㄷ〲慢㍡攸㠵挳㉦愱昷㌹散〵慤㜰㔸ㅦ挸愱ㄵ挸㘱㍤㡣㠴挳慦攱ちㅣ摡㜴㐲づ扦㐱摡攵㌰攷挴㌰捦愴㜹㜳㌱㤳㘸㡣愰晦㘵㥣㐴捣挹攰㡥㉥敥㐱挶㤳搶户㍥ㄴ攷㝦㈲㤲挵㍢㑥㈳搹㈴㥥ㅦ㌶㘶ぢ㤹㘲㈲ㅦ换愷㤲㡤昱㐶㡣愳攱㤰攷摥晥て㙣散敦㈰挲扤戵慡㥢㐳㠶㜲戱ㄲ摤㈸搵〰㤵㜰昸捤扦㡣换㠰㍡摣挲户㉤㠸㔰㌸っ㐰㄰㠷ㅢ㘹㝤㠸搸㑢改昵ㄲ〸戵〹昴挲㘱㕦攸㝤づ㌷㠳㔶㌸晣㍢㡡搱㡦㌰扡晢攱愷搰㔶摥〵㘰㍣㤶㜰戸ㄱ㕣㠱挳㉤攸㠴ㅣ㙥㡣戴㜷㉥愷攲㘹愷㄰㈹ㄶ愲戱ㅣ㔶晤戱戴ㄳ挷摤㉣㥣愴〹㑣摢ㄹ㈷㘲㙤攲㐳愳ㄱ摣摥捤㐶㘲搹ㄴ㍡㘱愴ㄱ㜷㈷愳搹㝣㈳㙥ㄸ㘴㌳㔸㜴愶愳㘱㐶㜵〹㍢㥢挲挶摥っ㈲摣㕦慢扡㌹摣㑡慢㝣㤴摡ㄶ㉡攱昰㕤㤳挳慤改㘵ㅢ㠸㔰㜸㍢〰㠲㌸摣㕥敢〷㄰㝢㌵㌹扣㡡ㅣづ㠴㕥㌸摣〱㝡㥦挳ㅤ愰ㄵづ晦ㄸ挸攱ㅦ〲㌹ㅣっ㈳攱㜰㈷戸〲㠷㐳攸㠴ㅣづ㐵摡攵㌰㡤〹挵挹攵㌰摤挴㜰㑢㉢㥤㑥㘳戱㠳扢㔵㌸㐷搳㌸㐳ㅢ搳搶捥㍥㌴ㄵ捦攳㌶㌹㑥摤ㄸ㤶㐶㤸㡦搲搱㐴慡㠸㠹〷攳㈷搷昲㠹昰㡥㥥㝢㝢ㄷ搸搸挳㈰挲㍢㘹㔵㌷㠷㐳戵㡡〰㠱慡㘱㔰〹㠷㉦㤸ㅣ㐶㤹ㅦ㠳挰戳〷〰㠲㌸ㅣ慥昵㈹㘲昹㠳愷昶㡤攴㜰㌷攸㠵挳っ昴㍥㠷㔱㘸㠵挳挷つづ慤㍤〰愹㍥搱㍣ㅡ㐸㙣っ㥥㠴搸㤱㌰〶戱㜱㝡㈶戱㝢㈱敤ㄲ㥢挱㠹㥡㑦愷㜱〳㤰㑦晣挱㜱㉣ㄵ挷ㅤ搹〸㑥晢㜸っち㙢㤴て㐵ㄷ㜶攲づ收㈴㉣㤹ㄲ戸ㄲ捡㈴挱㘶㍣㠶晢〲挹㘸慣㠰㍢㠵っ晢㤲捥㌹ㅡ㌶昶ㄸ㠸㜰㔲慢挶㔲㌵㡥㉡挶㝥〹㡡〰㥢㔰㤵㠱㑡㠸扤搷㈴㜶ㄲ昳㈷㐳攰ㄱ〳〰㈴搶㙡㐲㌲攰㑥攱摥㔰㤷摥㈹㥣〲㑤昹㥤挲㍤㍣㉦昶㔴㘴捡㉢户攵攵摢㙡㈴昴搲っ㌳愰昷㥢㘱ㄴ戴搲っ户ㄹ捤㘰晢㜷㔶㙥〹㘴㥣攱㕥挲昸ㅣ戸〲攳㘳攸㠴ㄵ摦〷㘹㤷昱扣㤳㈹挴㌱㠰㘲㠱ㄹ挷㉡㈹㥦㠹挵ㅢ㌳㔹㉣㠲㌲㐵㈷ㅢ㡤㘴慤戹㍥㌴㤷捦㌹㈹摣㝣㠹攴㈳㐹㉣敦㜱㠹㤵捣攱敡慡㔸捣攴愳搹㘸㈱ㅡ㘶搰㤸㜰戹㉦㙣散晤㈰挲攳戴慡晢捥捡㜸慤㈲挰㈶㔴㑤㠲㑡ㄸ扦捡㘴晣㘰收ㅦ〲㠱㘷て〰〴㜵攵㈶慤捦ㄱ换摦㘶㤵㜷㠸慢㈹搰ぢ㠷づ摤㐳㉤摦㘹搰ち㠷㍦㌳㌸戴ㄶ〰㔲扤㉢㕦㄰㐸㉣攳扦㠴搸㘶ㄸ㠳搸ㄹ昴㑣㘲て㐳摡㈵戶㄰㙦㐴搷挴捣㤴㐳㔷㡥挷㌱㠱㈷㄰㙤㠲㙢㜵㕣搷㐷㥣㜸捡㕡攴㐳ㅤ慣㤳㔲戹挶㐴㍡㠶晢〰戸㤶捡挵戰ㄴ捤收昱挵愵ㄷ㥥昷㠴㘷㝡敥敤ㄶ搸搸慤㄰攱㔹㕡搵㐶㔵㍢㔵戳戵捡㐷愹戹㔰〹戱㘷㤸挴㜶搲愴ぢ〲㑦ㄳ〰㄰㘲慦挶㡥昱戴㙣㍦慤㕦㑥散挳㈴昶㈱搲㜸〰昴㐲散㤱搰晢挴捥㠳㔶㠸㍤摥㈴昶㘸㐰慡ㄳ㝢㙣㈰戱〷挱㤳㄰㝢っ㡣㐱散挱昴㑣㘲㔷㈲敤ㄲㅢ挱㘳㤷㘸㍥ㄶ㤵ㅥ摢㤸挲㤰㥢挳㙣搴挸㙢捥㑣㈴㡡㌱㘲㤵て㉤愴㘳㘹摣㌸㐴㘷㡤㐵㜰㌱捦ㄵ㔵㉥㤶挷㠲㈱㕦㐰戳攴㜲攱㐳㍣昷昶戱戰戱㡦㠳〸捦搷慡攳愹㍡㠱㉡挶㤶㐹扦㈶㐰愰㉡て㤵㄰扢摣㈴昶ㄴ收㥦ち㠱愷〹〰〴昵㔸㐷敢捦㈰㤶扦ㄶ㉢㉦㠵てㄷ愱㤷〳㍦ㅢ晡扥つ㜵㠷㈱扤㐷昵㥦昸㌲〲㙤㠶攱搷㜰㑡摥ㅢ㍥〱敦〱㕦挱晡昶挰㉦敡戹扦㐳搷戳㜶昷敦攷㡢昱㉡晣つ㈴㝥敢摡㜰慣晦〳㍦散㉥摤㠱㘷昴戸㍤扥昶戹㌸攰㍡㐶㑤〵晥摡㡥ㅢ㝡㌴〷㍦㈵攸㡣ㄸ㌷戶㜱挴㠴攵㜹愷㠵扦㙣㠴戸㈳ㄸ搶㙣搶摡搴㠹㕤扣敡㜱㥦昶㌱昲㝢㍢㡣慡摢㐸㠷㈶つ搳敦戰ㅥ搲慤搱㍦㘶愵捤㘶㜴昸㜶㜸㈷㌴㠲搸㤰㌱㡣㙦扣摥慣㍢㘵晣㡥摦搶摤㕡晣㝥ㄹ㝥㔹挹㈹㘸㡦㥤昸㡢搶㥥戵㍤㉡摥㤹㈸攱㑤攳摢㕢昱〶摣ㄱ㌳昱挳㝤昴㠶㔷戵㌷ㄵ㐸挰搶〱扦㘲㌸戶戹㑢㝥〵㜴ㅢ攴㉢㝢ㄱ挸戱捥挳搱㕡㈳〷㡦㤹㌲㌸㔳㜷ㄸㅡ愲晣㔷㘵慡㤶㔱㑡㍢㑢㘴扦っ搹攷挳愱㙡㠷㙢㜲慦散ㄶㄶ㜲愱㔷挸搴挱ㄹ㔵㐴㈱㉣〸㝡愰㉦㈲㝡戱㡦㙥㈵晡ㄲて扤㌷搰㌹て捤㝥ㄷ戲㉦㈳晡㜰㘰戴〳搵攱㈵㔸戶敡昴ㄲ〴㌷㌰昰っ㜰昹攲㍦扤㝤㍡捡摢ㅢ敤晥㕦敦晤ㅦ昶晥摦㜴㜴挳ち㙤㜹戰ㅡ㜸捥㤸扡搵挷㤴扦㑥㑡㉣㔷㥦攰㔹㥣攲晥㍦晡捣搱敡㘸㔸づ㐱慥扤㥡㘲つ挵摢㄰敡㘰ㅣ挵ㅦ昰㘲㤲㡡㔷㈸ㅦ攴㘵㤴扦㐲㔹慤㠲㈷㌲㙣㕦捤㐳愶て㝣挳晡㔹㤳㍡㑥㘷㕦挳㐳挴㈶搹挷㐳㉢㈷晢戵搰摡搷㐱昴敤ㄷ㍥㐱㉢慦㘷扡㈱㝣㡡㑥摦㐰搰㡤ㄴ㌷㔱摣㑣㜱ぢ挵慤㄰㝤㐳敡㔴〰㌹㕣愸㤹愸㈴捦㔱㐶㤷搵攳挷慣㑥搳ㄹ㌳扣㡣㝥捣㠰ㄱ户慦扥㔳愷敢晣改㕥㍥㝦㍢捥挸晦戱捥㥦收攵㙦㕤㥡捦㐰㈷㈹㜸慡㤷㉦攷昳㥤㈸㐰㥤㠳慣㙥㠲扢摦扦㌵〹挸㐰㠲㈷㝡ㄹ攵慦挳っ㥦〷㑦挲搵㝤㍣摡〶㜵愱㉥㜴扣㔹攸〳㉣㤴搱㍢㙥㘷㘶㤸㤰昵㈰㜴㌸㘳づㅣ㥣㐸愸搱〰戳㉦扡㕤晦㘱愲㉦昱搱ㄷㄱ晤㠸㡢㥥㐶昴㥥ㅥ摡敤捣㡦ㄱ㝤㈹㌰摡㠱扡捣㑢㐸晦扤ㄲ〹㕣㍤慥㝦晦㙤戸㑡㕢慣戵摦㍥㤴ㅢ㝤攳つ摣㐲愳搵㜵戰攸愶㜳つ㑡㜳晢㙢㈳㉡ㅡ㐸㘷捡换㈸㝦㥢㘶昸㐶㜸ㄲ㍡㥦挱㔱㠱捥㕢㤱㤶㌶㑣挰㠲㥤㐷摡昰㌹ㅥ昲㉦㤰攵搲㜹ㅢ昶慣攷㌵㐱挹㠸㡡〰㐸㌶㕣㠲㕥㈴晡づㅦ㝤㍢搱㉦扢攸〳〷〳扤慢㠷㜶挹㝦ㄵ㌹つ昷〰戳㘱愴㌱扡㐷㉣慡㤱㜶换愴㌵㐷㙣㝡换㈷愳收㙥晤晥㉦㔷㑤㥦㌷㑡晤ㅡㄶ㐱愴敤㠴敡〴㤲戶愳㤷㔱晥捡捤昰挳昰㈴愴扤㠱扡㠳戴挷㤰ㄶ搲〶挳挲㈷敤㑤搲昰㈴戲㕣搲ㄸ摦㘳扤攵搲㌰㘱㜰㉣愲〶㜸㌴戸愴慤㈱㥡攱㌷㉥晡〹愲晦散愲昷㈵㝡ㅢて敤㤲昶づ搱㑦〳攳昷挱㘷扣㠴昴挱攷㤱搸㌰㍡㕦搰ㄶ搵攸㜴㝦㐴攴昵㔱ㄷ㜹㍦㕤愸ㄸ戰ㄳ㐴攷ㄶㅥ㙢ㄵ㘳收收㕥㐶昹ㅢ㍢挳っ昱ㄱ㍡㍦挴㔱㠱捥㌷㤰ㄶ㍡㌷㠵㠵㑦攷挷㍣攴㍦㈱换㈵㠸㜱㍡搶㈷㉥㐱㌸愵㤳㉡㕣㐲搰㘷㐴扦攵愳摦㈴晡㜳ㄷ㡤㔳㍡愹晡㜸㘸㤷晣㉦㠸收㔳㌱㥦捥㌵㕥㐲攸㝣〷㠹つ愳㤳戱㌹㘲㔱㡤㑥㍣㌲挱昶攱愸昰㐶摣捥ㅥ愵晥ち㡢㈰㍡㝢㜹慣㔵搰㘹㜹ㄹ攵㉦晣っ㝦っ㑦㐲攷搷㌸㉡搰昹ㄹ搲㐲㘷㑦㔸昸㜴㝥换㐳㘶㌸㡣㑢攷摦戱㘷㝤攷ㄲ戴敦攰㈸㝥攴捡㈳挸敤㙦ち戱搷敡ぢㅦ晤㌹搱㍤愰挳㜸㍡㠱攸㙦扥㌲〷㠰㍡愲ㄹ㝤攳搳挹㈸ㅣ㍤㐰㌴㝣㡤挴㠶搱挹㠸㥣戵搲㠹ㄱ㄰摢昴敥ㄱ㤲昰㈰㍡扦㐴㐵〳㑦昶㝦㝡ㄹ攵敦ぢつ昷㠰㈷愱戳㌷㡥ち㜴昶㐲㕡攸晣〷㉣㝣㍡晢昲㤰㐳挸㜲改慣挷㥥搵攰ㄲ搴㌴㌸ㅡ㔱㥦㤶㄰戴ㄱ搱扤㝤戴㑤昴㈶㉥㝡㝦愲㍦昲搰㉥昹㥢ㄱ捤㈸ㅡ㥦捥扥㕥㐲㝡㈷㠳㘵昰搹㠰〹㠷㤱㌵㘲㔱慤㜷扡㈷晢㥡敥摥挹㈰㥢㈱㈸愳㝣㠱昴㥥挷㕡㐵敦㝣搷换愸㜸摦攸㔶昰挴㐵㡦扤㌵㡦ち㍢昲摤㐶㙢户㠱㤶ㅢ戵攱㙤愱ㄵ敡户㠵搶摥づ〲敢㈲㐶摦㠸㜲㝢愶ㅢㄴ㐳㘸愴㍤㔶愳㐸戶㠷㕥敥散愰㌳摥昲㌲捡㤶㍢㠳㜵晥㥦扣晣戲攵捥㄰㥤晦愶㤷㕦戶摣㘱㥣㡥ㄴ晣㐷㉦㕦愶捡㈱愸㤵摡〵㔹㐳㜰〴㉥㕤摤换㥤搷㠰っ散㝤扦昳㌲捡㕦㌷ㅡㅥづ㑦㜲戴挳摣愳㘵㑣㡣ㄴ晡㡡㔹攸㜰ㄶ捡昸ㄵ户昷㌱㔰挶摡つ㍡㌹㍤攳ㄹ昵〲挰晡昴ぢ搹㔱愲㤳㍥㥡戱㌲㔶摣㐵敦㍢ㄸ攸㘷㍤戴摢晢㤲挸㘹搸〳ㄸ㝣㌶愰㡦敤愹㉤慡昵戱㈳㌷攵っ摤㌵㙡㠶㥥㥦㐷挳㘲㠸㑦摡ㅡ敥扤つ愱㥥昰戸愹攸㘳㡦㝢ㄹ攵敦㈴つ㡦㠳㈷㈱㙤て搴ㅤ㕤㘴ㄲ搲㐲摡愳戰昰㑦搹㤱愴㘱ち戲㕣搲㈶㘳捦ㅡ〵㕤㉦㕣㔵敤㍤㌸㥡㔱て㜹㍣戸㜳挴ㄸ挲ㄹ㥡攲挲㥢〸ㅦ攷挱愷㄰㝥扦〷㜷㘹㥢㐰昸㌴ㅦ扥㌷攱㤳㍣昸㔴挲敦昶攰ㄸ摡㜰㠵搴㐴㌸愳㕣搸㑣㔴㈹㐶扢昸㈷晣㑣㉦㈱㈷晣㕣晡〲㠴㕦㘳㕢㡦㉢㈴〶挱㠸㘵戵㐶ㄱ㜷㐱㔷㐸〷挲㜲〸㜲换〷㠰㍢㜰ㄴ㠱㍤晡ㄷ㕥㐶昹慢㔲挳〷挳㤳㌴捥っㅣ㌲ㅡ㈷㡢戴㌴捥㙤戰昰ㅢ㘷ㄶ昹㘰㍣㡡换㌶㘳㘴慣㌹搰愱㐷㑦ㅢㅣ㑢慡㥢㍣昶摣戶㤹㑢㌴㐳㔸㕣㜴㥥攸晤㕣昴㠱㐴㕦攷愱摤愶㌹〰㌹つ㡢㠰挱㘷晤㐹㙣㘰昴㡢㔸慣㤵扣㤵昳扣㐹㘸慢搱㙡㌱攰㐳〲㐸扢搲攳愶愲㐷晦摣换㈸㝦㥦㙡㤸愱㌳㐲摡㝣搴ㅤ愴㉤㐳㕡㐸扢ㅣㄶ㍥㘹㔹搲㜰〴戲㕣ㅡㄸ晦㘲攵㕤ㅡ㥡〶挷ㄲ敡㘲㡦〶㤷㌴㠷㘸㠶愷戸㘸㠶挰㔸ぢ㕣昴晥㐴㕦攰愱㕤搲㥡㠹㍥ちㄸ扦㑦ㅥ敤㈵愴㑦慥㐲〲㥦つ愰㤳㌱㉦㘲戱㔶㍡㔷户㡤㍥㜲ㄹ户〱愳ㄵ挳㕦㠶〴搰㜹慥挷㕡〵㥤攷㜸ㄹ攵慦㘳つ㥦〲㑦㐲㘷㍢㡥ち㜴晥ㄸ㘹愱昳㉣㔸昸㜴ㅥ捥㐳㍥ぢ㔹㉥㐱っ㠵戱㍡㝤㠲㤲敡昴ㄲ㠲㤶㄰捤㔰ㄶㄷ捤㘸ㄸ㙢㤹㡢〶昹㐹㜵戲㠷㜶挹㕦㠱㥣㠶昳㠱挱㘷〳㐸㘳㤰㡢㔸慣㤵戴㠷ㄶ㡣㥥㌷㤷㕢晦搱敡㘲挰㠷〴㤰㜶㥣挷㑤〵㘹挷㝡ㄹ攵敦㙣つ㌳㐲㐶㐸㍢〶㜵〷㘹㔷㈲㉤愴慤㠴㠵㑦摡㉡搲挰攸ㄳ㤷〶㠶戹㔸挷戹㌴捣攲戰㜷㔴〹つ㈷㄰捤㈸ㄴㄷ捤㐸ㄷ敢㈴攸㌸〶㡦㈵㝣戹〷㜷㍢攱㈹㠴㕦〷㤰摦〹慦昷ㄲ搲〹㙦㐶〲㥦つ攰㤳戱㉤㘲戱㔶㍥㙢㈶㡤㠶㔷㙣慢㐷㈹㠶戹っ挱㙥昹㐰搸改搱㔶挱㘷㠷㤷㔱晥捥搷㌰〳㘳㠴捦㌳㜱㔴攰㤳㠱㉣挲攷㘲㔸昸㝣㥥捤㐳扥ㅦ㔹㉥㐳昷㘲捦㍡ㄷ㍡っ㠴㔸㔸㈶㔵㡢㐷㤰摢慤捥㈳晡〱ㅦ捤〰ㄷ敢㝣ㄷ㡤㠵㘵㔲㉤昴搰㉥㥤ㄷㄲ捤攸ㄵ㥦㑥㐶戱㌰㈱㜴㍥㠲〴㍥ㅢ㐰㈷㈳㕡挴㘲敤㜴㈶扣㈱昲摦愳搴㤳㠰て〹愰㌳敦戱㔶㐱㘷捥换㈸㝦㘵㙣昸ㄹ㜸ㄲ㍡㉦挳㔱㠱㑥㠶慦〸㥤㠷挲挲愷昳ちㅥ㌲㐳㑤㕣㍡㕦挰㥥㜵愵㑢㄰收㤵㡣㍡挸㈳挸愵昳㙡愲ㄹ㜲攲愲ㄹ搶㘲㕤敢愲㌱慦㘴搴晥ㅥ摡愵昳㝡愲ㄹ戳攲搳挹搸ㄵ㥦㑥㠶愶攰戳〱㜴晥㐱㕢慣㤵捥㤵㘳扡㉦㝢ㄸ搲㌲㈴㠰捥㌹ㅥ㙢ㄵ㜴捥昶㌲捡摦㌸ㅢ㕥〳㑦㐲攷慤㌸㉡搰挹㐸ㄶ愱㜳㈶㉣㝣㍡㙦攷㈱扦㡦㉣㤷㈰㠶户㔸㜷戸〴㑤ㄸㅣ㑦慡愹ㅥ㐱㉥㥤㜷ㄲ晤㠱㡦㘶㠴㡢㜵㤷㡢挶挲㌳愹㈶㝢㘸㤷捥㝢㠸收㈳㙦㥦捥て扤㠴昴㑥㐶愹攰戳〱㜴㝥慡㉤搶㑡㈷㑥㜲昷愲晣㡡㔱㡡搱㉤㐳〲攸ㅣ攷戱㔶㐱攷㔸㉦愳晣㠵戵㘱挶挳〸㥤て攲愸㐰㈷㠳㕡㠴捥搱戰昰改㝣㤸㠷捣〰ㄴ㤷捥㙦戰㘷㍤愲〹㑡㘴搴㥥㈵〴㍤㐶㌴㈳㔵㕣昴户㐴㍦攱愲㈷っ〶㍡敤愱㕤昲㥦㐲㑥㐳ㅤ㔶㝦㠰㙤〰㘹㡣㘱ㄱ㡢戵㤳㘶㥣搲㈱㔸っ〹㈰㉤敥㜱㔳㐱㕡捣换㈸㝦慢㙤戸㉦㍣〹㘹捦愳敥㈰㙤㈳愴㠵戴〸㉣㝣搲㕥㈴つ㡣㈵㜱㘹㘰㘸㡢昵戲㑢挳扥扣㝢扢慢㐷㠳摢慢㕥㈵㝡㌳ㅦ扤〹搱慦戹㘸㤰㤶㔰㐳㍤戴㑢摡敢挸㘹搸ㅡ㤸つ㈳㡤㐱㉢敢㐱摡㍥摤攳攰〰㔸〴㤱戶㠳挷㑤〵㘹㠳扣㡣昲㔷摦㠶㜷㠰㈷㈱敤㉤搴ㅤ愴㌱㙣㐵㐸ㅢ〰ぢ㥦戴㌵愴㘱ㄷ㘴戹愴つ挵㥥昵㘷㑤〳㐶戶㙤㑡㘸㜸㠷攸㘱㍥㝡㘷愲摦㜳搱戸㌹㤹㔱㕢㝡㘸㤷攲て㤰搳㄰〵㘶挳㐸㘳㤴捡㝡㤰㌶搴㈳慤㜶戴㘲挰㑡㄰㘹㥢㜸摣㔴㤰戶戱㤷㔱晥㝥摣㌰㐳㕣㠴戴㑦㔰㜷㤰㌶ㄲ㘹㈱㉤っぢ㥦戴捦㐸挳㘸㘴戹愴㌱㑥挵晡摣愵愱㘹㜰㈲愲晡㜸㌴戸㝤攷ぢ愲ㄹ㐶攲愲㐷ㄱ晤愵㡢摥㥦攸㝡て敤㤲昶㉦愲ㄹ㠷攲㡦㜶攳扣㠴㡣㜶っ㌷搹㌰㍡㈷㙢㡢㙡㈷慥㝢ぢ昲捦摤㌷㜹ㄸ㜸ㄲ㐴㘷て㡦戵ち㍡㙢扤㡣昲搷敢㠶㘷挰㤳搰昹ㅤ㡥ち㜴捥㐱㕡攸慣㠱㠵㑦愷挲ㅦ㔰㈹〶㝣戸〴㌱〸挵敡〱㥤㝢搷㈲愲扥昹搲扣㙢㔱㐷㌴㘳㐴㕣昴㕣愲㝢戹㘸㑣ㅥㄱ昵㤵㠷㜶改戴㤱搳㜰㌰㌰ㅢ㐶ㅡ挳㑢挴愲ㅡ㘹愱搷慥㕣㍣㌲昴挴㈸戹㙤换晢戶㡣㌴〹㈲敤㜳㔴㈷昰挲昸敦㕥㐶昹㍢㜸挳づ㍣〹㘹つ愸㍢㐸㘳㉣㠹㤰昶㈹㉣㝣搲㌶㈲つ㡣攸㜰㘹㌸っ㝢搶㈶㉥つ晢昳收捤㐷㈵㌴㙣㐶㜴慢㡦㕥㐴昴ㄶ㉥扡㠹攸昷㍤戴摢㘳晢ㄳ捤〰ㄲ扦て戶㝢〹改㠳㥤㐸㙣ㄸ㥤っ㉡㔹㉢㥤㤸㈶戰㌵㜵㉦㘰ㄸ㕦ㄲ㐴攷㥦㍤搶㉡晡攰摢㕥㐶昹㉢㝣挳㐷挲㤳搰戹㍤㡥ち㜴ㅥ㠳戴搰戹ㅡㄶ㍥㥤〳㜹挸㡣昶㜰改㕣㠹㍤㙢〷攸敡戸扣㑥慡㍦㤶昰㌳㠴攰攳㝣㌰〳㑢慣㥤㕣昰晥〰晦摥〳扢㍤㜰㘷㠲ㄹ㌴攲㤳㜹㠲㤷㄰㌲ㄹㅢ戲㘱㘴㥥慡㉤慡昵㑤㤷捣扤㐶扢晦㝦㍡㑡㌱愶㈴㠸捣㤷㍤捥㉡挸㝣挹换愸㜸〱昰搹昰戴慥ㄷ〰昳搷㠱㥣㑥㐶愲㜴昲㑥㙡㕤㤱㤱ㄷ扤㡢慥㥡㠱㈳昲㘲户ㄶ昹㌱愰㍥㜸㔷㘷挷㈲愷㘳㉡㕥㑢㡢㌷㜴捥㘹㙥昵㝥㔳〶慦慢攵ぢ㙦昴摢㈰㙤㐹搱搸㉡捥攸挰敢㈱㝢ㄵ㥢㍡昱晡戲㐲㝤敢捣㙣㔷㤷搳搱昶㐳昸戵ㄷ晣㍣㔳㑦㌶㉡㐲㈹攴㤵挰㠱扦㡣挴㥦㍣ちっ搲㄰挶㐶㜴昳愱㕦㘱㔵换㔷㝣㝥扦摦㝡戱㜶㐳攷㌳㝦㌵扤㘰扣戸戶愷㝡〱捤散〶ぢ慦慣昹㑥敡㡤㜸㈶㍢ちㅢ㉢〶搱㘳㑣㘷慢摣㠰㠷〸搹㜱㘸攴挷挹摤ㄷㄳ搴㥤㡢慥㔰㝥㠰晣扤慡㠹㘴愰㙥㔹㜳愱㙢愱戵搰㘹㕥戰㄰㝦愸搴扢户晥㍤㈹㤶搲㤳㈱㈶㙢ぢ㙦攱㠹搳慢㜵㝥戶愳㈳扢愲扥㜵㝥㡢搳戶愰㙢㘱晤晣愵㠸收挱ぢ㜷㌱㤵搴搷搷摢㐹搴㠷㐵昱慢㉥㠲㐷㝡戵㔳愶昶㌲慤㙤㌴戴攱慢愱攵㥤㔵㍢つ㙤摦ㅥ㘱㠶㘰㜰㠰攸ㅢ㔶㡣扢㤰戱攱〹㌰挳戱㘱㜳攸敢昱昶㠵敢㜴挶攳㕥挶ㄶ捣愸㐷㐸挸㜷㡡㜱ㄹ㍣㉦慣㍤攰慦〱昱㐱㑥ㅥ慦昰ㅡ戰㤴㈱㐳㥤戵敡㔱㑤昲㠷戱晥摤㈴㡦〴搶摡ぢ愲〷㕥收愶愴搳㤰攴㔱搰ㄸ㈴慢ㅢ㜴戹て㝡攵捡㤸愲㙥搴敡㕦㝢敡㡤㔰㥤㤰㘲ㅣ㠸㔴晦〱㑦捤敡㠷搴捤㕡㝤扦愷㘶攵㐳㡡戱㈲㠲扥捦㔳てㄵ昵慤㕡㝤慦愷摥㔹搴㜷㐲捤㈶扦㝥搴〷愳㝦㌴晡搴㌱敡㍥㈴攴戰㈷愱捥晡㜷攲㑡晢搷摤昰㔰搹扦㥡㠰户昶㠶㈸敤㕦㔳愰㌱て晤〱慦㐰㤴㉥㥢㘲㜴㠶戴昱㌴㈰晤㤶㝦㑣㙢愷㥢摡㘷扣捡搹慣㕣㑦㜵㕢㘰㐵㘶戱㐴㔶愴扢㤳捦愱㡡扦挰敦㜶㜲昵㕣㜹㈵㕥搴挵捤〵搲慦挴慢㕡扢慦愹㝤挳慢㠴戵ㅦ戴挱っ㕤ㄷ㔸戱〳㠰户づ㠴㈸㘵㘸ㅥ㌴㘶攵摥㉣慦ㅣ㘳〷㠴愱㠳㠱昴㉢昷㡥搶ㅥ㘲㙡㍦搴㤵㥢て㙤㜰攵㉥て慣㕣ㄶ㜸㉢〷㔱㕡戹㍣㌴㘶攵㍥㉥慦摣㘷扡ㅡづ㤰㝥攵扥搰摡愲愹晤㕡㔷㙥〱戴挱㤵扢㈰戰㜲捤挰㕢㠷㐱㤴㔶㙥ㄱ㌴㘶攵扥㉤慦㥣挲愰㈲捣戵〲改㔷慥㑥㙢摢㑣㉤㥦晦㑡挷㙦㠷㌶戸㜲㘷〵㔶敥㜰攰慤づ㠸搲捡㜵㐲㘳㔶㡥㡦㤰㜹愶改㑤㙤愴慢戱〴㐸扦㜲㥢㘹敤㔲㐳ㅢ收搳㔴ㄹ摣㤶㐱㡢挱㡤捦㔱扤挱㡤て㑦攵㝣㍦ㄹ戵㌳〷㌷㍥㔰㤵㡣㤳扣っ㘳㜰摢ㅥ㜹㍣㔸㥢㠳㕢慤㍡㐱ㅦ㔸挹㘰㜶ㄴ昲㙣づ㘶摤〳搹㡦愸㌲㑥愴㈱昰㔳㌲㝣昰㌹愶戰戸ㄲ挸㘰ㄶ㡦搱㠵搵㤸搳搳戱挰㕢挷㐱㤴戲㜸㝣㔹㠱㝣ㄴ㕡挲㘲ㄴち㘹攲ㄳ㠱昴㔹㑣㙡敤㐹愶㤶捦ぢ愵㜲㈷㐳㕢㝤晥㕣ㄶ㔸挱㔳㘱㘳㥤〶㔱㕡挱搳愱㌱ㄹ攱㘳挷㤲ち㡥搱㔵㌹〳㐸扦㠲ㄳ戴昶㑣㔳摢愴戵㘷㤹摡ㄹ搰㑡㘳昱㥣敥愹摡〲慢㜷㉥昲㙣㥥扦摤愳摥㜹㔴ㄹ㡤㌵ぢ㝥㑡慡㌶㔷ㄷ㜷㍥㤰㝥搵づ搰摡ぢ㑣敤㝣慦ㄲ搶㠵搰〶㌷㙣㌱戰㘲ㄷ〱㙦㕤っ㔱捡摢㈵搰㤸㤵换㤶㔷捥搱搵戸っ㐸扦㜲捤㕡㝢戹愹㙤昷㉡㘷戳㜲㍤搵㈱㠱ㄵ戹㤲㈵戲㈲摤っ㕤㑤㤵挱搰攱攵㤵㔸愲㡢扢ㄶ㐸扦ㄲ㉢戴昶㍡㔳㝢㡣㔷〹敢㝡㘸㠳ㄹ摡㌷戰㘲㌷〲㙦摤〴㔱捡搰捤搰㤸㤵㕢㔵㕥戹ㄳ㜴㌵㙥〵搲慦摣㈹㕡㝢㥢愹㍤㔳㔷敥㜶㘸㠳㉢㌷㍤戰㜲㜷〰㙦晤ㄲ愲戴㜲㜷㐲㘳㔶敥散昲捡㥤愷慢㜱ㄷ㤰㝥攵㉥搴摡扢㑤敤㘵扡㜲昷㐰ㅢ㕣戹㠹㠱㤵扢て㜸敢㝥㠸搲捡㍤〰㡤㔹戹㉢捡㉢㜷戵慥挶㠳㐰晡㤵扢㕥㙢ㅦ㌲戵户敡捡㍤っ㙤㜰攵昶ち慣摣㈳挰㕢㡦㐲㤴㔶敥㌱㘸捣捡摤㕥㕥戹㍢㜵㌵㥥〰搲慦摣㍤㕡晢愴愹㝤搰慢㥣捤捡昵㔴愹挰㡡㍣挳ㄲ㔹㤱敥㡥晦ㅣ㔵㐶挷㝦戸扣ㄲ㡦改攲㥥〷搲慦挴㔳㕡晢㠲愹㝤扥戴ㄲ㈳〲㉢昱㌲㑢㉣慤挴慢㘵㤵㜸戱扣ㄲ慦敡攲㕥㌳㡢㝢㕤㙢㝦㙦㙡摦㉡慤挴㡥㠱㤵㜸愳戲ㄲ㙦㤶㔵㘲㑤㜹㈵摥搱挵扤㘵ㄶ昷㠱搶慥㌶戵㥦㜸㤵戰搶㐰ㅢ摣㔷戶ぢ慣搸㥦㠱户晥〲㔱摡㔷摥㠱挶㙣愶捦捡㉢昷㠵慥挶㝢㐰晡捤昴㉦慤㝤摦搴㝥攷㔵捥摥て摡㥥㙡昳挰㡡㝣挸ㄲ戹㐶敤敥㉢ㅦ㔳㘵昴ㄵ㠵㜴挹㌴㔲〷㠵㑣挱㥦㘰挷慦㠴慤戵㥦㥡摡〶㈴㘴ち晥っ㍢挱っ昵ぢ慣搸攷挰㕢晦㠰㈸㘵攸ぢ㘸捣捡㙤㠴㜴㐹攵㌶㠳㐲㉡昷㈵㜶晣捡昵搷摡慦㑣敤昶㐸㐸攵晥㠵㥤攰捡㔹㠱㤵晢ㅡ㜸敢ㅢ㠸搲捡㝤ぢ㡤㔹戹㠱㐸㤷㔴㙥〸ㄴ㔲戹敦戰攳㔷㙥㘷慤慤戱扢戵㜵㔱㘸搷晢〶〳攳敢扥攷慦慦㉡ㄴ慡攲㈸㡣㍥散㕡愳ちつ㐹㑦㕢捦换搵〶㕥㤳ㄳ攳愶ㅡ捤㤴㑡㈳㈵㙢捦㙦晦改㉥㑡㐷搱㔹㑦扡ㅥ㠹㉣ㅥ㡢㕤挷搴㈸捦捣戶㤰挲扥㝣㔵㤳挶昴㈲㘶㡡挶搴㈳愵㔹㙡㤸收㘹摤攲㜹㤹攸㔷㐶捤搲昶㌶敤攷㘸晢㤰㘹㍦搷戴㘸攰ㄵ㕥户晤〱摡扥㌷敤攷㘹晢㍥愶晤挱愶㐵〳㉦挲扡敤戳摡扥㉦敤昳摡扥㥦㘹敦㤸ㄶつ扣㑥敡戶㙦搶昶つ戴㕦愴敤挳愶㝤慢㘹搱挰㑢㤹㙥晢挳戵晤㐶戴敦搴昶ㅢ㥢昶㑢㑣㡢〶㕥㙤㜴摢㉦㐳㑡㥡敦㘳戳昹㌶愵戳愳㤰㈵捤户ㄹ㔳扣ㅥ愰㤹扤㌹㔲搸㜷㥢㡦㙢㜹挱㙣㐱捣昱ㅡ戳㈵㔲㝥昳㜱戹敥ㄷ搸挰㘵扡㥦㔲㕣㙡㡢㝤㝦摡㜳㠵㉤㘵㙣㘵摡㜳㌵敤㕢㌴㥣㔹㤲攲敡搹捦㔳攷㈲㈵摥戶愶户昳扣㍣㝢ㅢ搳摢昹愶㐵挳〵㘶㑡㕤愴敤户愵晤㈵摡㝥㍢搳晥㌲搳愲攱㜲㌳愵戸敥㤴昲户愷晤搵摡㝥㠰㘹捦攵愵㕦攳〶㉥㉢晤㤴扡㔱摢て愴晤捤摡㝥㤰㘹㝦慢㘹搱挰㤵㕦户晤ㅤ摡㝥〷摡摦愹敤〷㥢昶㜷㤹ㄶつ㜷㥢㈹㜵㥦戶ㅦ㐲晢〷戴晤㡥愶晤㠳愶㐵挳㐳㘶㑡㜱ㅤ㈴挷扦ㄳ敤ㅦ搳昶㐳㑤㝢㉥㜵晣ㅡ㌷㜰㠹攳愷搴㌳摡㝥㘷摡㍦愷敤㜷㌱敤㥦㌷㉤ㅡ戸㍡改戶㝦㔹摢て愳晤慢摡㝥㔷搳晥㌵搳愲攱昷㘶㑡扤愱敤㠷搳晥㑤㙤㍦挲戴㝦换戴㘸㔸㙤愶ㄴ攷㜶㌹晥摤㘸晦㡥戶㡦㤸昶㥣扥晤ㅡ㌷㜰摡昶㔳敡㐳㙤ㅦ愵晤挷摡㍥㘶摡㝦㘲㕡㌴㜰挶敤戶晦㕣摢挷㘹晦㠵戶㑦㤸昶㕦㥡ㄶつ㕦㤹㈹昵戵戶㑦搲晥㕢㙤㥦㌲敤扦㌳㉤ㅡ㌸㙦㜵㤷㉦ㄳち挷㠸㐶愸昵ㄶ收挴㈲捦㙦搲搸戱㌳㄰㝤晢㌵㜰㠲搸て㤰摡攵㉡㝦㘸攱搰㐳扦㙡攸㌹㘰慢㥥晢㡦敥㜳攱敡愷摦㍥攷㤵㠳㐶扥昷捤挵ㄷ扦昲㤷㜳㥥晤收晥摣挸㈷㝥晥昳㐷昷扥散搹户㌷㉥㕥㕥晢慢慦愶㕥㝥㔴㜴搱㔱㠷ㄷ攷敥㌲改愸〳づ㥢ㄵ㥤戹搱戰ㅥ㍤㝡昵摡㘹㤳㈷户ㅣㅡ㕥㜹昸摤敡攱搷户㘸㔳㌲攷愰〰㝢㜷㤴挴㡤㌷㘴挲㥣㝢愴㉥㝢㘰挷摥㤳㘲㈴挵㕥ㄴ愳㈸㐶㔳㡣愱ㄸぢ搱户㕥挹挴〴㕢㝢ㅣ搲㝡ぢ㜳㠲ㄲ㐷攳〹㥤㐰㘸㍦㈵㜳㔰〵㤴㜳㤱㐰㈷ㄱ㍡搹㠵捡㜴㐳㘸ㄳ搲㝡ぢ㜳摡ㄱ攸摥㠴㑥㜱愱㌲戳㄰㍡搵㠴㜲㠶ㄱ攸㌴㐲愷扢㔰㤹㐴〸㥤㘱㐲㌹㤹〸㜴㈶愱戳㕣愸捣ㄷ㠴捥㌶愱㥣㌷〴㍡㠷搰㝤〴摡挰搹攰㝦戵慤㘴㠲㘱㕤收愲㈴㙥晣ㅢ攲㌰㈷ㅡ愹换扥搸戱昷愳搸㥦攲〰㡡〳㈹收㔱ㅣ㐴㜱㌰〴摡㑡㘶㈱搸㤶戲捡搹㐸ㅣ捤㈷昴㔰㐲晢㈹㤹㜰〸㉤愱㡡ㄳ㡦㐰㜳㠴收㕤愸捣㈶㠴㤶㌴〰㘷ㄵ㠱㍡㠴ㄶ㕤愸㑣ㅣㄵㄵ攰〴㈲搰㠵㠴㌶扢㔰㤹㈳㉡愰㥣㉢〴扡㠸搰ㄶㄷ㉡搳㐱㐵〵㌸㉤〸戴㡤搰㜶ㄷ㉡㈳㝦㠵㔷捥〰〲㍤㥣搰づㄷ㉡㠳㝣㠵㔷づ昶〲敤㈲㜴㠹ぢ㤵昱扣挲㉢挷㜵㠱㉥㈳㜴戹ぢ㤵愱扢〲捡㈱㕣愰㐷㄰㝡愴ぢ㤵㔱扡〲扡慢㠶ㅥ㑤攸㡦㕣愸っ挸ㄵ㔰づ捣攲㜵㈵愱慢㕣攸㙥昸㡦㐳㤲㝤㉣㜶昴ㄶ收ㄸ㉣搰攳戰㘳ㅦて㠱㍥㈰挳㉣愱㈵㈷㈱㠷㕢㠱㥥㐸攸㐹㉥㔴㐶㔴㐲㑢㐶〱㡥慣〲㍤㠵搰㔳㕤愸っ㥥㠴㥥㠶戴摥挲ㅣ㐴〵㝡㍡愱㍦ㄶ㘸㤸攳㈴㤵㜸㜲挵挱㔱ㄶ㘲ㅤ摥㐲㑣挰㘷㐲慢㌸㘴㑡搶㘲㉦㙢㉣㑣昰㔰㉢捣愱捤㌳攷㜸㈶㤸㜶搳晣ㅣ㥡㜳㤴㤳慣㔶㉦换㝤〴挵㜱㑦搴㉤㥥摡㝤〴挵㤱㔰搴㡢㍣戵晢〸㡡㘳愳愸て昳搴敥㈳㈸㡥㤶愲㙥昶搴㐳㔱戵㤰攲昸㈹敡㠵㥥㝡㘷㔱㜳㐴ㄵ昵〲㑦慤て㐴㤳慡㌸㥡ち愲攸㈱㠴㠵㡢愰㔵ㅣ㘳㈵慢㔰㙡慣㌸慣㑡㐶扥挲㠶㠳慤㘴攵㑡㙤挲扡挱ㄵ〷㕡㐱㘴㑤攳换愱㔵ㅣ㝥㈵㙢㝥㤹戱ㅥ〶ㄴ㠷㕥㐱ㅣ㘲ㅡ㕦㐹㘳づ挸㤲㜵㔰㤹戱ㅥ㙥ㄴ〷㘳㐱捣㌳㡤慦愱㌱㠷㘸挹㍡愰捣㜸㌶㌲扣〶攷〰㉤㤸晤㑤昳敢㘹捥㘱㕢戲昶㉤㌳攷昰敡㤹㜳㑣ㄵ捣㕣搳晣㈶㥡㜳愴㤵慣㌹㕥㤶摢㕦㌸昶㡡㝡戶愷㜶晢ぢ㐷㘳㔱捦昲搴㙥㝦攱昸㉣敡㤹㥥摡敤㉦昳戴㝡㠶愷㜶晢ぢ挷㜰㐱㑦昷搴㍢㑢㝦攱愸㉥敡㘹㥥摡敢㉦㡡〳戹㘴㑣昵㌲愴㥢㐸慢ㅤ慡戳昶㉥戳攱㠸㉥㌶㑤愶捤摤搰慡扣捥㥡㔴㘶挳愱㕤㙣㈶㥡㌶搲挰ㅣ昰㈵㙢㝣㤹つ挷㜸挹ㄸ㘷摡晣ㅡ㕡搵慣戳挶㤴搹㜰戰ㄷ㥢搱ㄵ㌶㉤㍡㙢㔴㤹つ㐷㝤戱搹换戴㜹〴㕡挵戹㐰戲昶㉣戳攱昰㉦ㄹ㝢㤸㌶㡦搳㠶㤳㠲㘴㘵捡㙣㌸て㐸㐶摡戴㜹㡡㌶㥣ㅤ㈴㉢㔵㘶挳〹㐱㌲㤲愶捤戳戴攱㌴㈱㔹昱㌲ㅢ捥っ㤲ㄱ慢戰攱㝣㈱㔹搱㌲ㅢ㑥ㄱ㤲ㄱ愹戰攱挴㈱㔹扢㤵搹慣搴ㄹ㈳㉡㙣㌸㠳㠸捤昰㔲㥢戰㥥㑡搴㜱ㅡ戱慢㘹晣㉡戴㡡㜳㡡ㄸ敦㔲㙡慣㌸㡤㐸挶捥愶㡤㜴㔶㑥㉥㤲戵㔳㤹捤㈹㍡㘳㐷搳收つ㘸ㄵ㘷ㄹ戱ㄹ㕣㙡ㄳ收㜴攳㥤摤愷㙢捣づ愶昹㥦㘸捥㤹㐷捣〷㤶㥡㉢㑥㌵扣㜸〹㈹捥ㅡ敥ㅥ〷㕥㜷㡦搵㜵昷搸晢摤㍤㡥㔵敥ㅥ㠷ㅤ㜷㡦㈳〸昷散搵搸㔱㍣扢㕣㍤晢扦扢挷ㅥ敡敥戱摦戹㝢散㑤敥ㅥ晢㠸扢㐷㔲摤㍤ㅥ戶扢挷㈳㜰昷挴㍤〶〹㝢つ㔴摣ㄸ㠲ㄵ㘶挲愵愰昷晦〳㑥捣昸搳</t>
    <phoneticPr fontId="10" type="noConversion"/>
  </si>
  <si>
    <t>㜸〱捤㝤〷㤸ㄴ㔵搶昶摣㘱愶㤸㙡挲戴〲㈶㐴〱〷〵㐱散ㅣ㔰㘴挸㈰㐹㠲㌹㡣ㅤ慡㘱㘴〲捥っ〸㙢〰攳ㅡ㤶㔵ㄱ搷㜵捤㙢捥㌹慤㘹㑤扢㙢㕡㜳搶㌵挷搵㔵搷戸挶晦㝤㑦㠵戹摤㕤㑤搸敦晢㥦攷㉢扡て㜵捦㜹捦戹户摥㝢敢㜶㠵㌳㔵㔵慡慡慡敡ㄷ㉣晣㥦㑢つ㔷戶㥥扦愲戳换㙡ㅤ㍤戱扤愵挵捡㜵㌵户户㜵㡥ㅥ摦搱㤱㔹㌱戳戹戳慢〷〰㐶㔳㌳散㥤戵㑤㥤捤扦戲敡㥡㤶㔹ㅤ㥤〰搵㔶㔵搵搵㤹搵戰㙦改㝣㠳㙥挱愴㤷㔹㐳〱㔴㤵㘹㔰昴愴愸愳㌰㈹〲ㄴ扤㈸㝡㔳昴愱攸㑢㔱㑦ㄱ愴搸㠴㘲㔳㡡㝥ㄴ晤㈹〶㔰㙣㐶戱㌹挵ㄶㄴ慣摦摣㡡㘲㈰㐴敦慤㈱ㄶ㑣㥣㌰㈷㝢〸戶㘶㝥㔷㝢㠷㌵㙡昰㕥㜶㥢挷㠶挳愳挳愳㈳搱㜴㜸㜴㘸搴攰㠹㑢㕢扡㤶㜶㔸㘳摢慣愵㕤ㅤ㤹㤶㔱㠳昷㔸㥡㙤㘹捥捤戰㔶㉣㘸㕦㙣戵㡤戵戲愱㘸㌶ㄳ㑢㠵㘳昱㜸㈱㥤㑥昵ㅥ㠴挸戳㈷㑥搸愳挳㉡㜴晥㙦挵摣㠶㌱攷㑣㥣㌰㝡戶搵昵扦ㄵ㜳㕢挴㐴挸㐹敤慤㤹收戶晦愵愰戵散搳昸㈴㉢搷捣捥户慣㡥收戶㠵愳搱散㈲愲㔱㑡㡥ㅥ摦搹戹戴㜵〹挷搱㐴慢愵㘵㥥㔵㤰㑥㙦㥤搴搹戵㐷愶愳戵戳㜷㉢昹戳㍡慣戶㥣搵搹户㜵昲昲㥣搵攲〰㍢敢㕡昷捡㜴捣捥戴㕡㌵㕣愹㙦戵晢㜰㝡摥㙡敢㙡敥㕡搱愷㜵捦㑥㙢㕥愶㙤愱㐵㐸㙤敢搴愵捤㜹㔵㔳㠳㑦㔵㡦ㅤ晣㕡㈶ㅤ㠵昶戴㑥㕣㤴改攸㤲ㄲ扢㌰散㠷搵㠶㡢㙣㐵㔱扢㌸愴〶㤷㜸戱捦收㌷户捥戰㍡摡慣ㄶ㔶挲㥥ㅣ㔹〲ㄲ㠲散㝥昰㤸㜲㌷㠷扤愴㝡㌹㍢ㅦ户㠵戵ㄸ㠳ㄹ㘵㜶㝢㐷㉢〶攴㉣㉢搳㌶㌶㌴㍡㍣㙡㝥㔷㝥㤲戵っ慢愱㜰愲㘴㌱㠷挰挱ㅣ㑡搷敤㈰晡㜶㌶户㉥㙤挹㤰晤㌱改搰ㄸ戳㠱搶㘱㄰慡收ㄵ散昸㝡㜵摣昹慡㥢㌲搵㑤搹敡愶㕣㜵㔳扥扡挹慡㙥㉡㔴㌷㉤慣㙥㕡㔴摤搴㕣摤㜴㐸㜵搳㘲㘰摣愵慥㘷捦㙡㘷〹扤搴扢㈶㔶㜳攴愴搵㑦㝦戲昲捣㑦㍥㝣㕥㜱㕦㤷愹㘲〷慣㙣愹㌷㍦㤶攸㙥㝤摣ㅣづ戳㌹〲挲搸ㄱ愲愸戱挹㌱收㐸㕡㐷㐱㈸昵㉣ㅡ换〶㑦㜸攱挱㔳㕥㝥晡搶㌹㜷晦改搶挱㤷㍦㝦晣扥㡡ㄳ㡡搴㌴ㅡ㉢㈳昴㥡挲㤱㤰㕢㔵㜴㜴戴㜸㠹㥢㍢㌳㜶〸挲〸㐳攸㌵挷攳㘳捣〸慤㔱〸愵ㅥ㜷㙡扥㘱摥㝤㐳捣昷て㤹㜰摢慥搷㌶〷戶㘸㥤愷㌸㡢㐹捤㜱慣っ搷㙢㡥慤慢攲〴㐳㈷㈱㡣ㄴ㠴㕥㜱㈲㌶挶㑣搳㍡〶㐲愹㠷㥤㡡㈷㜵㡤ㅡ搳㜷搹㔳搳㉥晢昳ぢ㍦㍦搲昲昵ㅤ㡡㌳愷㔴扣㉢㔶㡡㉡㑥慣慢攲戱っ扤ㅢ㠴㌱づ㐲慦㌸㠵㉤㙥愴㜵㍣㠴㔲昷㍡ㄵ扦昸昸つ㜷晣㌸昶捥愹ㄷ愷㑦扢㘱昸ㄷ敤㉢ㄵ㜷㕣愹㜸㈲㔶㡡㉡敥愶㍡㍣扡㘴㐰㈶捤㐹っ㍤ㄹ挲㤸〲愱㔷ㅣ㑢㡣㌱愷搲㍡つ㐲愹摢㥤㡡攷㍤戳攳ㄵ㈳㍥扦㜳昲つ㑢〷摥㝥敦㈶摢㕣愱昸ぢ㈱ㄵ敦㡥㤵愲㡡挳ㄱ户㡦㈳攵㝤㍣㠳愱㘷㐲ㄸ戳㈰昴㡡挳愸㜸㌶慤㜳㈰㤴扡挱愹㌸㌹晥攵捣㝦㜶㘸㥣㜱昵挰㍢愶敤戲晡慢摦㈸晥㉡㐹挵㜳戱㔲㌲扡攲㙥捤愹搲㥡搳收㍣挶㥥て㘱㉣㠰搰㙢㑥㘲㈷摣㤳搶扤㈰㤴扡搲愹㜹昲て㑦㌵㉤㕦㝣㔴攳〵㤳㙦敢㌹㝢改㡥㈷愹㕥㌰㑢捤晢㘰㘵㤴㍥扡㐲愳愳㕥搵攵㌳㐰㌲㙡敥换昰晢㐱ㄸ晢㐳ㄴ㔵㡥㡥㍥㠰搶〳㈱㤴晡愳㔳昹㜳ぢ搷㌶㑣昹晥攷挶㡢慥戹㝢昵㜶㤳㝥㝥㐵昱㈷㔸㉡㙦挲㑡搱㘶㐷攲摥㄰ぢ㈷㑡扡㍡㘵ㅥっ戸㤹㠱㌰戲㄰㐵㌵㠳昰ㅣ慤㜹〸愵捥㜱㙡㝥愴㙤敤㜱㍦扤搷㍥晥㡥摢〷ㅥ昶昰㤱晦㝥㐴昱㜷㕦㙡㉥㘰㘵攴㠲㡥㘶㑣敦㤸扦㍡㐶捤㙡㙥ㅢㅢつ㠵㐲愳㘶㌶㉦戶㕡㥡慤捥慥戱搱㌸㡡戳㌲换挷挶戰㘲㉥㘴昴㐵㄰㐶㌳㐴捤昸㘹戱㤴㜹〸㜵㡢㈱㤴㕡敢搴昸昳搵㉢晢扦戶敤㜶戳㉥晥㜲昵捥捦㜵慤戴ㄴて㌲愴挶㔶慣㙣慥ㄳ㥤昲㌶㌵㙥戶㌱㔲㍢㠴戱〴㐲摦戲㐴㜸㡣㜹㈸慤ㅤ㄰㑡慤㜶敡㐹㌵㑥搸㜲㐸敤㡡㐹户㍣戴攷搷扦改㜵搹摤㡡挷㌱㔲㑦ㄷ㔶㜶搲敢〹㡤㡥挷搷搱愳㠹愸戹㤴昱㤷㐱ㄸ㠷㐱攸戵挷㌱㑤㉥愷㜵〵㠴㔲㈷㌸戵晦搰㜲搷て㡤㥦㜶捣㍡㝦搷戶摣挵㠷摦㌸㐴昱〰㑡㙡㍦ㅣ㉢㈵扦㈷挹㜵㔴㥥㌲㡦㘰昴㈳㈱㡣愳㈰昴扡愳攸搳㤵戴慥㠲㔰㙡愵㔳㜷㜶昲㉢㉦つ㝡㈲㌱昳晡㉢て㌹㘳挲扦ㅢ㐶㉡ㅥ户㐹摤挷㘰㘵㐴㐹㥦㈶㡢扡㌴攵昴㘸ㄸ㍤㙤ㅥぢ戸㜹ㅣ㠴㜱㍣〴㝡㌴ㅡ㌳㑦愰敥搷㄰㑡㉤㜷敡㕢搵慦㘱攰㘹㥢慦㥡㝡搲换〷㕦晡挵㌹摢㉥㔲㍣㐴㤴晡㑥挲㑡搱㙣搱㍤㌱晢㑣㔳㈷㌳昴㈹㄰挶㙦㈰昴つ㑤愶挷㤸慢㘹晤㉤㠴㔲㠷㍡ㄵ㍦㍦扢敡挲敦〲晢㡥扦敥㡦扤て㝦愷晦㙤㠳ㄴて㑢愵攲搳戰㔲昴慢ㄷ搶㜶㥢㤰㜹㍡㘳慤㠱㌰捥㠰搰㙢㡡愱愶戵戴㥥〹愱搴㈱㑥㑤敡㡢慦㥦晡攲换㤷愶慦戹㘹扢昱㘳ㄶ㙣戳㡦攲戱慦搴㜴ㄶ㔶㑡扢搳㥤㤷捡㈷〷っ愵摦㌳晡搹㄰挶ㅦ㈰昴扡㤳愹㌱收㌹戴㥥ぢ愱㔴捥愹晢㡤㡦敦戹㙡敢㠷敥摡晤攴㜷ㅥ㍢昳愶换㥢㝡愹〱㌰㑢摤攷㘳愵㘸㜲挰づ改搶敤㌳㌹㕣挰搸ㄷ㐲ㄸㄷ㐱搴㙢〷㈶攸敤㌱收ㅦ㘹扥ㄸ㐲愹〳㥣慡㐷㡣㥡㜹㝥攲摣慤收㥣㍢敡挹晥㥦慥㕥㕢慤㜸愰㉦㔵㕦㡡㤵㤲㐹㌱㥥㜶敢昶摤敥换ㄸ晥㜲〸攳ち〸㝤扢ㄳ攰晣㑡㕡慦㠲㔰㙡㑦愷昲挲摢搷昴扥昱㠹㡦愷摤㤹慥㕢扤晤搵㔷ㅥ愷㜸㠲㈱㤵㕦㠳㤵愲㘱戵捥㥦摤㙢ㄹ晡㍡〸攳㝡㠸愲㡡戱敦摥㐰敢㡤㄰㑡捤㜶㉡㑥㍦㌲敦㠲㐳摦㕦㌰攱昸愷敦摦昷戱㈷敦㡤慢㉤㘰㤶㡡㙦挶㑡㔱挵搱㤸扢捤㍥攳昹ㄶ㠶扥ㄵ挲戸つ㐲慦㌸㡤ㅤ昷㜶㕡敦㠰㔰㙡慡㔳昱愲㝤攲㜷㑤㔹晣摢㔹㌷晥晢戳ㅦ户㕦㝣㐳㠳摡ㄲ㘶愹昸㑦㔸㈹慡戸㝢捡昰㌹戴扡㡢愱敦㠶㌰敥㠱搰㉢㡥㘲㡢敦愵昵㍥〸愵ㅡ㥤㡡ㅦ晡㝡晥戰㔹㕤㠵㈹挷慦搹晥扣戹㝦扤㙤㠱摡ち㘶愹昸㝥慣㤴っ敦㤴扢挹扥摤晣〰愳㍦〸㘱㍣〴愱搷㥤挰㐶㍦㑣敢㕦㈰㤴㑡㍢㜵昷戸攵㠹摦晤戲挷㡣挹㙢敦㙣扥攱换㐱㍦敤慢〶挲㉣㜵晦つ㉢㍢敢昳㜴㝣昲㑥㈱㙦慡㉣㈷㥣㔶昳ㄱ搶昰㈸㠴昱ㄸ㠴㕥㝦ㄴ㘳晣㜱㕡㥦㠰㔰㉡攲搴晦搸ㅤ㠷㥤摣㜴晥攸搹㌷㥤㜰㜲㘴㐸㘴慦㕢㝡㍦〹昳㕣攷㉣㘰㔲㐷收㌰㥣㔷㜵㥦戲㐵㐶㘳慢㌷攴㕣ㄵ愷慡㠵㜸㈱㔹〸㠷昳昱㔰㈶㥡愹ㅤ㠲戰ㅢ㝡㔲挴ㅦ㡢摥㠵扤㥢摢昲敤㠷挹㔹搲搶ㄳ㌲㥤㔶昷㐹搳㐸挷㌶愱㝤㘹㕢扥㜳愰扦㜱㝥㔷愶换摡慡搴搶ㅤ愴捣㙤㍥捥㈱慤㑥愹㙦㥢㔲户扤㌲㉤㑢慤昱换㥢㙤昳愰ㄲ㌳捥㈰摢戳㤵慤㔳㍡慣㐳㍤㙢㔹㡢挶攳ㄲ挷㌲㠹㕤戶㤵戶挹㙥搷攰㠹㡢摡㍢慤㌶㘹摥挸搶㍤㥡㜳㡢慤㡥昹ㄶ㉦㤰㔸㜹搹搴〱㌴㌹愷戱㈳攷戴㘱㐳㜱㘲㥡ㅦ慡㙢ぢ㤳㤷㜷㔹㙤㜹㉢㡦昶㉥戱㍡扡㔶㉣挸㘴㕢慣捤㡡㈰㜶㥤㌰㙣㔹愴㥥搲㥥㕢摡㌹戱扤慤慢愳扤愵搸㌲㍥扦㉣㠳㔳攷晣慣昶扣㠵㌳摦ㅡ㉥㔵慡慡㐷て愵慡㜶昴㍢晤㘴摣捥搱搲ㄱ㕡ㄷて㐲㥦㙦㔱㍣散㐶捦挳搶㘱㉢㕡㉣㡥挹敡㠶昵〴㤳戸っ㌳愲㌲㔰摢㈶㕥㑤㈲㝡㜸㘵戴戴搱敢戹晦扦攰敡敡㝥捥搶㑦㕥㠶换ぢ搳㌲㙤昹ㄶ慢㘳㥤搷挲ㄴ㕢㘴㍥〵㔱扢㌳昶收㡡散搵〰愱㤶慢ㄵ戵㠷㌵攷扢ㄶㄹ㡢慣收㠵㡢㜸㄰㠸敢㘵㜵㜵愴戶㙣㌱㥦㠱捡㝣㤶攲㌹㠸㐰愰捡㜸㥥㈰㈳㘰扥㘰㤷㙢㠷攲晦㡤扦㜰㔱つ㉦㔳㉥㤴攰慡㔶㘷㙤敢㤴昶㡥捥ㅥ㍤晣戶㜲㕡愶㜳㔱ㄷ㠷攷扡㡤㡣昷㈲挵㑢㄰戵つ㄰敢扤㉥㔲て㔰つ㉦晦昴㘹㥤㘴ㄵ㌲戸攸㈶㝢户捡搴戶摡搷㜱㈶㔹㥤㌹㤳ㄷ㝣愶㘳㕦㔹㙥㘰つ㍢㝦敦㔶㡥㝥㙢㜹搷愴㑣㔷愶㘷㉢㉥ㅤ愱㤷㑣㠰㐶㡡㤷扤㐶捦㍥愲㜳扤〳㑥〹ㄱ㠲戲慡㐵改㈵ち㍢ㄲ㜶ㅣ散㉦㔵㍤ㅣ戹敥㡤㐰摢户挱㐶ㄸ愵〳扤昸ㄲ㄰慥㑣攵愷㕡㙤ぢ㔶㉣戱㍡〹慦㌳搶㐹㘵改敥挵㘰㜳㜲搹㍤扢㥡㕢㍡㐷愳愵㔳㍢摡㤷㉥昹摦㡣挳㔸收换㄰敥㔲扢㍤㐶昱㠶㙦ㄳ攸慡敡戹㡣㝤搳搴㔴㔵挷㘸搴ㄸ慦㐲攸扦㝢扣敡挴挱㡢搸扦攰㍦㔹捣搷昱㕦挰㈴戴㠲慤㜶ㄸ㙣ㅢ㜳昵慣ㄶ昸摥慤㈰㙣㐱㠷㈵搷〳敢愴〰昲晢戴敥摤摥戱㌸摢摥扥㤸挳慢慦㤴㍡ㄷ㔹㔶ㄷ慦戱昵㜲慥㈹捡戵㐳愵㝡昴㈸扡㈲愶㕤㡣摢ㄶ昱㡤户㈰晡㡣㙦㘹ㄹ散㐶散㌴摥㠶慡〷慥昶ㄹ敦㘰攵愰㈱㝢㑣㥥户愰㘹昲昲㑣敢㤲ㄶ㙢愷戹㑢㌳㉤戸㑥戹搳㥣㈵㕤㤳㍢〷㉦ぢ挵〶て挷昹㜳㉣ㄲ戲㍡㐷扣㜷摤㈹ㅦ慥㍡晡扤㍢㑥㝣敦搴搳㍦㕡㜵昴〷搷㕣昳敥ㅤ慢㍥㌸改挴攱㘸㕡㑢换㡡て㝦㝤搵㝢㈷㥥昳晥㤹㌷扣扦晡扡昰㘷㜷㥦㌴㝡㜹㑢攷㜲戵㌵㌸攴㔵戰㥢愶昵㥡㝢挳ㄳ㘷㌴摥戰搳ぢ㤳㐶㕥扢愸㐹つ㜴っ㘵ㄷ攲㠶愳㔵㐳昰㌵摦㠷㔰㕢〲挶愹ち敢挵㡢昹㈱捡收㐷ㄴㅦ㐳㘰挲㤱㝥挱㝣昳㠹㕤㔴㈳昰㍦攷ㅣ昳㔳㡡㝦㐱愸㤱㄰摣攳捤捦㈰摣㐵〵ㄱ㥦〳㐹〶挳ㄷ㔰ㄷつ〶ㅣ〰㤶つ㠶㉦〱ち㤸㠴㔶戰愹㔱戰㜱㐰㤸散〰㤳㤴㥢愴㕢ㄹ愸挷㤷㡦㕡挷㔰㜶戹㜰㘷戸〹ㅦ㍦搲扦〷㘰晥㝣晣捣㍡挸㤳挹㔱慤昱㔱㙤ㄷ㔵〸㌶攱愳〷ㄴ㈶㙦㥣愸〸㔴挲㐷㉤㑡敥愲扥晦㔹攳愳㈷㉣㍡ㅦ扣搶㔸挶㠷〹㔰挰㈴戴㠲㑤㐵ㄱ摤㡦㡦捦㔱㤷㉦ㅦ㥦㌹㠶戲㡢㤸〹㐴ㅡ㠲慦戹㈹慡㔳㥦〲收捦㐷㝦戶㘶〰挵㘶㄰ㅡㅦ㕢搸㐵㤵㐴㄰攱㘳㑢㠲戶㠲㔰㘹愸㠴㡦㠱㈸戹㡢㝡㔷攷㘳㄰㉣㍡ㅦ扣〴㕡挶挷戶〰〵㑣㐲㉢搸搴ㄸ㐴昷攳攳㤵㑡㝣扣散ㄸ捡慥慤㡥㐵愴㈱昸㥡挳㔱㥤㝡戱㈲ㅦ㍢戲㌵㈳㈹㐶㐱㘸㝣㡣戶㡢㙡㌷〴ㄱ㍥㜶㈶㈸〴愱ㅡ愱ㄲ㍥挲㈸戹㡢晡扢捥㐷ㄴㄶ㥤て㕥㤹㉤攳㈳づ㔰挰㈴戴㠲㑤㡤㐷㜴㍦㍥ㅥ慡挴挷㠳㡥愱散㤲敦㈴㐴ㅡ㠲慦戹ㅢ慡㔳昷㔷攴愳㤱慤ㄹ㑦㌱〱㐲攳㘳㤲㕤㔴㤳ㄱ㐴昸㤸㑣搰ㄴ〸挵㉢扦挲挷㔴㤴摣㐵摤愱昳㌱ㅤㄶ㥤て㕥㌰㉥攳㘳〶㐰〱㤳搰ち㌶㌵つ搱晤昸戸慥ㄲㅦ搷㍡㠶戲㉢搱㌳㄰㘹〸扥收〲㔴愷慥慥挸挷㕥㙣捤摥ㄴ晢㐰㘸㝣散㘷ㄷ搵㑣〴ㄱ㍥昶㈷攸〰〸㌵ㅢ㉡攱攳㐰㤴摣㐵晤㔱攷愳〹ㄶ㥤て㕥挷㉥攳㈳〳㔰挰㈴戴㠲㑤捤㐱㜴㍦㍥㝥㕦㠹㡦戳ㅣ㐳搹〵昲㜹㠸㌴〴㕦昳㄰㔴愷捥慣挸㐷ぢ㕢搳㑡搱〶愱昱戱挴㉥慡昹〸㈲㝣ㅣ㑡㔰〷㠴摡ㄳ㉡攱愳ㄳ㈵㜷㔱扦搱昹㔸ち㡢捥〷慦慥㤷昱㜱ㄸ㐰〱㤳搰ち㌶戵ㄷ愲晢昱㜱㑣㈵㍥㡥㜶っ㘵㤷敤昷㐵愴㈱昸㥡慢㔰㥤㕡㔹㤱㡦㘳搸㥡㘳㈹㡥㠳搰昸㌸挱㉥慡晤㄰㐴昸昸㌵㐱㈷㐲愸〳愰ㄲ㍥㑥㐲挹㕤搴㌲㥤㡦㔳㘰㈹攲挳㙦晥㔸つ㔰挰㈴戴㥣て戱愹〳ㄱ摤㡦㡦㤶㑡㝣㉣㜶っ㘵㜷ㄲづ㐶愴㈱昸㥡扦㐳㜵慡戹㈲ㅦ扦㘷㙢捥愶昸〳㠴挶挷戹㜶㔱㘵㄰㐴昸㌸㡦愰昳㈱㔴づ㉡攱攳〲㤴摣㐵ㅤ慣昳㜱ㄱ㉣㐵㝣昸敤㉦ㄷ〳ㄴ㌰〹㉤攷㐳㙣㉡㡦攸㝥㝣散㔵㠹㡦㍤ㅤ㐳搹晤つ摥愵ㄸ㠲慦㜹つ慡㔳昳㉢昲㜱ㅤ㕢㜳㍤挵つ㄰ㅡㅦ㌷搹㐵戵〸㐱㠴㡦㥢〹扡〵㐲ㅤ〲㤵昰㜱㉢㑡敥愲㜶搷昹戸ㅤㄶ摥ㅡ〹㤵㙦改㥤㌰〵㑣〲㉡搸搴㘲挴昴㘳愱戱ㄲぢ攳ㅣ㐳搹㍤㤷㌶㐴ㅡ㠲慦昹〰慡㔳㘳㉢戲昰㄰㕢昳㌰挵㕦㈰㌴ㄶ晥㘶ㄷ㔵㍢㠲〸ぢ㡦㄰昴㈸㠴㍡ㄴ㉡㘱攱㌱㤴摣㐵挵㜴ㄶ㥥㠰㐵ㅦㄵ扣㠵㔳㌶㙢㍣〹㔰挰㈴戴㠲㑤㜵㈰扡ㅦㅦ㍢㔶攲㘳㠴㘳㈸扢㌷戴ㄴ㤱㠶攰㙢扥㠴敡搴づㄵ昹㜸㠵慤㜹㤵攲㌵〸㡤㡦㝦搸㐵戵っ㐱㠴㡦㌷〸㝡ㄳ㐲㉤㠷㑡昸㜸ぢ㈵㜷㔱摢攸㝣扣〳㡢捥〷㙦㉡㤵昱昱ㅥ㐰〱㤳搰ち㌶戵〲搱晤昸攸㕦㠹㡦㝥㡥愱散㙥搵ㄱ㠸㌴〴㕦昳㕦愸㑥㙤㔲㤱㡦捦搹㥡㉦㈸晥つ愱昱昱㤵㕤㔴㐷㈲㠸昰昱㌵㐱摦㐰愸㤵㔰〹ㅦ摦愲攴㉥慡㑥攷攳㍦戰攸㝣昰㐶㔷ㄹㅦ㍦〰ㄴ㌰〹慤㘰㔳慢㄰摤㡦㡦㥦㝦慡㜰㤴晥㤳㘳㈸扢㠳㜶㉣㈲つ挱搷慣愹挶ㄶ晣〰㤸晦㔱扡〱戳搹㤳愲づ㐲攳㈳㘰ㄷ搵㜱〸㌲㤴㠱㝡ㄱ搴ㅢ㐲昱㡥㥡昰搱〷㈵㜷㔱晦㐶ㅤ摥㔹㕣㍤㉣㤸㌵㈲改昲㉤摤〴愶㠰㐹㐰〵㥢攲捤㍡㍦ㄶ㍥慣挴挲〷㡥愱散扥摥挹㠸㈴㉣㙣㠵敡搴㝢ㄵ㔹搸㥡慤ㄹ㐴戱つ㠴挶挲㘰扢愸㑥㐱愰愱昸㥡㐳〸ㅡち愱㜸㝢㑦㔸搸づ㈵㜷㔱慦改㉣っ㠳㐵ㅦㄵ扣㉢㔸㌶㉡㜶〰㈸㘰ㄲ㕡挱愶㝥㡢攸㝥㝣㍣㔳㠹㡦愷ㅤ㐳搹敤挶搳ㄱ㐹昸〸愱㍡昵㘴㐵㍥㈲㙣㑤㤴㈲〶愱昱㤱戰㡢㙡つ〲つ挵搷㑣ㄲ㤴㠲㔰㙢㔱ㄴ㍥搲㈸戹㡢晡㡢捥挷㉥戰攸㝣昰摥㘵ㄹㅦ㘳〱ち㤸㠴㔶戰愹㌳ㄱ摤㡦㡦扢㉢昱㜱㤷㘳㈸扢㈹晡㝢㐴ㄲ㍥愶愰㍡㜵㘷㐵㍥愶戱㌵搳㈹㜶㠷搰昸㤸㘹ㄷ搵搹〸㌴ㄴ㕦㜳ㄶ㐱戳㈱搴㌹㈸ちㅦ㜳㔰㜲ㄷ㜵㠳捥挷㕣㔸㜴㍥㜸㍦戵㡣㡦昹〰〵㑣㐲㉢搸搴戹㠸敥挷挷㘵㤵昸戸搴㌱㤴摤愸扤〰㤱㠴㡦〳㔰㥤扡戸㈲ㅦ〷戱㌵㑤ㄴ〷㐳㘸㝣㘴敤愲扡㄰㠱㠶攲㙢收〸捡㐳愸㍦愲㈸㝣㔸㈸戹㡢晡㠳捥挷㐲㔸捡敥昲㤶ㄱ搲っ㔴挰㈴戶㥣㄰戱愹㡢ㄱ摥㡦㤰搳㉡ㄱ㜲慡㘳㈸扢㝤捣㝢挰㐲㐸〷慡㔳慢㉢ㄲ搲挵搶㉣愵㔸〶愱ㄱ戲摣㉥㉡摥㐷ㅥ㡡慦戹㠲愰㕦㐱㈸摥㐱ㄶ㐲づ㐷挹㕤搴㜱㍡㈱㐷挲愲て㄰摥㜸㉥攳㘳㈵㐰〱㤳搰ち㌶㜵ㄵ愲晢昱昱慢㑡㝣慣㜰っ㘵㜷戴㜹㙢㕡昸㌸ㄱ搵愹挳㉡昲㜱㌲㕢㜳ち挵㙦㈰㌴㍥㝥㙢ㄷ搵㜵〸㌴ㄴ㕦昳㔴㠲㑥㠳㔰扣戱㉤㝣㥣㡥㤲扢愸㌶㥤㡦㌳㘰㈹攲挳敦戰攳㑣㠰〲㈶愱攵㝣㠸㑤摤㠸攸㝥㝣攴㉢昱㤱㜳っ㘵㌷摡㜹挷㕣昸㌸ㅦ搵愹㑣㐵㍥㉥㘴㙢㉥愲昸㈳㠴挶挷㈵㜶㔱摤㡡㐰㐳昱㌵㉦㈵攸㌲〸挵晢敤挲挷攵㈸戹㡢摡㐷攷攳㑡㔸㜴㍥㜸㥢扥㙣㝣㕣つ㔰挰㈴戴㠲㑤昱愶扥ㅦㅦ戳㉢昱㌱换㌱㤴摤晦扦ぢ㤱㠴㡦㕢㔰㥤㥡㔱㤱㡦摢搸㥡摢㈹敥㠰搰昸昸㤳㕤㔴㜷㈳搰㔰㝣捤扢〸扡ㅢ㐲摤㡢愲昰㜱て㑡敥愲㈶攸㝣摣〷㡢捥〷戳〷捡昸戸ㅦ愰㠰㐹㘸〵㥢扡て搱晤昸㐸㔵攲㈳改ㄸ捡搲ㄲㅥ㐰㈴攱攳㔱㔴愷攲ㄵ昹㜸㥣慤㜹㠲攲敦㄰ㅡㅦ㑦搹㐵昵㈰〲つ挵搷㝣㥡愰㘷㈰搴挳㈸ちㅦ捦愲攴㉥㙡㤴捥挷昳戰攸㝣㌰愳愱㡣㡦ㄷ〱ち㤸㠴㔶戰㈹收㍦昸昱㌱戴ㄲㅦ㐳ㅣ㐳㔹慡〴㤳ㅤ㠴㡦㌷㔱㥤摡戶㈲ㅦ㙦戳㌵敦㔰扣ぢ愱昱昱扥㕤㔴㡦㈲搰㔰㝣捤て〸晡㄰㐲㌱㔵㐲昸昸〸㈵㜷㔱㥢改㝣晣ㄳㄶ㥤て㘶㔸㤴昱昱㈹㐰〱㤳搰ち㌶挵㝣っ㍦㍥㝡㔷攲愳㤷㘳㈸㑤摤愸攵慤攰㡤戸攵摥ぢ㜰戳戰㔷戳㜵ㄸ敦ㄱ昶㉤㈰㥢㝤攲搲捥慥㜶戹愱搹愷㌰愹㝤㜶㝢搷愴收捥㈵㉤㤹ㄵ晤ち捥捡摥㡢慣㌶愴ㅢ㜴㈰敢愰㐴搷扥㘴㠹㤵㌷ぢ昳摢㤷㜶攴慣改㤳晥㉦愴㈳㐸户攱㥥㥡㔲㔵搵ち换㝦㜷㠷扤ち㥥ㄸ㌴㔸慡㙡㥦㐱挸搲ㅢ愵㤲㔳慦㈵㌵挸㙡㄰挰晡㙥㐶ㄷ㌴㜷戵㔸扤ち㤲㔰㈰敢㜵〵戰㠸ㅣ㡥㝣捦挲㠲㐵戸㘳㌸愹㑦㘱㙡㐷㜳扥愵戹捤㘲㘷昴户愱㌳慤㠵挸搷搸愳扤戳㤹〹昴㝤ちぢ㍡㌲㙤㥤㑢㜸敢㌹户㘲搳愲㤲摣愳慥㉤㑣㘸㙥敢㐴㌵搲㡢㕣慦㉦捣㕦搴㝥ㄸ晥㤲㘶㘹㙢摢搴捣㤲捥晦ㄳ扤愲愴㕦㈸愴㙢㔴戵慡慥㔶㜵搵㜵晦㙤晦ㄸ摦㘰敦敡㘷㘷㑡つ挶㌸敤敡㘸捥㉥㈵㘱㔲㑦〴戲㠶㐲晡戰慡㤶㔹つ愵㌷㤹戵㉥㉣挹㄰㘱㕢㡢晥㐲挴㌷㔹挱晢昳愴㐱㠰㥢摦愲㌹扤扦㠳搸㝤敡㥥搳扢㜳愷晥㐷㝦敢㔳换㍣㡣つ㑥㔵ㄹ〰㜰㕦㝢〸㌱㝤㠵㈳ち㝢㈶㐶〲㑢愵挳㌲㔰㄰っ㐷㘸摦敥搵㈹挸㜶攸㕤㤸㤹挹㕡㉤㐸搲㘸捤㜴昵戵ぢ捣㤶挱摦㠲㜴㍡戶㠹敤慤慤ㄹづ㌹晥㐵换晣㕣愶挵慡㉢㡣㕦摡搵㡥㜴㘹戳〰㈱攳搲㔱㘵㤶㐳㤵㔹㙥愷㔳ㄴ收㌱㜹㑢搶ㄹ慢㝤㘱愶愳戹㙢㔱㙢㜳慥㡥〵㈶㔸晤㥦ㄸ慢昸㈵愸〱㤹敥攲捥㈵愵昹ㄹ㜶㤶〴扡㝢㌴㔲㥡㐸ㅤ扢ㅦ㈳扡㕡ㄹ昸愷晥换摣ㅥ捣㍣昲愳㘱㝥㡦㘸戵昸捡㔴㈴㙤昹晣ㄷ㘷㉦晡㝣㈵㔶㘴㜲㔲㑣捤愱搶晣〱㔰慥昰㕢挳散㤸㜵㈶㝥昴〴㈰㌰戳㍤㤳㥦㤲挹攱慦搳㝡㍡㝦㥢㔶㠷慥攵㔴搳ㄱ㘴㉡捥㐴㘴㜷㈱㙢㙣㔹㜳摥敡愸愳㘲㍥晥昶慥㠶㐹㍣㠶摤㠷摣㤹慢㙡㙢㝢搵昹搵㌵摤㡤搵攰㘴㌴攸㝦摢㌷扤㉣晥㈷㜳㔳攳㜶㘴慢〲昲ㄳ昵㈳㌶挷晣㠹摢挴㈴ㅦ㙥㑦〹攰㘷〲㝥㠱愸㝤ㄹ挶搲扥㈹捥㡡㐱敥㡣〹㔰㡤晣㔵ㄷ昳㜵敡㤰摢㈲㠹㍥戵戲㈱扤戴〴ㅤ挳捥捤愹㠳て搶㕡㍢㡤昹ㄸ攵㔶㍥㘰捦慦㑣〴挲㉦㐳㔵㜵㜵つ扡摡㈸㑤㙥㉣慢㤶㈱收㕢㤲戹愳㤸慤㘲㌰捤㜳㌳敥㉣㠸㡦扦㘵㉣晡㍢愹搲攳㠸㐰挰慣〶扣㉡愰㕥㠷㜴㌹㤸㑤㡤㑤ㄲ搸挷攵㌹〸挵㑣ぢㅥ〹㘸扦㕢㡡改ㄵ晣敤慡㌲昸㜷㜳ㅢ㍡㔷慡㡦攰挱昹搲㌴ㄸ昸㘳慣㜱ㅡ昲㠶㘵ㅤ戴敢ㅦ㤶捣攰㤰㘱挹㍦挳㜴㠷愵㘲ㅡ㠷扢ㄹ㕡㕦〷㠰㌱㝢ㄱ昸㉦㝦㐰㙦〲晡㄰挰慣て昶户搱ㄷ㈵㕦ㅥ㝤㡥搷挱㘳㄰㜰昰昸愵ㄶ㕦攳㜱ㄳ挶摦㤴昱㝦〴愰㤴㐷愶㘵搸㍣昶〳㘴㠳㜹㘴㈲㠷昰搸㥦㠱㐹㐲ㄱ㡦㥢㐱扢㝥ㅥ慢攱㈶㍣㙥㉥㐱散㠲敡〱㤵て㡦㕢〰㘳㙥㐹㈰㔳㐳㝣〰㕢ㄱ㌰㤰〰㘶㡢〸㡦㕢愳攴挷愳㕦㤲〸㜸摣〶㜰昰㘸㙡昱㌵ㅥ户㘵晣挱㡣捦捣㡥㔲ㅥ㤹捥㘱昳㌸〴㤰つ收㜱〰摣㠴挷愱っ捣㑣㤰㈲ㅥㅢ愰㕤㍦㡦捣ㄸ挱〷㝦㠶挸㈰㔸㤱敦㤶㤰㍥㌴㙤て㡣戹〳㠱㑣㈹昱〱っ㈷㘰〴〱捣㌲ㄱㅥ㜷㐴挹㡦㐷扦攴ㄲ昰㌸ち㜰昰戸慤ㄶ㕦攳㜱㈷挶ㅦ捤昸捣〸㈹攵㤱㘹㈰㌶㡦㍢〳戲挱㍣㡥㠴㥢昰ㄸ㘲㘰㘶㤰ㄴ昱ㄸ㠱㜶晤㍣㌲搳〴ㅦ㕣摡㘵㄰㤷㐷愶㥢昸搰ㄴ〳挶㡣ㄳ挸㔴ㄴㅦ㐰㠲㠰㈴〱捣㑥ㄱㅥ㔳㈸昹昱攸㤷㤴〲ㅥ挷〰づㅥ攳㕡㝣收ㄹ㌸昳攳㉥㡣扦㉢攳㌳㤳愴㤴挷㐶攸㠴㐷㤳晢戵㉣ㄱ㐸敤戸㔱㡤〷㐴㌸摢㡤㐱㈶愰㔴挴㔹㈳戴敢攷㡣搹㈸昸㈰㔵㠵㐱戰㈲㕦愶愴昸㔰㌲〱ㄸ㜳㈲㠱㑣㔷昱〱㑣㈲㘰㌲〱捣㘰ㄱ捥愶愰攴挷㤹㕦攲ち㌸㥢〶㌸㌸㥢愱挵搷挶摥㜴挶摦㥤昱㤹㙤㔲捡ㄹ㔳㑣散戱㌷〳㤰つㅥ㝢㝢挳㑤㜸㥣挹挰捣㑥㈹攲㜱㌶戴敢攷㤱㔹㉣昸攰敦㈷ㄹ挴攵㤱愹㉣㍥㌴敤〱㡣㌹㤷㐰愶戹昸〰收ㄱ㌰㥦〰㘶扥〸㡦ぢ㔰昲攳搱㉦攱〵㍣敥〵㌸㜸捣㘸昱㌵ㅥ昷㘶晣㝤ㄸ㥦㔹㉡愵㍣㌲㌵挵ㅥ㝢摣㠷㘵㈹ㅤ㝢慤㠰〸㘷晢㌱〸㌳㔸㡡㌸㍢〰摡昵㜳挶㑣ㄷ㝣昰挷㤷っ㠲ㄵ昹㌲摤挵㠷㤲㠳㠰㌱㥢〸㘴㉡㡣て攰㘰〲㌲〴㌰㍢㐶㌸换愲攴挷㤹㕦㔲っ㌸换〳づ捥づ搳攲㙢晢慢挵昸〵挶㕦〵㐰㈹㘷挷㐰户ㅥ捥㡥〵㐴㌸㕢挴㈰捣㜲㈹攲散㄰㘸搷捦ㄹ戳㘱昰挱ㅦ㜱㌲㠸换ㄹ㔳㘲㝣㈸㘹〱挶㙣㈵㤰改㌲㍥㠰㌶〲摡〹㘰〶㡤㜰戶〴㈵㕦捥㝣ㄲ㘷挰㔹〷攰攰㡣㔹㌲㙥㝣㙤㥣㜵㌲㍥ㅦ㤱愱㤸敤㔲捡ㄹ㔳㕣散晤㜵㈹㈰ㅢ扣扦㥥つ㌷攱㜱ㄹ〳㌳㍢愶㠸挷攵搰慥㥦㐷㘶搱攰㠳ㅢㄶっ攲昲挸㔴ㅡ㜷㌳戴㘳挰㕦〱㘳ㅥ㑥㈰搳㙣㝣〰㐷㄰㜰㈴〱ㄷ〰㈰㍣ㅥ㠵㤲㉦㡦㍥搷㈸挱攳㉡挰挱攳挵㕡㝣㡤挷愳ㄹ晦ㄸ挶㘷㤶㡣昰㠸㘳㕥㌹换ち㔴㈹愶挶搸㍣ㅥぢ挸收摤㝦㑦扡摥㙢て㡡〹㌵挲攵㜱っ捥捣㥡㈲㉥㑦㠰㜶晤㕣㌲〳〷ㅦ晣ㄹ㉡㠳戸㕣㌲つ挷愵㉡挴㡤戳㑦ぢ㑥〴挶㍣㠹㐰愶攸昸〰㑥㈶攰ㄴ〲㤸戵㈳㕣晥〶愵摥敥㜹㠹晣ㅤ戳捦搹挸㙦〱〲㠳㜷㙡㔱㌵〶㑦㘵搴搳ㄸ㤵ㄹ㌶愵㈳㤱㘹㌵㌶㠳愷〳戲挱㈳㤱㠹㌸挲摥ㅡ〶㘶㐶㑥ㄱ㝢㙢愱㕤㍦㝢捣摣挱〷㝦攱捡㈰㉥㝢㑣摦㜱挹搱㐶攲敦㠰㌱捦㈲㤰愹㍤㍥㠰摦ㄳ㜰㌶〱捣昶ㄱ昶晥㠰㤲摦㐸昴㑢昲挱㐸㍣ㄷ㜰昰挸㙣ㅦ㌷扥挶攳㜹㡣㝦㍥攳㌳㌳愷㤴㐷愶攳搸戳㘰挵愳ㄶ㈶敢〸㘷ㄷ㌲〸戳㜶㡡㌸晢㈳戴敢攷㡣搹㍤昸攰捦㘳ㄹ挴攵散つ慣戹㑤搶㌸扢〴ㄸ昳㔲〲摦昴〷㕣㐶挰攵〴扣〵㠰㜰㜶〵㑡㝥㥣昹㈵〲㠱戳慢〰〷㘷捣〸㜲ㅢ愰㜱㜶㌵攳㕦挳昸捣摥㈹攵㡣㈹㍢昶搸扢ㄶ㤰つㅥ㝢㑣昲ㄱㅥ慦㘳㘰㘶晢ㄴ昱㜸〳戴敢攷㤱㔹㐱昸攰て㙥ㄹ挴攵㤱愹㐱敥㘶㘸㍣摥〴㡣㜹㌳㠱㑣ㅢ昲〱摣㐲挰慤〴㌰㤳㐸㜸扣つ㈵㍦ㅥ晤ㄲ㠸挰攳ㅤ㠰㠳㐷㘶ㄲ戹昱㌵ㅥ敦㘴晣㍦㌱㝥つ㉥慤〸㡦摡㉣挸㔴ㅦ㝢散㜱ㄶ㤴㈵〲愹ㅦ㌱昷〴㐴㌸扢㥢㐱㤸ㄱ㔴挴搹扤搰慥㥦㌳㘶づ愱㝤昸㤳㕤〶挱㡡㝣㝢㐱敢㌶㌹〴愵㌳摢晤ㄹㄸ昳㝥〲㤹㕡攴〳㜸㠰㠰〷〹㘰戶㤱㜰昶㄰㑡摡㙣㠷扦昱昷㤹敤晥〲㄰㤸摡㐴㡢慡㌱昵㔷㐶晤ㅢ愳㌲㌳愸㜴挴㌱ㅤ挸㘶慡攲昱摤㈰㐰㠴愹㐷ㄹ㠴㔹㐳㐵㑣㍤づ敤晡㤹㘲㜶㤱㌰昵〴㠳戸㑣つ㠱搶㈵㐲ㅢ㕤㝦〷挶㝣㤲㐰愶ㅦ昹〰㥥㈲攰㘹〲㤸㤱㈴㑣㍤㠳㤲摦攸昲㑢㐴挲攸㝡づ㜰㜰戶㠳ㄶ㕦㍢扥㝢㥥昱㕦㘰㝣㘶て㤵㜲挶㤴㈱㝢㉦㝤ㄱ㤰つ摥㑢愳㜰ㄳㅥ㕦㘲㘰㘶ㅢㄵ昱昸ち戴敢攷㤱㔹㐹挲攳慢っ攲昲挸搴㈴ㅦ㥡㕥〳挶㝣㥤挰㤴㍦攰ㅦ〴扣㐱〰㌳㤹㠴挷㌷㔱昲攳搱㉦㠱〹㍣扥つ㌸㜸ㅣ慢挵搷挶摥㍢㡣晦㉥攳㌳敢愸㤴㐷愶ㅡ搹㍣扥〷挸〶昳㌸ㅤ㙥挲攳晢っ捣㉣愵㈲ㅥ㍦㠴㜶晤㍣㌲㥢㐹㜸晣㠸㐱㕣ㅥ㤹搲攴挳攳挷挰㤸晦㈴㤰改㑥㍥㠰㑦〸昸㤴〰㘶㐰〹㡦晦㐲挹㡦㐷扦挴㈷昰昸㌹攰攰㜱扥ㄶ㕦攳昱ぢ挶晦㌷攳㌳㕢愹㤴㐷愶㈸搹晢㜰㉤愳㜰㠹攰慢捦㜶㑤㠰〸㘷㕦㌱挸挱㈸ㄵ㜱昶つ戴敢攷㡣ㄹ㑦挲搹户っ㠲ㅡ攴换戴㈷ㅦ㑡扥〳挶晣て㠱㜹㝦挰昷〴晣㐰㠰〵㠰㜰昶㈳㑡㥢扢挷㜶摡㌵㘷㜹〴㠶捦挴昷㌳昰㈰慤㔹慢㐰㈳敤ㄷ㔶㔰㠵ㅢ㈴㡡ㄹ㑤愵愴㌱㡤挹㈶㡤㈷ㅣ戲㤴㤲戶ㄴ㄰㈱つ搷搰慢ㄴ戳㥤㡡㐸挳㕦㤲㙦〰㘹换攱㈶愴搵㌲〸敡㤱㉦㔳愳㝣㐸㌳㠰㌱㝢ㄲ挸戴㈹ㅦ㐰ㅤ〱㝣㔸愰㘲㈶㤵㤰ㄶ㐰挹㙦愰昹㈵㔰㘱愰昵〶ㅣ㥣慤搴攲㙢㥣昵㘱晣扥㡣捦慣愷㔲捥㤸敡㘴㜳挶ㅤ㔶㤶㔲捥㑥〱㐴㌸ぢ㌲〸㌳愲㡡㌸摢ㄴ摡昵て㌴㘶㑥〹㘷晤ㄸ〴昵挸㤷改㔳㍥㤴昴〷挶ㅣ㐰㈰㔳慢㝣〰㥢ㄱ戰㌹〱捣戶ㄲ捥戶㐰挹㤷㌳晦㡢昲㕢〱づ捥㤸㔱攵挶搷㌸ㅢ挸昸㕢㌳㍥㌳愳㑡㌹扢㄰㍡㥢戳㡡㍢攷㐵㠰〸㘷摢㌰〸戳愶㡡㌸ㅢっ敤晡㌹㘳㜶㤵㜰㌶㠴㐱㕣捥㉥㠵搶㙤戲昶〳㍢ㄴㄸ㜳㍢〲㤹㝥攵〳㘸㈰㘰ㄸ〱捣挸ㄲ捥戶㐷挹㡦㌳扦㐴㉣㡣戳攱㠰㠳戳慢戵昸ㅡ㘷㈳ㄸ㝦㐷挶㘷昶㔴㈹㘷㑣㤹ㄲ捥㡣㤱㠰㙣昰て〳㤳慣㠴挷㔱っ㝣〷㑡㐵㍣㡥㠶㜶晤㍣㌲㉢㑢㜸摣㤹㐱㕣ㅥ㤹㥡攵㐳㔳〸ㄸ㌳㑣㈰搳戶㝣〰ㄱ〲愲〴㌰㤳㑢㜸㡣愱攴挷愳㕦〲ㄷ㜸㑣〰づㅥ敦搷攲㙢㍣㈶ㄹ㍦挵昸捣扡㉡攵㤱愹㔶㌶㡦㘹㐰㌶㤸㐷㈶㘷〹㡦㘳ㄸ㤸㔹㕡㐵㍣敥ち敤晡㜹㘴㌶㤷昰㌸㤶㐱㕣ㅥ㤹搲攵㐳搳㙥挰㤸攳〸㘴扡㤷て愰㤱㠰昱〴㌰〳㑣㜸㥣㠰㤲ㅦ㡦㝥㠹㕦攰㜱ㄲ攰攰㤱ㄹ㘰㙥晣㍤愸戱慦㐴㑣㘶晣㈹㡣晦㈶〰愵㍣㌲㐵换收㜱㉡㈰ㅢ捣㈳㤳扡㠴挷㘹っ捣散慥㈲ㅥ㜷㠷㜶晤㍣㌲ぢ㑣㜸㥣挱㈰㉥㡦㑣〵㜳㌷㐳摢慦㘷〲㘳捥㈲㤰㘹㘲㍥㠰搹〴捣㈱㠰㤹㘳挲攳ㅥ㈸昹昱攸㤷㌰〶ㅥ攷〱づㅥ㤹㌹收挶搷挶攳㝣挶㕦挰昸捣㌳㤱㜶敦挹㤲搳敥㕡收ち㤴摥〲㉦㑢㑦㤰ㅡち㑣㔴㤸摦戵愲〵挹㈱㕣攵㉤㜱㝢㡤㌷昷〳愲挳㡤晡昶づ摣㐲慣㈹㝤扡㠸攷晢㈴㉡敥搵扦攴挹㉤攲㐶ぢ昳㈰㙡慦晡愱晣改㈴㥥㍦ㅢ摥晤ㄸ〷晡㜰㌱昶㐶ㄳ晢捦㙡捥㜵戴㜷戶ㄷ扡〶捦㐷攲搳㘰㍥〹愷㔰㔵ㄵㅡ㕦㝢〵㈲晡搶挹つ慢㘹攳攳㔸㤷昱挹㄰㠱挵㙤敤㠷戵㐹㙢㙡㍢昹㐰㈰攱慢㘷㑦㔶ㄳ㘰㍤㕣戶〳㜹㐱收㑣〴㔱㌰昷㐵㠸㍥昵㐱㈶ㅤ攰㔳㘵散㠷昲戰㠹ㄳ㈶捥㙢㉡挴ㄲ昱㝣㉡ㅣ㠹㠶㤲㔶㉣ㄹぢ㘵㔲㠵㐲㈲ㄳ捡㔹戱㔴㈶㔶挸㘷㡤晤㍤㘸㌴ㄵ挹ㄷ㐲挹㕣㌲ㅢ捥挶㤲挹㕣㉡ㄶ㉦㘴戳搹㜸㍣ㄹ捦愴攲攱㙣㤰改っっ㙦ㅥ〰ㅦ昳㐰㠸㈰戳ㄸ㐴㜵㄰㔵㑤㔴㌱愷愱ㄸ㔵㕢㡤挳㠲つ㑤㌵㐰㠸㉡㤵㔵㌹㤵㔷㔶㑤捦㥥㙡㔸挹愳㙥捡㔲ㄴ扣㘷㠵ㄸ〶㌳ㄴ㙡捦〷捤ㅢ收㔴摣㡢㜴收攱㡢㤹攳愶攴㈱〲挱ㅥ㔰㔰㘷㔸㈸㙥㌲㜱㐲㔳昱挳㜴㡤〲搴扤愱㤶㉣っ㍣愵户搳㔸〸㑤㕦㘸戴㤴慣㘰㡤ㄳ挵㕣〴愳㌹㤴㜵っ㠱㔰〶昴搲户㡢愱攷㡡㝣敢愰攵晥愰搶㘲㐳㌸ち㘱愸㌲㕡〱愹㌸戴搴ㅡ挰㌸扣㡡㠷㠷㠹㐸㌲㍣摡攱㡣攱ㄱ㐰㤹㍤㘳㉣㐱搹ㄹㅥㄱ㍣㤸戹㄰㑥收㌲戱㐸㉣㘹ㄵ㔲㠵㜸㌸㠱㔲㉥ㄳ㐹㈴㐳搱㤰㜱愸〷㑤攵挲昹㘴㍥ㄱ㠹愷ち搹㤸㤵换愵ぢ㜸㔴㔶㍡ㄱ㡤㈷昲搰愶㜳挱㕥㑥㜸戳〳㍥㘶㈷㐴戰户慢敡愲㙡㈹㔵㝤㕣㤵㠷㔲㐱慡昰㔵㈷㘲ㄳ搸㝤㔸挷㔵㜷扡晣ち㈲㄰摣〴ち搱戱ㅢ㑣㤲㙥㤲攷攰愶慥晥㈸慡㐶搰㙢㌸㠴敡て扤㄰㝢㌴昴ㅥ戱㥢㐱㉢挴ㅥ㠵㉡㍣㘲㡦〵愴㌲戱㐷〰㕡㑥散收㠸㈴挴ㅥて㘷㄰扢〵捡㐲散〹㈸摢挴㘲慦〹挷搲攱㙣㌲㕡㠸挵㈲㠹㐴㌶㤳㑡㘴挳㐹㍣㌵㍢㥣㑦攵㌳〹攳搷ㅥ㌴㤲捥ㄴ慣㔰㉣ㄷ〱㈰ㄶ㠹ㄷ㌲搹㙣㈸㡣㑥戱昰摣散㔸㌲ㄱづ㙥改㠴㌷㑦㠴㡦㜹ㄲ㐴㜰㉢㔷㜵㌲㔵愷㔰㌵搰㔵ㄱ㈰㔰戵つ㔵昸慡づ㥤搸㔳㘹㍦つ㈲㄰摣ㄶ㐶㝣慡㡣搳㔱昴ㄹ摦㙢愰㉥ㅥ摦㘷㐰㔳㍡扥〷㍢㔱捣戵㌰捡昳㠱攵㐹挱㙡㈸慢㘶愷㥣〵扤搷つつ搰㑡㌷㉣搲扡挱㘴㌷㜰㤶㔴〵㕦挶㠷挱㐹ㄸ㍦〷㌸㌰扥㍤捡挲昸戹㈸㍢㡣㘷㌳昱扣㤵挵挴ㄶ㉦挴搲戹㘸㌶㥥㡤㐶㈲㤱㜴捡捡挵ち㤹㐴捣㌸捦㠳㠶慣㜴㌴ㅡ㐹愵㈲愱㜸㍥㤶㡤㈷㌳愱㝣㈱ㄵ㑥收㐳戹㕣㌸㥥〸㐵㠳㑣㥥㘰㜸昳㝣昸㤸ㄷ㐰〴㠷扢慡ぢ愹扡㠸慡ㄱ慥捡㐳愹㔱㔴攱慢づ搰ㄹ扦㤴㉥㤷㐱〴㠲㍢挱㠸㑦㤵㐹挶㑤昲㙢㤲搲攰㘸㔷㝦ㄵ㔵㐹㈲昸㤸ㄱㄵ㘲㌰㤶慥㠵摥攳㌰〲慤㜰㌸㑦攳搰戸ㅥ㤰捡㐳㜹て㕦㘲愳㠸㈴挴摥〸㘷㄰ㅢ㐳㔹㠸扤〹㘵㜷㡥〸ㄵち愹㤸ㄵ㑢㈴愲㘰㌲㥦㑤㕡㘹捣〲㤸て昰㡢㤲㉦㘴㡣㥢㍤㘸〲捦捤换挷愳攱㑣㌲㥤㠸愵㤲改㜴㍣㘴ㄵ愲挹㔸㉥㤶㐹㠴㌰㥣㠳㜱㈷扣㜹ぢ㝣捣㕢㈱㠲〹㔷㜵ㅢ㔵户㔳㤵㜴㔵ㅥ㑡㡤愱ち㕦㌵㐵㈷昶㉥扡摣つㄱ〸敥〲㈳㍥㜸㝥㈲㡡㍥㐳昹㕥愸㡢㠷昲㝤搰㤴づ攵㕤㥤㈸收㥦㘱㤴〷㍦㥢㘳搹つ扢戱㙡㜶挳㠳搰㝢摤搰〸慤㜴挳慥㕡㌷㜴て攵㌱扥㡣㡦㠷㤳㌰晥㔷㠴〲攳ㄳ㔰ㄶ挶晦㠶戲捤㜸㉣㥤㑦挷㈳㤱㔴㍣㠵ㅦ攱㕣㌸㥣戶愲昱㘴ㄴ㍦挱改㑣㈸ㄶ换㠴㡣㐷㍣㘸㍥㥤㑣㘳㝡挹㠷ぢ㘹㡣晣㜴㌴㤵戳ち㈱㉢㥣挵㘳昵昰㈰挳㐸㌴㌸搱〹㙦㍥ちㅦ昳㌱㠸攰㈴㔷搵㍤㜹㑣㜶㔵〴〸㔴㑤愳ち㕦ㄵ搲ㄹ㝦㥡昶㘷㈰〲挱改㌰攲㔳㌶㤴㜷㜷昵㉦㄰㍢㤹㠸㐹攴㜰㈶㠳戱昴㌲昴ㅥ㠷戳愱ㄵづ户搷㌸㌴㕥〵愴昲㔰㙥昰㈵㜶づ㈲〹戱慦挳ㄹ挴敥㠱戲㄰晢て㤴㙤㘲ㄳ㌸ㄸ捡ㄷち戹㔰㈴ㄶ㡡㈵㈳挹㑣㍡㤷㡢㠶㤳ㄱ㉢㤶㡦㘷㈳㌱换㜸挳㠳㠶戲昹㝣㍣㔳㠸㐷㔲攱㑣㉣ㄹ户㌲㤹㘴捣㡡挷搳搹㙣㉡㥡㡦收慣攰㕣㈷扣昹㈶㝣捣户㈰㠲昳㕣搵摢㔴扤㐳搵㝣㔷㐵㠰㐰搵㕥㔴攱慢戶搲㠹晤㠰昶て㈱〲挱扤㘱挴愷捡昸〸㐵㥦愱晣㌱搴挵㐳昹㥦搰㤴づ攵㝤㥣㈸收㈷㌰捡ㄳ扤捤ㄹ散㠶晤㔸㌵扢攱㌳攸扤㙥㌸〰㕡改㠶愰搶つ㈶㘷ㄴ㤹㤵晢晡㌲捥愴っ㘱晣㑢攰挰昸㐱㈸ぢ攳㕦愱㙣㌳ㅥ〲㔵愱㘴㈴㕣〸㜱〲㠹㠴㔲㠹㜴㌴㤳捥ㄷ昲昱㝣㌴ㅤ换ㄵ㡣慦㍤㘸㈶ㄷ㉥攴挳㤸㐰㌲戹㐸㉣㔲㠸愴戲戱㔴㈸ㅣ挱昸户攲挹㔴㍡ㄵ㙣㜲挲㥢摦挰挷晣ㄶ㈲㜸戰慢敡㥥㍣㌲慥㡡〰㠱慡㍣㔵昸慡ㅡ㥤昱㥦㘸晦ㄹ㈲㄰戴㘰挴愷捡攴攴㘱㜲慡㌰㌹㍢〴ぢ慥扥扡ㄶ慡昹㐴捣㠳㔰㡢ㄸ㡣愵㕡攸㍤づて㠱㔶㌸晣晥晢敥〳㡣㙥づ扦㠳戶晣㔸㘲㌱㥣㠴㐳扥收〳ㅣ戶愰㉣ㅣ〶㔰戶㌹挴〴ㅡ㐹攷㜱昰ㅥ戱㌲㌱ㅣ㤱攳ㄸ㍥ㅣ㐹㠵㌰〱㐷㐰㘹㈶㙤昴昲愰㤹㑣㉥ㅦ捥收㤲愱㘴㈸ㅥ挳搴㤱㡥挶昰攲㡤㙣づ㜴攷愲昱㜴㈶搸敡㠴㌷㝢挳挷散〳ㄱ㙣㜳㔵摤ㅣ戶扢㉡て愵㍡愸挲㔷晤ぢ㥢攱ㅤ愴昵㘳㤴晥㄰㠱㘰㈷㡣昸㤴㜱搸攵敡户㈰㤶㡦㘸㤱㠷慤慢㘵っ挶搲㐰攸㍤づ㤷㐳㉢ㅣ扥慢㜱㘸っ〲愴昲㜴昰戶㉦戱㉢㄰㐹㠸摤ㄶ捥㈰昶㔷㈸ぢ戱㠳㔱戶㠹㡤㐴愲昹㌴㈸㡤㈴戳改㔸㌶㠷㘳〵㥣晤㠴㌱晣搲〵ㅣ㌵㈴搲挶㄰て㥡捣攵ぢ搱㙣㉥㡢挱ㄸ㡥攵㌳搹㑣㈴ㅢ㡤㐵㈳搱㙣㍡㥢㡢㈷愲㤹攰攱㑥㜸㜳㈸㝣捣敤㈰㠲㐷戸慡〶慡㠶㔱挵〴㄰㌶㐲〰〲㔵慢愸挲㔷扤愴ㄳ㍢㠲㉥㍢㐲〴㠲㐷挳㠸㑦㤵㔹㜲昴㝢㡣慢ㅦ㑤㙣㠶㠸㠳㈱搴㜱っ挶㔲ㄸ㝡㡦搸ㄳ愰ㄵ㘲晦慥ㄳㅢ〵愴㌲戱㡦晢ㄲ换ㄴづ㈱㌶づ㘷㄰㝢愲搳づ㈳㠱戲㑤㙣㉣㥥戲㈲昹㙣捡㡡攲昷慡㠰搳捣扣㠵〱㤸㡣㐷㜲㤸㔵㜱〸㘱㈴㍤㘸㍥㥡捣挴ㄲ㈰ㄵ㕣攲㜷て挷㘲挹㜴㌴㤴挸㈷ㄳ戱㐲〴㠷㘷㐶捡㠳㘲〰㈷昰㘳ㄸ换㘶㌲改㔸㍡㘹愵挲改㙣㍣㤷㉣㈴昲㈱ㅣ戴愵昲挱㤳㥣㤶㤸㘹昸㤸㘳㈸㜶㠱〸㥥散敡㜷愵㙡㉣挵㙥搴㥦攲敡㡢昱敡户搰㑢㤷摣敢㜴㠹㜴搹㐴晡㑤㠲〸〴㑦㜵ㅤ㑢收㡢搳㕣晤㌴㘲昹戸ㄹ㜹挴扥㕡〳扤㜴挹っ攸扤㉥㔹ぢ慤㜴挹㉤㝡㤷捣〲愴㜲㤷摣攴摢㈵㘷㈲㤲㜴挹ㅣ㌸愳㑢㝥㠷戲㡣昵㍤㔰戶扢㈴㤷㑡㈵攳㌱㥣敡㈵挰㙣㈶㤹捤攲㠰慣㠰㠳㌳㥣㡦攴㜳昱㕣挴㤸敢㐱愳㐹散〱愱戴㘵㈵昰㉢ㄹ捥㕢㈹っ昸愴ㄵ㈹㠴愳㠹慣ㄵ㐹㐵㠳㘷㌹攱捤㜹昰㌱攷㐳〴㝦敦慡ㄶ㔰戵㈷㔵㘷扢㉡〲〴慡捥愵ち㕦㜵㠵㐳㉣搶㌱ㅤ搰扥ㅦ㐴㈰挸摣ㄱ搱㤵ㅣㅥ㥦敦敡て㈲戶㥤㕥㙤㄰敡㐲攸㠵搸っ昴ㅥ戱㝦㠴㔶㠸㍤㕦㈳戶晢戸散㕣㕦づ㉦㠶㤳㜰㘸㈱ㄴ㌸扣〴㘵攱戰㠰戲捤㘱挱挲㤹㜲㌶㥣捦攲っ㈳㘶攵搳搹㜴㉥ㄲ挹㠷搲㠵㜸㈶㡥愹㌸㘴㉣昴愰戱㘸㥥っ㘷挲攰㉤ㄶ㑤㘷搲㠵㉣㐰挹㕣㉣㠲㐳收㕣㌲ㅦ扣搴〹㙦㉥㠲㡦搹っㄱ扣捣㔵㜵ㅦ㤷㌱攵㐴〶ㅦ〱〲㔵㔷㔱㠵慦㕡愳㜳搸㑥晢ㄲ㠸㐰昰㙡ㄸ昱㈹㍢㉥扢挶搵㜷ㄱ换愷摥挸㍢ㄲ搴㜵っ挶搲㘱搰㝢ㅣ摥〰慤㜰㜸愲挶愱戱〲㤰捡㠳昳〴㕦㘲㙦㐴㈴㈱昶㜰㌸㠳搸㥢㔰ㄶ㘲㡦㐰搹㈶ㄶ㠷户戹㜴ㄴ扦㘷㌸ㄸ㡢攵搳戹㙣㈲ㄳ挵㡦ㄸ㉥㌵㈴愳愹㑣㌴㘱ㅣ改㐱ㄳ昸挹换㘶㈳戹㤴㤵㐸挵挲搹㜰ち挷挵㤱㔰㌸㥦㡥攴攰ㅡ㑢〶㤹㝥㈲㤴ㅤ〵ㅦ㜳㈵㐴昰ㄶ㔷戵㡡慡愳愹扡搵㔵㜹㈸㜵〷㔵昸慡㈳㜴㘲㡦愷换〹㄰㠱攰㥤㌰攲㔳㐶散㥦㕣晤挹挴昲昱㌹昲〲〸㜵㌷㠳戱戴ㅡ㝡㡦搸㝢愱ㄵ㘲㍢㌴㘲㑤㑥挴㜲愴戵挴㤷挳晢攰㈴ㅣ㥥づㅣ㌸晣戳㔳愵戱〶㘵㥢挳㘴〶晢㜷っ㤷昵㜰㜴㄰㡢㐶攳㔹ㅣ㍦攵㜰㠱㈶㠴戱㤷捦㘶ぢ挶ㄹ摤㔰㉢㥥挶㜹㐲㉡ㅦ㐹㐷㘲㜹㈲攲戱㜰㈲㥣换攵㜰〹〲㤳㠱戱搶㠳㠶搳㤱㑣摣㡡挷㉣ㅣ昷挶㜰愱㈷ㄵ戱㔲㤸㠴㔳戸㕣㘴愵㐲戹㔴昰㝥愷㈵收㤹昰㌱㝦㐷㜱ㄶ㐴昰〱㔷㕦㌲攷㍥攸敡㍤愸㜸慡扦㐰㉦散㘷ㅤ昶愵て㉦㘰扣ぢ㈱〲㐱㈶慣攰㔳㜶㝣昱㌷㔷㝦〹戱挷ㄱ㜱㉣㠴㝡ㄴ㝡㘱晦㜲攸㍤昶ㅦ㠷㔶搸摦㐷㘷摦㍢捥摤换㤷晤㈷攰㈴散㕦㡤㔰㘰晦敦㈸换〸扥〶㘵㥢晤㙣摣ち攵㐲昱㌴捥㤳挱㑣㉣㤹づ㐷㉤㥣〳攷㜰攱㈱ㄵ㉡㘰㙡戸搶㠳愶㜱㌱ㄶ戳㐵扡㠰㔱て㑡㌱挰㔳戸摥㤶挸攷昰敢㠸㌳扤㐴㤰㈹㉥戲昵搷挱挷扣ㅥ㈲昸㤴慢敡㍥㐶㝢摡㔵ㄱ㘰ㄲ慡㥥愳ち㕦㌵搳攱㄰敢㌸换愶晤㌶㠸㐰昰㜹㈸㐴㔷昲扢昵㠲慢晦ㄳ戱㝣搴㡦㜹㌲㌹㝣〹㝡攱昰ㅥ㠶愷㠶摦㔷愰ㄵづ㈷㘸ㅣㅡ昷〱㔲㜹㙡㘸昴㈵昶㔵㐴ㄲ㘲敦㠷㌳㠸㝤つ㘵㈱昶〱㤴㙤㘲ㄳ㌸敢つ㠵㉣㉢㤵㉣㐴㜱㈱つㄷ㙤㜲搹㐸㈱㡤㙢㍤戹〴㉥㤱挵㡤〷㍤㘸㈱㤹换攱戰㉤ㅦ〱ㄶ昳㙦〶ㄷ搲㜰收ㄱ㑡㈷ㄲ㘱㥣挷㐵㌲㐱收扣〸戱て挱挷㝣ㄸ㈲昸て㔷昵ㄷ慡晥㑡搵ㅢ慥捡㐳愹户愹挲㔷㈵㜴㘲ㅦ愳换攳㄰㠱攰㍢㌰攲㔳㜶㡣昶慥慢㝦㡡搸㌵㐴昰〹㐴敡㝤〶㘳改㔹攸㍤㘲㍦㠴㔶㠸ㅤ愵ㄳ晢㍣㈰㤵㠹摤搱㤷搸㡦㄰㐹㠸㝤ㄱ捥㈰昶㘳㤴㠵搸㤷㔰戶㠹㡤收昱ㅡ㤹㌰㑥㜱昳搸㥢㘳㤹ㅣ㉥㤴㠵㌱慢愶㜲愱㈴㑥扡慣㤴昱戲〷〵愷㈱㥣㜰攴搲搹㐴㌶ㄶ〵愳㘹捣捦挹㍣㝥〳愳㠹㐲㌸ㅥつ晥搳〹㙦扥〲ㅦ昳㔵㠸攰㈷慥敡㌵慡㕥愷敡㔳㔷㐵㠰㐰搵攷㔴攱慢〶敢挴扥㐵晢摢㄰㠱攰ㄷ㌰攲㔳㌶攷晥摢搵扦㑦散搹㐴昰㔱㐶敡㉢〶㘳改㈳攸㍤㘲扦㠱㔶㠸摤㑣㈳搶攴㌵㜵㤹㜳晢晢㜲昸㉤㥣㠴挳㑦ㄱちㅣ㝥㠷戲㜰昸㉦㤴ㅤづ搳戸慡ㅢち愷㐲㐹㄰ㄳ㉡攰㠸ち扢㜰ㅡ㔷ㄲ㐲㤱㈴㉥ㄷ攴㡤捦㍣㘸挱㑡ㄴ㜰㑤㈶㤳㈸挴㜰攳㈵㤱㑦愷㌲愱㐲㌶ㄱ挵摤ㄶぢ挷〹挹攰㝦㥣昰收攷昰㌱扦㠰〸㝥敦慡扡㜸㐶㉡㤷捦㝦㜰㔵〴〸㔴晤㑣ㄵ扥㉡愰㜳昸㉤敤摦㐱〴㠲扦挰㠸㑦搹攰慣㐲㔴搱晦㐸散㠵㐴昰昱㐷㑡昲㕡㔸晡〵㝡㡦㐳收戵〸㠷㔵㍡㠷㠳〰ㄱづ㝦晥㡦摦搹㙤㉤㥣㠴挳ㅥ㠶㜰㘸愰㉣ㅣ搶愰㙣㜳ㄸ戶㤲攱ㄴ㘶挱㔸戶〰捡搲愹㙣㈲ㄷ㑤攲摡㔵㌴ㅦ挶戹㙤㈶㙥搴㝡㔰ㅣㄸ愴挳〹捣㥥㌸戱㡤㘱㤸攲㥡っ㝥㥢㌲㌸ㄱ戰慣㜸㌴㤵つ昶㜴挲㥢〶㝣捣㥥㄰挱㍡㔷搵挰㡤㤴㤳㌰搳㔵ㄱ㈰㔰挵昴ㄷ攱昰㉢㙣㠶㜷㜶摢㠷昶扥㄰㠱㘰ㅦ〰晣㌸㘴㔲㡣攸㌷㈵㤶捦㌸㌲㉦㠳㔰㐱攸㘵ㅣづ㠰摥攳㜰㔳㘸㠵挳㡦㔱㡤㝢ぢ挲攴づ㉥ㅣ㝥攸换㘱㍦㌸〹㠷㕢㈲ㄴ挶㘱㝦㤴㠵挳慤㔰戶㌹っ㘵㘳㠵㕣ㅥ愷戳愱㝣㡥㍣㘶㌲㤱㐸㈲㥤㡡㈷㉣捣㠳㔶㈴㙡っ昴愰〹晣敡㠷搲戸㈴㠳戳㕥敥昵改戴㠵㝢㍤㠵㜴㉣㠵敢扡㠹㔰㉥㌸挰〹㙦㙥つㅦ㜳㄰㐴㜰㌳㔷搵扤㉦㙦敥慡〸㄰愸㘲㍡㡣㜰昸て㥤挳敤㘸㙦㠰〸〴〷〲㈰㕣㤵ㅣ摣㙦敤敡㠷ㄳ㝢ㅤ㌹攴㔳㤶搴㌶搰ぢ㠷㈳愱昷㌸ㅣっ慤㜰昸㥣捥愱户㉦㍦攳换攱㄰㌸〹㠷㍢㈳ㄴ㌸㘴愶㡢㜰ㄸ㐲搹收㌰㤹捡㘳㜲㡢攵ぢ㜱ㅣつ㠵昲戸捣ㅡ㡢愷昳〹㥣慥昲散㌴㤵㌵挲ㅥ戴㔰〸挵㜱扣ㅡ㈹挸㐵挱㤰㤵挲摥㥥挸㘶㉤っ换㔴ㅡ搷㕤㠳摢㌹攱捤〸㝣捣㈸㐴㤰愹㌳慣搱散摥㤷㠷戹㉡て愵㠶㔳〵㡥搴摦㜴づ搳㡣㌲〶㈲㄰ㅣ〱㠰摦㌸摣搱搵敦㐶散慤慣攸ㄶ㜲㈸㌹㉦㉣㡤㠷摥攳㤰㌹㉦挲攱扤㍡㠷㍣戸㤷㜱㜸户㉦㠷㍢挳㐹㌸㥣㡣㔰攰㌰㠴戲㜰㌸〵㘵㥢㐳㕣㈸捤㠷攲㔶㍡㤹㠹愴㘳ㄱ扣愸㈲㤵挲㡤㤵㡣㘵攱搶愱㘵㐵㐲挶㔴て㡡摤搷捡收戰换愷挳㌸挹㑣挴㔳㌸づ㑡㈶挳挹㜸㌴ㅢ捤攵㘳㔶㌰散㠴㌷愷挱挷㥣づㄱ㡣戸慡摤愹㥡㐱㔵搴㔵ㄱ㈰㔰㤵愰㡡ㅣ摥愴㜳㌸㠷昶㍤㈰〲挱㈴〰㝥攳㤰〹㌳愲㕦㐰㉣㥦扦㘴昲㘹㑥㑡昲㕤㔸摡ㅢ㝡㡦挳㕤㠱ㄶづ慦搰㌸㌴昶〵愴昲㡦昵㘵扥挴㡥㐵㈴㈱㜶㝦㌸㠳搸摤㔰ㄶ㘲て㐰搹㈶㌶㥤〹愷㜰捥ㄹ挲㑢晢㌲戱ㅣ〶㥢㤵捦挷㐲戸㙡ㄵ㡢㠰挴㐲搸㌸搰㠳㘶挲昹㜰㍡㡣㔳㈷摣攲挲㔱㝡ㅡ㤷慢㈳㐹㥣ㄳ攴昲搹㌴捥昴㔳挱㜱㑥㜸昳㈰昸㤸㑤㄰挱㐶㔷㜵㌰㔵ㄹ慡挶扢㉡〲〴慡㤸㉢㈳挴㥥慢ㄳ㙢搱㕥㠰〸〴㈷〳㐰〲㡤㠵㈸晡㕣戸㕥〴㜵昱㠵敢㘶㘸㑡㉦㕣㑦㜱愲㤸㠷挰㘸㍥㐸攲ㅦ㘰㌷㑣㠳㕥愶㠳㔶攸扤㙥搸ㅤ㕡改㠶㌵㕡㌷㤸摥㔰㍥捤㤷昱ㄹ㜰ㄲ挶て㐵㈸㌰捥〴ㄹ㘱扣〳㘵㥢昱㔴ㅣ㙦㉤㉥㐴㜰戳㌶ㄶ㡥㔹愱㐴ㄶ户㘳昰愳㠴〱ㅢ挲つ昲㘸捡攸昴愰攱㘸㌶ㄵ㐹ㄵ昲改㠲㠵㘳㈲摣敢ち攱愸ㄳ昷挵㈳愹㕣っ㍦㙤㤹攰㉣㈷扣搹〵ㅦ㜳㈹㐴㤰ㄹ㌷慣搱散㍥㈵㥤攳慡㍣㤴㥡㐷ㄵㄸ㔵㈷攸㡣ㅦ捥㈸㐷㐰〴㠲昳〱㤰㈱㕢㌲愵㉥㜰昵慢㠸㝤㤴ㄵ昱挱㔳挱㍤愱㤷つ㍦ㄶ晡㍥昵戵㑣ㅣ搹愵㈴挳挲晦挱㌲㈳㑢摦挳㌴ㄹ敦㔵㘲扥㙡㔵て㍣㔱挳㝥づ㐵㑤昵㤸晦㉥ㄶ㜳㌸昸ㄸㅡ㝥㙢㡦挰戶晥て攲㜰㘴㜴攷收㌰攲戶昸㥡挷㘳㠳㙢て挰收㠶晣㥡戸慥㌷ㄷ挳戱㙡㐰敢昴㑥攴㜷攰つ搸ぢ摡挷㝢慦㑦摥挴捤晢ㄸ改扥ㅥ㘸㔸户㘶㝣戶ㄳ㡦㌰敡戲㕣户㌹ㅤ㥥ㅦ㕥户㠳㍣ㅦㄸ㐶昲㘵㐲〳扡㑢摡㜳㍣〶㜶㙢愷户㜵攲挵㔷㔶摥㡤搸㠹㍦㘹愹愹敥愱㝣ㅦ慤攳扣㈸㤹て敥㘰㌴扣晡㙡㝡㥥〴っ昴㜹㡡挹㠴收㉥㜹ち搰搶戰㉢㤳㐹㐳挶慦戱戵㍤挷㌶㡣㥦搰㄰づ搵㉥㐷㑦㙣㜰㈵挵扣戳㑡づ捣㠰㜹ㄲ㈲慡〳ㄱ㥢攴㉢㜳㝦搶㜲ち㜴挶搸㠶戹愸㐴㜵愱ㄲ㔶挴愱ㄴ㌰㔷ㄳ㝤㄰㌰㔴㌱㠰㙡㜲ち戴搷攷㔰攰慦ㄴ㔰晡昲昹㌸愷搴㘸晦㕦攷晣ㅦ㙣慣㘷㈲㡦㜸ㅣ愸㠶慣ㄹ㕦晢收捡ぢ扥戸㙡㤷㘱攷㕤晦㡢昳晦捡㍦㥣捤攵捥㜱㥢挸㜲晡㌸戵〸ㅥ挳㄰挷㝣㡢攲㙤㡡㜷㈰㔴㍢㕡昴ち㕥㝥㔲昶㈲㤹㌶挷㔰晡㈲㤹攰㘲㐴㤲扤敤っ戴户㑦扤㙡㐷㤹㝢㥣㙡㠱〷㠷戹㡣捣㌳戹挹ㅤ㔰摢〴㌱㌹挷㌸ぢ㍡扢ㅢ㈲㘹戵〸㐸㤷㡥㠰㜹㌶攱㥤ㅥ晣㔰挲捦㠱㑥昸〴㍡敦愰㙤㍥捦㈳㥡㠷ㅣ㙥〰挵搳〸㤷敦㝡㈶搹㙣ㅣ㥦捣挸㔹㈷㥦愰ち换搴㐶昹慦敡捤㜱敡㈸㜸昸昱搹㠴㠶晡昲㜹㤰㘳㈸㝤ㄱ㑤昰㘸㐴ㄲ㍥㉦挶㔶㠱捦攳㔱ㄶ㍥て㠰㠷挷攷愵摣攴ㄳ㘱戲昹㘴㑥㡥㜱戹㑤搰昴㠶㔸㑣敤㔳㐴搰㤵㐴㥦攴愱㤹㤶㘳㕣㙤愳昷㈱㝡㠱㠳戶〷昳戵㐴昳昲慣㐷攷㈹㑥㐱㠶攷愹㈸㙣ㅣ㥤捣挳搹〰㍡て㙡扣晡㉡㉥㠱㐶戵ㄶㅥ㝥㜴捥㜱㔸㉢ㅢ㥥戳ㅤ㐳改㝢㙣㠲㘷㈱㤲搰㜹㌳戶ち㜴㥥㠳戲搰㌹ㄳㅥㅥ㥤户㜲㤳捦㠷挹愶昳㕣慣ㄹ户㐳㔷㍢戶㘱扦㠶戴㥡㔶挴捦㥤〴㕦攰㠱捦㈳昸㉥ㅢ㍣ぢ攰㐹づ搸ㅥ㥢昷㄰㝣㈱㈰ㅥ㤹ㄷ㌹〵㈱昳㔲ㄴ㌶㡥㑣愶搸㙣〰㤹㤳扡挹扣ちㅥ㝥㘴㡥㜳㌸㉢㈳㜳㌷挷㔰晡ㄲ㥣攰戵㠸㈴㘴㍥㠸慤〲㤹㌷愲㉣㘴敥ちて㡦捣㠷戹挹户挰㘴㤳㜹ㄳ搶㡣扦㐲㠷㥤㜷扦㠶㔸㕡愵ㅣ㠲散搱昶〸搱户㝡攸㥢㠹㝥捣㐶捦㈲㍡收愰㙤㍡㥦㈰㥡搷〷㍤㍡㙦㜷ち㐲攷㕤㈸㙣ㅣ㥤㜷扢ㅥ㤵愶㑥㝢ㄷ㥦摤㑤攷㥦攱攱㐷攷捥づ㙢㘵㜴㡥㜶っ愵敦搰〹㌲捦㐶攸㝣ㄶ㕢〵㍡㤹㉣㈳㜴㡥㠲㠷㐷攷昳摣攴㐷㘱戲改晣ㅢ搶㡣ㄷ㙤㠲愶㌷㘰㉥ㅣ㕥㐴搰换㐴㍦收愱ㅦ㈱晡㔵ㅢ扤て搱つづ摡㈶晦㜵㔸敡㥦〶㘶攳㐸㝢挶昵㔸㌷㘹㌱㠷戴敦挷愹ㄷ攰攱㐷摡戶づ㌷㘵愴㙤攳ㄸ㑡㕦戴ㄳ㝣ㄹ㤱㠴戴㜷搰㜶㤰昶㍡捡㐲摡搶昰昰㐸㝢㡦㌴扣〹㤳㑤摡㍦戰㘶㝣㘰搳㌰戹㈱㥣㔶㕢㌸㌴搸愳敡㈳愲摦昲搰㙦㄰晤㑦ㅢ扤ㄷ搱晤ㅤ戴㑤摡愷㐴㌳晢挵ㅢ㠳捣㠲㘱㐱挶㈰㤳㕣㌶㡥捥て㕤㡦㜵搳㌹摣愱戳扡㔱㌱摤挵㡦捥㝡㌴挲昷攷愶慦㘳㈸㝤㑦㑦昰㌳㐴ㄲ㍡扦挴㔶㠱捥㉦㔱ㄶ㍡㝢挳挳愳昳㙢㙥昲㌷㌰搹㜴㝥㠵㌵攳㕢㥢愰㔹つ㤱㤸慡〳搸㈵〰敦㍥㈰晡㕢て晤㌵搱㍦搸攸晤㠸慥㜱搰㌶㥤㍦挱㔲晦ㄳ㌰ㅢ㐷摡捦慥挷㍡㐹㙢㙣㜲㐸ㅢ摣愸慡㔱㠱ㅦ㘹扦㝣㔷㠱戴㥦ㅤ㐳改换㝣㠲戵㠸㈴愴昵挰㌳晡㐰㥡㠹戲㤰昶㈳㍣㍣搲㙡㘱㔴㑣㉥戱㐹㘳慥㡢搱ㄳ㍡㤹〷愳㈱昵ㅤ挰敥㄰ち㤸㈶搱㝤㍣㌴搳㕤㡣㕥㌶㝡㔶〳搰㕦㌹㘸㝢挴昶㠱愵扥ㅦ㌰昸㙣挴㠱㈲戳㔸挴愳ㄲ㘹〵㔹㕥ㄸ搷捦㍤㔰㘴㐲换㌰搴㔱㝡愰昸㤹挳㑤搹㡥晢㉦挷㔰晡挶㥦攰㐰㐴ㄲ搲晡愱敤㈰㙤㕢㤴㠵戴㑦攰攱㤱㌶㠰㌴っ㠵挹㈶㙤㌰搶㡣捤㍤ㅡ㘲敡挳㈲ㅡ戶㈴㥡㜹㈸㌶㝡〸搱〳㙤昴㝥つ搱㤸㝡搷㐱摢㈳㙤㄰搱扣㐴敡戲慥㜸愹搴ㅤ户昵㈳㔰挰㘷㈳攸㘴敥㡡㜸㔴愲㔳㝥㍣ㅡ摢㥤㌱ㄸ㙡㔴㑣㘳ㄹ收㐳攷ㅢづ㙢㘵㜴晥挳㌱㤴扥㌰㈸ㄸ㐶㈴愱㜳㍢㙣ㄵ攸㡣愳㉣㜴扥〶て㡦捥㘱摣攴㌴㑣㌶㐱捣㕥㌱㜶㠰㡥挷摤㌳ㅢ㘲㈱昵㤲挳㄰昶㈶㥣㤹㡣㈰㥣㌹㈵㌶㍣㐹昸㐸〷㍥㠳昰攷ㅣ戸㑤攸㑥㠴敦攲挱㤹挵㘲散散挰㜷㈷晣㈹〷㙥て摡㌰攱扣㔵㑡捡㔹愱ㅡ敢ㄴㄸ㑥㌱㕤挵敢っ㈶愲㘰㘲搸昰捥〰ㄶ㑢晦挶晡㐹慥攷㍡㍢㘵挹攵㡤攲戰捦搵昶晦㙢㙦㙣㔴㑣㘸ㄹ〶㙤改㔸㝦っ㕢攱㍢慢㍥敡ㄸ㑡摦㘳ㄴ㘴ち㡣㜴㑥ㄲ㥢㡣捥㤹㠳戲㜴捥摦攰攱㜵㑥㥡㝣㌰扤挴㘶㥢㜹㉣挶㉥搰攱愸ㄳ㠷㍥敡愱㈲昲挶ㄲ㍣摦〳捦㈵㜸㥣つ挶㔱㤵晡戳〳戶㍢㘶㍣挱捣㔲昱㐶晡㥥㑥㐱㝥愲昶㐵〱㥦つ㈷户㥥㤹㉢攲戱㑥㔲慢ㄶ搸㘴愲ㅢㄴ㤳㔸㠶昹㤰㜹㤷挳㔹搹㐸晦㤳㘳㈸㝤〹㔲㌰㠳㐸㐲收㔴㙣ㄵ挸戴㔰ㄶ㌲敦㠰㠷㐷收㜴㙥㌲昳㑣㙣㌲㤹搰㘲捣㠰づ戳㉤捥㠸攲敡ㄶ㠷㈰㝢㈸捥㈲㥡昹㈶㌶㥡㌹㉤挶ㅣㅢ㡤㌳愲戸扡挱㐱摢㜴捥㠵愵扥ㅤㄸ㝣㌶㠲㌴愶慡㠸㐷㈵搲ㅥ晣㝡昸〱愷㍥昰搶戸愰㍢摢㌲㙢㘵㤸て㘹㔷㍢摣㤴㤱㜶㤵㘳㈸㝤㔳㔲昰㌰㐴ㄲ搲昶㐶摢㐱摡攱㈸ぢ㘹㔷挰挳㈳㙤㕦搲挰散㄰㥢㠶㈳戰㘶散㙦搳戰㔷㐳㍣愴㉥㈹愲攱㐰愲㔷㝡攸㈳㠹㙥戲搱㤳㠹扥搰㐱摢ㄴ㘷㠸㕥〵㡣㌷〶㡦㜶ち㌲〶㡦㐷〱㥦㡤愰㤳〹㉡攲㔱㠹㑥㐴挳昲攱戸〱㉥㥤捣㔵ㄹ〶㔵改づ㝤㡥挳㕡ㄹ㥤㝦㜰っ愵㉦㕡ち㌲扢㐵攸㕣㠸慤〲㥤愷愳㉣㜴晥ㅥㅥㅥ㥤捤摣攴㌳㘱戲改㘴摥㡡戱ㄸ㍡捥戶扢昳攸㝢㙤ㄱ㐳慤㠴㌳㐵挴㠶㌳㜷挵㘸㜷攰㌳〹㍦捤㠱摢㤳昳愱㠴㥦攵挱㤹扦㘲㜴㍡昰ㄹ㠴晦挶㠱摢㠳㜶㈹㑣昵ㄷ㄰〴〶昸搵㤶捡搷㤲㙣㄰愶搱ぢ㕤捦㜵戲晤收昱㡤戶挷㐹昶晦㡤愷㌶慡㑢攰㌹っ摡㔲搶㝦㡤收昹㑥愳㈷㌸㠶搲ㄷ㍢〵㤹搵㈲慣ㅦ㡥㙤〱敢㑣㑤ㄱ搶㡦㠳㠷挷晡㤱㌰㉡收㠶搸㌴㌲㕦挵㔸〹ㅤ昶㝣ㅣ㌹愵搵㉡㠷ㄶ㝢㔸ㅥ㑤㌴搳㐹㙣㌴㔳㔶㡣㘳㙤㌴づㄹ搲敡〸〷㙤㤳㜸㍣㉣昵户〲㠳捦㠶㤳㔸捦㑣ㄴ昱㔸㈷㜹㔵敥㐹㍡㑥㤰㤸㤴㌲捣㠷戴挳ㅣ㙥捡㠶敡㌲挷㔰晡昶愷攰㍤㠸㈴愴㥤㠲戶㠳戴晢㔱ㄶ搲扡攰攱㤱戶㥡㌴㍣〴㤳㑤挳〳㔸㌳㑥戵㘹搸㠷㐷㑥㑢㡡㘸㌸㥤攸㠷㍤㌴搳㔱㡣㌳㙣昴㜴愲㕢ㅣ戴㑤昱㤹㐴㌳搷挴摢昳㤹㜳攲晤戴㌳愵〴㥦㡤愰㤳昹㈷攲戱㑥㍡晦㥣㙤㐴㔴㉣つ㡤㡡愹㈸挳戰㕡㍡〶ㄷ㍡慣㤵搱㔹㜰っ愵㉦㡦ち㌲㜹㐵攸㍣〷㕢〵㍡㕦㐴㔹攸捣挳挳愳昳㍣㙥㌲ㄳ㐳㙣㍡㤹㠱㘲㕣㘰ㄳ㠴㌱ㄸ㔷〷ㄷㄱ㜴ㄱ搱㑣㄰戱搱㉦ㄳ㝤戱㡤挶ㄸ㡣慢〳ㅣ戴㍤〶㉦㈵㥡㜷愵㍤㍡㕦㜷ち㌲㤱扥㠵〲㍥ㅢ㐱攷摢慥㐷㈵㍡敤戳㠰昷扢㝦㤷㤸㠰㌲捣㠷捥扤ㅤ搶捡攸摣换㌱㤴扥㝢㉡挸㤴ㄵ愱昳㙡㙣ㄵ攸㘴摥㠹搰戹〰ㅥㅥ㥤搷㜲㤳㤹㈳㘲ㄳ挴㘴ㄴ攳㝡㥢愰戹ㅣ㙦㝢㌸〴搹攳敤㐶愲㤹㉢㘲愳㤹㡦㘲摣っ㥤㝤㜱ㄹ昰㤹づ摣收昳㔶㤸敡扦〵〸㥦㡤㘰㡤㜹㈶攲㔱㠹㌵㐴慢慡㝡㜳㘹昷挱晥㡦㠰て㠳慥㜴㄰㑥㜵挸㈹㘳㙤㡡㘳㈸㝤㐱㔵㤰㐹㉡挲摡㕤㘸㍢㔸敢㠱昹㕣㔸㥢〴て㡦戵㝢挸〳戳㐲㙣ㅥ㤸㝥㘲摣〷㥤㑣㠴㤱㤰㙡㜴㘸戰㔹扢㥦攸㥥ㅥ扡㤶攸〷㙤㌴捥搲㐳㙡㔷〷㙤㤳昶㌰㉣昵㝤㠰ㄱち㘴㔳㍤㔱昹搷愴㥥㠹㈵攲㔱㠹戴户㝥搵晦扡愹㙦扤摤㍤搴㤸㘳攲㐷㕡搲攱愶㡣戴㠴㘳㈸㝤㡢㔵㜰〰㈲〹㘹㡦愱敤㈰㙤㑢㤴㠵戴ㄸ㍣㍣搲㥥㈰つ㑣〳戱㐹㘳扥㠹昱愴㑤挳㉣㕥晢〹㌹㌴搸愴㍤㑤昴㈰て㍤㤰攸㘷㙤昴㝥㐴㡦㜲搰㌶㘹捦挳㔲扦ㅤ㌰ㅢ㐷ㅡ㌳㐹搶㐹㥡捤扣㜶㑤㤲㐹㈵㝥愴敤攰㜰㔳㐶摡昶㡥愱昴㔵㔷挱㤱㠸㈴愴扤㡡戶㠳㌴收㤲〸㘹つ昰昰㐸㝢㥤㌴㌰愳挳㈶㡤〹㈶挶ㅢ搰㌹户㜳攲㙡㜰ㄱて㙦ㄱㅥ昵攰㑣㌲㌱摥㠱づ〳㜳㙥㐳㈴慥戶㜶搰㌶挷敦挱㔲㥦〶㘶攳㔸㘳敥挸〶戰㌶摥搹㍦昱㥢换㌴ㄲ㍦搶㌶㜷挸㈹㘳㙤㌳挷㔰晡㐲慣㈰ㄳ㑦㠴戵㝦愲敤㘰㙤㌲捡挲㕡㝦㜸㜸慣㝤㑡ㅡ㤸改㘱戳挶㤴ㄲ攳㌳㥢㠶改つ攱㤸ちㄶ搱昰〵搱搳㍤昴㔴愲扦戴搱晢㄰摤摢㐱摢㐳敤㙢愲㤹㌲攲晤㐸捣㜰ち㈴戵㥥㤹㈱ㅢ㐷㈷搳㐸搶㑦攷㥦攷㌹㜴攲愶つ㌳㑡晣攸散改戰㔶㐶愷攱ㄸ㑡摦愷ㄵ摣ㅢ㤱㠴捥ㅦ戰㔵愰㜳㝦㤴㠵捥ㅡ㜸㜸㜴晥挴㑤㘶㝥㠷㑤㈷ㄳ㐹㡣㕦㙣㠲戰攷攲㜱收づ㐱昶愸㔲㜵㐰㌳捦挳㐶ㅦ㐸㜴て攸㌰〶戱攷㠶搴㡦摦敡㔷攳㙡㠹㍥ㄸㄸ㡦㑥㈶㡣㜸㠷㌰ㄶちㅢ㐷㈷㤳㐷搶㐹愷㝤㡢昶愳敥㠹㤰㤹㈱㝥㜴㝥㡢㠶晡ㅥ㐶㝦攳ㄸ㑡㕦挷ㄵ㙣㐵㈴愱戳ㄷ戶ち㜴㌲㈱㐴攸晣ちㅥㅥ㥤㝤戸挹㑣换戰〹㘲㤶㠸㔱㙦ㄳ戴ㄷ慦攵㝣㕥㐴搰㈶㐴㉦昵搰㥤㐴昷戳搱㤳㠹晥挴㐱摢攴て㠰愵晥㜰㘰㌶㡥㌴收㝦慣㤳戴㥤㈶㙥晤捦户ㄳ㠱㜱摢ㅣ㜳捦戹㥦慣昸㘲㌷戵ちㅥ㝥愴㝤攰㜰㔳㌶〶摦㜷っ㘵敦散㍡ㄶ㤱搶昷捥㉥㍥昷挴敡㤴昷㑡搵㘳㉦慢㉤昰㐹㉤扤ち戶㥡昹ㅥ㜸㔶㑢㜳㑢㡢㍣收愴㌷㕥戱搳戱搸敡㤸㠹㌷㐹攱挵㍡昳㥢㕢㥤攷㙣攰つ㔳㝣㘳㠹晢ㄲㄷ㔳㑡㜴㌶ち㜳㍡昰㔶㤷㥥㠵改㥤㜸〳㔸扥慥㜵㡦㑣㔷㤷搵搱昶㝦攱晤㍢㜸昰っㅦ㍥㡡挵㝥昳㡥敦㌳㕦昸㌰ㄷ摦搴ち㘱㙣㜴㌷ㅦ㌳昱㙥㈸㈶戱㔴昳捤㍣晦摤换挰㡣㠱ㄸ㘲敥攳㠹昲摡扢愶㙡搴扢攸㘲晢㙦㔲㔷㔵晤挲㈶㌳㉢挹ㅣ挴挱扡つ㐴㡦昱㥤慤㤲㙡〵ㄱ㌰户㠵挶㝥户てㅦ扡㔷㔵㝢㍣㠶㐱改挶昱㈹㍣㝣愸㘳㔵敤㘱捤昹慥㐵挶㈲慢㜹攱愲㉥㍣㙤愷ㄷ户搸㕤㙡㑥㠲敢扡㌲㔲㌸㜱昷㙣㙤捡㜴㜴㘴㔶搴戵㌶戵㔸㙤ぢ扢ㄶ搵㌵㉤㐳〲づ摥㤱㠵㠹慣慥慥捥ㅣ㠲昶戰㉡㝥搵㙡㐴㘴㔴㜳愸慥㍤〳ㅡ㡥㔶㘳㍢㘸晤㈹㜸捤㤷㠲㘱挰ㅢ摢㐳ㄴ㔳戰〳㌴ㅡ〵敡㑣挴㈶つ敥愲捥㐶㐱㥡㌱〲㐸慦㜱攷戹摡ㅤ㜵敤挵搰㑡攳㐶㐲敢摦戸攷㝣ㅢ户ㄳ昰挶㘸㠸攲挶敤っ㡤摥戸㑢ㄱ扦愸㜱㔷扡捤〸〳改㌵敥㕡㔷ㅢ搱戵㌷扢㡤㡢㐲敢摦戸挷㝤ㅢㄷ〷摥㐸㐰ㄴ㌷㉥〹㡤摥戸㕢㑢ㅢ㜷愷摢㡣㌴㤰㕥攳敥㜱戵㘳㜴敤㠳㙥攳㜶㠱搶扦㜱て昹㌶㙥㉣昰挶㙥㄰挵㡤ㅢ〷㡤摥戸㠷㑢ㅢ昷㠸摢㡣昱㐰㝡㡤㝢挲搵㑥搰戵捦㍡㡤㌳搹慤㌵敡㙥摦㠶㑣㘶㡤散挲敥摤㙢㉡㔵摣戳㐴㔴愹攷㑢ㅢ昱戲㕢摤㜴㈰扤㐶扣敥㙡㜷搷戵敦㌸㡤㌰㘶㐰敢捦搰㉤扥つ㥢〵扣㌱ㅢ愲㤸愱㌹搰攸㡤㝢慦戴㜱ㅦ戹捤㤸ぢ愴搷戸㑦㕤敤㍣㕤晢愵搳㌸㤳摤㔷愳慥昱㙤挸㥥慣㤱㕤搵捤搰摥㔴㘹っ㝤㕤摡㠸晦戸搵敤ぢ愴搷㠸㥦㕣敤㝥扡戶〷㘶ㄱ敥㝤㑥㈳㉥昱㙤挴㠱慣戱戸ㄱ㑤㈵㡤愸㐵㥣愲扤㡣㜷㉢㘵ち挸攸搵昵㜱戵㔹㕤摢捦㘹㠴㤱㠳搶扦㥢捥昵㙤㤸〵扣㔱㠰㈸敥愶㠵搰攸っつ㈸㙤ㅣ敦ち㑡攳㥡㠱昴ㄸㅡ攴㙡て搱戵摢戹㡤㕢っ慤晥捥㠰攲摦㤰戵扥つ㙣㠵㡦搱〶㔱摣挰㜶㘸昴〶づ㉢㙤㈰㙦戳㐹〳て〵搲㙢攰㑥慥戶㐳搷㠶㕤㙤愷慥攵㝤㈵㤹㔶扢愰昵攷昴ㄴ摦㈶㉦〳摥㌸っ愲戸挹换愱搱㥢捣㕢㔳㐵ㅤ㍥搶㙤挶慦㠰昴㥡㍣摥搵ㅥ慥㙢㜹㥦㐶㐶㥤㍤㌹ㅣ敢摢㤰愳㔸㘳昱攴戰慡愴ㄱ扣愵㔳搴㠸㔹㙥㜵挷攸搵捤㜵戵挷敡㕡摥昷㄰㠶㡥㠳搶㥦愱挳㝤ㅢ㜶〲昰挶慦㈱㡡ㄹ㍡ㄱㅡ㥤㈱摥㍡㈹㙡摣㠱㙥㌳㑥〶搲㘳㈸攳㙡㑦搱戵扣㡢㈰っ㜱搴搵愸㑥摦㠶晣㤶㌵㜲㜴㜵㑦づ愷㔱愵㑤づ扣攱㔰搴㠸㔶户扡㌵㐰㝡㡤㌸搴搵㥥愱㙢㤷扡摡戵扡昶㜰㘸愵㘹昶扣㜵㠸㙦搳捥㘲㍢㡡愷㡣戳愹搲㥡㜶㈴攲ㄴ㌵敤㘸户扡㜳昴敡㡥㜷戵攷敡㕡㕥扡㤶捥㍢て㕡晦捥换晡㌶散〲攰㡤ぢ㈱㡡㍢敦㈲㘸昴挶慤㉥㙤摣改㙥㌳㉥〶搲攳敤㑣㔷㝢㠹慥㍤挷㙤摣愵搰晡㌷㙥㍦摦挶㕤づ扣㜱〵㐴㜱攳慥㠴㐶㙦摣㜹愵㡤扢挸㙤挶搵㐰㝡㡤扢搴搵㕥愳㙢㜹㔹㔵扡㡦〷㠳㌵㙡㥥㙦㐳慥㘷㡤㍣昰敢ㅥ㔹㌷㔲愵㜵摦戵愵㡤戸搱慤敥㘶㈰扤㐶摣敡㙡㙦搱戵㜷戹㡤攰㡣㕦愳㜶昷㙤挴敤慣㤱戳㝢㜷㈳敥愴㑡㙢挴㍤愵㡤戸摦慤敥㉥㈰扤㐶㍣散㙡敦搶戵扣敡㈷㑣戰㥢㙡搴〴摦㐶摣挷ㅡ搹㈵摤㡤戸㥦㉡慤ㄱ㑦㤴㌶攲㘹户扡〷㠱昴ㅡ昱扣慢㝤㐸搷扥敡㌶挲敥㡥㌱扥㡤昸㉢㙢㉣敥㡥㐷㑡ㅡ昱㝡㘹㈳摥㜲慢㝢㑣慦敥㍤㔷晢戸慥攵㐵㈹搹㥢㥥㠰搶㝦挰㐶㝣ㅢ昶㈴昰挶㔳㄰挵〳昶㘹㘸㜴㠶㍥㉤㙤摣ㄷ㙥㌳㥥〵搲㘳攸㙢㔷晢㥣慥晤挱㙤摣昳搰晡㌷㙥㐷摦挶扤〸扣昱ㄲ㐴㜱攳㕥㠶㐶㙦摣㑦愵㡤㔳〰挸㡦敦慢㔸昱ㅡ㔷敢㙡㕦搳戵扤㔰㄰收㕥挷㡡㝦攳㠶晡㌶敥つ攰㡤㌷㈱㡡ㅢ昷ㄶ㌴㝡攳晡愰㕣㌴㐹㙥〲㠵㌴敥ㅤ慣㜸㡤攳攵ㄳ搱扥慢㘹㙢〷愱戰挱愷搷晣换㠵㝥戸㄰搱㘲攵昸〶收〹㜸㡦敦挸ㄶ㥣㈶㙦挰㙢㤳摦㐳㍤㙡㕢ち挴㌰摦搷㥡㔰㍦挴搱搶昱㕣戶㥥㘷愵挴㐸㐹つ㐳㠹㑤㌴㍦愰㝡〷挷㘶㝥㠸ㄵ㜷挳敡㐷㌸㕡摢㥦㈷㡥摤晥㍢愱㈴晥ㅦ㔱扤戳㘳㌳㍦挶㡡攷ㅦ㜶戴戶㍦捦敤扡晤㜹㡥㈶晥晦愴㍡改搸捣㑦戰攲昹愷ㅤ慤敤捦搳慦㙥晦戱㈸㠹晦愷㔴㡦㜳㙣收扦戰攲昹㡦㜷戴戶㍦捦㤰扡晤㈷愳㈴晥㥦㔱㍤搵戱㤹㥦㘳挵昳㥦敥㘸㙤晦摤昵㤲㥡㠵㤲昸㝦㐱昵ㅣ挷㘶晥ㅢ㉢㥥晦㕣㐷㙢晢捦搳㑢㡡攷ㄶ攲晦㈵搵㝢㍢㌶昳㉢慣㜸晥晢㍡㕡摢㥦愷づ摤敤㍦㄰㈵昱晦㥡敡㈶挷㘶㝥㠳ㄵ捦㍦攳㘸㙤㝦ㅥ昵㜷晢㕢㈸㠹晦户㔴㉦㜴㙣收㜷㔸昱晣㥢ㅤ慤敤㝦㠸㕥㔲慤㈸㠹晦㝦愸㙥㜷㙣收昷㔸昱晣て㜵戴戶㝦㐷㔱愹㔳㉦㈹ㅥ昷㑡戴ㅦ愸收攱㉥㕢㙡晥㠸ㄵ㉦ㅡて㙤扤昶搷ㅦ慥㤷ㄴて㔷挵晦㈷慡㜹愴㉡晥㍦㘳挵昳攷㔱㘹户晦戱㝡㐹㥤㠰㤲昸晦㐲㌵て㈶挵ㅦ㙦㘹攸昶㍦㔹昷愸㍦㐵㉦㈹ㅥっ㡡扦㠲㠷攲㜱愰昸㔷敢晥㙢㜴㡦晡㌳㡡㑡㍣挶昳摡愶捥㐲㐹愲昵㘰戴戳ㅤ㥢㔹愳㐷㍢㐷昷愸攷攱㔹户晦〵慥㝦㉤晤㉦㜲晤つ摤晦㘲摤愳㥥㐷㔰摤晥㤷扢晥㍤改㝦愵敢㕦愷晢㕦慤㝢搴昳㈰愷摢晦㝡搷摦愴晦㡤慥㝦㐰昷扦㔹昷愸攷昱㐹户晦敤慥㝦㉦晡摦改晡昷搶晤敦搲㍤敡㜹㘸搱敤㝦㥦敢摦㠷晥昷扢晥㝤㜵晦〷㜵㡦㝡ㅥㄵ㜴晢晦搵昵慦愷晦㈳慥㝦㔰昷㝦㑣昷愸攷て㝡户晦㤳慥晦㈶昴㝦摡昵摦㔴昷㝦㔶昷愸攷㙦㙥户晦㡢慥㝦㍦晡扦散晡昷搷晤㕦搵㍤敡昹戳搸敤晦㠶敢㍦㠰晥㙦戹晥㥢改晥晣〵昳㍣敡昹换攵㤵㤴晣愴㜰晦摢ㅣㅥ敥ㄲ攴㑦㡢摣愷搸〲㕡㜳㑢㠸㍥㝤搵〷㙥昰慤㜴㈸㝦㐵〴㍡㤰搰慤㙤攸㐷㉥㜴㤰づ攵て㠶㐰户㈱㜴㕢ㅢ㉡扦〹㙣挰㘰ㅤ捡摦〶㠱づ㈱㜴愸つ㤵改㥦搰敤㜴㈸㝦〶〴摡㐰攸㌰ㅢ晡㤹㙦〳㌸攳ぢ㜴〷㐲㠷摢搰㉦㕣攸〸㤴摤㈵挸挹㕤愰㍢ㄲ㍡搲㠶㝥改㐲㡢ㅡ挰㜹㕣愰㍢ㄱ㍡摡㠶捡㔴㕤搶㔶㑥搹〲つㄱㅡ戶愱㌲㉢ㄳ㕡挴㉢㘷㘷㠱㐶〹㡤搹㔰㤹㠰换愲㜲㈲ㄶ㘸㠲搰愴つ晤〱㑡㜶戳㤹㐲搹㕤㠲㥣㘵〵㥡㈶㜴㡣つ㤵㠹㤴搰愲摥攲㠴㉡搰㕤〹ㅤ㙢㐳㘵捥㉣㠳㜲敥ㄴ攸㌸㐲ㅢ㙤愸㑣㡦㠴ㄶ㤱挵㘹㔲愰ㄳ〸㥤㘸㐳㝢攰㍦㘹㙢ㄱ㤴㜳愰㐰㈷ㄳ㍡挵㠶捡㌴挷愸㐵㘴㜱扡ㄳ攸㌴㐲愷摢㔰㤹搱捡摡捡㤹㑤愰㌳〸㥤㘹㐳㘵昲㉡㡢捡㐹㑣愰戳〹㥤㘳㐳㘵㥥㉡㠳㜲扥ㄲ攸㕣㐲攷搹㔰㤹㤲捡ㅡ挰愹㐹愰ぢ〸摤搳㠶捡散㔳ㄶ㤵戳㤰㐰昷㈶㜴ㅦㅢ㉡ㄳ㑤㔹㔴㑥㌸〲摤㡦搰晤㙤愸捣㈹㠴ㅥ㠰戲扢〴㌹户〸昴㐰㐲て戲愱㌲㝤㄰㕡㌴〶㌸㡤〸昴㘰㐲㌳〲つ㜲愶愰戲㑦㔰㜱㝡㤰晢㤷攷㝦㘳摦扦ㄴ㜰づ㕡挵㐹㐳㑣攷㍡愶〹㜰愹挳㙢〴摣㡥㔳㥣㌰〴㜱㡥敥㕣愰㌳愷ㄱ㌱㥤㕤攲散戶㑥㜱ちㄱ挴敦㜵攷㘶㍡㜳㘲ㄱ搳敦㑡㥣㌹挳㌸つ攷戴㈲㤸㌳㜵昷ㄶ扡㜳戲ㄱ搳ㄹ㈵敥敥攰㔴㥣㘸〴戱㐶㜷㙥愷㌳愷ㅦ㌱㥤㔶散慣㌸攳㠸攱㔴摤㐷摡换㜹㐸㑣慢㡢㝤㠲㈳㘰攰愲㌸〷〹攲㌷扡昳㔲㘸ㄵ㘷㈶㌱㥤㕣散慣㌸ㄹ㠹攱㈴摤㐷ㅡ挹㈹㑡㑣扦㉥昱攱慣㈴㠶ㄳ捡㝣㌸㔷㠹改昸ㄲㅦ㑥㑦㘲㌸㑥昷㌹ㄲ㕡挵㐹㑢㑣挷㤴昸㜰㥥ㄲ挳搱扡捦㉡晡㜰昶ㄲ搳捡㘲㥦㈰愷㌱愷昳㌸㜷〹收㈸摤晤㔸扡㜳㐶ㄳ搳ㄱ挵敥㡡㤳㤸ㄸづ搷㝤㠴晦戱慥㘹㐵㠹て㘷㌳昱㔹慥晢㥣〴慤攲ㅣ㈷愶㘵㈵㍥㥣搶挴戰㔴昷㤱㑤㥢攸㥡㍡㑢㝣㌸扦㠹㑦㠷敥㈳㕤挵㔹㑦㑣㑢㑡㝣㌸搱㠹愱㕤昷㔹〳慤㥡敥㥡㕡㑢㝣㌸攳㠹㑦㡢敥㜳㈶㝤㌸て㡡改㤰ㄲㅦ㑥㝤㘲㘸搶㝤㘴㈷㥤攳㥡ㄶ㤶昸㜰づㄴ㥦㠲敥㈳㐳㠲㌳愳㤸昲㈵㍥㥣っ挵㤰搳㝤愴㙤㝢扡愶㑣㠹て㘷㐵昱㌹㔸昷㤱戶㜱慥ㄴ搳㐱㈵㍥㥣ㅥ挵㜰愰敥㜳〹戴㡡㤳愶㤸昶㉦昶〹㜲昶㜴㠶摥㠱㉥㘶㍦摤晤㜲扡㜳㈲ㄵ昷㝤㡡摤搵挱慥㘱㙦摤㐷㠶ㄱ㘷㔴昱搹戳挴㠷㔳㈸㑦ぢ〲㡡㥢㘳慦㜱戰摡㙢㥣愷散㌵づㄲ㝢㡤戳㠱扤㐶愲敤㌵づ㍢㝢㡤㍢㠷扤挶㝡敤㌵づㄶ㝢㡤㌴摢㙢㈴挲㕥攳㌶挹㕡慦晦〷㝢㤵㙤ㅥ</t>
    <phoneticPr fontId="10" type="noConversion"/>
  </si>
  <si>
    <t>㜸〱敤扤㜷㥣ㄴ㐵晡㍦扥戵戰挳昶挰㌲愳愸㘰〶㠴ㄳ〴搷搹挹㠳㈲㑢㄰〵㤱㙣㍡㍤㜱愲慣㙣挰摤〵攱㑣㤸搳㤹㜳㐴㐵㍤搳㈹收ㅣ捥ㅣ㌰㥣㝡㥥改っ㥣昹晣㜸㥥ㅦ捦ㅣ㝥敦昷搳㔵㍤㍤㌳㍤ぢ晡㌹㕦㍦晦昸㌶㍢て㕤㑦扤敢愹慡㜷㍤㕤㕤摤晤捣㜴㡤慡愹愹昹ㄱㅢ晦攷搶㥢㍢㥢捣㔹摡搵㥤㙦㙢㥣搸搱摡㥡捦㜶户㜴戴㜷㌵㡥敦散㑣㉦㥤搶搲搵摤ぢ〰摦扣ㄶ攴㜷搵捤敢㙡昹㝤扥㝥摥攲㝣㘷ㄷ㐰㜵㌵㌵昵昵㔶㉤昲㌷搴㥦愰㐹㔸㉣㘵昵愶〰慡挶昲㔱昴愱愸愷戰㈸晣ㄴ㝤㈹晡㔱㌴㔰昴愷〸㔰〴㈹搶愱㔸㤷㘲〰挵㝡ㄴ敢㔳㙣㐰㌱㤰㘲㄰〵敢户㌶愲搸ㄸ愲摦㈶㄰㜳㈷㑥㤸㤱搹ㅦ扤㤹搳摤搱㤹ㅦ㍤㜸㌷扢捤㘳㥢㥡ㅡ㥢ㅡ挳㤱㔴㔳㘳㘸昴攰㠹㡢㕡扢ㄷ㜵收挷戶攷ㄷ㜵㜷愶㕢㐷て㥥戹㈸搳摡㤲摤㌹扦㜴㙥挷㠲㝣晢搸㝣㈶ㄴ挹愴愳挹愶㘸㉣㔶㐸愵㤲晤㌶㠵攵改ㄳ㈷捣散捣ㄷ扡晥㕢㌶㌷愳捤ㄹㄳ㈷㌴㑥捦㜷晦户㙣㙥づ㥢㌰㌹愹愳㉤摤搲晥㕦㌲㕡挷㌱㡤㑤捡㘷㕢㌸昸昹㝣㘷㑢晢㝥㡤㘸㜶〹搱㐸㈵ㅡ挷㜷㜵㉤㙡㕢㐸㍦㥡㤸㙦㙤㥤㥤㉦挸愰户㑤敡敡㥥㤹敥㙣敢敡搷㐶晥昲㥤昹昶㙣扥慢㝦摢づ㑢戲昹㔶つ散慡㙦摢㉤摤㌹㍤摤㤶敦捤㥤㐰㥢㍤㠶㔳㜲昹昶敥㤶敥愵つ㙤扢㜶攵㘷愷摢昷换ㄳ㔲搷戶攳愲㤶㥣敡摤ㅢ㝦㌵扤戶昴㙡㤹っㄴ摡搳㌶㜱㝥扡戳㕢㔲ㅣ挲㈶㉦慣换㕤愴ㄷ㈵敤愲㑢つ㉥㉢挵㌱㥢搳搲戶㜳扥戳㍤摦捡㑡㌸㤲愳捡㐰㐲㤰㍤づづ㔳愶㍢ㅣ㈵搵㔷ㅦ㝣散ぢ㙢昱つ㠶ㄸ㍤扤愳戳つづ戹㑢㍥摤㍥㌶搴㤸㡣㡤㥥搳㥤㥢㤴㕦㡣晤㔰㔳扣㜴㡢㔸㐳㔰挲ㅡ捡戲㕢㐰昴敦㙡㘹㕢搴㥡㈶晤㘳攲愱㌱搶㌰收づ㠷㔰扤㕦挵㤱敦慥㡦㐷㕦敤扣㜴敤扣㑣敤扣㙣敤扣㕣敤扣㝣敤扣㐲敤扣晤㙡攷捤慦㥤搷㔲㍢㙦晦摡㜹ぢ㠰㌱㕢㝤㥦㍥戵㝡㥢扥攳ㄳつ㐷㑣㍤㙣攷敢愶昴摢㝢攲〱㝢散愵㜸戰换㕣戱㈵㜶㐶捥敤㙣挱㌰愱ㄹ㥤愳㜷㘹㘹ㅦ㥢〸㠵㐶㑦㙢㔹㤰㙦㙤挹㜷㜵㡦㑤㈲戵㑢㝡挹搸愶㔰㈸㘴㡤〰摣ㅡ〹攱摢ち愲昷昸㥤愲㜱㙢ㄴ㜵愳㈱㤴㝡〱㑤㘶戳㤷㐷㡥㠸敦扡愸㙤摡㤱愷㥤昲敦㕢ㅥ㔸敤㔳㥣㔷愴扥㐶散晣㠴晡戶愱敤㄰㠴慦〹〲昵㠵愳㔶㤸扡〸㠴㔲慢㜴㝤晦㜹㘲昹㠲敤㐲㕦敥㜴昴戵㕢㙣搹敢㥥攷㝦㔴㥣挲愴扥ㄸ㜶㝥㐲㝤㜱摡㑥㐰昸㤲㄰愸㉦ㄲ戵㔲搴㡤㠱㔰敡ㄱ㕤摦〱〳㌷㍡敤摣㥢㜶㤹㜰攳戴㠳㙦晦昶摣㤹愷㉡捥㤶㔲摦㜶搸㈹昳㠷㐸て晥㤰㠸㔸㘳㘹㝥㝢〸摦㌸〸户㍦挴㥡挶㔸捤捣ㅤて愱搴㝤扡昲㔵㌳户搹敦敢散㥢㌳敥扤昰㤱慥㔷摥摤㘴ㄳ挵〳㔶㉡㥦㠸㥤戲捡攳挹ㅥ㥤㜱ㄲ捤敦〰攱㥢っㄱ㜰㌹㘳㔳㈸㍣挶摡㤱搹㍢㐱㈸㜵扢慥扤攵搳㜷慥㍦慥攳㥤愹㔷ㅤ摤昰攳㝢晢㝥昴㔵ㅤ㑦てㄱ慦攳愸晣㄰㥤㡣愹㍤㥢敥敡搶戳〷㈹晢敦㑥㉥㙢㥥㕢㈶㜷㘶㝦昹戹〵㤵晣㔷收ㄶ㙢㉡搹摦ㄹ挲㌷㡤㝢扢戶户㜴て㥥㡢㐳搲摡㠵挹改㄰㑡摤愸㠷攵㥢㜵ㅥ㌸攸慣昵㈷㑤扦㘲昱敥㙤〷ㅤ昲昹愶㡡㈷㙣㜱㡡㤹搸ㄹ攱㥥愱㈲㈱攳ㄲ㑤㡤愵㤳㔳㍣㘱捤愲改搹㄰扥㌹㄰㈵摥㤸ㅣ㘳捤㘵敥慥㄰㑡㕤愳㉢敥扡攰愵戳㠷㉦㘸㤸㜶昳戴㠶昹慦晣昹㠲〷㔴㕦㘴㑢挵扢㘳㈷㔵㌶戵㠴愳昱㤸㙢㙥〹愷昴攴ㄲ㠹㐴愲㡤㈹搷ㄶ戳昶㘰㕤㝢㐲昸㝥ぢ挱㐳㌱㙥敤㐵摤摥㄰㑡慤搰昵㜷扦昷昴㡤㡢㘶㙣户搳ㅤ㘷㥤ㅢ㝥昹扤㐳㙢ㄵ搷㈷㔲晦㍥搸ㄹ改敥㜸㌸㘲㍡ㅥ㙡㐴㠵㈵㕢㤳㌵㡦戶昷㠵昰愵㈱摣㍤㑦愲攷ㄹ收㘶㈱㤴扡㔰搷晣攳挷换㐷扥戶挳㉢搳敥ㅥ扡敥㈷㤹㉤敢扥㔱戲㈸㈲㉥㑦㔱㠰昰敤〷ㄱㄸ㥦捤收ㄷ㜶愷㜱〲戵㠷㙦㍥戳㕢㈰㤴㍡㕢摢㥡㝦搱㍢ㅤ㥢つ晢㜰愷ㄵぢㅥ昹㜲摤㘵愷㉤㔶㕣㕢㐹㉦ㄶ㘰攷㈷㑣㘰慤戴摤〶攱㙢㠷〰㙢戱愴搵㐱摤㐲〸愵㑥搱昵扤戸摢㕥戵摦㥦昱挷改攷㕤㜷挸户〷慣敥扦㤹㤲㘵ㅣ㜱㥤ㄴ㕤㄰扥㙥㠸㠶㐹昹慥㤶晤摡〷捦捥㉦㙥挹ㅦ㘸㉤㘲收㘲〸愵㡥搷㤶扥昸昶挳㠶㐷㔶摥㌱攵攲〵昷摦晤收㤹ㄷ㙥慢戸ㄶ㤴㤶㉦挱㑥搹㙣搴搴挳㔴ㄸ㡦㕢㑢㘹晥昷㄰扥㠳㈰摣㐳㤰㑡㡤戱づ㘶敥㈱㄰㑡ㅤ愱㉢敦㝦捥愵昷㡦戸敥愵ㄹ㘷㥣晣晡㠶敦㝤晡昰㔴挵㌵愸㔴㝥ㄸ㜶㝥〲㙤换〰户づ㠷昰ㅤ〱㐱摡挲搶㤱搴ㅤ〵愱搴㐱扡扥戹敡攰戱㠹ㄳ㕦㥤㜶敦㠰昹㥢摣昳攱㌶㡢ㄴ㤷扢㔲摦㌱搸㈹㌹捡㥡㝡㍡捡㡥愵改攳㈰㝣挷㐳戸㍢ㅡ㡦㡣戱㑥㘰敥㠹㄰㑡㜵敢㡡愷㙤昰收㈱攳㐷慦㍦昹愸摤㠷㕥㜲晣搳㝦ㅥ愸㘴㠹㑤摣㐹ㄴ㈷㐳昸㑥㠱攸㍢戱㈳㤷㌷愳㜵㉡戳㑥㠳㔰慡㕤摢㤹昱挸戴㈷㕥㍤敢攳挹㘷ㅤ晢昸㍥搶攸㡦㥢ㄵ㔷改搲㠱㌳戰㔳㝥戴㐶㔳㤸㉢㡡㉢㠱㤸㔹ち㘰搶㐸㤵ㅣ慤㑤搶㤹慣敢㉣〸摦搹㄰㈴㌰㙡㥤㐳摤戹㄰㑡敤愷敢㥦㍥晡换昰㑤㈳慥㤸㝣捡㕦〲㤳〷㍤㌶㘹ㄷ戵㍥戲愵晥昳戱㌳捡㝤戴㠶ㅡ㥢㡡㠷㙢挵㍡㉡㙥㕤㐰敢ㄷ㐲昸㉥㠲㜰㜳㤸〲㠷ㄷ㌳㜷㌹㠴㔲晢敡扡㡦㍤㙢㜴愴攵昳换㜶扡㜹㜵摤搱搷㉥晦昸㐹挵敢ㄲ愹晢㔲散㤴捣ㄴ㔸敢㤸扡㈳攵㔳㐵捣扡㡣戶㔷㐰昸㉥㠷㈸愹㌹㍡挶扡㠲戹㔷㐲㈸戵愷慥㜹摤扦捦敦㜳搷ㄳ㍢㌶㥦昸敥ぢ昳扦㝥昹愰㤱㑡㉥㠶㠸扢㡡攲㙡〸摦㌵㄰挱㈹敤摤昹晤㍡㘵㌵㘸㑦ㄵ搷㌲晦㍡〸愵收㘸㘳㝢摣晣攵ㅢ攷㝣昱改搴㍢扥戹敡㙦㉤㥢㥥昱㉦㌵〸搹搲㡤敢戱搳㔸㌶攱㌶㘱㌱攷ㅥ挳㌰㤲昶㝡㉥ㅣ攱㠲敥〶㔶戰ㄲ挲㜷㈳〴挶㉤ㅥ戲㙥愲敥㘶〸愵愶改㑡昷㤹晦摣挳㥦㉣昱㑦晡搳㐱㕢ㅣ㜴换㌶敦敤慦攴㈲㡥戸㕢㈹㙥㠳昰摤づ愱搷慢㜶攳敦㘰搶㥤㄰㑡㑤搶㜶慥敥扢敢昲㥡㡥㘵㔳㉦㝡晥㤵㍦慣ㄸ㕥㝦扢摡㠸ㄸ㝥敥愶戸〷挲㜷㉦㐴扦搹昹〳扡扢㡣㈳摦挷扣晢㈱㤴㙡搶㠶㥥晦㑤㜸攸扦昷㍣㜲攲〹ぢ㝢㝤戶㙣昳㠶㝦愹㡤㤱㉤㉣晣ㄹ㍢攵㡥晣ㄳ㑥㍢て戲慥㠷㈰㝣て㐳㠰㤰㘸搸㝡㠴扡㐷㈱㤴㑡改晡搷㍦晥愰㉢㙥㝥㜱挵搴ㄵ㥢㥤㜴搳摥㡦つ戹扣摦攳挸㥥愵慦づ㈶㜵愶て挴昵㔶昱㔲㉥摣㠸㑢㠱戵戹㠶挵㈵㙣㈱㔶㐸ㄴ㥡㥡㜲戱㔰㍡㤲慥ㅢ〲戳㙢㝢戱挴㤹户㕦㘱昷㤶昶㕣挷㠱㜲昵戴挹㠴㜴㔷扥戸攰ㄹ愵昳㈶㜴㉣㙡捦㜵㙤散㥤㌹愷㍢摤㥤摦愸㍣慦㘸愴愲搸ㅣ㕣㕢收扢愴扥捤捡㡢敤㤶㙥㕤㤴ㅦ扦愴挵捥摥戴㉣ㅢ㔷㤶ㅤ㤹敡戹㤳㍢昳〷㌸戹ㄵ㉤ㅡ㡦㕢ㅦ㡢挵㜶㐵㉦敤㉣扢㕤㠳㈷捥敦攸捡户㑢昳㐶戵捤㙣挹㉥挸㜷捥挹昳挶㐹㍥㈷㕤㕤㥦㔹晡昲㜶搴㡣㜶㜴ㄴㄷ慣戹愱㙥㙤㘱㠷㈵摤昹昶㕣㍥㠷昶㉥捣㜷㜶㉦㥤㥢捥戴收㌷㈸㠱搸㜵㈲㘳挳ㄲ昵攴㡥散愲慥㠹ㅤ敤摤㥤ㅤ慤愵㌹攳㜳㡢戹㈲挸敤㠲〹ㅢ㔷挴扤戹搵愸㥡㕥扤㤴慡搹捡㙢㌹㑤扢㕤㡤㌲㄰慥㈱摥ㄴ㘳㍥愸搴敤ㅡ㘷愳㜷攸㐵㙢㥥㍥㔹㍢㙣つ挶挴㉥捤㡣慣づ㜴昵㠹㜷㤹㠸ㅥ㔱ㅤ㉤㙤㜴㐶敥㤷〵搷搶づ搰扤摦㘱㌱㙥㍢散㤴㙥捦戵收㍢㝢扣㐷愶搸㈲敢〹㠸扡㌸㡥收慡散昵〶㐲㉤㔱㑢敢づ㙣挹㜵捦昷捤捦户散㌷㥦㙢㈲摣㐷慢慦㈷戵ㄵ㥢昵ㄴ㔴搶㉡㡡愷㈱晣晥ㅡ摦㌳〴昹晣搶戳㜶扡㙥㈸晥晦改㌷㌴㙡㔱捡㤲ㅢ㈸戸摢搵㔵搷㠶㑢愹慥㕥扤扣㝡戹㔳扡㙢㝥㌷摤戳攷㑣摡㝢㡥攲㉦㄰㜵挳㈰搶㜸扦㠴㉢挴摥扣㉤搴搰㌶㈹㕦㐸攳㘶㥣ㅣ摤㉡㕤搷㘶摦摦挱㔲㌱㙢昱㐶搰ㄴㅣ㉢㑢㝣搸挳挱摦慦㡤摥㥦㕦搲㍤㈹摤㥤敥搳㠶㕢㑡ㄸ㈵ぢ愰㔱㔲捡摥㘳挹〶搱㤹搲㝥㥤㠲㠵愰散扡慣昴ㄵ㠵㙤〹〷づ㡥㤷㥡㕥㕡昶摣〹戴㥤ㄷ㘶扥㜲㐷㉦扤㌵㠴㍢㔶戹ㅤ昳敤㜳㤷㉥捣㜷ㄱ㕥敦敢㤱捡昲挳㡢挶㘶㘴㌳扢㜶户戴㜶㌵愲愵㍢㜶㜶㉣㕡昸摦戴㐳㕢搶昳㄰㘶慢摢ㅡ㕥扣昶㝤〲㕤㌵㝤ㄶ㜳㙣收捤慢愹愷㌵㙡㝣㉦㐲戸㤷㌲扣ㄹ㐵攷㠵敤ㅦ昱㥦㙣搶㑢昸捦㙦ㄱ㕡㈵慦㙥㌸昲㝥捡㕤戵㍡攰晢戵㠱戰戹㥤㜹戹㑦㔸㉦〹㤰摦搰戶㝢㐷攷㠲㑣㐷挷〲扡㔷㝦㐹㜵捤捦攷扢㜹敦慤慦扥搷㈸昷ㄴ㤵敡搵慢攴㐶㤹敢㈶摤收戰敦㝢ㄵ愲㘱㝣㙢敢㘰㘳戱换昷ㅡ㔴扤㜰ㄷ搰昷㍡㜶昶ㄹ㌲㜳㠷搹㜳攷敤戰㈴摤戶戰㌵扦昵慣㐵改㔶摣扦摣㝡挶挲敥ㅤ扡〶㉦づ㐵〷㡦〸挷㐲搱㜰㈸摦㌵昲摤敢㑦晣㘰搹攱敦摥㜱摣扢愷㥣昶攱戲挳摦扦敥扡㜷敥㔸昶晥昱挷㡤㐰搳㕡㕢㤷㝥㜰散㌵敦ㅥ㜷挱㝢㘷慤㝣敦愴敢㥢晥㜵捦昱㡤㑢㕡扢㤶愸㉤挰㈱㙦㡢摤戴㔳摦㔹㉢㥦㍥愳㜹攵搶㉦㑤ㅡ昵愷昹昳搴㔰㥤㔱㜱㝦㙥〴㕡挵㔳扦昵㈶㠴ㅡっㄸ愷㉡散㤷㙥搶摢㐸㕢慢㈹晥〱㠱〹㐷挶〵昳捤扢㜶㔲㡤挴晦㥣㜳慣昷㈸摥㠷㔰愳㈰㜸挴㕢ㅦ㐰㤸㑤つ㠴㝤㍡㤲㌸挳㐷㔰㘳改ㄳ㐹㔵づ昳挷挸昲㕢〴㔴挹㔳愳㤱㐷㌷戰㐸扢㐵愲㉤㤲慣ㅡ㘰摤㤳㠵㝥㍡愳攲慥攱㌶㈸㈶㉣晣㠷攵晤㠰㜹戳昰㈵敢昸㡡攲㙢〸ㄷぢ摦摡㐹ㄵ挲晦挲挲㜷〴㝤て愱挲㄰挲挲て搸㌱㥢㔲愸挳戰㘰㌵㐱㕤搹挹㕡㌰攴敦㈹㑦㐵㔰捥㡢㠰㉦㝦愸㐲挰ㄷ㍡愳攲㌶㘶ㅣ㤶㠴㠰扥愸㔴㝤づ㤸㌷〱つ挸戶晡㔳〴㈰㕣〴慣㘳㈷㔵〲㠶㠴㠰㜵〹ㅡ〰愱㔲㔰〹〱敢㈱㘵㌶昵㑦搴攱㄰㤰㠴扡㤲㠰㐱戴㘹昵㤰愷挶愰㥣ㄷ〱㙦㔷㈳攰㉤㥤㔱㜱㕦㜵㉣㉣つ㘱㉢㠶戰挹㙦㔴㈵㘰ぢ㘴㕢挳㈸㠶㐳戸〸搸搲㑥慡敤㘱㐴〸ㄸ㐱搰㐸〸搵っ㤵㄰戰ㄵ㔲㘶㔳㝦㜵ㄱ攰ㅢ㡤ㅣ昷愴挸㍢戲ㄵ㤳㘲㈳㐰㝥㡢搰㉡㜹㙡㍣慣㝢昱昱㔴㌵㍥㥥搴ㄹㄵ户㝡㈷挱搲㄰㝣慣〴慡㔳㡦㔷攵㈳挵搶㡣愱搸ㄶ挲挵挷㔸㍢愹㜶㠰ㄱ攱㘳㝢㠲挶㐱愸ㅤ愱ㄲ㍥㥡㤱㌲㥢扡摦捤挷〴攴㔴摣㈴慥㈰㘴ㄲ㔰㝥㡢搸㑡㐲㈴㑦敤〴昳㕥㠴摣㕡㡤㤰㕢㜴㐶挵摤攷愹戰搴挳昵㔱挹つ摦昵㠰㉤戹㍥敡㔷㤸摣搲摡㥤敦㤴㈵㜰愰㠰晦散挷㘵㤲㙥攰戲扦㌳㥤戵ㅦ㐴慤㔷㤸㠸㤵㍦㥥捦㜵㉦㉤㕥ぢ㔵㕣㜹搸ぢ昳晦㜷㝤昵慢扢扥㤲慢慢㤲㙢慣ㅥ慥㕦攰㌴㘵㔷㔸㍤㠳㕤㑥挴㑢ぢ捦攵㡦戸㔴㈳㉣㤷㍡ㄹ昱攵㑢㌷㜹〸改攰摤㑥㐸㜴愸晡㜵ㄷ㥤扤搲㐹㔹愸敡㌵づ㉦㘳晥摦ㄵ㘲㜹ㄴ㠵㝤㠵戸ぢ㈷戰改ㄴ㌳㈸㘶㔲捣㠲㔰搷敢㘹㤷昷㝣摢昱㔹㠴晢㑥㝢搵㘲挷㥡㐳捣㕣㡡㕤㈱㕣搳敥敥㐸晡昶㠰〸㤸愷㘰㠳㙤ㄷ昳㉢戵㌳㑡捡㔴扣㈷ぢ晥ㄶ愲摦㕥㄰搳㜷捡户攲㙥挳㝦㉢㜲愱㙥ㄷ㔴搳昳昵ㄱ晣㠷昷戳㌷㘸㥢戳戴㍤㍢扦戳愳ㅤ昱㈳扣㙣攳昳㡢慥㉥㤵昶戵㑤敢㤸戸愸摢搷戶㔳ぢ晥敢搷㌶㍢扦㌰㥦敥㥥㠸扢㐹戸㈶㥣㠶㈷㝢㜲挵㌷㈵户攴晦捦㉢挲㥡摥攸㐲㡤〲㠱收愲㔰㤵ㅦ扤昶戵㤹愶户㜱㔲〷挲㐸昲ㄲ㐱㐳摡㝤㍥㕣摤晦ち㉦昹昰摣ぢ慤㕢晥敦㙢戶ㅤ㝥搱つ㍦敡晦て挳㜲㔵㌶㙢ㅡ㍡㕤㜹戶㥤㠷㈲晥㥥昲搴㜴㤴㜳捥挴扥ㅣ㘹㠳ㅢ搸ぢ昶昳慢㥤㡤捦搳ㄹㄵてㅤ㘷挱摡㄰戶㘴㍥っ愹㜳昴㜱〲㐵改㘶敤㡦㙣㙢〱㐵㉢㠴敢㌸㘹户㤳㙡㌶ち挸㌱搱㐱搰㐲〸㌵ㄷ㉡㔹㥥ㅣ㠰㤴搹搴挹愸挳慣㔷㝤㕤挸㈹㔹慥攱挱㕤挵敡㘴ㄱ㐰㝥㡢搰㉡㜹㙡㔷㔸㜷㌸㜱㕤挰ㅣ㔵㡤㡦㈳㜵㐶挵戳搰㍤㘰㘹〸㍥搶愱愸㑥ㅤ㕥㤵㡦㘵㙣捤攱ㄴ㐷㐰戸昸㌸捡㑥慡㍤㘱㐴昸㌸㥡愰㘳㈰搴㕥㔰〹ㅦ挷㈲㘵㌶戵挴捤挷昱挸攱㘵㕣愸戲愷㈷㈲换㙦ㄱ㔰㈵㑦敤つ㥢㕥㉣戴㔷㘳愱㑤㘷㔴㍣㤱㥤〷㑢㐳昰戱捥㐴㜵㙡㐱㔵ㄶ捥㘶㙢捥愱㌸ㄷ挲挵挲昹㜶㔲敤ぢ㈳挲挲〵〴㕤〸愱㌲㔰〹ぢㄷ㈱㘵㌶㤵㜱戳戰ㅣ㌹㙥慦攰攳摣ち慦戸ㄴ㈰扦㐵㘸㤵㍣㤵㠵㜵㉦㍥昶愸挶挷敥㍡愳攲㌹㜱ㅥ㤶戸㙥戵慥㘱㜵搷㔲㕣㐷昱㈷㡡敢㈱搴㉣捤ㄱ捦㌰摣㜸㠶搹慤ㄶ㍢搶㑡㘲㙥愴戸〹挲挵搱㉤搴昱っ㠳㌳㑡〱㐸攱改㌶㉡㙦㠷㔰昳愱攲ㄹ愰挶扡〳挹慡搳〸㥦㔷㔷ㄲ㜰㌷捤㕡㍤攴愹ㄶ㤴㉢㤲挳㘹挴㥥㐲戶慦㐶捥㔸㥤㔱昱攰扢ㄵ㤶㠶戰ㄵて挳㠸摡㔶ㄳ〱㐵改㘶㍤捡㍡ㅥ愳㜸ㅣ挲㐵挴㤳㜶㔲戵愱㠰㤰昰ㄴ㐱慢㈰㔴〷㔴攲㉣㑦㈳㘵㌶ㄵ㐶ㅤ捥ㄴ昲㉣㜲昸搰挷攳捥挷㕦㤰㠵ㅢ戹㤰㤵っ㐹㥥㕡〸㥢㐵ㄶ㡡㜷㍥㐶㔴㘳㘱㑢㥤㔱昱㌸扥ㄳ㤶挴㐵㕥㘵㜵慦㔱扣㑥昱㜷㡡㌷㈰搴㄰捤っ㕤㠴て搰㡡㡢㤰户㠸㜹㥢㘲㌵㠴㡢㤹㜷愸搳㉥搲㠵㈲挲捥㝢㔴扥て愱ㄶ㐱㘵扢挸〷㐸㔶㜵㤱㙥㔶㔸㜱晣晣ㄳ㐵晣㔶て㜹㙡㌱捡ㄵ挹㈹扡㐸晦㙡攴㌴攸㡣㡡〸㠳愵戰㌴㠴慤昸㥣捤敥慢㠹㠰愲㜴戳扥㐰戶昵㈵挵㔷㄰㉥㈲扥戱㤳敡昷㈸㈰㈴㝣㑢搰㜷㄰敡㘰愸挴㐵扥㐷捡㙣慡ㄶ㜵㌸㉥昲㈳㜲摣昳〹㘳ㄳ㉡昸㔰戵攴㠳搰㉡㜹敡㄰㔸㉦昲㔱㜴㤶慦扥慦㜲㤷攸㑢㥤㔱ㄱ昴戰っ㤶㠶攰㘳昹㔱愹晡て㘰摥㜷㠹晡㈱摢㙡愰攸捦搶ㄵ㙦ㄶ㌲ㄲㄸ㐹㜵㌸㡣っ愵愱㜵〸㕡ㄷ㐲ㅤ㠹愴昰㌱〰㈹戳愹㡦㔱㠷挳挷晡挸攱㈱ㄳ慤散改㐰㘴昹㉤〲慡攴愹愳㘰搳㡢㠵搵搵㔸㜸㕢㘷㔴㠴㘲ㅣぢ㑢挲挲㘰㔴愷摥慣捡挲㔰戶㘶ぢ㡡㘱㄰㉥ㄶ㝥㘳㈷搵㜱㌰㌴ㄴㅦ㙢㑢㠲㐶㐰愸ㄳ㤰ㄴㄶ㐶㈲㘵㌶昵㤲㥢㠵㔱挸㜱㝢〵〳㌹㉡扣㘲㙢㠰晣ㄶ愱㔵昲搴㠹戰敥挵挷慡㙡㝣㍣愵㌳㉡㈲㐴㑥㠲㈵㤹㐲攲慣㉥㐱㤱愴㐸㔱㡣㠱㔰㡦㘸㡥㉡慦㘳戶㈳㘶㉣挵昶㄰㉥㡥㥡愹搳㔳挸挹愸㘰㈸㍥搶〴㉡㈷㐲愸㔳㤱戴愷㤰㐹㐸㔶㥤㐲㑥㘱愹ち㜲㜶㐴ㄱ扦搵㐳㥥㍡つ攵㡡攴ㄴ愷㤰㥢慡㤱㜳愳捥愸〸㝢㌹ㄳ㤶挴㔹㘶戲搹㌷㘸㈲愰㉣摤慣搹挸戶收㔰捣㘵敢㡡㠷っ捦挶㍣㘴捥㐲㠱愱昸㔸扢ㄳ戴〷㠴㍡〷㐹㜱㤶㍤㤱㌲㥢扡ㄲ㜵㌸㠷っ慦ㄶ㜹挸挴㉡㔹昸ㅤ戲晣ㄶ〱㔵昲搴戹戰㔹㘴愱㌸㜱㕣㔸㡤㠵ぢ㜴㐶㐵昰捤〵戰㈴㉣ㄴ㔰㥤㍡慦㉡ぢ昳搹㥡ㄶ㡡晤㈱㕣㉣戴摡㐹㜵㈱っつ挵挷㙡㈳愸ㅤ㐲㕤㡣愴戰搰㠱㤴搹搴愹㙥ㄶづ㐰㡥晢㤰㘱摣㑥㠵㔷㜴〱攴户〸慤㤲愷㤶挳扡ㄷㅦ挷㔴攳攳㘸㥤㔱ㄱ㄰㜴ㄹ㉣〹ㅦ〷愳㍡㜵㘴㔵㍥づ㘵㙢づ愳㔸〶攱攲攳〸㍢愹㔶挰搰㔰㝣慣㈳〹㍡ち㐲㕤㠱愴昰㜱㌴㔲㘶㔳扦㜷昳㜱㉣㜲㑡昸㐰㌴㔱〵ㅦ挷〳攴户〸慤㤲愷慥㠴㜵㉦㍥ㄶ㔶攳愳㐳㘷㔴㠴㈹㕤〵㑢㌲㠵㥣捥敡捥愰㌸㤳攲㉣㡡戳㈱㔴㡢收愸づ㐸㕥㌰㜰ㄵ㐲ㅦ挰ㄲ㥥㤸昳㈸捥㠷㜰㜱㜴㈱㜵㝡ち戹ㅡ挸愱㐴㕦㑣攵㜲〸㜵㉤㤲昶ㄴ㜲〹㤲㔵愷㤰㙢㔸慡㠲㥣ㄵ㈸攲户㝡挸㔳搷愱㕣㤱㥣攲ㄴ戲㕢㌵㜲㜶搵ㄹㄵ㘱㔷㌷挰㤲㌸换㜵㙣昶ㅣ㑤〴㤴愵㥢㜵㍤戲慤ㅢ㈸㔶戲㜵挵㈹攴㈶㍢愹㔶愲挰㔰㝣慣㥢〹扡〵㐲摤㠴愴㌸换慤㐸㤹㑤㑤㐵ㅤ捥ㄴ㜲㍢㜲㌰㠵挴㍣慥敤敥㐴㤶摦㈲愰㤲㈱挹㔳っ敥㉡戲㔰㥣㐲㥡慢戱㌰㑥㘷㔴挴㠱摤ち㑢攲㈲て戲扡㠷㈸ㅥ愶㜸㠴攲㔱〸㤵搲捣昰㉣㠳戴㙢愱晡㌸㌱㑦㔰㍣〹攱㘲㘶ㄵ㜵摡㐵ㄸ㕡㌶ㄴㅦ敢ㄹ㉡㥦㠵㔰㜷㈰㘹扢挸㜳㐸㔶㜵ㄱ挶愳㔵ㄲ昰〲㡡㠰㥣敡㜹敡㑥攴ㄵ挹㈹扡挸㙦慡㤱㌳㕣㘷㔴〴户摤つ㑢㐲捥敢㙣晢摦㈹摥愰㜸㤳攲㉤〸戵戹㈶㠷㑦搳㜸っㄵ㔷昱慢㠹昹〷挵㍢㄰㉥㜲摥愳㑥㤳㜳て㡡っ挵挷晡㠰捡て㈱搴㝤㐸摡攴㝣㠴㘴㔵㜲敥㘵愹㡡攳攷㝦㔰挴㙦昵㤰愷敥㐷㌹㉦㜲晡㔵㈳愷慦捥愸〸搸㝢㄰㤶攴昸昹㠲捤戶㌴ㄱ㔰㤶㙥搶㔷挸戶扥愶昸〶挲㐵挴㜷㜶㔲㍤㠴〲㐳昱戱扥㈷攸〷〸昵〸㤲㜲晣晣㠸㤴搹㔴つ敡㜰㡥ㅦ㠵㤹ち挷㑦挴攳ㄴ摣ぢ㔹㝥㡢㠰㑡㠶㈴㑦㍤ち㥢㐵ㄶ㡡挷捦ㄷ摦㔵㔹扢晦㐷㘷㤴㠷つ搶㍤〱㑢㍦㈱摣慢㉦攰㔶㘱㌷挴㘲㌳㍥愵㝦〱摦戰㥡戸愸慢扢㐳㠲㘹ㅡち㤳㍡愶㜷㜴㑦㙡改㕡搸㥡㕥㍡愰愰㜷㜶㥦㥦㙦㐷愸㕢㈷㈲摥捡㜴ㅤぢㄷ收㜳㔶㘱㑥挷愲捥㙣㝥捡愴㕦㐳㈸㥣っㄶ攲㌹㤴慡愹㔵搸㝥㕥㜴㔷つ㑡挲㔵戰搵搴㍤〵㤳攵㐱㍡慥㐷㉣挵愷㜹㐱〰〳㐵㐶攷戶㜴户收晢ㄶ㈴㕦昶敢ぢ㘰ㄱ昱㠳戹㍥㠵戹昳ㄱ慤㌲愹愱戰㘳㘷㑢慥戵愵㍤捦挱挰ㄳ㐲㝥㙤㙤㕡㝥㍦挴ち捥散攸㙡攱㜷扡ㅡち㜳㍢搳敤㕤ぢㄹ昶㤴㕤扡㙥㐹㑡敥㤶搷ㄵ㈶戴戴㜷愱ㅡㄹ㐵敥〷ち㜳收㜷ㅣ㠸㙦㜷㉥㙡㙢摦㌱扤戰敢㔷㌱㉡㑡挶㠵㐲㠶㐶搵慡摡㕡㔵㕦㕢晦㜳挷挷搷て㐷搷〰㍢摣㝢㌰晣戴扢戳㈵戳㠸㠴㐹㍤㘱挸摥ㄴ㌲㠶㌵㜵慢戰搷挳㔳㌲㍥㉢搳ㄱ㥣㡣㑥㘴㕢㑢扥㔸攴ㄹ㈸攷㝣㘵㤶捦挷慣〶㌴愷㕦㝦㠸愹㍢敥㍡愵ㄸ户晢㝦晡晥㘹摤搳戰㕣晥散愱摣昳㥣㌰挹昵〱敥㙦扢㄰㜵昴㈸ㅣ㤹昰〴愶捡摤搲㕦㄰っ㍤戴㝦㜱㜷㌲㈲敤晡ㄵ愶愵㌳昹㔶㍣㘵㙡㑢㜷昷户ㄳ㝣㘲㠸敦㈷㜶改扣㠹ㅤ㙤㙤㘹扡ㅣ摤㜵㑥㌶摤㥡慦㉦㡣㕦搴摤㠱慦晥㔹〵〸昱㑢慤㑡㉦㠱㉡扤㐴㔴晤ち戳ㄹ㌸㉣晢戴搵戱㕦扡戳愵㝢㝥㕢㑢戶㥥〹〶昷晥㉡㝣ㄵ昳㝦㙦㤰㘹㌶㌳㤷㤴㍦晢戲㥦〲㘱戸ㅢ昱㈴㡥搴㜱昸攱搱戵捡㠷㝦敡㘷挶㤵㘲收㤱㤳㠶ㄵ㠴戵㍡㥥㝤㌸ㄵ挹昶㈹敦〶㜱晢昴㌰散挸攴愴㥥㐵㤲㕡㙢ㅤ挰戹挳㑦敦攷㈰㝡っ㍡散〳㠰㝦㕡㐷㍡㌷ㄹ昱〹ㅤ㥤㝤昴昷愵敢㌱戴㥣㙡㍡㠳っ〳攵㔷㐱㄰戱扣戸㈵㤷敦慣愷㘲づ㥥攷昵㘶〰愹捦ㅥ㐳ㅥ捣㌵㜵㜵㝤敢扤敡㥡㘲㙣つ搳搱㜴敥敦㥢㑦愹戰晦昱慣攴戸慤搸㉡扦㥣愲搶㐵㜷慣〱散ㄳ〳㑣搹㥦㌲挰㝡〴慣て㔱昷㍣㌲换挷愶㌴㈲ㄳ㜱㥢扣挳搹㕢扥㘹捣㔸搱㝡挴㔵㑡㤰㘹㥤㜴〴㕦㝡㜱㐲㑣㝤㜶㕣㘸㍤捡㘰慦慤换㌷〷㕥㥥捦昹敤昹㤵㑦㌳㌹ㅣ戵戵扤㌱搴扥昲挰㤱㡡㙡㘹㘲㑥㕥愲㐶搵㘶㘸㠲㙦〳戴㜸〳ㅥ㉣戰㡦敦搷㤷㝣㜵户㝣㌵攵昷㕢㠳〰挷つ㜹㠶㑤ㅡづ㘶㔲㘳㤳戴㈱㌹搸〸㐲扤〹㈵㔷〲搸㌵攷㉤昵㌶㔲㍣㜷搵昸㌶〶㘴㘰昱㝢ㅤ㙢㥣㉦搵㙡㤴攲㥣㘹㙤㐲攳晦挰ㅥ愷㈲挷㌵㌷㠳㜶捤慥昹㉥㑢攰㘳㙤㑥㈳㍡愱摥挳㡥改㑡〸晢扡㉢㠳㠱戱㠶㄰昸扥㌷㘰㈸〱㕢㄰昰〱〰ㅣ㜳摦㌰愴晡ㄹ㉥㜱㌳㈴㕥戱摡〲㠳扦〱〸っ㝥散戲㍡㥤ㅡ㥢挱㉤㘹㜵〴慤晥〷捡㜲〶扦㠴㑥ㄸ戴挸愰㙣㘵㘷ㄶ昵ㄵ戴挲搴㔶㌴昲㌵㔲㈵㑣㡤㠶㜶捤㑣㝤㡢㘲挲搴搶㌴愲ㄳ敡㍢散㜸㌰搵〸㡣戵つ㠱摦㝢〳㐲〴㌴ㄱ昰〳〰挲㔴ㄸ㈹ㄷ㔳攱愴ㄷ㔳㔱㠰挰㔴㉤ㅡ㘰慡㥤㐱㡤捤㔴㡣㔶攳戴摡ㄷ㠰㜲愶ㄸ㍦戸〶愶晡〳㈲㑣㈵㘹㈴㠰㔴〹㔳㘳愰㕤㌳㔳敢愰ㄸ晥㄰㤵㐶㈳搸㤱て㘳ㄲ㑤㤳㕤㍥戵ㅤ㌰搶㔸〲ㄹ慦攸〱搸㥥㠰㜱〴慣〷㠰㌰搵㡣㤴㡢愹㘸攵搵㌱㝣㙡〲㐰㘰㙡㤰换慡换愷㈶搲敡㈴㕡ㅤ〲㠰㌰㔵㕣㑤㉡〶ㅡ摡㐷攵づ㠰慣敤ち㐶つ㐳㌱㘱㙦㌲つ㌳㐶戱㠴扤㥤愰㕤㌳㝢㡣㘵挴㕦㡤㌵㠵㐶っ㝢っ㘸㌴攴戸㘶攰愹挰㔸㍢ㄳ挸㘰㐷て挰㌴〲㜶㈱㠰昱㡦挲摥㜴愴扣㘶㌷慦戰㐷昰㌸ㄳ㜰昰搸攸戲㍦㤳ㅡ摢攳㘶搱晥㙣摡㑦〰㔰捥㈳〳ㄴ㙤ㅥ攷〰戲搶㍣㡥㐱㌱攱㜱㉥つ㙦㡢㔴〹㡦扢㐱扢㘶ㅥㄹ〳㠹㍦摣戳愵ㄱ挳㈳〳㈱㍤㘸摡〳ㄸ㙢㑦〲挷㜹〳㝥㑢挰㕥〴㌴〳㈰㍣敥㡤搴㐰㌳戳戹捥ㄲ昲㥤㝡㡦搳挴㍥挰㠳挸㐹慥ち㕣づ㌹㡦ㄵ散ぢ㔱挷㠸愴ㅥㄶ㤴〸摣㜰挵慤昵㠷㑤㕦㠱㕦ㅡ挷㕡㡦㡤㤹摣搲㡤戳㔶扦〲〴㜶㈵挰㙣㈳㔹〳扡ち㡤㜲慥㉤㌷慦捣㉡戹搸摣慣㌲摦㝤昵㌹捣㈳摢扥㉥㜵㕤㡥慥〹㈴搷愷ㅥ㙤晣㌵㕤戰㉡㍢攰愸挶扥㘶㔵挳慢㠷攷戹㜸攷㌵挷晦攱昲㔶愶晦ㅡ㉢㐳户㔱昸㠷㘳㌱㡢㝤㕥敤㑥㕦愳㡢戸愲ㄵ晢搲敤㜸挵㙢敢ㅡ㜴㌸散㤴昶㉥慣ㄹ晤㍡㠵㉢㠲晥㝡㜷挶愲敥㤲㥣昴㤲〱㍡〷㕦慥㤸搱㡥敢戸㙣扡㌳昷㉢戹〸㐰摦散㙢㔵㔹捦晦捣晢〸㌰挲捤戵㜴挷㥤愱㥣收㝡〶戸晥㈹挱㥥〱㔸㙡㈰摤㑥っ㘸㍤㔳晣搹ㄸㄹ〵晢㔷㘳攴愶捥捣㍣敥挸攰㔷㜴㕡昳〳愴㠰㤳㤴〵慦㔵ㄸ㥦改挲つ㠲㙥㕥晤改㍤㌹搰慤挲散㍣㝦㑣㘶㜱ㅥㄷ㙢㝡㙦㘶戶ㅢ愱捤㡥〱㝥改昱搷㌳㐲㘰愴户ㅥ㈵㈵攳攴敢㘱㝥㉢敤〴㡦愱㥦㌹慡ㄸ户㠲㙣㥦㡣㔳攷㥦挷敤敡㜱㌵㘶㐷摦㌶㘲戸㘷て昷ㅣ㌰搷扡㈳㜳㜹㈴つ㌰〱攳昶っ㈷㤳㔷㍦愳攳㡤㠹〶摥㐰敡散挶㌷㠳㈷攲扢㐲〱ㅥ㍡慤戸㜲敢㙥挱㌵㜸敢搲晥㠵㈹敤搹搶㐵戹扣㕣挰㥢㌹㕢慥攳㝦ㄵ攳搵ㅢ㠴攸㈳慡〷㕥㌴㈹㔳昰ぢ㘴收㥢愲㔸㍤晤捣㜱戲昲㌸搲㘴戲㠳つ〴㈰改攳㙥ㄶ㕡昲㤳挳愰晤㘸晤扡挵㈰㝥昹㕤㉡㑣㙤ㄵ㉡捥㘹㡣㘵㥤㘸㈲愹攵㠸㜳挱愶㜵㑣敢攰㕤㐰㤷㙡愷ㄶ㕢昵慢ㄸ㈷昴搳ㅥ㈶㥦て户㌱㝥ㅥ昳㘳慥摢昳㤱戱㕢て㙤扥㜰晢㉦〶㘶晥戲㘵戳㌹㕡㜸㡥挱㔹㐶㌱捥㔹㔶㙦ㄲ㕢㉡㡢愸㌰慡慤愵搰㤰戹㠰挸㑡慤〵愳愶ㄸづ㙤慦搴散昱戴ㄶ㐰摢攳㑡捤㙡戵㐷㕢敤㡥愲昸挳戳㘵ㅡ挲㡥㝣ㄸ㉢㙤㔶㙢㜶愵㍣〴慤㜶㘰慣づ〲㝦敢つ㔸㐸挰〱㄰㜵っ愷㉤㥦㙣慡㐶〶愳㐰㑤㕤ㅢ㙦ㅦ搴户昱㌶ちづ㔵ㅦ扥搹㡡挸㘷摣㡡昱昵慤摦ぢ挶慣㑥愰㥥㕥戵㙡㉣摢愳收戹敡ㅦつ㠵㕥ㄵ㜷戱㝥晥㑣㥦㘲㠸㙣昹慡㤸㜱戱㌶慦扣㍦㉡ㅢ㈹㜵摤ぢ㔵ぢ〰ㄱ㕥ㄷ搳〸挳㘷㑢㔶挰㑢愰敤㤱㔷ㄹ扦㜶ㄴ挳㕦㡤戵㤴㐶戰㈳㥦づ㐸挳愹敢㑡攲昷挰㔸〷ㄱ挸㌸㕣て挰挱〴ㅣ㐲挰〱〰挸ち昸㔰愴㍣慦㈴㍣㘲㉦戱㝡㔹〶㌸ㄶ挰っ捤㌵昶ㄹ㑡慣㌹㍢㥣昶㡦愰㝤㠶搱㤶㕦扢㉥㠳捥收慣敡㔵晥攱㠰〸㘷㐷搱〸㐳㙣㑢㌸㍢〶摡㌵㜳㜶ㄴ㡡攱慦挶㍡㤶㐶っ㘷㡣挷㌵㑤づㄵ㥢㝣ㅣ㌰搶昱〴㌲㔶搷〳㜰〲〱㈷ㄲ挰昰㕤攱散て㐸戹慥㕤昱㜳㐷ㅥ㤷ち㈷〳〴愶㑥㜴㔹㜵㕤㉡㥣㐲慢愷搲敡㤹〰㤴㝢ㄷ攳㙢㠵㈹摦㘹㠰慣昵㌵搷㌹㈸㈶散㥤㑥挳攷㈲㔵挲摥㤹搰慥㤹扤昳㔱っ㝦㠸ㅤ愰ㄱ挳摥〵搸㌳攴戸㍣敥㙣㘰慣㜳〸㘴㡣慦〷攰㕣〲捥㈳㠰㘱扦挲摥昹㐸㜹㜹㥣㔷戴㉦㍣敥㐲挰挱攳愵㉥晢㉥ㅥ㉦愲晤㡢㘹㥦㈱扡扣散搲㑢敥㑢㔸㑣㉦戹㉦挵㍥㈷挳㙢㤱捤㘵户搹㑡ㄷ㡢㤷㘹ㄴ㈳㝣戹㘰㘴攷捤㜴㕡㙤昱愱晥〴㄰ㄷ㈰昸㤹ㄹㄴ㉦㥥〱慦搰挶慥㐷ㅥ捦㠲挳收摦戰㉡㝣敥㌷攳㙥敢扡慤㙥攱搷㝤㉡收㘹㐶ぢ摢挷挶㝥搲㍡㈴㌹㥦戸攷改ㅢ愱㤳搱晤㈳㙣㉢〶ㄵ㤷捣搳㔷㐳摢攳攸㕡搷攸㌶摤㠲愲昸㐳㐰㌳つ㘱㐷㍥㡣㐰㌶〳挸㈶攸㐳晡㍡㘰慣㍦ㄱ㜸扢㌷攰㝡〲㙥㈰攰づ〰㌸㔷㕢㉢㤱㜲愶搷扢㕤挵戶㉥摡扤㤱挵㙥㘲戱㠷〱㈸㥦㉡ㄸ㌳扣㠶愹㠲ㄱ挵㐲挷㉤㌴挲搰攲ㄲ㘷扦つ摡ㅥ改㤰改㤵㈱挸昸㐳攸㌵㡤㘰㐷㍥㑦㐱ㅡ㉡㐲挵㈶摦〱㡣㜵㈷㠱㡣㔱昶〰摣㐵挰摤〴㍣つ㠰㌸晢㍤㐸戹愶ち晣挶㤷挷㔴㜱ㅦ㐰㜰昱扦戸慣扡㙥〸摥㑦慢て搰敡慢〰戸㕣晣㐱ㄶ搳㉥晥㄰昶改攲慦〱㔲摤挵ㅦ搶愸搷㠱㕡㙢ㄷ㘷㈴戳敤攲㡦愰㜸搱挵ㅦ搳挶ㄸ攴㑣ㄷ㥦昵搷挳慦㥦晢挲攸收ㄳ㘷捦㕢㝣攴挷㤱ちㄷ㝦ぢㄸ㝢㑣ㄹ㝣捣㤶㔷戸昸摢搰挹㤸㍥〱摢㡡㐱搱㈵㉥晥ㄴ戴㍤㡥愹戵㑡户改ㅤㄴ挵ㅦ㝥摤㠳㠶散捡㙡ㄴ㈳愸捤戰戱〵摡挵㥦〱挶㝡㤶㐰㐶㔷㝢〰㥥㈳攰㉦〴㌰摥㕡㕣晣㜹愴ㅣㄷ晦愷慢㔸㘳搱敥ぢ㉣昶㈲㡢㝤づ㐰昹ㅣ捦㤸㘷㥢づ摥㔷㤳㡤㐷扣㝢〵昱㈵㈰㐲挷㑢㌴昲ㄵ㔲㈵㉥晥㌲戴㍤搲㈱㉥晥つ㡡攱慦挶㝡㠵㐶戰㈳㥦㙦㈱㑤㑦㕤昳昹慢挰㔸慦ㄱ昸㥤㌷攰㜵〲晥㑥〰挳慥挵挵摦㐰捡㙢㍥昷㡡戶挶㝣晥ㄶ攰㜰㜶㠵㈷㙥愶〱㉥㘷㝦㥢昶㔷搳㍥㐳愴换愷〵挶㐵慦㘱㕡㘸〰㐴㌸㝢㠷㐶ㄸ㍥㕤挲搹㝢搰慥㤹㌳㠶㔹㤳㈶敢㝤ㅡ㌱㥣㌱搶摡㌴㌹挴㑥搸户㑦㍦〰挶晡㤰㐰挶㘱㝢〰㍥㈲攰㥦〴っ〰㐰㌸晢ㄸ㈹昷戴㄰昶㥡ㄶ㍥〱〸㑣つ㜴㔹㜵慤戵晥㐵慢㥦搲敡㘰〰捡扤㙢㈸㜴挲㤴敦摦㠰慣昵ち㘲ぢㄴㄳ昶㍥愳攱㘱㐸㤵戰昷㌹戴㙢㘶敦㌷㈸㈶散晤㠷㐶っ㝢㡣搱㌶攴戸㍣敥ぢ㘰慣㉦〹㘴晣戶〷攰㉢〲扥㈶㘰㈴〰挲摥㌷㐸㜹㜹㥣㔷㈴㌷㍣敥㍢挰挱攳搶㉥晢慥ㄵ挴昷戴晦〳敤㌳晣摡㌵扤捡敤㐲㍤扤昲㌹㌵愷搷〴㈰搵愷㔷㍣慢ㄴㄴ愳户搷㝡㝡㑤〱㙣㑦慦扤㔰扣㌸扤搶㘹㘳っ〰攷昴摡㘵ㅤ㤷晣㙢㙣㜴昳㌱㠵㔳㙥搹㙢昳㜰挵昴扡ㅤ㜰昶戱㜱ち扡㉢挴㜳㍥㜱慦㈰ㄸ㈷㉥愳摢〷戶搵昶㐸㤵㑣慦晣㘱昱ㅥ㐷搷昲敢㌶㌵愳愸㡣㜰㕦ㅡ戲㉢慢㔱ㄳ愰㌵〳挸ㄶ攸攳愳ㅦ㌰㔶〳㠱ㄳ扤〱晤〹〸㄰㌰〹〰㤹㕥㠳㐸㌹搳㉢挳捤㡤摤㙤㡡㜶搷㘱戱㜵㔹㡣愱攱攵㔳〵攳挱搷㌰㔵捣〱㐴攸㔸㡦㐶ㄸ㌶㕥攲散ㅢ㐰摢㈳ㅤ㌲扤㌲扣㕣愸ㄸ㐸㈳㠶㡡摤愱㌵㑤づㄵ㥢㍣〸ㄸ㙢㐳〲ㄹ㝦敥〱搸㠸㠰㡤〹搸ㄳ〰㜱昶㑤㤰㜲㑦ㄵ㤵㕦摥㠰㡢㙦〶㄰㕣㥣㈱改挶敡摣㘲戵㥢搳敡㘰㕡㉤〰㔰㍥㔵㌰㘶摣㥥㉡㠶〰戲搶㔳㐵ぢ㡡〹㝢㐳㘹㤸攱收㈵散つ㠳㜶捤散㌱㉣㕤搸ㅢ㑥㈳㠶㍤挶㈵㥢㙥戸愶㡡摦〰㘳㙤㐹㈰攳搶㍤〰㈳〸ㄸ㐹〰㐳搹㠵扤慤㤰昲㥡㉡扣㈲搸挱攳㘸挰挱㘳㤷换扥㙢捡摤㥡昶ㅢ㘹晦㘰〰捡㜹㍣ㄴ㍡摢攳慡㥥搰ㄹ㠹㉥㥣㠵㘸㘴ㄹ㔲㈵㥣㠵愱㕤㌳㘷㐷愰㤸㜰ㄶ愱ㄱ挳搹㤱搰㝡㔰ㄲ〵挶㡡ㄱ㜸㤴㌷㈰㑥㐰㠲㠰愳〱㄰捥㤲㐸㜹㜲收ㄱ攵づ捥挶〰づ捥㡥㜷搹㜷㥤搰户愵晤敤㘸㥦愱改慥改㜵㝢ㄶ搳搳敢㌸散㜳㝡㍤〳㤰敡搳㙢戳㐶㌱戲㝤慤愷㔷㐶挰摢搳敢㜸ㄴ㉦㑥慦ㄳ戵㌱〶挷㜳㝡戵户㑦㝦㙣戹扣㜵敢ㄹ〷㑥ㅥ㜷捤㌵㤷㜷扣搰㜱昹㌸㉣㐴攴㌸㘷㤴扣㍤扡搷〸ㄴ㐵捡愷搷昳〰㤱搱摤〱戶ㄵ㠳改㑢愶搷ㅤ愱敤㜱㜴慤㥤㜴㥢㉥㐴㔱ㄹ攱㈹㌴㠴敡攴㜳㌱戴㘶㠴搹〴㍤扤㑥〵挶摡㤹㐰㐶攵㝢〰愶ㄱ戰ぢ〱㤷〰㈰搳敢㜴愴㥣改㜵㠵慢搸攸愲摤ㄹ㉣㌶㤳挵ㄸ㌶㕦㍥扤㌲㔶㝥つ搳㉢㈳改㠵㡥搹㌴挲㤰晡ㄲ㘷㥦ぢ㙤㡦㜴〸敤っ扤ㄷ㉡㜶愵ㄱ㐳挵捤搰㥡㥥㠶㡡㑤摥つㄸ㙢㜷〲ㄹ㥢敦〱搸㠳㠰㍤〹㘰戸扥㌸晢㙦㤱㜲㑤慦昸㔱㔵㡦ぢ戴扤〱㠲㡢摦改戲敡㕡㐱晣㡥㔶昷愱搵〷〱㜰戹昸扥㉣愶㕤㍣㡤㝤扡昸㐳㠰㔴㜷昱㡣㐶㍤っ搴㕡扢昸㈳〰摢㉥㥥㐵昱愲㡢攷戵戱㐷㤱㑦ㄷ㝦㜶挷愳㥥ㅡ㍡愳戱㜹搵ぢ〷㥤昵扢つ㉡㉦搰ㄸ攵㙦㡦㈹㠳敥搹昲ちㄷ㝦〲㄰ㄹ搳晤㘰㕢昱换〰㈵㉥摥〲㙤㡦㘳㙡敤慦摢挴㉦づ挸戸㉥愰㈱扢戲ㅡ挵㙦づ㤸㘱㘳ぢ戴㡢户〲㘳戵ㄱ挸㙦ㄵ㜸〰摡〹攸㈰㠰摦㌳㄰ㄷ㕦㠸㤴攳攲㉦戸㡡戹㕣晣〰ㄶ敢㘴戱搷〱㜰つ㕣㌷㜴㘶攰ㄶ㘱㥦〳挷㉦〵㔴ㅦ戸挵ㅡ昵〶㔰㙢㍤㜰晣㜶㠱㍤㜰〷愲㜸㜱攰㤶㙡㘳㙦㈱㥦〳㤷摡㜸搶㥥晤收慤ㅥ㜷搶敡㌳㌷昸攰昳㉦挷㤹扢㔲㙣ㄸ㥢戶ㅡ㌸㝢攰敥㈵㙢㕥〳昷て㐰㘴攰づ㠲㙤昵づ㔲㈵〳㜷〸戴㍤て摣愱扡㑤敦愱愸っ摣㘱㌴㘴㔷㠶敢㘲㘸㍤挶㘵ㄹ㌰搶攱〴㝥攸つ㌸㠲㠰㈳〹攰㜷㈰㘴攰㡥㐲捡ㄹ㌸㝥捤挱搸摤ㅡ㤵㘹㠷㌸㥡挵㡥㘱㌱㝥㈵愱㝣㙥攲昷㄰搶㌰㌷㝤つ㠸搰㜱ㅣ㡤昰敢ち㈵㜳搳〹搰昶㐸㠷搰晥ㅤ㡡〹ㄵ㈷搲㠸愱㠲摦㙤㌰㑤づㄵ㥢晣〷㘰慣㤳〸晣挱ㅢ㜰㌲〱愷㄰挰慦㐲挸摣㜴㉡㔲慥戹〹扦㙦散㌱㌷㥤づ㄰收愶㕥戸㠲㌱搵扡㑥扦㘷搰敡㤹戴摡挰㑢ㅣ㐰慤戳㤸搲慤慤ぢ㐲㕢ㅥ搳㔹ㄱ㙦㉢㌵ㄴㄸ㜹㍢愷㝢㘹㉢愲㥤戹换ㄸ㑦㝢㡦㡦㔹㄰㠳〰ㅤ㈲㑦㍢㍡昱昸戱㜷昹捦ㄸ㌹㘵ㅦ㐷挵㝤搷㉢晢ㄹ㕣㈹挶㥣晥㘸㑤摤晥摦㔶晥搴慢㔳㥥つ㉦晥㈶㈶换㜰昳㥤㠳㈶慥户㑢㑢戶戳愳慢愳搰㍤㜸づ㈲昹〷昳㘷㠵ぢ㜸晥㌸扥㙥㍥㉣㝡搶挹㡥昵㙥攷㍢㙦ㄶ昳㘷㌶晤ぢ摡㍢づ㙣㤷搶搴㜵昱搷㤵㠵慦㍥㝤㔸㡤㥦昵㜰摢〲攴〵搷㐱㐳㠳㐸㔸攷挱㐴㐳㈰戸㉥搲ㄸ戵ㅡ摦昹㐸て㥦㌸㘱攲散㜹㤱㜴㈱㔲挸ㄴㄲ㠹㝣㌲ㅢ捤㈴ㄲ愹㜸㔳㉣㔱㐸挷挲㤹㘴㈱㥢㡣㠶㝤ㄷ㌸搰㐴㌲㤴㡣㌶ㄵ愲昹㐴㌴ㄵ㡤愷昳改㐲㍣㕦㐸㘶㤲㤱㑣㍣ㄱ㑦㘴攲挱〱摡扣㜵㈱捡㔸ㄷ㐱〴搷㌳慡㡢愹㕡㑥ㄵ㠳㜴搹〸〱〸戴㙥㄰㔴㙢ㅢ㍢ぢㄳ昸㤵づ㤵㔵㌹㤵敦摤愷㑦㐵㠰㑣㐵捣慤昳挳慢㍥ㅦ㐳㙥敢昶〱捤攵㔱㌵摥㠵㑡㐷㤱㠵搱㑥摣㐲㘷㔷㉥㠷昰〷㌷㠴㠲㍡摦ㄵ㐸慥㌳㜱挲扣搲㌷ㄶ昹慥㠴扡ㅦ搴昲捣㜷㌶㝥㙦搹昷㐷㘸晡㐳攳晡㡥㐱㜰㈳㙤挵扡ち㤹搶㔰搶㌱〴㐲㙤〲扤㡣敤戵搰㜳㐷㍥㥢㐱换攳㐱捤㐵㐷攸㠵挸愸昱晤〹㤰慡慥愵㘶〳㐶昷㉡㜵て〶攲㡡㝢摣㠰挲㜰㡦挱㐸攳慦挶户ㄲ㘹摢㍤戲㑤㑤㤱㜸慡㈹㤵㑤ㄷ愲搱㜸㌶㤷㑥㌷㠵㤳搹㑣㍣ㄴ捦㠷ㄳ攱㔸挶㜷愳〳捤愵攳戹愶愶㐴㍥ㄶち愵愳改㜸㍥㤳挱敢㌷㌲昹㔸㈶ㄵ㑦收攳㤱㈶摦㑤づ㌴摦ㄴ㑡挴昲戹㙣戸㤰㑦㐷㘳昹愶㜴㍥ㅣ㠹愴㌲改㔰㌴㥤㠸㐷昳㤹攰㄰摤ㄲ敢㘶㤴戱㙥愱戸ㄵ㈲㌸搴攸㙦愳敡㜶㡡㍢愸摦挲攸ㅤ愸㤴㔴㡣昶愵㜳愹㐹攸㍣〷㕥ㅣ敦㕥㤶扢て挲ㅦ摣㔲ㄷ昴摤㡦愴挷〰㍥〰㜵改〰晥ㄹ㥡昲〱㘴挴㌰晥㙡慣〷㤱㈹慦㌳㤲ㄷㅢ愹慤㔸㌵昵㡦㐰敦っ攰㘸㘸㘵〰挷愰㐱㘶〰㉤づ㈰愷〱㤵㠴戶㜲慣戶㘶㈱㥡㝡〲㌸㡣㔵㈳搲昸慢昱㍤㠹戴ㅥ慢㝣㈲ㄷ㑢愵㘳㤱㜴〴扦㑦㥦〸㘵昲愹㜸㈱㤹㡢㐴㐳愹㘴㈶㥢っ昹㥥㜲愰㠵㔸㍣㕢挸㠶攳挹㜴㈶ㅡ挵㜱㥦㐹收戲戱㜴㈱㕦挸ㄶ㌲㠹㜰㌸敡㕢攵㐰㜳㠹ㅣ愰搹㑣㍥ㅣ捡㐵㔳㈹㝣ㄹ㈴㤷㑦收㜲㠵㘸㍡㤴㡡㈶攳搱攰㌶扡㈵搶搳㈸㘳㍤㐳昱㉣㐴㌰㘴昴㘵㘳搵㘴昴㐴ㄵぢ愹㈸昴㌲㔶㕢戹挷敡㙦〴扤っ攱て㌲攴ㄸ㝦昸攵㝥敡㌸㌲ㄶ〷㈳ㄸ㌷晡搷愹ちㄱ挱晢㉦㉡〹扤戰晦㈶昴づ晢㘳愰ㄵ昶〷㝢戲扦㤹㈷晢摢戲㄰つ晦〳愶挰晥㜶扡㑡摦㍢㐸摢散挷ㄲ改愶㐴㔳㉡㕤〸攷㌲搱㐴㈶㥦㡣攴ㄲ㠹㘴㉣ㅥ㡡挶ㄲ㤹㔸㌸攵㝢搷㠱㠶攳㤱㝣ㄴ㝥㥦㙢〲㌴㥢㡡愵㜰㍣攴愲戹㙣㌶ㅤ捥挶昳㤱戰敦㍤〷ㅡ㑢攴昳昱愶㘸〴㠷㔰㌲ㅡ㡡㘵搲㠹㕣㈸㔱㐸收㥢㌲㌸㈲㘳㤱㜸㜰慣㙥㠹昵㍥捡㔸ㅦ㔰㝣〸ㄱ摣摥攸换搸㘷㜸㌳晥㜰捦戸〴慦㈶㐰㈹散〷摤散晦㥢愰捦㈰晣挱㠹愶㘰ㄹ晢㤳㡣晥ぢ㘲ㄳ㌴捤㕦㤹㔵ㄲ㤸捣搴搷搰㍢散㌳㌰㔹搸昷戹搸昷㝤ぢ㐸昵挹慢户攷㤰㑣愱㈵摡晦ㅥ㠵㌱㈴㔳㤱㤶㜳摢て㐸摢㐳㤲㉦ㄴ㈲愹㐴㍣搶㤴㡣攳㑣ㄶ㡢愵ㄳ戱㜴㉡㤵㙤㡡攳㐰㠹㘷㐳㈱摦㡦づ㌴ㄳ㑡攷㔳戹㔸㌶㤷㡦挶愲攱㘸㉥ㅤ挳ㄸ㐵㥡愲㘹晣㌲㜹㉣㤶㠹〶㜷搶收㉤㝥慤搶㔲㄰挱㘹㐶㔵㑢㔵㉦慡㜶㌱㉡〷愵㘶㐲㈵挴㝥昳㡤㍤〵㈱㡤户㈱戲㐸㍤㠴㍦㌸ぢち敡㝣㝣㔹愲挷ㄴ攴㠷扡㜴ち敡ぢ㑤昹ㄴ㌴㕢㕢戱晡㈱㔳㕥晦㈵㉦〲㔳㜳愱㤷㠳㈰〰扤㌳っ扢㐱㉢挳昰㈹ㅡ㘵愶㈰摦㍡㠰㔴ㅦ㠶㑦〰慤㥣㤷ㄸ昲㉣挳㌰〰㠵㌱っ㝢㈰㉤挳戰ㅥ搲昶㌰挴ぢ戱㜰㉣㠲挵㐳㉥ㅦ㡦㈶愲搱㑣㈱㤴㤲㈳㈵ㄱ㉤㐴攰敦扥昵ㅤ㘸㉥㥢㐸挴㈳㠹㈸㘶㥡㐸㌴ㅤ㘹㑡㌶㌵㈵搳㠹㔰㈱ㅦ㐹挴㔳搱㙣㈱戸愷㌶㙦㙤㠰㌲搶㐰㠸攰㙦㡤㙡㄰㔵ㅢ㔲戵㤷㔱㌹㈸戵て㔴㌲っ敦戸㠷㘱㔳ㄶ搹っ挲ㅦ㘴㔴㌴晥㉡㘶㤷㝤㡤㝥㈸戱㍢㄰㌱〹愲㉥〳㝤昹㌲挲昵㘵㍣㔷㜰㉥扦㕣ㄵ㜴㐵㑣换㠲㘴㥤㠲晥㔵昰ㄹ〸摢敢愶敡搷㄰散搵摢づ㥥㕣攳㕡㑣扡戰搷敦戸㈴㉡攷愰㜴㈹愵晢㈶㍦㝣晦昳㐲挷晣㜵慦㘱挴搶慥ㄶ晡㜷㜱搹㙤ㄶ㙣昸搲て㐷ㄸ㔷愰㔹㡣㤹ㅣっ㕢㐲㘱㌶㤵昳搲搶㌱㔴㜰敤攳ㄲ㘹㜵㐰昱ㅢ㙤晣敥攲愸㔶㠴㘸慥挵㔷㐵㐷愰㉤㙡㍦慦㌶愸ㄶ愳摤㡡ㄸ㔴㠱㌴㝥昰づ㔲づ摥扦扡て摥搱㠰㔴㍦㜸㕦昰㍡㜸㔵慢戱摦㠸挲㍥搸收㈷搸〶㉤㈶㐶㥣㐵愱㙤攸ㄵ㙣㘷慤搸㠲ㅤ㘶㘷愱搹㌹㐰敦〴㍡戱挳挵㈵つ晣㔷户㘰ㄷ㉣戳ㄶ㕦〸慤昱㤸ㅥ㥢愰㉥㥤ㅥ挳搰㤴㑦㡦摤摡㡡ㄵ㐱愶扣〳㑦摥㠶愷ㄶ㐳㉦ㅥㄱ㠷㥥㍢昲㔹〲慤㌰晣㠴㡢㘱㡢㔷㙦戲㐲㝢捣㡢捣攰㔲ㄶ〲挰ㅡ〳㔳㤸〹㝦㡦戴捣㠴摢㈲㙤捦㠴愹㔸㉥㤲捤攵㜲㤱㐴㉣ㄵ㙤㙡㡡愵戳ㄱ慣㡥攳㑤愹㔴㍥㥥挸㘷ぢ扥敤㡡搰㔴㔳㈶㤹㙤ち㌷挵攲㠵㘸㉡㥤㐸㘳〹㄰捦挶㔲攱㜸㌶㠲㈵㕥㉡㜸㤰㌶㙦㡤㐵ㄹ㙢㝢㠸攰挱㐶㔵扣搸㍡挴愸ㅣ㤴㕡〶㤵捣㠴昷愲ㅢ㕣ㄳ㈳㡤㌹㡤㔶㜶㠰昰〷て㠷㐲㜴扣愸戱㜸〹㘳昱慡㈵㜸㠴搱㑦㈱㜶㌶㑢昱愹㠳㍡ち㝡攱㜰ㅡ昴づ㠷っ㠲ㄳづ㙦㜶㜳攸慣㜲㙦昴攴昰㔸ㄶ愲攱㤹㌰〵づㄹ昶㠶扦ㅡ摦㉣愴昵㐹㍤ㄶ㑡㠶戳㌱㥣㑢挲戸㜶㐸㘷㌲㌸愵愷ち戸㑡攱㠵㐷㈸㤹昱捤㜶愰改㘸㌸㡣㤵㔶㌶㔵〰㠷㤹㐴㍡ㄵ㉡挴搲挹愶㌴㌸捦㘶戱㡡昲捤㜱愰㈸㤸㉡㈴昰慥摦㕣ㄸ㑢戲㌴ㄶ㙥愹㌴慥㝡戰搶挵㥡㍡ㅥ挹〴㡦搷㉤戱收愲㡣戵㉢挵㙥㄰挱ㄳ㡣扥㙣㥤㜵愲搱ぢ㥥㔰㈹愴㑥㠶㕥搸㕦愱搹㤷㉢㤲㝤㤸㍦て挲ㅦ㍣挵ㄴ㉣㕢㘷㥤㙡昴㔹㘲昹晢㥤昲㐶㐳㜵㍡昴挲㝥〱㝡敥㈰㡤㜰㍤㐸㘱晦㍣ㄷ晢扥昹㠰㔴㥦㈳捥昱ㅣㄲ挶搷挹㤰散㡦挲ㄸ㤲戳㤱ㄶ户㕥㠰戴㍤㈴戹㐲㈴㥤㑢攲昶㐰㉥ㅥ㡢㐶㔲戹㌴敥ㄳ愴愲戹㜰㈸ㄳて㠷搲挹愸慦搵㠱㌶攱收㐱㉣㤹㑢ㄴ㌲搹㄰摣㍡㥡〹㐷戲攱ㄸ㉥昹ち㜱戰㕦㘸ち㌲㑡㑦㈸㘹㐳ㄹ㡢㙦㤹づ㥥㙢㔴ㅤ㔴㉤愴敡㍣愳㈲挰㈲㔴㕤〸㤵㄰㝢㤲㈶ㄶ㘹㐴挶㌲㝦ㄱ㠴㍦㜸ㄱㄴ愲㉢㈳昶㘲愳㕦㑡散扥㉣㌵㡦ㄴ㕥〲㍤㑦昲㝥㜵ㄴ㉣昲㈴挴搲㝥敢㄰㕡挳挹攴㔲㈴㠵昸㤲㤳挹㘵㥥摡ㄵ搰㑡散昹㘱㈸慣ㄸ㜵㔷㔹昲㡦㐶㝢㌸㌱愸ち改ㅡ㜵㌵愴っ攴愱㘸㠰㔹愹㔹㥣散㘵㉡㍡ㄸ摡㡡㐵㤹扡挶㤸㍡ㅡ㌸㘷㕥扦ㄶ㕡㑥㘱搶㌱搰㘲㕥扦㡥ㄵ㘰ぢ晥挹散㕣㙦㜶㙥搰㍢㠱㤵搸昹㘵收昵ㅢ㘱㤹戵㔸㥣搷㉤捥攲ㄶ㈷敥攰㑤㐶㝦〲㔵〵㈲昲㄰敡ㄶ攸㠵戴㤳愰攷㡥㝣㙥㠳㔶攸改㜴搳攳捣㌲ぢ扤攸〹㌲㡡㑥㕣晡㌴㤸㠲㑢摦愱慢昴㥤㡥戴敤搲㑤㤹㜰㌶㡢㤷㝦挷挳戸㤶捥挴㐲戸㐸㡢㈴㔲搹㄰㉥戰挳搱㐴㉣改㍢挳㠱攲ㄲㅡ㜷搰㜰㘷㈴ㄹ挵㠵㕦㉡㥢捡〰㕢㐰昹㕣㍡㠳㘹㈶敤㍢搳㠱㐶㘲㤹㘴扥㄰㠹㘶㜰㤹ㄱ捤㠶戳挹㙣㌸㤷〸㈵ぢ昹㑣㍥ㄳ挳㈷㜸愷㙥㠹㜵ㄶ捡㔸㘷㔳㥣〳ㄱ扣换攸换㘶㤹扢㡤㕥昰㠴㑡㈱㜵ㅦ昴㜲㌰㘴㐰㠰㜳摦㘳㌹昳㉦㠱昰〷敦㌷〵换づ㠶〷㡣晥㜲㘲摢挸㝥㉢戹㝥㄰㝡晢㘰搸ㄳㄶ㡢〷挳㔵戴㠶㠳攱㈱攴换攸㤴ㅣって㝢㙡ㄹ㥦㈷〷挳㌵㈸慣ㅥ昳挴㍣㘱戴搷ㄱ㠳ㄶ㈰㕤愳㥥㠲㤴搱㥥攳ㅥ㙤攷㘰㤸攵㌵摡㙡㤵㌱戵ㄲ愶㥣㠳攱㘹㘸攵㘰戸ㄱ㕡ㅣっ捦戰〲㙣挱㘷捤捥㜳㘶攷㉦㝡㈷昰㍣㜶㝥㤹㠳攱〵㔸㘶㉤攵〷挳㡢㐶㝦㉢㕡㈹㙦㔱㤵昷愹慡㤷愰ㄷ扡敦搰昴挸挱昰㌲戴㐲捦㡥㙥㝡搶〱㐴收㡡ㅤ扣攸〹扥挲㐲慣晡ㅥㄲㄱ〸扥㡡戴捣敦昷㈲㙤ㅦっ戸敢㤰捦愵㜱㡢㉥ㄳ挹㐵戳㑤戹ㄴ㈶晢〴捥戶㤹㈶摣㈱づ㠵㈲扥晢ㅣ㈸㈶晤㙣㌶摦㤴㑣㈵戲搱㘸㈸㥤换㠴昲挹㜰㉡ㄷ捡攴戲㤸散昳昱攰㙢摡扣㜵㍦捡㔸て㐰〴㕦㌷慡攲〵摣摦㡤捡㐱愹户愰ㄲ㤷摥ㄶ摤㜰㤶㉤㡦搲捡㘳㄰晥攰摢〰攰慦攲〲㙥戵搱㍦㐵㉣㝦愲㔵摥ぢ慢摥㠱㕥㌸㝣〶㝡攱て㔹㡡㤱㜷挲㘱㤳㥢㐳㘷㐲搹挶㤳挳昷㔹㠸㠶㥦㠷㈹㜰挸㔸㍢晣搵昸㕥㐰摡收㌰ㄲ㑥㠷㥢戲攱㐴㈸ㅢ挱愱㡦晢㌷㌹慣攴㘲搱㐴ㄸ换㤳㙣扣㈹攳㝢搱㠱挶ㄳ㘱摥㑡㡡ㄵ㜰ぢ㈹㥡㡡㘵㤳攱㘴ㄲ戰㐲ㄶ戴㘷ㄲ戹㠲敦慦づㄴ攷㑣慣ち挳改㕣㉥ㄶ㠹收㐳挹㘴㍡〹愳㤸㑢㜰㈷㈹ㅣ㙦ち〷㍦搴㉤戱㕥㐲ㄹ敢㙦ㄴ㉦㐳〴㍦㌲晡戲〹攵㥦㐶㉦㜸㐲愵㤰晡〴㝡㘱㝦㠸㘶㕦捥搱㙦㌱晦㙤〸㝦昰㕦愶㘰搹㠴昲愹搱扦㑢散攱㈴㘹ㄹ㠴晡っ㝡㘱晦〳攸ㅤ昶㍦㠷㔶搸ㅦ攸㘶摦㔹㜸慦敦挹㍥攳昷㠴晤㡦㘱ち散㝦㠱戴㜸昰晦㈰㙤戳㥦挲㍤敢㐸㈱ㅦ㙤㑡攷㐰ㄹ㙥㜷挶㤳㌹慣㑣㤲㠵㜰㍥ㅢ㡤㠰搲㑦ㅣ㘸㌲ㅤ㉢㠴戰愰挹㠶愳㔸㕦㈶昳ㄹ㍥摥㐸挴愲戱㔰㉣〵户捥〷ㄹ〵㈸扤晦ㄷ捡㔸㥦㐲〴扦㌲慡㝦㔳昵ㄹ㔵㕦ㅢ㤵㠳㔲摦㐱㈵ㅣ昶搵ㅣ㈲㕤㘳㝤挱㈲㕦㐲昸㠳摦㐳㈱扡戲㠵昷て㐶晦㉤戱挷戱搴戱攴㤰ㄳ㤸㍤㈹搷挲㘲㜱㔲晥㤱搶㌰㈹㉢攴ぢ挷㈵㤳㜲慤愷戶ㄷ戴㌲㈹昳㔵昷慡捥ㄳ搳挷㘸㝢ㄱ㠳ㄶ戰戱捡㠲㔶挶散扢慦扤㔶㈸摦㐰㕢戹㐲昱ㅢ㔳㝤㘰捡㤹㤴晢㐲㡢㍦摣ㄹ㠳ち㤳㜲㍦㈶戰〵ㅢ捣㑥㝦戳ㄳ搰㍢㠱㈰㜶㝥㤹㐹㤹㤱㝢㌲ㅣ㘵㉢㤴㜵㡤扥ㅦ㕡㈹慦㑡㤶㤷㈶慢昵愰ㄷ扡〳搰㍢㉥扤〱戴㐲捦愷㙥㝡㥣〹攵ㄳ㉦㝡㠲〳㔹〸ㅤ户〶㤰㠸㐰㜰㤰慥搲户ㅥ搲戶㑢㘷攳愱ㅣ敥搴㌷㠵戲㤹㐲㌴㡣㌹㈲㔶㈸㌴㐵㐳昱愶㌸敥㥥挵㥡挲扥昵ㅤ㘸㈸㤱挴㡡㈳ㅢ㉦愴搲㤱㘸㌲ㄱ㑦挲敢ㄳ挹㝣㌸㤳㠸攴㤳㝣㌲戳㠱〳㡤挵攳㤸戳㐳搹㐲㈴ㅢ㡦挶ぢ㘹㑣摡搱ㅣ㥥搲㈴㘲攱㜴㈲㤳捡〵㌷搴㉤戱〶愲㡣㌵㠸㘲㐳㠸㈰㐳〲㠵慣戲〹㘵㘳愳㜷愰㔲㔲㙤〶扤ㅣっ㙦㠱〰㘷㠵㌲㠴昶㠶㐲昸㠳㥢㥢㠲㘵ㄳ捡㘰愳晦つ戱晣戹㕣㜹㔷戴ㅡち扤戰㍦ㄲ㝡㠷㝤挶昷〹晢㉦戹搸昷㡤〲愴晡㜵搰㡢㥥㐳㌲㥣㤶㔸摢搶㈸㡣㈱昹つ搲㌲换㌴㈲㙤て㐹戴㤰㡣㘱ㅣ㐲ㄹ㕣㌷㘲ㄲ㡥㘴戲戹㜸〴捦㔵昰愰㌴搷ㄴづ挷㝣摢㌸㔰戹搴挴㐵㘷㍡㡢ㄷ〱㈶挳㠵㑣㈸ㄵ捡㠷㜰㐳愰㠰慢摢㘴㌴ㅤ摣㔲㥢户㐲㈸㘳㌵㐱〴㐷ㄸ㔵㤸慡〸㔵㈳㡤㡡〰㠱慡搱㔰〹戱㑦㙡㘲㘵㔴ㄲ捣㑦㐲昸㠳㕢〳㈰扡戲㔹愶搱攸户㈳㤶扦挰㉢慦挴㔶㈱攸㠵搸㜱搰㍢挴㠶愱ㄵ㘲ㅦ㜰ㄱ㙢㌹㙢㡤晢㍣㌹㘴㈸愰㜰㌸ㄱ愶挰㘱ㄴ㘹攱㜰ㄲ搲摡慤搳㤱㔰㍥㡡ぢ昶㜸〶㡦㐴㜰晦㍥㠵戹㍢㤵㡡挴㐳挹㔴㉡㔱㐸昸㜶㜰愰戱㐸〱㉢敦㐴㔳㍣ㄴ㑢㐴搳愹〸ㅥ㐴愷昱㐸ぢ㘷㑤㍣扤㐶搱㘰㑣㥢户㈶愳㡣戵㈳㐴㌰㙥㔴挵戵㐶挲愸〸㄰愸㘲慣愰㜰㜸㡢㥢挳㕤㤸㍦ㅤ挲ㅦ摣ㄶ〰攱戰捣㌹ㄹ㐱㈸晡搹挴慥㈰㠷㤷㐱愸敤愱户㘷敡㙢㘱戱㌸㔳敦㐶㙢㤸愹挷㈱㕦㌸㉥㤹愹㥢㍤戵攳愱㤵㤹㝡てㄴ㔶ㄳ㍤㌱㍢ㄸ敤㙦㠹㐱ぢ搸㈸戵㈳戴㌲㘶㔷戸挷捣㔹㍥慦昰ㅡ㌳戵㤳㌱戵て㑣攱㑦㍥挱㈹搰攲て㤷捡㔰㘱愶㥥捡〴戶攰捥㘶㘷㥡搹搹㐵敦〴愶㘳攷㤷㤹愹㘷挰戲搰㕥㌶㔳捦㌴晡㉣㕡㈹慦㐵㤷ㄷ愴慢搹搰ぢ摤〵攸ㅤ㤷㥥ぢ慤搰㜳㥥㥢ㅥ㘷愶㍥挷㡢㥥攰慥㉣㠴㡥㕢晢㤳㠸㐰㜰㌷㕤愵㙦〱搲戶㑢㘷ち搹愶ㄴ㉥昳攲㔱摣戱捡收㤳㤹㌰㔶ㄴ㜸㈸㤵㠸㐴戰戸挳〵㘲慢〳㡤㐷昱攰愹㤰挸攳㠹㙣ㅡ搷㤲愱㔴㍣㠴㘵㌷ㄶ㠱㑤㔸㐵ㄷ戲ㄱ㕦㕢ㄱ捡戵㑢㈴㡣慤㈹ㄳ㑤收㜱㔳㄰昷ち挳㜸晥㥥ち㈷㌲㤸㔰㠲扢敢㤶㔸敤㈸㘳㜵㔰㉣㠴〸㌲扡㔰挸㉡㥢愹昷㌴㝡㠱㑡㈱攲ㄵ愳ち攵㘰㌸ㅥ〴㌸㌳昵ㄲ摡㕢ち攱て晥捥ㄴ㉣㍢ㄸ昶㌱晡㐳㠸㕤㐹㤲㙥㠰㔰晢㐲㙦ㅦっ换㘰戱㜸㌰ㅣ㑥㙢㌸ㄸ搲挸慦㍣ㄸ㌲㥥摡㉣戴㜲㌰ㅣ㠹挲〸〸昱㉡戹㥦搱ㅥ㑤っ㕡㈰〷㐳ぢ戴㌲摡扦㜷㡦戶㜳㌰㉣昱ㅡ㙤戵扦㌱㜵㍣㑣攱捦㍥ㄸㄶ㐰㡢扦ㅡ敢〴愸㜰㌰戴㌲㠱㉤搸㘶㜶摡捤㑥㠷摥〹㉣挴捥㉦㜳㌰㌰㕣搰敢㘰攸㌴晡㤳搱㑡㡢㍦㠳㙣昱挷㤶㔵㌷昴昶㜰㜴㤴っ挷改㠰㜱㌸ㄶ㈱扦㜲㌸ㄶ㝢㙡て㠴㔶㠶攳㑣ㄴ㔶㑢㍤㌱〷ㄹ敤搹挴愰〵㌲ㅣ㠷㐰㉢挳搱攲㌹ㅣ晢㜹づ挷愱挶搴昹㌰㠵㍦㝢㌸づ㠳ㄶ㝦㌸㝤㐱㠵攱㔸挶〴戶攰攱㘶攷〸戳㜳愴摥〹㌰㥣敦㤷ㄹ㡥愳㘱搹㙢㌸㡥㌱晡攵㘸愵挵ㅦ㕥戶昸昳捥敡㌸攸㠵敥换愰攷㡥㝣㑥㠰㔶攸昹㥤㥢ㅥ㘷㙥摡换㡢㥥攰㠹㉣㐴挳㔷㤲㠸㐰昰て扡㑡摦ㅦ㤱戶攷愶㘴ㅡ捦ㅦ㤲改㜸㤶㑦㈴㜰㘷㍤㤵㐵攸〲慥搳搳搱〲ㅥ㐰愴ㄲ扥慢ㅣ㘸㉣ㅢ换㘴愳㑤攱㝣愴㤰㐶㐸㐹㌶㔹㈸愴㐲㘱捥㑦戹愶㔸㍥㤲昲㕤敤㐰㤳搹㉣搶㌲㤹㔸戲㄰攳㙤〰摣攱㐲ㄴ㐴ㅣ昳㕥〴攷㜵㐴㌳〴㑦搲㉤戱慥㐱ㄹ敢㕡㡡敢㈰㠲㈷ㅢ㝤搹摣㜴㡡搱ぢ㥥㔰㈹愴㑥㠷㕥收愶㕤㐰㠰㌳㌷摤挲晣㕢㈱晣㐱〶ㄶち晢㘵㜳搳㤹㐶㝦㈷戱て㤱愴〷㈱㠲㘷㐱㉦㤴摤〳㝤㐳愰敥㍣愴户慤晥ㄳ㑣慥㈸慥㔱昸愵ㄲ晣㔰㙦㍥㠷㥦挸挴㙢昶扡㤷敥搰摥摤戹㤴慢㥢㕥昸㠹㑣晢㠷㈵㝢搷㡥昹㜹戶昸扣㤵扦㑦挳㑦摤㐴昴昵晦㘰㠷晥㔴㝣㐸㑡㡢㥢攳㘳摤㠷づ搷㌱㜰捦昳㤷㔰散戸戶㌹昸㙤搰㝣攳挴〹㠹挶ㅤ㤶㘴昳慤ㄳ昱慢㌳〸㙡㐳挱㥡昵摢愶㜴㘱ㄷ慦ㄷ㥣摢㌱㕥㝥ぢ㠵㠱㤷敢㤸戸户㔱收㕤昳挳㡢ㅡ昳㐳㐳愶搸㡣㑥愷ㅣ摥摤㡥㌸㐷㘴㡣攲㥢改搷㉦愶㕣㍦捣戹㜱㔱㡢摦㤷〲攱昹㥣戱搸挵㑢摦摡㕥ㄵ敦改㤳挷昳㤳㍡摡昰搶搵㐶晥ㄲ㈷慤㜵㜶戴㑥挹㤱㠰㡤㍤㝥㤶㜴㐲㑢户晣慣敦㈶挸㔷ㄶ㠳㈶㝤て愰户扥戱挳愶っ㡢㠵敡挶㘱㈰捡㝦昱愳㙡ㅤ愵戴戳㐶晡㠶摦㝡㄰〶搵㐵㌰㑤敥㤵㜵〱㉢㜹搸慥㘴て㔴愲戶㐵㈵慣㠸㕥散户ㅥ㈵晡㘲㘰㡣㑡㉤搷〹㕡ぢ慣㐰〲ㄷ晦㌲て攲㍦戳㝤㍡㑥敦㌵摢晦搷敢晦㠳捤〱挶㌱㑡㠹摦愹㈱愷㡦慦㝢敢戰昲㕦㜸㡦挸昶捦㜱挱㜵戸㥤㌶㑥㕤㠵ㄲ挳㘱愷晣㜵摣㜱㌴昲㔵扣㍣戰攲愵攴㌱㥤㔱晥㔲昲攰戵戰㈴〷摢㉡昴慡㈱愰㙥㐰㥡〷㥣㡡愰〴扤㕣ㅣ昳ㄹ㜶㤹㜱㠰㌶㐱㉢戱攷㝢づ扡㍥㘳㠷㡤㥦㍡㉣㤲㔲摢〰㐹㍡㙣㍥㥦㈷晣ㄶ〷捥昸㐴摦㡢ㅡ㍥㡤昰㔱ㅡ㡥っ㄰晡ㄲ攱户㍡昰㥢〸㝦㔹挳㜷㈶㝣㑢つ户昹㝦㤵㜰㑥㑥慣㤰ㄶ搴敤㍡挱㝣挵㘰㐴搳㤴挰扤㐸〰扥昶㠳〱㉣戶昵㥡〳昷㤹㤲搵〶㐵㠰㙦ㅤ摤㉣晦搷ㅣ㙦晦摦㝣㑡戳㝡㄰㈵扤〶㘷㈸㥡敢㌹㌸㐳㜴㐶昹扢搲㠳㡦挰㤲っ捥㕢攸〳〶攷〹愴㘵㜰㌶㐷〹㘷㜰㔶㤳㡦愷㤱㘵て捥㤳搸昳扤〳ㅤ〷㘷攷㘱攱愸摡ㄸ㘸㌲㘲搳昷ㅥ攱捦㌸昰愷〸晦㐰挳愷ㄲ㍥㔰挳敤戱晣㠸昰㘷ㅤ昸㉡挲㍦搶昰㘹㠴て搰㜰㘴㘰㉣㍦㐱㔶攰㙦〴㈱挹㡦㙢慢㝥〸搸㈰戰捥㈸㐳㈹昹㤳㔹㝦ㅤ㈵扤㔸敦㡦收㜹戲摥愰㌳捡㕦搰ㅥ㝣ㄳ㤶㠴昵捦搱ㄲ戰晥て愴㠵昵扥㈸攱戰晥〵㌲搵晢挸戲㔹㘷㄰愲敦㉢攸挸㍡㝣㍣慡晡㤴昰昲つ攱ㅦ㌸昰㜷〹晦㑥挳攱攳㔱搵㑢挳敤㐱晡㠱昰てㅤ㌸㠳ㄱ㝤㌵〸㘲搲〷㕣㔴晤昸㤵㍤愶昶㈰搵㈲㉢挰㐰㐱ㄴ晢ㄹ慣㝦㘶㑡晥㘴搶扦㐰㐹㉦搶扦㐱昳㍣㔹晦㕡㘷㤴扦ㄵ㍥昸㌵㉣〹敢昵攸ぢ㔸晦ㅥ㘹㘱晤㑢㤴㜰㔸昷㈳㔳㜱戲戴㔹晦㠱つ敦〷ㅤ㑥〷㝢っ㡢挴搴晦㙡㕡㙣ㄶ晢ㄳ慤ㅣ㌴㈷ぢ㕦搰㐶㑦㈱晡㕦ㅡ㙤㤳戸㉥搱㡣㈳㌴挷㡡㘲㍣㈱ㄳ捣て昴㐱〲㝦㙢㑦㙦愰摥㤴愸㐶慢晤敤㥣㤷挶つ㌰昳㝡㍦㤴ㄸ㡥㍡捡攷昵㡦㌴㙢ㄵ昳晡㠷㍡愳晣愵昲挱〰㉣〹㥤㠳搰㉢搰㌹〰㘹愱昳㝤㤴㜰攸摣㠸㕤摥〰㔹㌶㥤敢㘱捦户〹㜴㜴戳〹㘴攸ㅦ㥡㈱㥢捦捤〸ㅦ攸挰搷㈷㝣㌰㜴㘰㝦ㄶ搱㙦㙡戴捤攷㔰愲㜹㡦挷攱㤳㠱㠱づ㥦㥢㈲㠱扦㥦挰㈷㠳〴愵㐴㌵㍥ㅦ晡捦㠸扤㑦㜹昰摤攲㜹㤲昱㠲挳㍤昸㝣㔵搳㔶挱攷㉢㍡愳晣㥤昴㡡攱㙢㕣㍥㔸㈳搸㉢散昰ㄳ㌴户㡡搴〸㤳敤㘸㤸扤ㄵ戴昰戹ㅡ㙢㉢ㄴ挲㔵㔰㈳搲昵㑣㡦㐲摡ㅡ㑤戱㌵㐵㈳挵㌶ㄴ㈱㠸㠶㕡戵つ㠰㌲㕡捦愲㍤捥㘸㠵㤱愹㈲挸ㅡ㑥ㅢ慦㔲攴搰っ晢慤㥣㑦㔶敢搲ㄳ㍡愳晣挵扥挱㌸㉣㠹㡢㈴㔹㘹㐰㌱㘶㑡㉡㝤捣㕤改ㄸ㔶捡挸㈵摢㐵ㄸ㐸攵摢づ㍡㌹攲愲㈹昵㄰挰㘶㠰晤搶昶㐴㌳㄰捡㐶㌳㤶捡搷㙣愳愷っ〳晡㝥㡤戶㍤㘴〲㜲〲㡣㝡挲摦㑦昰〳㠶㐸㐹㠹㙡㝥〰㙢搸戶㙦扥昶ㅡ㙥摦㡣㔳㡣㤶ㅡづ㔵昹㜱㜵㤷收愶挲て敥搴ㄹ攵㙦晦つ㑥㠳㈵㈱㙤㈷戴ㅤ愴捤㐴㕡㐸扢ㅤ㈵㥣㤱㥡㑡ㅡ收㈲换愶㘱ㄶ昶㝣搳愰搳㈷㠷㤰扡㔹昳㐰敦昰㕢搳〹摦搵㠱捦㈶㝣愶㠶㘳㜹ㄵ㔲㌷㘸戸㑤摢㙣挲㜷㜳攰㜳〸㥦慢攱㌸㤷㠴搴戵ㅡ㙥ㅦ戵扢㈱㉢挰攸愶㥦㜷㜲㤸㘷㑡昶挸昶㠴ㄵ捤攸㑡㑤捤㔵㔷㌶换换慢ㅢ慥㘹㔶㡣㤲ㅡづ㕤㌹敢㔷愲㜹㥥㈷㠷㉢㜴㐶昹摢㠶㠳㡣慢ㄲ搶昷㐶㕦挰晡晥㐸ぢ敢㉢㔰挲㘱㝤ㅦ昲挲㐰㈴㥢㜵〶㐷昹昶㠵慥㡥搳㔳㑡㉤搷慣搸㈴㘶〸㘶攸㤲つ㙥㈵㌸〷ㅤ晣ㅡ㔳㕦㑡㕤愰搱㌶㠷〵愲㍢㠰㌱慥慥ㄶ敡〴慤〵扡㤱挰摦㑦昰攱㐵愶㐴㡦慣搶㈴㥡㜷㤵敤慦攳ㄴ㐳愳㠶㝢戰㜹戶㈶慤挲㠷捦搲ㄹㄵ敦㉡㘶昴ㄴ愷㉦慢㤵扤挲㡥㝣づ㌳摡㤲㈹散㜰㘸㘵ち㙢〷ㄶ㔳ㄸ愳㤹㘴ち敢㐰摡㕡㐸㜱〰㐵㈷㐵ㄷ〵㝦㍤ㄱ㔳ㄸ〳㥣㘴㠸㑥㐴㌳㥣㈱㕡㡣㑣㜵〲戲㠶㍢㍤㈹㑥㘱挷㔴敢挹搱㍡愳晣挵挲㐱挶㈱㠹㕦ㅣ捣㑡〳敡㌴㔳改㤱敥㑡て㘵愵㘷㈱换ㅥ㙡㐶ㄸ昹㤶㐱㘷ㅦ㡤㤸㤵づ〳㥡〳㙢ㅦ㡤㐷㄰㝥戶〳㍦㠳昰愳㌴㝣㉡㈷戱㠳㌴摣㜶愴㘳〸㘷搸㡦㙤晤㑣挲㡦搳昰㥤〹㍦㔰挳㙤㑦㍡〱㔹㠱攵〴㠱〱㝥㕣摢㕡㉣㤰㉦㌱㈵㝢昴ㅢ慦换ㄲ㐶ㄳつ㐷㘵攵㐷㘳㈷㥡攷㜹㌴ㅥ愰㌳㉡㕥㘴捣㠰㈳昱㥦㔳搹㜵㤸㤴㡦㐴ㄲ搱㝥㠹晦㕣〷慣昸捦改挰挲㝦㔶㈲㉤晥㜳〶搲搶㤹ㄴ㘷㔱㥣㑤㜱づ挵戹㄰昰㥦ㅢ〱ㄴ晦搹て捤㜰晣攷㝣㘴慡㕢㤱㌵摣改㐹搱㝦㌲搵㝡㤲搶ㄹ攵㙦ㅤづ摥〱㑢攲㍦㤷戰搲㠰㘲晣㡤㔴㍡捦㕤改㘵慣昴㝥㘴搹㈳捣愰ㅣ摦攵搰改㔵㔲㐸敤〵戴㤹ㄸ晣搶㤵㠴㍦攰挰ㄹ㤸攳扢ち㍡㝢㤵ㄴ㔲扢㙢戴敤㍥搷㈰㈷挰㄰ㅡ晣慤扤㍦〴ㅥ㌳㈵慡昹㠱㝤捦攰愱㜱戲戴攴㍤〳㠶摥っ㜷㔸㉢扥摦㙣戶㈶愷㘲晥㤸愵㌳捡摦㑤ㅣ㘴戰㡥戰戶ㄲ㙤〷㙢㡣戸ㄱ搶㘶愰㠴㌳㔴㌷㤱㠶㤷㤰㘵戳昶〲昶㝣户㐰愷㡦扡愸摡㔹昳㘰ㅦ㜵户ㄱ捥攰ㄸㅢ晥㈲攱㜷㘸㌸㡥扡愸摡㔱挳㙤摡敥㈲㥣戱㌱㌶晣慦㠴摦愳攱㌸敡愲㙡愲㠶摢㐷摤㝤挸ち扣㐵搰㑦㘱ㄹ㔸㙣戸㉣㝤摢㤴慣挶戶〰扤㡥㍡㠶摣っ㐷㙥昹㔱户㍤㥡攷㜹搴㡤搵ㄹ攵敦㐲づ㌲㐸㐷㔸㝦ㄸ㝤〱敢ㅦ㈳㉤慣㙦㡢ㄲづ敢㡦㤲ㄷ挶扢搸扣㌰晣挶昷㌸㜴㜵㘳㠷晤㜶㔸㑣㈵㑡㔸㜹㤲攰㑦ㅤ㌰〳㜰㝣慢㙣昰㉥〰㐷㌴搸㘶晣ㄹ㠲晦つ㠸昱㜴挵㈰ㅢ㈶㤸ㅦ昸〲〹晣晤〴ㄷ㘶挰㡤㤴攸㤱搴㥡㘱挵㘵ㅣ㘳㙦㠶㝢㤰搹愸㌹慢㜰攱慤㜵㐶挵㡢㤴㝦㠴㈵㤹挲㕥㘴慦㘰㔲㍥ㄲ㜷㐳晢㈵㔳ㄸ㈳㙤㘴ち㝢〹㔸㑣㘱っ㤷㤱㈹散㙦㐸㕢㉦㔳扣㐲昱㉡挵㙢ㄴ慦㐳㘰ち㘳〴㡤㡣搰ㄶ㘸㠶㌳㐲㙦㈰㔳昵㐳㔶戱㈷挵㈹㙣戳㙡㍤搹㔴㘷㤴扦昵㌸挸㐰ㄷ㜱㡢㜷㔸㈹㉥昴㑣愵ㅢ扢㉢㝤㡦㤵㌲㕣挴㜶㡢昵戰攷晢〰㍡ㅥ㡣㌸扡㘲㙡㈰搰㘶㉣晤搶㐷㠴て㜲攰っ㘳昱㝤慣攱搳〸ㅦ愰攱昶戱晢〹攱っ㐱戱慤㙦㐰昸愷ㅡ㡥㠳㌱愶〲ㅡ㙥ㅦ㡣㥦㈱㉢挰㌰ㄳ晣慤扤扦〰㡢つ〷㈳㘳㔳愴㘴㡦㝥㌳攱收㘶㈹㜰搵㙤㝡㐱㝡㔷戳晡つ㡡ㄵ㔹㉦㑥㠱㝥㌴捦昳㘰戴㜴㐶昹㕢㤶㠳っ㜰ㄱ搶扦㐲㕦挰㍡〳㔲㘴愸晢愰㠴㌳搴摦㤰ㄷ〶㡦搸扣㌴㘲捦昷ㅤ㜴㜲㈶〸㠷㔴㉦㑤㡢㝤㠰晤㐰㌴㠳㐸㙣㌴〳㔵㝣㜴㌴晢㌴〳昸㡦㕦摡㘳㘴戳㔸㡢㉣挵㌰ㄴづㅢ㔵㡡攱㈸㘶っ〳㡣㌶㠱㤳慦㍤扦㠱愴㈹㔱㡤㔷晢搷昴敦㉣㥥㔲ㄸ愵攲挵攷㌷㘸愸㈷㥦㕦敢㡣昲户㌴〷ㄹ搷㈲㝣搶愳㔷攰㤳挱㈹挲攷㤷㈸攱昰改㘷㤷㈷㈳换㘶㠸ㄱ㉢扥㝥搰搹㝣㐶搵晦㙡㠲㙣㍥晢ㄳ捤㠰ㄲㅢ捤愰ㄵ㕦㄰㍡捤㘷㔴晤㑢挳㙤㍥搷㐵㔶㠰昱㈵㍦㡤戵改愶㐴㌵搶挴ぢ㙢昶搴戳㤸扦㔹㌱㉥挵㡢戵㡦㌴㌹ㄵ戳搸㠷㍡愳攲㕤捥扢挱㤲捣㘲㠳搸㔵扡〰㍦㝢ㄸ㙤挹㉣挶㈸ㄴ㤹挵㌶〲ㄶ戳ㄸ㐳㐹戰㠷摦㤰㠳戴㌶愱搸㤴㘲㌳㡡捤㈹〶㐳㘰ㄶ㘳㜴㠹っ挵㥢㘸㠶㌳ㄴ㐳㤱愹ㄸ搲㔱散㐹㜱ㄶ㝢戵㕡㑦㕥搱ㄹ攵㉦㕥づㄶ㘰㐹挶㝦〴㉢挵〵㥥愹昴㙦敥㑡户㘲愵敤挸戲㐷㤴攱ㅤ扥搱搰㜱㐴㜷收㠳㥡ㄷ㠰㌶㠷㠳摦㙡㈴㥣㤱ㄴ㌶扣㤵昰㤰㠶㑦㈳晣㔹つ户㘷戱㌰攱っ户戰攱っ昳昰㐵㌵㝣㉡攱㑦㘹戸敤㕥㜱㘴〵㤶㄰〴ㄶ昹㜱㙤㙢戱㤰㘷摣㠶㤴散搱㙦捥㝦慥㔹捣ㅥ昷㠲晤晦攲㤷㥡ㄵ㐳㌹㡡慣ㄷ㘷戱㐷搱㍣捦愳敥ㄱ㥤㔱昱愲㘷㐶㝢㠸晦㙣挷慥愳㈲昹㐸ㄸ〷ㄲ愵㘷㐱〶㙥㠸晦㙣て㉣晣㠷搱ㄷ搸挳换扡㈰慤㘶㡡昱ㄴㄳ㈸㈶㔲㑣㠲㠰晦㥣〰愰昸捦摤㘸㠶攳㍦㤳㤱愹㑥㐶㔶戱㈷㐵晦戹慤㕡㑦㙥搵ㄹㄵ㙦㘵㘶愰㠴昴㘴ㅡ敤㥡㥥㥣㘹戴㈵㐷挲搹搰㑡㑦愶戳㠱扤㠲っ㕣挰㕥㡤㌵〳搲㥡㐹㌱㡢㘲㌶挵ㅣ㡡戹㄰攸〹㘳ㄹ愴㈷搷扡㝢戲ㅢ㌲ㄵ〳〸扣㝡㜲㘵戵㥥㕣愱㌳捡㕦愱ㅣ㘴挸㠱ㅣ〹㝢戳搲㠰扡搲㔴扡挲㕤改㍥慣㤴て攲㙤㕦㘵㌰㠱㙦㕦攸㜸㈴攰改㐳㑣㉤〷㥡㐷㠲敤摡ㄹ挲昹㠸摦㠶㌳愰挰㤷搳㜰摣㘰㡡愹ぢ㌴摣㜶敤〲攱搷㌹㜰〶ㄵ昸收㙢㌸㙥㌰挵搴㌹ㅡ㙥捦㥣晢㈳㉢㜰ぢ㐱㘰㤱ㅦ搷戶ㄶ㐷〲愳〴愴㘴㡦㐷㠲搷つ㈶〶づㄴ㔹㉦ㅥ〹愷愳㜹㥥㐷挲㘹㍡愳攲㤵捤っ㌵㔸搳㉢㥢昹㉢㐱昹㉥㜹挷㔶〰㍤慣㉢昰昱㝡摦㠲慤㘶㜴㠰扣㕤愹㔵㝥ㄴ愸ㅦ摥戰摡戹㈰摦㌹つ㉦ㄲ挶㝢㔵攷戴戴改㕦愵挱ぢ㠶昹挶〹昳づ㑦㑢㔲㉣散㉢捣攸挴㑢㍤晢ㄴ愶㜴攱晤㐱戹晡戶㤹改敥敥㝣㘷晢慦攱㉢改㠸㜲敦㑤捦㐰ㅣ㠵扣挴搹昳ㄷ㤲ㅥ㐷戶攷㤳㜸㘱慣戱挸㠷㜹㠷㑣㉤㕦捣晡昳扥㤰敥㕢〸㤷㌳扦㍦㥡㜳扤㙡戸户㍡〵㐳㙣挷扡㉦慢昹㔱摡㡣㠷晣㔶㈷昰扥㉥㠸㕥攳扢摡㘴㠲㠰昰㕢摤搰挸㉦㘵㠹愸愹㘳〰㐶㜹攷昸㥢㔵㤳搹晢扡〳㕢㜲摤昳㝤昳昳㉤晢捤挷敦㤲昷敤晢戸㙤㕥㘴㙦挶㄰昴ㄴ扦挰㐳愵㑦摢扣㜴㘷㘷㝡㘹㝤摢扣搶㝣晢㝥摤昳敢攷㉤㐶戸〶㕥㤱㡣愵㕦㝤㝤扤戵ㄸ敤㘱㔵晣愸㐷㘱㤱㔶慤〳摤摡㔵搰搰㕢㝤㑢愰㜵扦㐱戴㤴㠶㘳㍤㘹昸㍤捡昸づ㠲㈸愵攱㘰㘸㕣㌴愸㘷㘰㥦㔴㤸㑤昱㠱扥㌴攵㔰㈰㥤〶扥㘴戴㠷戹戵㝣㍣㉦搸㘵㙥敤㕢搰戲搹ㄶ㥢摤㕢ㅤ敡搹扣㈳㤱㘷戱㜹挵ㄱ㍡㥡㉡晥㤶㤹㍤㐲㙡㌵㙣㤴㌴敤㍤㔳摤戱㐰㍡㑤攳㔳㙢㘹挴㜱㙥敤㈷㐶㝢扣㕢换挷扣慥愶㉤昲㙣摡ㅦ搸㡥搲愶㥤㑣㤵慢㘹㕦挰㑥㐹搳昸捣㔷ㅡ㜱慡扢扡ㅦ㡣昶㌴户戶ㄶㅥ㈰搸搳摤摡㝡㘸㘵戰捦㠰搶摢摦㕢㍤㥢㝢ㄶ昰扥戳㈱㑡〷晡ㅣ㘸摣㑤昶挳㝥㐹㤳晢㥢㘶㥣〷愴挳收扡㐶㝢扥㕢㍢挸㌴敥〲㘸扤ㅢ㤷昳㙣摣㐵挰晢㉥㠶㈸㙤摣㜲㘸摣㡤摢愸扣㜱㥢㤹㘶㕣ち愴搳戸愱㐶㝢㤹㑢ㅢㅣ〱慤㥣攴㔷㐰摢搰㑢㙤㠵戴㌰㜹㌹搲〱㐴㌴攵戳㜸㈱搴攰挵っ㜲敡慡㔵㝢㤹㠶晥㌳扣㘱㜱搶戸ㄲ㔸摦ㅦ㈱㝡攱搵㘰晣ㄹ㝡㍡愶摦扡ちㅡ㜷㐳昹㌴㑦搶〵扢挱ち㔷㌸㜲㕡㔴愳㡤㝡㔷慤㕥〷攵昱攳攲㐶㍤㔷慢㌷㄰㜵愳㔱捦搱敡㠱愲收㔳㐱戱㍤㕢慢㐷㠸㍡㘴搴戳戴㝡愴愸挳㔰㜳㍣慦ㅥ昷㘱昳愱捤㈷攰㠷慣愰㤰㙥慦㐴㥢扤挷㘸〶㉣㔴㑥㤸㌷戱㡦㥣㌰㡢㠷攲㉤㔴戹晣㝤㡣慥っㄸ搹搴昶㔰㠸て摦〶愴㌳㍥ㄳ㡣昶㜶户㜶㈷摤㌰㍤ㅦ散攸搹㠸扢㔸㘳改㐱㜷㑦㔹㈳愶㤶㌷㘲扡愹敥㍥㜷㜵戳㡤昶㝥户㜶㌷愳㝤挰慤摤ㅢ㕡攱散捦搰㝡㜳戶扤㘷㜳ㅦ〲摥昷㌰㐴愹㕦㍦〲㡤㥢户㝤㘰扦攴愰换㤸㘶㍣〶愴挳㕢挱㘸ㅦ㜷㘹㠳㝣㘴㈳㝥晤〴戴昰㙢㥥㌹搸㔸㡢㝥㕤慢㘲愶㘱㈵㝥扣ち㜹ㄶ晤戸攸挳捦㔰攵ㅡ㑣㍥捥ㄱ㍦ぢ挱㐲搱㠷ㄷㅡ昵㌶㕡㙤晢㌰ㅦ昹〸扡㔱慢㙤ㅦ敥㌴敡慤戵摡昶㘱㍥ㄶㄲ昴㘸慤ㅥ〱㝦昱㉢㍥㈸ㄲ昵㈸慤戶㝤㜸㌱搴㈵㍥㝣㌰ㄴ搲㐵晢搴㌱ㄲ攸㑡㝦㝤㤹晤㈹㜵㤵㔷换扡㜸愸㌶慣摤戵㐶ㅤ〱㠵昸敢敢㐰㍡扣ㅦ㘳戴㝦㜷㙢㑦㌰摡㌷㕣摡攰愹搰捡㘸扣〹㉤㐶攳㜴愴㕤愳戱戹㘹㙡挹㘸慣〶戶㙣㌴摥愱捡㌵ㅡ㝣㌸㈲搴㙣愴愹戱㘷ㄴ㍥㉥ㄱ昵㠶㕡㙤㡦〶ㅦ愰㠸㝡㤰㔶摢愳㜱戶㔱て搴㙡㝢㌴昸㤰㐵搰ㅢ㘸昵〸ㄹ㡤㜳㡤㝡㝤慤戶㐷攳㝣愸㑢㐶㠳㑦㑡愴㡢㥣昵㝢慢〱㐰㔷㡥挶㈷散て㘷昸攲散昱㈹㔵慥㉥㕥愶つ㍢愳㜱㈵ㄴ㌲ㅡ㥦〱改㡣挶㌵㐶晢扦㙥敤㑡搳〸摢㈵晡㝡㌶攲ぢ搶㔸敡ㄲ㕦㤵㌵攲愶昲㐶摣㘶慡晢挶㕤摤㕤㐶晢慤㕢㝢㥦搱㝥攷搶昲敥㍣昹昱㝤て慤昷散㔱敢搹摣ㅦ㠱昷搵㔸攵戳㠷㠲挶捤摢愳戰㕦㌲㝢㍣㘹㥡搱ぢ㐸㠷户㘷㡣戶户㑢ㅢ攴摤㙥昱搷㍡㘸攱慦㉦㈱敤昲搷慦扦搰㠳㔹攲慦昵㙣㐱改散攱愷捡㌵㤸扣ㄳ㉥㍥昵㌹㉣ㄴ㘷㡦㤷㡤晡㝦戵摡昶㔷摥㉤ㄷ昴㘷㕡㙤晢敢慢㐶晤㙦慤戶晤㤵㜷搴〵晤愹㔶㡦㄰㝦攵㍤㜶㔱晦㑢慢㐷㡡晡つ愸㑢晣㤵户挵愵㡢戶慢晣て搰㤵晥扡ㅥ晢㔳敡㉡ㅢ㤴㜵昱㍤㙤搸昱搷㡦愰㄰㝦ㅤ〴愴挳晢㈷㐶扢愱㕢晢㤹搱㙥攴搶㝥〵慤戸捡挶搰㝡扢捡㍢㥥捤摤ㄴ㜸摦㘶㄰愵㈷㥡捤愱㜱㡦捡㌷戰㕦攲㉡㍦㤸㘶っ〱搲㘹㜲㉤ㅣ㑦㍡㌲搴慤慤㠷㔶㜸戳㡦昳搷㍤ㅢ㌲㥣㌵㤶ㅥ攷㕢㤶㌵㠲昷㙣㑢ㅡ搱摦㔴㌷搲㕤摤扡㐶扢㤵㑢ㅢㅣ〴慤昸敢㈸㘸攱慦ㅢ㈱敤昲搷ㄷ㑣愳㑡晣戵㤱㉤㈸昵搷㄰㔵㉥㝦摤ㄸ㜶挴㜹㥥㠱㠵愲扦㙥㘲搴㑦㙢戵敤慦扣㉦㉡攸㔵㕡㙤晢敢㘶㐶晤㤴㔶摢晥扡戹㔱㍦愹搵㈳挴㌱〷ㅢ昵ㄳ㕡㍤㔲搴㐳愱㉥昱搷ㄱ㔰戸晣昵㌱愰㉢晤㜵っ晢㔳敡慦摢㤵㜵㤱昷㑡㑢㜸㙦㠴㐲㠶㜹㝢㈰㥤挱てㅢ敤㌸户㌶㙥戴捤㉥㙤㜰㍢㘸㘵㌴挶㐳㡢搱搸ㅥ㘹搷㘸摣㙢㥡㕡㌲ㅡ㤳㠰㉤ㅢ㡤挹㔴戹㐶㘳ㅣ散〸扦㜷㘸㙡散戳㕤戳㔱摦慥搵昶㘸昰㉥愳愰㙦搳㙡㝢㌴㈶ㄸ昵慤㕡㙤㡦〶敦㐴ち晡ㄶ慤ㅥ㈱戴㑦㌲敡㥢戵㝡愴愸㜹㔷搲㍤ㅡ㐱摥㑥㤴㉥㑦户扢㍣ㅤ㘹㔷㤷㔷愲戴㡣㑥㐹㤷㘷㔵㜶㜹㑥㔹㤷㜹慢㔱㥡㜵慤慥摦敥昲㑣愳扥㐶慢敤㉥昳㜶愴愰慦搶㙡扢换戳㡤晡㉡慤戶扢㍣挷愸晦愸搵㈳愴㙦扣㠹㈹㐶慥搴㙡扢换扢㐱敤敥戲摡ㅢち㤷〳㕥づ㜴愵〳晥㡥晤㈹㜵挰㜹㘵㕤摣㐷ㅢ㐶攵戲愹っㄴ攲㠰㘹㈰ㅤ〷攴扤㐶搱㘶摣㕡摥㔲ㄴ㙤搶愵慤敢㠴㜶慤㙦㌱昱㉥昰捦晣㌹挰ㅣ㉡㔵扣㌷㈴户㤴昳慥㈶〴ㄶ㙢㙤㍤〷㉣挰㍢㌳挴㐸㑡晤ㅥ㈹㌶搱㉡戰晣挱㍡捦摡捦㕤晥㔰㜷㠹挰㘱㈵㈹摥㌰㈹㕡攳捤㄰戱㌶㥦搶㜸ㅦ㐴㕡搳攲戶㜶慣扢㐴攰戸㤲ㄴ敦㜱ㄴ慤昱晥㠵㔸摢㥦搶㑥搶㜹搶〲户㌵摥愶㜰㑡〴㜸㝢愲㤸㍡摤㥤㔲扣扤㈰搶㕡㘹㡤㜷ㄵ愴㙤㙤㙥㙢扣㠳㔰㉣㝦扥㍢愵㜸〷㐰捡户戳晣㜲㔳扥挳㕤㥥ㄷ昹挵昲㤷戹㔳㡡ㄷ昵攲换愷㙡㕦收㤷㙢慣〳㘸㡣搷散㘲扡㤳愹慢㜴㌱慢ぢ㈹散换㐷摤㘴㌰摤挴昰扡㔶㥡扦〸㈹攳㤷㠱摢戴搶ㅥ㘸㕥扢㍡㡤㔱㜷㤹昲㡢㔹晥ㅥ㔳晥㐰㜷昹晢摣㈵〲昷㤷愴ㅥ㜰愷ㄴ㉦ㅢ愵挵㑢㘸㡤㔷㡢搲㥡愵㙥㙢㡦戹㑢〴ㅥ㜷愷ㄴ慦〴㠵㡣㘳摣㘴ㅣ㐴㘳扣昰ㄳ搳〷㌳昵㡣㉥㘶ㅤ㠲ㄴ昶㙤㌲㕥㌶㤸㐳㠹㜹搵㘰づ㐳捡㈱攳㜵慤戵挹攰㠵㤱㐳㐶攰つ㜷㑡扤㠹㤴㌴㘶㤹扢㌱㠷搳昴㙡㘴㐹㘳㡥㘰㡡㤷㍣搲捦㈳㤱挲扥摤㤸㑦っ收㈸㘲㜸捤㈰㤸愳㤱㜲ㅡ昳㤹搶摡㡤攱㜵㠱搳ㄸ昵㠵㈹㝦っ换㜳戹㉦攵㡦㜵㤷晦挶㕤㈲昰㙤㐹敡㍢㜷㑡晤㠸㤴戴昸㌸㕡㔳ㄴ昴戳攳摤搶戸敡㜶敡て㜰戵敤愴ㄴ㔷搹㐲挶㘲㌷ㄹ㈷ㄲ挳㐵戵㤸晥〳㔳㕣㑦㡢改㤳戰㠳㑡㙤㌲戸㉡ㄵ捣挹捣收㠲㔴㌰愷㘰挷㈱㠳㡢㑦愷挲〰ㄷ㥤挵ㄴㄷ㥢㑥㑡㜱搱㈸搶㑥愵㥡㙢㐵戱㜶ㅡ㜶ㅣ㙢㐳戴搶愶㤶敢挱㘲㜹慥昵愴晣改㔴㜳㤹㈷攵捦挰㡥㔳㥥㑢㍡愷㐴㠰㑢㌹㈷愵戸㠴ㄳ㌲㕡摤㘴㥣㐵っ㔷㙣㘲晡㙣愶戸㔸ㄳ搳攷㘰挷㈱㠳㑢ㅥ挱㥣换㙣慥㜶〴㜳ㅥ㜶㥣敡戹戲㜱㉡っ㜰㐵㔳㑣㜱㈵攳愴搴㜸愴愴㌱〵㜷㘳㉥㈰㠶ぢㄶ愹攸㐲愶戸㔶㤱㡡㉥挲㡥搳ㄸ慥〶愴㜸挶㕤㝣㌹戱㍣昹㑢昱㑢㤸攲㜹㕦㡡㕦㡡ㅤ愷㌸捦㥥㠲戹㡣搹昳っ㘶〵㜶㥣扥愴戵搶ㅥち㥥ㅣ㥤搶〷㜸㔲㜴㔲㑡捥㔶昴换换愱㌶㕢㤰㘷㉤㜹㡥㜸〵㜶慣㉢㈱ㅡ晡㉢㌹㌱ㄱ晡㐷㌷㤴㈷㈸㠱㕥㐵攸搵㌶㔴捥㍡ㄵ㔰㥥㝤〴㝡㉤愱搷搹㔰㌹愵㔴㐰㜹㙡ㄱ攸昵㠴摥㘰㐳攵㝣㐱攸㑡愴捤ㄶ攴㜹㐳愰㌷ㄲ㝡㤳つ㙤挷㝦㐲㕤㐹㕢㜹㡡㄰攸㉤㠴摥㉡搰〰㈷晥摤㘱慤㜶㠹捡敥㥢摢㜷摦慦〲扤〷㙦搴㝢㡦收㝥攷扤昵攴敡搳㕦摣㝢散晢摦㕤㜸攱㡢敦㥣扥敡扢㝢㌲㘳ㅦ扢散戲㠷愷㉥㕦戵㝡摤挲㈵戵户㝤㌵敤㤲㠳㥢ㄶㅣ㝣㐰㘱搷慤㜶㍣㜸捦晤㘷㌵捤㕣㘷㔴慦㕥㝤晡㙣㌹攰昱㐱㈳㠲换づ戸㐳晤昹㤵㠱敤㑡捥㈵愸挰扡つ㌵㜱ㅢ㠳㑦搰㥣㔳慣摢搹㤶㍢㈸敥愴戸㡢攲㙥㡡㝢㈸敥愵戸て㐲挹改〶㈵㑢㐷㡡愷ㅤ改搲〳〴晥ㄹ〲㈳㈵㘷ㄶ㐲㑢㝡捦㌳㡣㐰ㅦ㈲昴㘱ㅢ㉡愷つ㐲ㅦ㐱摡㙣㐱㥥㍥〴晡㈸愱㡦〹㌴挰㤳挲㉦㑡㤴㥣㘷搸㤶挷㔱ㄳ户㄰㍥挱㐳㤰愰昳㕢㑦㘰挷㝡㤲攲㈹㡡㔵ㄴ㑦㔳㍣㐳昱㉣挵㜳㄰㑡㑥㐵㉣㔰搲晢挳㤰㈵㕤㝡㥥挰ㄷ㈰ㅡ晡〷づ挷㝦扦㘸㤷攴㙣挵戶扣㠸㥡戸挵昱〹ㅥ㠹㠴㜴改慦搸戱㕥愲昸ㅢ挵换ㄴ慦㔰扣㑡昱ㅡ挵敢㄰敡㈸ち㤴㉣敤搲搱搰㑡㤷摥㈰昰㑤〸㡣晤㌱㥥搰㘳つ昴㙤㐲㔷摢搰攳っ昴ㅦ搸㌱㕢昰㜸㈴挴敡㍢搸戱摥㠵〰㔱㈷攲扦㕦㤴㈸㌹㤳戱㠷敦愱㈶㙥㜲㤰㤸㌳㥡昵㍥摢昲〱挵㠷ㄴㅦ㔱晣㤳攲㘳㡡晦愱昸〴㐲㥤㑣㠱搲愵㐴昱愴㈷㕤晡㤴挰㝦㐳㠰愸㔳つ戴㘴收㍢捤㐰晦㤷搰捦㙤愸㥣戴㉡慣㥥㘱愰㕦㄰晡愵㐰〳㍣㈵晤愲㐴㥤㡤ち愴㠷㕦㘱㠷摢㔶昸〴捦㐱㐲㍣敡㙢散㔸摦㔰㝣㑢昱ㅤ挵昷ㄴ㍦㔰晣㐸挱摦挹㔰攷㘲慦㤲愸昳愰ㄵ愲㙡㠱戱㝡㐱㘰散㉦㠰昲ㄷ敤搲㠵愶㉤扤㔱㈱户㈴㍥挱㡢愰㤵㉥搵戱㉤㍥㡡㍥ㄴ昵ㄴㄶ〵㝥摣愴挶敡㑢搱て㈲戰晣㤷㙥愷㥣㤴搱㌴慢〱搵㜱ㅢ㠶㑦昰㔲搳捥晥㙣㐹㠰㈲㐸戱づ挵扡ㄴ〳㈸搶愳㔸ㅦ㐲挹㜹ㅢ㈵㑢㝤㜴〵捣〸昵〳〹ㅣ〴搱搰㍦㘸㕣㔳昱㍣㉣㙢㠶昷晦㘳摦㜳ㄲ攸㐶㌴㜷愵挹㝡㔷㘷㑤㠰敤㝡扣㍣捡㑣㝦敡㉡㠳㜸挷㕤㜸㔳ㄶ扥摡㘴慤㉥㉤慣慥㌵ㄹ㙦㔷㤴戹捥㘴扤㔵㔶收㝡㤳昱㘶㐵ㄹ㥥挱愵晤㙦㤴㤶〹㥡㔳戹攲搹㕢㄰㝦㜷ㄷㅥ挶㐶昲㥣㉥㔹慦㤵ㄶ㔶㍣㡤㑢挶慢敥㌲㕢戲っ㑦敥㤲昵㜲㘹㤹攰㙤挸攰㑤㤹㠶摥敡㜶㠳昹㥢扢昸㔶㉣㝥㠷挹晡慢捥戲㙦戱摣㘹搴㉦㙡戵㝤㡢㠵攷㙣愹散〵慤戶㙦戱摣㙤搴捦㙢昵㐰搴敢㔷昷ㄸ昵㕦戴㝡㠴愸㜹愶ㄷ㈳捦㘹昵㐸㔱昳摣㉦敡㘷戵㕡て慦攲〹㕦㌲㥥搱ㄹ㐵㤷攰㌲㐰戲㔶㤵㤵攱㤹㕦㌲㥥㜲㤷ㄱ㑦㜸搸㘴㍤㔱㕡㈶挸㠵〱㑤㌷〴ㄵ㔷〳㔲晣㜱㜷昱ㄴ〹㝢捣㘴㍤㕡㔶㥣攷㜲捤㌷㑦攰㔲晣ㄱ㜷㜱攱㥢愷㜵挹㝡㐸㘷搹㝣昳㐴㉦敡〷戵摡收㥢愷㝥㔱晦㔹慢㙤扥戹ㄸ㄰昵〳㕡㙤昳捤攵㠱愸敦搷㙡㥢㙦㉥ㄸ㐴㝤㥦㔶㡦ㄴ扥戹㠴㄰昵扤㕡㙤昸收扡㐱㌲敥搱ㄹ挲户㜰挷搵㠴㘴摤㔵㕡㈶挸戳扥敥㍣㑦昵㠲戹搳㕤㕣㍡捦〵㠰㘴摤慥戳散捥㜳㐹㈰敡摢戴摡敥㍣ㄷ〹愲扥㔵慢敤捥㜳搹㈰敡㕢戴摡敥㍣ㄷㄲ愲扥㔹慢敤捥㜳㘹㈱敡㥢戴㝡愴㜴㥥㡢つ㔱摦愸搵愶昳㕣㘱㐸挶㑡㥤㈱㥤㤷㈳㡤敢づ挹扡扥慣っ㤷ㅡ㤲昱㈷㜷ㄹ㈱㡣ぢ㄰挹扡戶戴㑣㤰㉢ㄱ敤㙣㕣㝥〸收ㅡ㜷昱摤改㙣㕣㤴㐸搶㔵㘵挵戹㜸搰㝣㜳挵㈰㤸㍦扡㡢ぢ摦㕣㐷㐸搶ㄵ㍡换收㥢㉢ぢ㔱㕦慥搵㌶摦㕣㙢㠸㝡㠵㔶摢㝣㜳昵㈱敡换戴摡收㥢敢ㄱ㔱㕦慡搵㌶摦㕣愱㠸晡ㄲ慤ㅥ㈹㝣㜳捤㈲敡攵㕡㙤昸收㐲㐵㌲㉥搶ㄹ㐵㘷攳昲㐵戲㉥㉣㉢挳ㄵ㡢㘴㕣攰㉥㔳㈰㘱㕣挷㐸搶㜹㘵㘵戸㜴㤱㡣㜳摤㘵㘴㕣戹愰㤱慣戳㑢换〴戹昰搰㈴㜳戵㈱㤸戳摣挵㠵㘴慥㐱㈴敢っ㥤㘵㤳捣㔵㠹愸㑦搷㙡㥢㘴慥㔳㐴㝤㥡㔶摢㈴㜳攵㈲敡㔳戵摡㈶㤹㙢ㄹ㔱㥦愲搵㌶挹㕣摤㠸晡㘴慤ㅥ㈹㈴㜳扤㈳敡㤳戴摡㤰捣㐵㡥㘴晣㐱㘷ㄴ㐹收搲㐷戲㑥㈸㉤ㄳ攴ㄲ㐵㜷㥥敢ㄲ挱ㅣ敦㉥㉥㥤攷㙡㐵戲㡥搵㔹㜶攷戹㝥ㄱ昵㌱㕡㙤㜷㥥㉢ㅡ㔱ㅦ慤搵㜶攷戹挶ㄱ昵㔱㕡㙤㜷摥㙦搴㐷㙡戵摤㜹慥㠳〴㝤㠴㔶摢㥤攷捡㐸搴㠷㙢戵敥㝣㤰㙢ㄸ摤ㄱ㉥㕣〴戳㑣㘳㠴〷改〸㤷㌳㤲㜵㤸捥戲㍢挲〵㡥愸て搵㙡扢㈳㕣昲㠸晡㄰慤戶㍢挲㐵㤰愸て搶㙡扢㈳㕣ㄶ㠹晡㈰慤戶㍢挲㠵㤲愸㝦慦搵㜶㐷戸㜴ㄲ昵㔲慤㌶愳挸昵㤲㘴㉣搱ㄹ挵㔱攴㉡㑡戲ㄶ㤷㤵攱挲㠹昷㔰晣㡡搳㤱扤挷愵㠶扤㐷昷户昷挸〱昷慣ㄳ戱愳㜸愲戳昵㥣㠵散㍤ㅥ㕥昶㥥㐰攰㜰搶ㅦ愰攲㐶㜶㠳㑣戰㐱つ挱扥晦ㅦ挳挰㠹ㄲ</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</si>
</sst>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1"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35">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0" fontId="3" fillId="0" borderId="3" xfId="0" applyFont="1" applyBorder="1" applyAlignment="1">
      <alignment horizontal="center"/>
    </xf>
    <xf numFmtId="0" fontId="2" fillId="0" borderId="21" xfId="0" applyFont="1" applyBorder="1" applyAlignment="1">
      <alignment horizontal="center"/>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f ca="1">_xll.CB.RecalcCounterFN()</f>
        <v>0</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193</v>
      </c>
    </row>
    <row r="30" spans="1:2" x14ac:dyDescent="0.2">
      <c r="A30" t="s">
        <v>192</v>
      </c>
      <c r="B30" t="s">
        <v>199</v>
      </c>
    </row>
    <row r="31" spans="1:2" x14ac:dyDescent="0.2">
      <c r="A31" s="102" t="s">
        <v>15</v>
      </c>
      <c r="B31" s="102" t="s">
        <v>194</v>
      </c>
    </row>
    <row r="32" spans="1:2" x14ac:dyDescent="0.2">
      <c r="B32" s="102" t="s">
        <v>195</v>
      </c>
    </row>
    <row r="33" spans="2:2" x14ac:dyDescent="0.2">
      <c r="B33" t="s">
        <v>200</v>
      </c>
    </row>
    <row r="34" spans="2:2" x14ac:dyDescent="0.2">
      <c r="B34" s="102" t="s">
        <v>194</v>
      </c>
    </row>
    <row r="35" spans="2:2" x14ac:dyDescent="0.2">
      <c r="B35" s="102" t="s">
        <v>196</v>
      </c>
    </row>
    <row r="36" spans="2:2" x14ac:dyDescent="0.2">
      <c r="B36" t="s">
        <v>201</v>
      </c>
    </row>
    <row r="37" spans="2:2" x14ac:dyDescent="0.2">
      <c r="B37" s="102" t="s">
        <v>194</v>
      </c>
    </row>
    <row r="38" spans="2:2" x14ac:dyDescent="0.2">
      <c r="B38" s="102" t="s">
        <v>197</v>
      </c>
    </row>
    <row r="39" spans="2:2" x14ac:dyDescent="0.2">
      <c r="B39" t="s">
        <v>202</v>
      </c>
    </row>
    <row r="40" spans="2:2" x14ac:dyDescent="0.2">
      <c r="B40" s="102" t="s">
        <v>194</v>
      </c>
    </row>
    <row r="41" spans="2:2" x14ac:dyDescent="0.2">
      <c r="B41" s="102" t="s">
        <v>198</v>
      </c>
    </row>
    <row r="42" spans="2:2" x14ac:dyDescent="0.2">
      <c r="B42" t="s">
        <v>203</v>
      </c>
    </row>
    <row r="43" spans="2:2" x14ac:dyDescent="0.2">
      <c r="B43" s="102" t="s">
        <v>194</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7" t="s">
        <v>28</v>
      </c>
      <c r="C6" s="78" t="s">
        <v>48</v>
      </c>
      <c r="D6" s="79" t="s">
        <v>49</v>
      </c>
    </row>
    <row r="7" spans="2:4" ht="12.75" customHeight="1" x14ac:dyDescent="0.2">
      <c r="B7" s="118"/>
      <c r="C7" s="80" t="s">
        <v>50</v>
      </c>
      <c r="D7" s="81" t="s">
        <v>51</v>
      </c>
    </row>
    <row r="8" spans="2:4" ht="12.75" customHeight="1" x14ac:dyDescent="0.2">
      <c r="B8" s="118"/>
      <c r="C8" s="80" t="s">
        <v>52</v>
      </c>
      <c r="D8" s="81" t="s">
        <v>53</v>
      </c>
    </row>
    <row r="9" spans="2:4" ht="13.5" customHeight="1" x14ac:dyDescent="0.2">
      <c r="B9" s="119"/>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6"/>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6"/>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6"/>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6"/>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6"/>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A23" zoomScale="130" zoomScaleNormal="130" workbookViewId="0">
      <selection activeCell="P47" sqref="P47"/>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34" t="s">
        <v>103</v>
      </c>
    </row>
    <row r="2" spans="2:38" x14ac:dyDescent="0.2">
      <c r="B2" s="112" t="s">
        <v>104</v>
      </c>
      <c r="C2" s="1"/>
      <c r="D2" s="126" t="s">
        <v>186</v>
      </c>
      <c r="E2" s="120"/>
      <c r="F2" s="120"/>
      <c r="G2" s="1"/>
      <c r="H2" s="126" t="s">
        <v>186</v>
      </c>
      <c r="I2" s="120"/>
      <c r="J2" s="120"/>
      <c r="K2" s="1"/>
      <c r="L2" s="126" t="s">
        <v>183</v>
      </c>
      <c r="M2" s="120"/>
      <c r="N2" s="121"/>
      <c r="T2" s="36">
        <v>3</v>
      </c>
      <c r="U2" s="134"/>
      <c r="V2" s="132" t="s">
        <v>105</v>
      </c>
      <c r="W2" s="133"/>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3" t="s">
        <v>112</v>
      </c>
      <c r="M3" s="3" t="s">
        <v>113</v>
      </c>
      <c r="N3" s="27"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5">
        <v>25</v>
      </c>
      <c r="E4" s="5">
        <v>35</v>
      </c>
      <c r="F4" s="5">
        <v>45</v>
      </c>
      <c r="H4" s="5">
        <v>35</v>
      </c>
      <c r="I4" s="5">
        <v>45</v>
      </c>
      <c r="J4" s="5">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7">
        <v>35</v>
      </c>
      <c r="E5" s="7">
        <v>45</v>
      </c>
      <c r="F5" s="7">
        <v>55</v>
      </c>
      <c r="G5" s="8"/>
      <c r="H5" s="7">
        <v>27</v>
      </c>
      <c r="I5" s="7">
        <v>30</v>
      </c>
      <c r="J5" s="7">
        <v>33</v>
      </c>
      <c r="K5" s="8"/>
      <c r="L5" s="7">
        <v>10</v>
      </c>
      <c r="M5" s="7">
        <v>15</v>
      </c>
      <c r="N5" s="29">
        <v>20</v>
      </c>
      <c r="S5">
        <f>IF(T$2=1,V5,IF(T$2=2,X5,Z5))</f>
        <v>2.7777777777777781</v>
      </c>
      <c r="U5">
        <f>IF(T$2=1,W5,IF(T$2=2,Y5,AA5))</f>
        <v>15</v>
      </c>
      <c r="V5" s="39">
        <f>((F5-D5)/6)^2</f>
        <v>11.111111111111112</v>
      </c>
      <c r="W5" s="108">
        <f>(D5+4*E5+F5)/6</f>
        <v>45</v>
      </c>
      <c r="X5" s="38">
        <f>((J5-H5)/6)^2</f>
        <v>1</v>
      </c>
      <c r="Y5" s="108">
        <f>(H5+4*I5+J5)/6</f>
        <v>30</v>
      </c>
      <c r="Z5" s="38">
        <f>((N5-L5)/6)^2</f>
        <v>2.7777777777777781</v>
      </c>
      <c r="AA5" s="109">
        <f>(L5+4*M5+N5)/6</f>
        <v>15</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6" t="s">
        <v>186</v>
      </c>
      <c r="E7" s="120"/>
      <c r="F7" s="120"/>
      <c r="G7" s="1"/>
      <c r="H7" s="126" t="s">
        <v>186</v>
      </c>
      <c r="I7" s="120"/>
      <c r="J7" s="120"/>
      <c r="K7" s="1"/>
      <c r="L7" s="120" t="s">
        <v>181</v>
      </c>
      <c r="M7" s="120"/>
      <c r="N7" s="120"/>
      <c r="O7" s="1"/>
      <c r="P7" s="126" t="s">
        <v>182</v>
      </c>
      <c r="Q7" s="120"/>
      <c r="R7" s="121"/>
      <c r="T7" s="36">
        <v>4</v>
      </c>
      <c r="V7" s="127" t="s">
        <v>121</v>
      </c>
      <c r="W7" s="120"/>
      <c r="X7" s="120" t="s">
        <v>122</v>
      </c>
      <c r="Y7" s="120"/>
      <c r="Z7" s="120" t="s">
        <v>123</v>
      </c>
      <c r="AA7" s="120"/>
      <c r="AB7" s="122" t="s">
        <v>124</v>
      </c>
      <c r="AC7" s="123"/>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0">
        <v>1</v>
      </c>
      <c r="E9" s="10">
        <v>4</v>
      </c>
      <c r="F9" s="10">
        <v>7</v>
      </c>
      <c r="H9" s="10">
        <v>7</v>
      </c>
      <c r="I9" s="10">
        <v>10</v>
      </c>
      <c r="J9" s="10">
        <v>13</v>
      </c>
      <c r="L9" s="10">
        <v>30</v>
      </c>
      <c r="M9" s="10">
        <v>40</v>
      </c>
      <c r="N9" s="10">
        <v>50</v>
      </c>
      <c r="P9" s="10">
        <v>22</v>
      </c>
      <c r="Q9" s="10">
        <v>23</v>
      </c>
      <c r="R9" s="30">
        <v>24</v>
      </c>
      <c r="U9">
        <f>IF(T$7=1,W9,IF(T$7=2,Y9,IF(T$7=3,AA9,AC9)))</f>
        <v>23</v>
      </c>
      <c r="V9" s="38">
        <f>((F9-D9)/6)^2</f>
        <v>1</v>
      </c>
      <c r="W9" s="108">
        <f>(D9+4*E9+F9)/6</f>
        <v>4</v>
      </c>
      <c r="X9" s="38">
        <f>((J9-H9)/6)^2</f>
        <v>1</v>
      </c>
      <c r="Y9" s="108">
        <f>(H9+4*I9+J9)/6</f>
        <v>10</v>
      </c>
      <c r="Z9" s="38">
        <f>((N9-L9)/6)^2</f>
        <v>11.111111111111112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1">
        <v>0.25</v>
      </c>
      <c r="E10" s="11">
        <v>0.4</v>
      </c>
      <c r="F10" s="11">
        <v>0.55000000000000004</v>
      </c>
      <c r="G10" s="12"/>
      <c r="H10" s="11">
        <v>0.5</v>
      </c>
      <c r="I10" s="11">
        <v>0.55000000000000004</v>
      </c>
      <c r="J10" s="11">
        <v>0.6</v>
      </c>
      <c r="K10" s="12"/>
      <c r="L10" s="11">
        <v>0.75</v>
      </c>
      <c r="M10" s="11">
        <v>0.8</v>
      </c>
      <c r="N10" s="11">
        <v>0.85</v>
      </c>
      <c r="O10" s="12"/>
      <c r="P10" s="11">
        <v>0.1</v>
      </c>
      <c r="Q10" s="11">
        <v>0.15</v>
      </c>
      <c r="R10" s="34">
        <v>0.2</v>
      </c>
      <c r="S10">
        <f>IF(T$2=1,V10,IF(T$2=2,X10,Z10))</f>
        <v>2.7777777777777767E-4</v>
      </c>
      <c r="U10" s="41">
        <f>IF(T$7=1,W10,IF(T$7=2,Y10,IF(T$7=3,AA10,AC10)))</f>
        <v>0.15</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2.7777777777777778E-4</v>
      </c>
      <c r="AC10" s="110">
        <f>(P10+4*Q10+R10)/6</f>
        <v>0.15</v>
      </c>
      <c r="AE10" s="114"/>
      <c r="AF10" s="6">
        <f>(S$5*(1-S$10)+S$15)*S10*AH10</f>
        <v>3.0855624142661169</v>
      </c>
      <c r="AG10" s="64">
        <f>U5*U10*AH10</f>
        <v>9000</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6" t="s">
        <v>186</v>
      </c>
      <c r="E12" s="120"/>
      <c r="F12" s="120"/>
      <c r="G12" s="1"/>
      <c r="H12" s="126" t="s">
        <v>183</v>
      </c>
      <c r="I12" s="120"/>
      <c r="J12" s="121"/>
      <c r="L12" s="131"/>
      <c r="M12" s="131"/>
      <c r="N12" s="131"/>
      <c r="T12" s="36">
        <v>2</v>
      </c>
      <c r="V12" s="127"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3" t="s">
        <v>112</v>
      </c>
      <c r="I13" s="3" t="s">
        <v>113</v>
      </c>
      <c r="J13" s="27"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0">
        <v>50</v>
      </c>
      <c r="E14" s="10">
        <v>60</v>
      </c>
      <c r="F14" s="10">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5">
        <v>25</v>
      </c>
      <c r="E15" s="15">
        <v>35</v>
      </c>
      <c r="F15" s="15">
        <v>45</v>
      </c>
      <c r="G15" s="16"/>
      <c r="H15" s="15">
        <v>20</v>
      </c>
      <c r="I15" s="15">
        <v>25</v>
      </c>
      <c r="J15" s="31">
        <v>30</v>
      </c>
      <c r="S15">
        <f>IF(T$2=1,V15,IF(T$2=2,X15,Z15))</f>
        <v>0</v>
      </c>
      <c r="U15">
        <f>IF(T$12=1,W15,Y15)</f>
        <v>25</v>
      </c>
      <c r="V15" s="38">
        <f>((F15-D15)/6)^2</f>
        <v>11.111111111111112</v>
      </c>
      <c r="W15" s="108">
        <f>(D15+4*E15+F15)/6</f>
        <v>35</v>
      </c>
      <c r="X15" s="38">
        <f>((J15-H15)/6)^2</f>
        <v>2.7777777777777781</v>
      </c>
      <c r="Y15" s="108">
        <f>(H15+4*I15+J15)/6</f>
        <v>25</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6" t="s">
        <v>186</v>
      </c>
      <c r="E17" s="120"/>
      <c r="F17" s="120"/>
      <c r="G17" s="1"/>
      <c r="H17" s="126" t="s">
        <v>186</v>
      </c>
      <c r="I17" s="120"/>
      <c r="J17" s="120"/>
      <c r="K17" s="1"/>
      <c r="L17" s="120" t="s">
        <v>181</v>
      </c>
      <c r="M17" s="120"/>
      <c r="N17" s="120"/>
      <c r="O17" s="1"/>
      <c r="P17" s="126" t="s">
        <v>182</v>
      </c>
      <c r="Q17" s="120"/>
      <c r="R17" s="121"/>
      <c r="T17" s="36">
        <v>4</v>
      </c>
      <c r="V17" s="127" t="s">
        <v>121</v>
      </c>
      <c r="W17" s="120"/>
      <c r="X17" s="120" t="s">
        <v>122</v>
      </c>
      <c r="Y17" s="120"/>
      <c r="Z17" s="120" t="s">
        <v>123</v>
      </c>
      <c r="AA17" s="120"/>
      <c r="AB17" s="122" t="s">
        <v>124</v>
      </c>
      <c r="AC17" s="123"/>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3" t="s">
        <v>112</v>
      </c>
      <c r="M18" s="3" t="s">
        <v>113</v>
      </c>
      <c r="N18" s="3" t="s">
        <v>114</v>
      </c>
      <c r="P18" s="3" t="s">
        <v>112</v>
      </c>
      <c r="Q18" s="3" t="s">
        <v>113</v>
      </c>
      <c r="R18" s="27"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0">
        <v>5</v>
      </c>
      <c r="E19" s="10">
        <v>12</v>
      </c>
      <c r="F19" s="10">
        <v>19</v>
      </c>
      <c r="G19" s="14"/>
      <c r="H19" s="10">
        <v>15</v>
      </c>
      <c r="I19" s="10">
        <v>20</v>
      </c>
      <c r="J19" s="10">
        <v>25</v>
      </c>
      <c r="K19" s="14"/>
      <c r="L19" s="10">
        <v>50</v>
      </c>
      <c r="M19" s="10">
        <v>60</v>
      </c>
      <c r="N19" s="10">
        <v>70</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60</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1">
        <v>0.25</v>
      </c>
      <c r="E20" s="11">
        <v>0.4</v>
      </c>
      <c r="F20" s="11">
        <v>0.55000000000000004</v>
      </c>
      <c r="G20" s="17"/>
      <c r="H20" s="11">
        <v>0.5</v>
      </c>
      <c r="I20" s="11">
        <v>0.55000000000000004</v>
      </c>
      <c r="J20" s="11">
        <v>0.6</v>
      </c>
      <c r="K20" s="17"/>
      <c r="L20" s="11">
        <v>0.54</v>
      </c>
      <c r="M20" s="11">
        <v>0.59</v>
      </c>
      <c r="N20" s="11">
        <v>0.64</v>
      </c>
      <c r="O20" s="17"/>
      <c r="P20" s="11">
        <v>0.1</v>
      </c>
      <c r="Q20" s="11">
        <v>0.15</v>
      </c>
      <c r="R20" s="34">
        <v>0.2</v>
      </c>
      <c r="S20">
        <f>IF(T$2=1,V20,IF(T$2=2,X20,Z20))</f>
        <v>2.7777777777777767E-4</v>
      </c>
      <c r="U20" s="41">
        <f>IF(T$17=1,W20,IF(T$17=2,Y20,IF(T$17=3,AA20,AC20)))</f>
        <v>0.15</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2.7777777777777778E-4</v>
      </c>
      <c r="AC20" s="110">
        <f>(P20+4*Q20+R20)/6</f>
        <v>0.15</v>
      </c>
      <c r="AE20" s="114"/>
      <c r="AF20" s="6">
        <f>(S$5*(1-S$10)+S$15)*S20*AH20</f>
        <v>3.0855624142661169</v>
      </c>
      <c r="AG20" s="64">
        <f>(U$5*(1-U$10)+U$15)*U20*AH20</f>
        <v>22650</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6" t="s">
        <v>186</v>
      </c>
      <c r="E22" s="120"/>
      <c r="F22" s="120"/>
      <c r="G22" s="1"/>
      <c r="H22" s="126" t="s">
        <v>186</v>
      </c>
      <c r="I22" s="120"/>
      <c r="J22" s="120"/>
      <c r="K22" s="1"/>
      <c r="L22" s="126" t="s">
        <v>186</v>
      </c>
      <c r="M22" s="120"/>
      <c r="N22" s="120"/>
      <c r="O22" s="1"/>
      <c r="P22" s="120" t="s">
        <v>182</v>
      </c>
      <c r="Q22" s="120"/>
      <c r="R22" s="121"/>
      <c r="T22" s="36">
        <v>4</v>
      </c>
      <c r="V22" s="130" t="s">
        <v>133</v>
      </c>
      <c r="W22" s="128"/>
      <c r="X22" s="128" t="s">
        <v>134</v>
      </c>
      <c r="Y22" s="128"/>
      <c r="Z22" s="128" t="s">
        <v>135</v>
      </c>
      <c r="AA22" s="128"/>
      <c r="AB22" s="128" t="s">
        <v>136</v>
      </c>
      <c r="AC22" s="129"/>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0">
        <v>150</v>
      </c>
      <c r="E24" s="10">
        <v>300</v>
      </c>
      <c r="F24" s="10">
        <v>450</v>
      </c>
      <c r="G24" s="14"/>
      <c r="H24" s="10">
        <f>0.9*I24</f>
        <v>222.3</v>
      </c>
      <c r="I24" s="10">
        <f>1.3*FP</f>
        <v>247</v>
      </c>
      <c r="J24" s="10">
        <f>1.1*I24</f>
        <v>271.70000000000005</v>
      </c>
      <c r="K24" s="14"/>
      <c r="L24" s="10">
        <v>100</v>
      </c>
      <c r="M24" s="10">
        <v>125</v>
      </c>
      <c r="N24" s="10">
        <v>150</v>
      </c>
      <c r="O24" s="14"/>
      <c r="P24" s="10">
        <v>90</v>
      </c>
      <c r="Q24" s="10">
        <v>100</v>
      </c>
      <c r="R24" s="30">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5">
        <v>200</v>
      </c>
      <c r="E25" s="15">
        <v>250</v>
      </c>
      <c r="F25" s="15">
        <v>300</v>
      </c>
      <c r="G25" s="16"/>
      <c r="H25" s="15">
        <f>0.9*I25</f>
        <v>171</v>
      </c>
      <c r="I25" s="15">
        <f>1*FP</f>
        <v>190</v>
      </c>
      <c r="J25" s="15">
        <f>1.1*I25</f>
        <v>209.00000000000003</v>
      </c>
      <c r="K25" s="16"/>
      <c r="L25" s="15">
        <v>90</v>
      </c>
      <c r="M25" s="15">
        <v>110</v>
      </c>
      <c r="N25" s="15">
        <v>130</v>
      </c>
      <c r="O25" s="16"/>
      <c r="P25" s="15">
        <v>34</v>
      </c>
      <c r="Q25" s="15">
        <v>39</v>
      </c>
      <c r="R25" s="31">
        <v>43</v>
      </c>
      <c r="S25">
        <f>IF(T$2=1,V25,IF(T$2=2,X25,Z25))</f>
        <v>44.44444444444445</v>
      </c>
      <c r="U25">
        <f>IF(T$22=1,W25,IF(T$22=2,Y25,IF(T$22=3,AA25,AC25)))</f>
        <v>38.833333333333336</v>
      </c>
      <c r="V25" s="38">
        <f>((F25-D25)/6)^2</f>
        <v>277.77777777777783</v>
      </c>
      <c r="W25" s="108">
        <f>(D25+4*E25+F25)/6</f>
        <v>250</v>
      </c>
      <c r="X25" s="38">
        <f>((J25-H25)/6)^2</f>
        <v>40.111111111111178</v>
      </c>
      <c r="Y25" s="108">
        <f>(H25+4*I25+J25)/6</f>
        <v>190</v>
      </c>
      <c r="Z25" s="38">
        <f>((N25-L25)/6)^2</f>
        <v>44.44444444444445</v>
      </c>
      <c r="AA25" s="109">
        <f>(L25+4*M25+N25)/6</f>
        <v>110</v>
      </c>
      <c r="AB25" s="38">
        <f>((R25-P25)/6)^2</f>
        <v>2.25</v>
      </c>
      <c r="AC25" s="110">
        <f>(P25+4*Q25+R25)/6</f>
        <v>38.833333333333336</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6" t="s">
        <v>186</v>
      </c>
      <c r="M27" s="120"/>
      <c r="N27" s="120"/>
      <c r="O27" s="1"/>
      <c r="P27" s="126" t="s">
        <v>186</v>
      </c>
      <c r="Q27" s="120"/>
      <c r="R27" s="120"/>
      <c r="T27" s="36">
        <v>1</v>
      </c>
      <c r="V27" s="127" t="s">
        <v>121</v>
      </c>
      <c r="W27" s="120"/>
      <c r="X27" s="120" t="s">
        <v>122</v>
      </c>
      <c r="Y27" s="120"/>
      <c r="Z27" s="120" t="s">
        <v>123</v>
      </c>
      <c r="AA27" s="120"/>
      <c r="AB27" s="128" t="s">
        <v>124</v>
      </c>
      <c r="AC27" s="129"/>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0">
        <v>5</v>
      </c>
      <c r="E29" s="10">
        <v>12</v>
      </c>
      <c r="F29" s="10">
        <v>19</v>
      </c>
      <c r="G29" s="14"/>
      <c r="H29" s="10">
        <v>15</v>
      </c>
      <c r="I29" s="10">
        <v>20</v>
      </c>
      <c r="J29" s="10">
        <v>25</v>
      </c>
      <c r="K29" s="14"/>
      <c r="L29" s="10">
        <v>25</v>
      </c>
      <c r="M29" s="10">
        <v>35</v>
      </c>
      <c r="N29" s="10">
        <v>45</v>
      </c>
      <c r="O29" s="14"/>
      <c r="P29" s="10">
        <v>45</v>
      </c>
      <c r="Q29" s="10">
        <v>46</v>
      </c>
      <c r="R29" s="30">
        <v>48</v>
      </c>
      <c r="U29">
        <f>IF(T$27=1,W29,IF(T$27=2,Y29,IF(T$27=3,AA29,AC29)))</f>
        <v>12</v>
      </c>
      <c r="V29" s="38">
        <f>((F29-D29)/6)^2</f>
        <v>5.4444444444444455</v>
      </c>
      <c r="W29" s="108">
        <f>(D29+4*E29+F29)/6</f>
        <v>12</v>
      </c>
      <c r="X29" s="38">
        <f>((J29-H29)/6)^2</f>
        <v>2.7777777777777781</v>
      </c>
      <c r="Y29" s="108">
        <f>(H29+4*I29+J29)/6</f>
        <v>20</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1">
        <v>0.18</v>
      </c>
      <c r="E30" s="11">
        <v>0.22</v>
      </c>
      <c r="F30" s="11">
        <v>0.26</v>
      </c>
      <c r="G30" s="17"/>
      <c r="H30" s="11">
        <v>0.3</v>
      </c>
      <c r="I30" s="11">
        <v>0.35</v>
      </c>
      <c r="J30" s="11">
        <v>0.4</v>
      </c>
      <c r="K30" s="17"/>
      <c r="L30" s="11">
        <v>0.3</v>
      </c>
      <c r="M30" s="11">
        <v>0.35</v>
      </c>
      <c r="N30" s="11">
        <v>0.4</v>
      </c>
      <c r="O30" s="17"/>
      <c r="P30" s="11">
        <v>0.1</v>
      </c>
      <c r="Q30" s="11">
        <v>0.15</v>
      </c>
      <c r="R30" s="34">
        <v>0.2</v>
      </c>
      <c r="S30">
        <f>IF(T$2=1,V30,IF(T$2=2,X30,Z30))</f>
        <v>2.7777777777777799E-4</v>
      </c>
      <c r="U30" s="41">
        <f>IF(T$27=1,W30,IF(T$27=2,Y30,IF(T$27=3,AA30,AC30)))</f>
        <v>0.22</v>
      </c>
      <c r="V30" s="38">
        <f>((F30-D30)/6)^2</f>
        <v>1.7777777777777784E-4</v>
      </c>
      <c r="W30" s="108">
        <f>(D30+4*E30+F30)/6</f>
        <v>0.22</v>
      </c>
      <c r="X30" s="38">
        <f>((J30-H30)/6)^2</f>
        <v>2.7777777777777799E-4</v>
      </c>
      <c r="Y30" s="108">
        <f>(H30+4*I30+J30)/6</f>
        <v>0.35000000000000003</v>
      </c>
      <c r="Z30" s="38">
        <f>((N30-L30)/6)^2</f>
        <v>2.7777777777777799E-4</v>
      </c>
      <c r="AA30" s="109">
        <f>(L30+4*M30+N30)/6</f>
        <v>0.35000000000000003</v>
      </c>
      <c r="AB30" s="38">
        <f>((R30-P30)/6)^2</f>
        <v>2.7777777777777778E-4</v>
      </c>
      <c r="AC30" s="110">
        <f>(P30+4*Q30+R30)/6</f>
        <v>0.15</v>
      </c>
      <c r="AE30" s="114"/>
      <c r="AF30" s="6">
        <f>(S$5*(1-S$10)+S$15)*S30*AH30</f>
        <v>2.2370327503429372</v>
      </c>
      <c r="AG30" s="64">
        <f>((U$5*(1-U$10)+U$15)*(1-U$20)+U$25)*U30*AH30</f>
        <v>45247.491666666669</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6" t="s">
        <v>186</v>
      </c>
      <c r="E32" s="120"/>
      <c r="F32" s="120"/>
      <c r="G32" s="1"/>
      <c r="H32" s="126" t="s">
        <v>186</v>
      </c>
      <c r="I32" s="120"/>
      <c r="J32" s="120"/>
      <c r="K32" s="1"/>
      <c r="L32" s="126" t="s">
        <v>186</v>
      </c>
      <c r="M32" s="120"/>
      <c r="N32" s="120"/>
      <c r="O32" s="1"/>
      <c r="P32" s="126" t="s">
        <v>186</v>
      </c>
      <c r="Q32" s="120"/>
      <c r="R32" s="120"/>
      <c r="T32" s="36">
        <v>2</v>
      </c>
      <c r="V32" s="127" t="s">
        <v>141</v>
      </c>
      <c r="W32" s="120"/>
      <c r="X32" s="120" t="s">
        <v>142</v>
      </c>
      <c r="Y32" s="120"/>
      <c r="Z32" s="128" t="s">
        <v>143</v>
      </c>
      <c r="AA32" s="128"/>
      <c r="AB32" s="128" t="s">
        <v>144</v>
      </c>
      <c r="AC32" s="129"/>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0">
        <v>90</v>
      </c>
      <c r="E34" s="10">
        <v>100</v>
      </c>
      <c r="F34" s="10">
        <v>110</v>
      </c>
      <c r="G34" s="14"/>
      <c r="H34" s="10">
        <v>120</v>
      </c>
      <c r="I34" s="10">
        <v>150</v>
      </c>
      <c r="J34" s="10">
        <v>180</v>
      </c>
      <c r="K34" s="14"/>
      <c r="L34" s="10">
        <v>200</v>
      </c>
      <c r="M34" s="10">
        <v>250</v>
      </c>
      <c r="N34" s="10">
        <v>300</v>
      </c>
      <c r="O34" s="14"/>
      <c r="P34" s="10">
        <v>300</v>
      </c>
      <c r="Q34" s="10">
        <v>350</v>
      </c>
      <c r="R34" s="30">
        <v>400</v>
      </c>
      <c r="U34">
        <f>IF(T$32=1,W34,IF(T$32=2,Y34,IF(T$32=3,AA34,AC34)))</f>
        <v>150</v>
      </c>
      <c r="V34" s="38">
        <f>((F34-D34)/6)^2</f>
        <v>11.111111111111112</v>
      </c>
      <c r="W34" s="108">
        <f>(D34+4*E34+F34)/6</f>
        <v>100</v>
      </c>
      <c r="X34" s="38">
        <f>((J34-H34)/6)^2</f>
        <v>100</v>
      </c>
      <c r="Y34" s="108">
        <f>(H34+4*I34+J34)/6</f>
        <v>150</v>
      </c>
      <c r="Z34" s="38">
        <f>((N34-L34)/6)^2</f>
        <v>277.77777777777783</v>
      </c>
      <c r="AA34" s="109">
        <f>(L34+4*M34+N34)/6</f>
        <v>250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1">
        <v>0.4</v>
      </c>
      <c r="E35" s="11">
        <v>0.5</v>
      </c>
      <c r="F35" s="11">
        <v>0.6</v>
      </c>
      <c r="G35" s="17"/>
      <c r="H35" s="11">
        <v>0.35</v>
      </c>
      <c r="I35" s="11">
        <v>0.4</v>
      </c>
      <c r="J35" s="11">
        <v>0.45</v>
      </c>
      <c r="K35" s="17"/>
      <c r="L35" s="11">
        <v>0.65</v>
      </c>
      <c r="M35" s="11">
        <v>0.7</v>
      </c>
      <c r="N35" s="11">
        <v>0.75</v>
      </c>
      <c r="O35" s="17"/>
      <c r="P35" s="11">
        <v>0.63</v>
      </c>
      <c r="Q35" s="11">
        <v>0.68</v>
      </c>
      <c r="R35" s="34">
        <v>0.73</v>
      </c>
      <c r="S35">
        <f>IF(T$2=1,V35,IF(T$2=2,X35,Z35))</f>
        <v>2.7777777777777767E-4</v>
      </c>
      <c r="U35" s="41">
        <f>IF(T$32=1,W35,IF(T$32=2,Y35,IF(T$32=3,AA35,AC35)))</f>
        <v>0.40000000000000008</v>
      </c>
      <c r="V35" s="38">
        <f>((F35-D35)/6)^2</f>
        <v>1.1111111111111107E-3</v>
      </c>
      <c r="W35" s="108">
        <f>(D35+4*E35+F35)/6</f>
        <v>0.5</v>
      </c>
      <c r="X35" s="38">
        <f>((J35-H35)/6)^2</f>
        <v>2.7777777777777799E-4</v>
      </c>
      <c r="Y35" s="108">
        <f>(H35+4*I35+J35)/6</f>
        <v>0.40000000000000008</v>
      </c>
      <c r="Z35" s="38">
        <f>((N35-L35)/6)^2</f>
        <v>2.7777777777777767E-4</v>
      </c>
      <c r="AA35" s="109">
        <f>(L35+4*M35+N35)/6</f>
        <v>0.69999999999999984</v>
      </c>
      <c r="AB35" s="38">
        <f>((R35-P35)/6)^2</f>
        <v>2.7777777777777767E-4</v>
      </c>
      <c r="AC35" s="110">
        <f>(P35+4*Q35+R35)/6</f>
        <v>0.68</v>
      </c>
      <c r="AE35" s="114"/>
      <c r="AF35" s="6">
        <f>(S$5*(1-S$10)+S$15)*S35*AH35</f>
        <v>2.237032750342935</v>
      </c>
      <c r="AG35" s="64">
        <f>((U$5*(1-U$10)+U$15)*(1-U$20)+U$25)*(1-U$30)*U35*AH35</f>
        <v>64169.170000000013</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6" t="s">
        <v>186</v>
      </c>
      <c r="E37" s="120"/>
      <c r="F37" s="120"/>
      <c r="G37" s="1"/>
      <c r="H37" s="120"/>
      <c r="I37" s="120"/>
      <c r="J37" s="120"/>
      <c r="K37" s="1"/>
      <c r="L37" s="126"/>
      <c r="M37" s="120"/>
      <c r="N37" s="121"/>
      <c r="T37" s="14">
        <v>1</v>
      </c>
      <c r="V37" s="127"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0">
        <v>0</v>
      </c>
      <c r="E39" s="10">
        <v>5.0000000000000001E-3</v>
      </c>
      <c r="F39" s="10">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1">
        <v>0</v>
      </c>
      <c r="E40" s="11">
        <v>5.0000000000000002E-5</v>
      </c>
      <c r="F40" s="11">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2.6998671124828579</v>
      </c>
      <c r="AG40" s="64">
        <f>((U$5*(1-U$10)+U$15)*(1-U$20)+U$25)*(1-U$30)*(1-U$35)*U40*AH40</f>
        <v>5.8084162499999987</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6" t="s">
        <v>186</v>
      </c>
      <c r="I42" s="120"/>
      <c r="J42" s="120"/>
      <c r="K42" s="1"/>
      <c r="L42" s="126" t="s">
        <v>186</v>
      </c>
      <c r="M42" s="120"/>
      <c r="N42" s="120"/>
      <c r="T42" s="36">
        <v>1</v>
      </c>
      <c r="V42" s="127" t="s">
        <v>152</v>
      </c>
      <c r="W42" s="120"/>
      <c r="X42" s="120" t="s">
        <v>153</v>
      </c>
      <c r="Y42" s="120"/>
      <c r="Z42" s="122" t="s">
        <v>154</v>
      </c>
      <c r="AA42" s="123"/>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0">
        <v>75</v>
      </c>
      <c r="E44" s="10">
        <v>80</v>
      </c>
      <c r="F44" s="10">
        <v>85</v>
      </c>
      <c r="G44" s="14"/>
      <c r="H44" s="10">
        <v>110</v>
      </c>
      <c r="I44" s="10">
        <v>120</v>
      </c>
      <c r="J44" s="10">
        <v>130</v>
      </c>
      <c r="K44" s="14"/>
      <c r="L44" s="10">
        <v>140</v>
      </c>
      <c r="M44" s="10">
        <v>150</v>
      </c>
      <c r="N44" s="30">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1">
        <v>0.88</v>
      </c>
      <c r="E45" s="11">
        <v>0.9</v>
      </c>
      <c r="F45" s="11">
        <v>0.9</v>
      </c>
      <c r="G45" s="17"/>
      <c r="H45" s="11">
        <v>0.505</v>
      </c>
      <c r="I45" s="11">
        <v>0.55500000000000005</v>
      </c>
      <c r="J45" s="11">
        <v>0.60499999999999998</v>
      </c>
      <c r="K45" s="17"/>
      <c r="L45" s="11">
        <v>0.8</v>
      </c>
      <c r="M45" s="11">
        <v>0.85</v>
      </c>
      <c r="N45" s="34">
        <v>0.9</v>
      </c>
      <c r="S45">
        <f>IF(T$2=1,V45,IF(T$2=2,X45,Z45))</f>
        <v>2.7777777777777767E-4</v>
      </c>
      <c r="U45">
        <f>IF(T$42=1,W45,IF(T$42=2,Y45,AA45))</f>
        <v>0.89666666666666683</v>
      </c>
      <c r="V45" s="38">
        <f>((F45-D45)/6)^2</f>
        <v>1.111111111111113E-5</v>
      </c>
      <c r="W45" s="108">
        <f>(D45+4*E45+F45)/6</f>
        <v>0.89666666666666683</v>
      </c>
      <c r="X45" s="38">
        <f>((J45-H45)/6)^2</f>
        <v>2.7777777777777767E-4</v>
      </c>
      <c r="Y45" s="108">
        <f>(H45+4*I45+J45)/6</f>
        <v>0.55500000000000005</v>
      </c>
      <c r="Z45" s="38">
        <f>((N45-L45)/6)^2</f>
        <v>2.7777777777777767E-4</v>
      </c>
      <c r="AA45" s="109">
        <f>(L45+4*M45+N45)/6</f>
        <v>0.85000000000000009</v>
      </c>
      <c r="AE45" s="114"/>
      <c r="AF45" s="6">
        <f>(S$5*(1-S$10)+S$15)*S45*AH45</f>
        <v>4.4740655006858701</v>
      </c>
      <c r="AG45" s="64">
        <f>((U$5*(1-U$10)+U$15)*(1-U$20)+U$25)*(1-U$30)*(1-U$35)*(1-U$40)*U45*AH45</f>
        <v>172606.43654663503</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6" t="s">
        <v>186</v>
      </c>
      <c r="E47" s="120"/>
      <c r="F47" s="120"/>
      <c r="G47" s="1"/>
      <c r="H47" s="126" t="s">
        <v>186</v>
      </c>
      <c r="I47" s="120"/>
      <c r="J47" s="120"/>
      <c r="K47" s="1"/>
      <c r="L47" s="120" t="s">
        <v>184</v>
      </c>
      <c r="M47" s="120"/>
      <c r="N47" s="120"/>
      <c r="T47" s="36">
        <v>3</v>
      </c>
      <c r="V47" s="127"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0">
        <v>15</v>
      </c>
      <c r="E49" s="10">
        <v>20</v>
      </c>
      <c r="F49" s="10">
        <v>25</v>
      </c>
      <c r="G49" s="14"/>
      <c r="H49" s="10">
        <v>25</v>
      </c>
      <c r="I49" s="10">
        <v>30</v>
      </c>
      <c r="J49" s="10">
        <v>35</v>
      </c>
      <c r="K49" s="14"/>
      <c r="L49" s="10">
        <v>50</v>
      </c>
      <c r="M49" s="10">
        <v>60</v>
      </c>
      <c r="N49" s="30">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1">
        <v>0.7</v>
      </c>
      <c r="E50" s="11">
        <v>0.75</v>
      </c>
      <c r="F50" s="11">
        <v>0.8</v>
      </c>
      <c r="G50" s="17"/>
      <c r="H50" s="11">
        <v>0.8</v>
      </c>
      <c r="I50" s="11">
        <v>0.85</v>
      </c>
      <c r="J50" s="11">
        <v>0.9</v>
      </c>
      <c r="K50" s="17"/>
      <c r="L50" s="11">
        <v>0.98499999999999999</v>
      </c>
      <c r="M50" s="11">
        <v>0.99</v>
      </c>
      <c r="N50" s="34">
        <v>0.995</v>
      </c>
      <c r="S50">
        <f>IF(T$2=1,V50,IF(T$2=2,X50,Z50))</f>
        <v>2.7777777777777826E-6</v>
      </c>
      <c r="U50">
        <f>IF(T$47=1,W50,IF(T$47=2,Y50,AA50))</f>
        <v>0.9900000000000001</v>
      </c>
      <c r="V50" s="38">
        <f>((F50-D50)/6)^2</f>
        <v>2.7777777777777821E-4</v>
      </c>
      <c r="W50" s="108">
        <f>(D50+4*E50+F50)/6</f>
        <v>0.75</v>
      </c>
      <c r="X50" s="38">
        <f>((J50-H50)/6)^2</f>
        <v>2.7777777777777767E-4</v>
      </c>
      <c r="Y50" s="108">
        <f>(H50+4*I50+J50)/6</f>
        <v>0.85000000000000009</v>
      </c>
      <c r="Z50" s="38">
        <f>((N50-L50)/6)^2</f>
        <v>2.7777777777777826E-6</v>
      </c>
      <c r="AA50" s="109">
        <f>(L50+4*M50+N50)/6</f>
        <v>0.9900000000000001</v>
      </c>
      <c r="AE50" s="114"/>
      <c r="AF50" s="6">
        <f>(S$5*(1-S$10)+S$15)*S50*AH50</f>
        <v>0.15427812071330618</v>
      </c>
      <c r="AG50" s="64">
        <f>((U$5*(1-U$10)+U$15)*(1-U$20)+U$25)*(1-U$30)*(1-U$35)*(1-U$40)*(1-U$45)*U50*AH50</f>
        <v>67905.288265814888</v>
      </c>
      <c r="AH50" s="106">
        <f>AK50</f>
        <v>20000</v>
      </c>
      <c r="AI50" s="65"/>
      <c r="AJ50" s="65">
        <f>0.85*AK50</f>
        <v>17000</v>
      </c>
      <c r="AK50" s="65">
        <v>20000</v>
      </c>
      <c r="AL50" s="66">
        <f>1.15*AK50</f>
        <v>23000</v>
      </c>
    </row>
    <row r="51" spans="1:38" ht="13.5" thickBot="1" x14ac:dyDescent="0.25">
      <c r="B51" s="20"/>
      <c r="C51" s="4"/>
    </row>
    <row r="52" spans="1:38" x14ac:dyDescent="0.2">
      <c r="B52" s="20"/>
      <c r="C52" s="4"/>
      <c r="AE52" s="56" t="s">
        <v>39</v>
      </c>
      <c r="AF52" s="57">
        <f>((S5*(1-S10)+S15)*(1-S20)+S25)*(1-S30)*(1-S35)*(1-S40)*(1-S45)*(1-S50)*AH52</f>
        <v>1179202.5659955887</v>
      </c>
      <c r="AG52" s="72">
        <f>((U$5*(1-U$10)+U$15)*(1-U$20)+U$25)*(1-U$30)*(1-U$35)*(1-U$40)*(1-U$45)*(1-U50)*AH52</f>
        <v>857.39000335623962</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17.973401063100141</v>
      </c>
      <c r="T55" s="49" t="s">
        <v>165</v>
      </c>
      <c r="U55" s="50">
        <f>AG10+AG20+AG30+AG35+AG40+AG45+AG50+AG52</f>
        <v>382441.58489872282</v>
      </c>
    </row>
    <row r="56" spans="1:38" ht="28.5" customHeight="1" x14ac:dyDescent="0.2">
      <c r="A56" s="22" t="s">
        <v>166</v>
      </c>
      <c r="B56" s="124" t="s">
        <v>167</v>
      </c>
      <c r="C56" s="125"/>
      <c r="D56" s="23">
        <f>IF(AND(Design_Decision&gt;1,DR_Decision&lt;3),1,0)</f>
        <v>0</v>
      </c>
      <c r="T56" s="51"/>
    </row>
    <row r="57" spans="1:38" x14ac:dyDescent="0.2">
      <c r="A57" s="24"/>
      <c r="B57" s="25"/>
      <c r="C57" s="4"/>
      <c r="S57" s="52"/>
      <c r="T57" s="53" t="s">
        <v>168</v>
      </c>
      <c r="U57" s="54">
        <f>U53+U55</f>
        <v>883378.91823205608</v>
      </c>
    </row>
    <row r="58" spans="1:38" ht="25.5" customHeight="1" x14ac:dyDescent="0.2">
      <c r="A58" s="22" t="s">
        <v>169</v>
      </c>
      <c r="B58" s="124" t="s">
        <v>170</v>
      </c>
      <c r="C58" s="125"/>
      <c r="D58" s="23">
        <f>IF(AND(Code_Decision&lt;3,CR_Decision&lt;3),1,0)</f>
        <v>0</v>
      </c>
    </row>
    <row r="59" spans="1:38" x14ac:dyDescent="0.2">
      <c r="A59" s="24"/>
      <c r="B59" s="25"/>
      <c r="C59" s="4"/>
    </row>
    <row r="60" spans="1:38" ht="24.75" customHeight="1" x14ac:dyDescent="0.2">
      <c r="A60" s="22" t="s">
        <v>171</v>
      </c>
      <c r="B60" s="124" t="s">
        <v>172</v>
      </c>
      <c r="C60" s="125"/>
      <c r="D60" s="23">
        <f>IF(AND(CR_Decision&lt;3,UT_Decision=1),1,0)</f>
        <v>0</v>
      </c>
      <c r="T60" t="s">
        <v>173</v>
      </c>
      <c r="U60" s="55">
        <f>((U$5*(1-U$10)+U$15)*(1-U$20)+U$25)*(1-U$30)*(1-U$35)*(1-U$40)*(1-U$45)*(1-U50)</f>
        <v>3.4295600134249586E-2</v>
      </c>
    </row>
    <row r="61" spans="1:38" x14ac:dyDescent="0.2">
      <c r="B61" s="20"/>
      <c r="C61" s="4"/>
    </row>
    <row r="62" spans="1:38" x14ac:dyDescent="0.2">
      <c r="B62" s="20"/>
      <c r="C62" s="4"/>
      <c r="T62" t="s">
        <v>174</v>
      </c>
      <c r="U62" s="55">
        <f>U5*U10</f>
        <v>2.25</v>
      </c>
    </row>
    <row r="63" spans="1:38" x14ac:dyDescent="0.2">
      <c r="B63" s="20"/>
      <c r="C63" s="4"/>
    </row>
    <row r="64" spans="1:38" x14ac:dyDescent="0.2">
      <c r="B64" s="20"/>
      <c r="C64" s="4"/>
      <c r="T64" t="s">
        <v>175</v>
      </c>
      <c r="U64" s="55">
        <f>(U$5*(1-U$10)+U$15)*U20</f>
        <v>5.6624999999999996</v>
      </c>
    </row>
    <row r="65" spans="2:21" x14ac:dyDescent="0.2">
      <c r="B65" s="20"/>
      <c r="C65" s="4"/>
    </row>
    <row r="66" spans="2:21" x14ac:dyDescent="0.2">
      <c r="B66" s="20"/>
      <c r="C66" s="4"/>
      <c r="T66" t="s">
        <v>176</v>
      </c>
      <c r="U66" s="55">
        <f>((U$5*(1-U$10)+U$15)*(1-U$20)+U$25)*U30</f>
        <v>15.602583333333333</v>
      </c>
    </row>
    <row r="67" spans="2:21" x14ac:dyDescent="0.2">
      <c r="B67" s="20"/>
      <c r="C67" s="4"/>
    </row>
    <row r="68" spans="2:21" x14ac:dyDescent="0.2">
      <c r="B68" s="20"/>
      <c r="C68" s="4"/>
      <c r="T68" t="s">
        <v>177</v>
      </c>
      <c r="U68" s="55">
        <f>((U$5*(1-U$10)+U$15)*(1-U$20)+U$25)*(1-U$30)*U35</f>
        <v>22.127300000000005</v>
      </c>
    </row>
    <row r="69" spans="2:21" x14ac:dyDescent="0.2">
      <c r="B69" s="20"/>
      <c r="C69" s="4"/>
    </row>
    <row r="70" spans="2:21" x14ac:dyDescent="0.2">
      <c r="C70" s="4"/>
      <c r="T70" t="s">
        <v>178</v>
      </c>
      <c r="U70" s="55">
        <f>((U$5*(1-U$10)+U$15)*(1-U$20)+U$25)*(1-U$30)*(1-U$35)*U40</f>
        <v>1.6595474999999997E-3</v>
      </c>
    </row>
    <row r="72" spans="2:21" x14ac:dyDescent="0.2">
      <c r="T72" t="s">
        <v>179</v>
      </c>
      <c r="U72" s="55">
        <f>((U$5*(1-U$10)+U$15)*(1-U$20)+U$25)*(1-U$30)*(1-U$35)*(1-U$40)*U45</f>
        <v>29.759730439075003</v>
      </c>
    </row>
    <row r="74" spans="2:21" x14ac:dyDescent="0.2">
      <c r="T74" t="s">
        <v>180</v>
      </c>
      <c r="U74" s="55">
        <f>((U$5*(1-U$10)+U$15)*(1-U$20)+U$25)*(1-U$30)*(1-U$35)*(1-U$40)*(1-U$45)*U50</f>
        <v>3.3952644132907444</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U1:U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Z47:AA47"/>
    <mergeCell ref="D42:F42"/>
    <mergeCell ref="H42:J42"/>
    <mergeCell ref="L42:N42"/>
    <mergeCell ref="V42:W42"/>
    <mergeCell ref="X42:Y42"/>
    <mergeCell ref="D47:F47"/>
    <mergeCell ref="H47:J47"/>
    <mergeCell ref="L47:N47"/>
    <mergeCell ref="V47:W47"/>
    <mergeCell ref="X47:Y47"/>
    <mergeCell ref="B56:C56"/>
    <mergeCell ref="B58:C58"/>
    <mergeCell ref="B60:C60"/>
    <mergeCell ref="B2:B5"/>
    <mergeCell ref="B7:B10"/>
    <mergeCell ref="B12:B15"/>
    <mergeCell ref="B17:B20"/>
    <mergeCell ref="B22:B25"/>
    <mergeCell ref="B27:B30"/>
    <mergeCell ref="B32:B35"/>
    <mergeCell ref="B37:B40"/>
    <mergeCell ref="B42:B45"/>
    <mergeCell ref="B47:B50"/>
    <mergeCell ref="AE47:AE50"/>
    <mergeCell ref="AE2:AE5"/>
    <mergeCell ref="AE7:AE10"/>
    <mergeCell ref="AE12:AE15"/>
    <mergeCell ref="AE17:AE20"/>
    <mergeCell ref="AE22:AE25"/>
    <mergeCell ref="Z37:AA37"/>
    <mergeCell ref="AE27:AE30"/>
    <mergeCell ref="AE32:AE35"/>
    <mergeCell ref="AE37:AE40"/>
    <mergeCell ref="AE42:AE45"/>
    <mergeCell ref="Z42:AA4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2025-07-14T03:07:01Z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