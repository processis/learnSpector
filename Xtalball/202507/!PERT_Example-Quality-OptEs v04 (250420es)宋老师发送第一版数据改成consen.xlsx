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E:\GZNR\2025\五月\水晶球实验\"/>
    </mc:Choice>
  </mc:AlternateContent>
  <xr:revisionPtr revIDLastSave="0" documentId="13_ncr:1_{4E76C501-6171-40FD-A724-48390154B37A}" xr6:coauthVersionLast="47" xr6:coauthVersionMax="47" xr10:uidLastSave="{00000000-0000-0000-0000-000000000000}"/>
  <bookViews>
    <workbookView xWindow="-120" yWindow="-120" windowWidth="24240" windowHeight="15000" tabRatio="546" firstSheet="1" activeTab="3" xr2:uid="{00000000-000D-0000-FFFF-FFFF00000000}"/>
  </bookViews>
  <sheets>
    <sheet name="CB_DATA_" sheetId="4" state="hidden" r:id="rId1"/>
    <sheet name="Units of measure" sheetId="5" r:id="rId2"/>
    <sheet name="Process Description" sheetId="6" r:id="rId3"/>
    <sheet name="Model" sheetId="1" r:id="rId4"/>
    <sheet name="Sheet2" sheetId="2" r:id="rId5"/>
    <sheet name="Sheet3" sheetId="3" r:id="rId6"/>
  </sheets>
  <definedNames>
    <definedName name="AT_Decision" localSheetId="2">'Process Description'!#REF!</definedName>
    <definedName name="AT_Decision" localSheetId="1">'Units of measure'!#REF!</definedName>
    <definedName name="AT_Decision">Model!$T$47</definedName>
    <definedName name="CB_008b1fd305514201a8e5c1af1cd0babd" localSheetId="3" hidden="1">Model!$AH$4</definedName>
    <definedName name="CB_025b56d493fd4ea799ac7dfb71e20e1e" localSheetId="3" hidden="1">Model!$AH$49</definedName>
    <definedName name="CB_040cd8300434447d8dd1ec7f95ece8d5" localSheetId="3" hidden="1">Model!$AC$10</definedName>
    <definedName name="CB_06db507f81094d66bdf5492d31d2411a" localSheetId="3" hidden="1">Model!$Y$39</definedName>
    <definedName name="CB_0768dd12c9ba40478be5d368f9d87b29" localSheetId="3" hidden="1">Model!$AC$24</definedName>
    <definedName name="CB_0cace266cdb148eab939088d26aba984" localSheetId="3" hidden="1">Model!$AA$20</definedName>
    <definedName name="CB_0ce434d88c2d48cf87f2c97f5beb32fa" localSheetId="3" hidden="1">Model!$W$49</definedName>
    <definedName name="CB_0db9d16b69254e48a7a2aac00f3aa66e" localSheetId="3" hidden="1">Model!$U$57</definedName>
    <definedName name="CB_0dc9474e4a824b7fac490c5c4371585b" localSheetId="3" hidden="1">Model!$Y$50</definedName>
    <definedName name="CB_0de9fbf6b0c549b89e6bbfbbdf949c3b" localSheetId="3" hidden="1">Model!$U$64</definedName>
    <definedName name="CB_11880c3cf8dc4c36b30c12d27c9045f8" localSheetId="3" hidden="1">Model!$W$29</definedName>
    <definedName name="CB_1466b39f73d946c7b95d9237191b72e6" localSheetId="3" hidden="1">Model!$AH$4</definedName>
    <definedName name="CB_1466b39f73d946c7b95d9237191b72e6" localSheetId="2" hidden="1">'Process Description'!#REF!</definedName>
    <definedName name="CB_1466b39f73d946c7b95d9237191b72e6" localSheetId="1" hidden="1">'Units of measure'!#REF!</definedName>
    <definedName name="CB_147fabfe1fdc4d23a3f38d2fd4747f65" localSheetId="3" hidden="1">Model!$AH$40</definedName>
    <definedName name="CB_17b665573800456d987e3b39878925b0" localSheetId="3" hidden="1">Model!$W$9</definedName>
    <definedName name="CB_18a37914abc04f979eb8d18724398205" localSheetId="3" hidden="1">Model!$W$5</definedName>
    <definedName name="CB_1942403805214479b4c455f58c0ba6bc" localSheetId="3" hidden="1">Model!$AA$4</definedName>
    <definedName name="CB_1b2413801790478089d960a5f19b1f68" localSheetId="3" hidden="1">Model!$AH$29</definedName>
    <definedName name="CB_1b2da355cdae4e4e833ab6861ee125d8" localSheetId="3" hidden="1">Model!$Y$10</definedName>
    <definedName name="CB_1bd6c710c1f84e6caf49bf137d4e6992" localSheetId="3" hidden="1">Model!$W$44</definedName>
    <definedName name="CB_1cfe51afdbf942f698209e1c4819bac4" localSheetId="3" hidden="1">Model!$T$12</definedName>
    <definedName name="CB_1ea458101bbe49ad908733a0c03ce199" localSheetId="3" hidden="1">Model!$T$47</definedName>
    <definedName name="CB_20faf180b763439cac278195c318d946" localSheetId="3" hidden="1">Model!$Y$30</definedName>
    <definedName name="CB_21077b3e51b2467fb8ec8fe7ecd736ce" localSheetId="3" hidden="1">Model!$Y$19</definedName>
    <definedName name="CB_21bf52b0e609426ab63cad690a186d52" localSheetId="3" hidden="1">Model!$Y$44</definedName>
    <definedName name="CB_223226d259f143838a7003f2801f0def" localSheetId="3" hidden="1">Model!$U$62</definedName>
    <definedName name="CB_23809f73826c45b499b12f0c3a764119" localSheetId="3" hidden="1">Model!$Y$40</definedName>
    <definedName name="CB_249467d4fa4640fea1acbc8d2344feda" localSheetId="3" hidden="1">Model!$AA$30</definedName>
    <definedName name="CB_2553f5c4744d46668592269d51c7b654" localSheetId="3" hidden="1">Model!$Y$14</definedName>
    <definedName name="CB_292298a6b8a549be8bedfae66acd84bf" localSheetId="3" hidden="1">Model!$Y$9</definedName>
    <definedName name="CB_299fecff45db4cd9bb2212ee622705fa" localSheetId="3" hidden="1">Model!$AC$9</definedName>
    <definedName name="CB_2c6a161b16f9414c99b7197ce17ecebc" localSheetId="3" hidden="1">Model!$W$25</definedName>
    <definedName name="CB_2f8c2fb87abd4717af0cc2afc59b798e" localSheetId="3" hidden="1">Model!$T$22</definedName>
    <definedName name="CB_30a30c5003c94a1384236766afff8797" localSheetId="3" hidden="1">Model!$W$45</definedName>
    <definedName name="CB_3106663aa42346428431275779c88301" localSheetId="3" hidden="1">Model!$AH$14</definedName>
    <definedName name="CB_32c1351867bd4c0cafda42eea9a10979" localSheetId="3" hidden="1">Model!$D$58</definedName>
    <definedName name="CB_32f72c4e28b246a58fd10f4618c7444d" localSheetId="3" hidden="1">Model!$AH$45</definedName>
    <definedName name="CB_332c9587f46948a2b3e20585ab9fecca" localSheetId="3" hidden="1">Model!$AC$20</definedName>
    <definedName name="CB_3682339f75554c6d83918ff1b4c0e206" localSheetId="3" hidden="1">Model!$AH$39</definedName>
    <definedName name="CB_3a2c7444760e48d0a6c0d6fec96cf5b8" localSheetId="3" hidden="1">Model!$AA$9</definedName>
    <definedName name="CB_3c3c4bdc06504408b0cfd487779077d3" localSheetId="3" hidden="1">Model!$Y$5</definedName>
    <definedName name="CB_3c999cbb627648a4a023470095976a25" localSheetId="3" hidden="1">Model!$W$24</definedName>
    <definedName name="CB_3d7c01548b374cdabd13681cbce92f75" localSheetId="3" hidden="1">Model!$AH$44</definedName>
    <definedName name="CB_41376f0e21884e33b1e6a09d19efe2dd" localSheetId="3" hidden="1">Model!$W$4</definedName>
    <definedName name="CB_5209fe41fc6f483f81458216e816fb3b" localSheetId="3" hidden="1">Model!$AH$20</definedName>
    <definedName name="CB_52b3346623584352a9404ef787170f94" localSheetId="3" hidden="1">Model!$W$20</definedName>
    <definedName name="CB_530c3f9ef11d42bf97ce6678c28c30c7" localSheetId="3" hidden="1">Model!$AA$50</definedName>
    <definedName name="CB_5fd0fb456b78407e9f45b6074e752a89" localSheetId="3" hidden="1">Model!$AA$24</definedName>
    <definedName name="CB_5fe91c1c31cc40e186edcc65db5a790e" localSheetId="3" hidden="1">Model!$AH$19</definedName>
    <definedName name="CB_60f75a16e0c54150b5da2b84480f69cb" localSheetId="3" hidden="1">Model!$AH$9</definedName>
    <definedName name="CB_61d9413727f94b40ab1bb8483b8df48c" localSheetId="3" hidden="1">Model!$W$19</definedName>
    <definedName name="CB_65bd5280107648e7a0207335980a21c6" localSheetId="3" hidden="1">Model!$W$10</definedName>
    <definedName name="CB_65ce67fef3cc4ebba6e026699fadc325" localSheetId="3" hidden="1">Model!$U$55</definedName>
    <definedName name="CB_672f50cc63f94fdfbd9cc573d9e51c1c" localSheetId="3" hidden="1">Model!$Y$35</definedName>
    <definedName name="CB_6acfaa8d33dc490294abe7fd055f2726" localSheetId="3" hidden="1">Model!$AH$10</definedName>
    <definedName name="CB_6b9fc9f5303c48f785ab232703bcd2ff" localSheetId="3" hidden="1">Model!$AH$24</definedName>
    <definedName name="CB_6fe49d68241e48e9a36bc5f712809176" localSheetId="3" hidden="1">Model!$U$74</definedName>
    <definedName name="CB_70d264c0436046ef97b2881e1362f89a" localSheetId="3" hidden="1">Model!$U$60</definedName>
    <definedName name="CB_728ec9c388ca4ad89771987dcf6aee34" localSheetId="3" hidden="1">Model!$Y$15</definedName>
    <definedName name="CB_729c4ef3f8364cca8e4681402e7dc2d2" localSheetId="3" hidden="1">Model!$W$15</definedName>
    <definedName name="CB_7bc011fa15954e44a576576d7b7df41d" localSheetId="3" hidden="1">Model!$U$68</definedName>
    <definedName name="CB_7c506b580a1c4876b520da9e57837189" localSheetId="3" hidden="1">Model!$W$34</definedName>
    <definedName name="CB_7ddf164c2c414615845722a089cdc117" localSheetId="3" hidden="1">Model!$AA$5</definedName>
    <definedName name="CB_80964666865948c0824e71102d82a577" localSheetId="3" hidden="1">Model!$U$53</definedName>
    <definedName name="CB_8251ef9ce92d4afba31d0b7aec1ec9e9" localSheetId="3" hidden="1">Model!$AA$40</definedName>
    <definedName name="CB_84214266b836489a9758fe87f3e9a961" localSheetId="0" hidden="1">#N/A</definedName>
    <definedName name="CB_84946ec9e5fd416fb8b71b77c57df2c9" localSheetId="3" hidden="1">Model!$AA$34</definedName>
    <definedName name="CB_864ce18db2b9479294d951773d162caa" localSheetId="3" hidden="1">Model!$AA$45</definedName>
    <definedName name="CB_866cb6c7361846b4bba2b8f8f7982899" localSheetId="3" hidden="1">Model!$T$17</definedName>
    <definedName name="CB_8a77b8cb9e5f4e2eb2868a32213256b4" localSheetId="3" hidden="1">Model!$W$40</definedName>
    <definedName name="CB_8bc3d642d1d94fb5bcbab520a7d58559" localSheetId="3" hidden="1">Model!$AC$29</definedName>
    <definedName name="CB_8c7f34c1e9204bc6a9a8c88342b4a72c" localSheetId="0" hidden="1">#N/A</definedName>
    <definedName name="CB_911a1771b298424db14c7cb7fb985090" localSheetId="3" hidden="1">Model!$AH$34</definedName>
    <definedName name="CB_916fae0fe58a4bb3b7a68c3119670c09" localSheetId="3" hidden="1">Model!$W$39</definedName>
    <definedName name="CB_96cdb40350ff454b94b969b0f31dfd59" localSheetId="3" hidden="1">Model!$AA$10</definedName>
    <definedName name="CB_96d69b736b254c0db34c0d68d9c19bc0" localSheetId="3" hidden="1">Model!$Y$49</definedName>
    <definedName name="CB_98e844b7be9e4e2ea7c63cf3f5e2eca9" localSheetId="3" hidden="1">Model!$AC$19</definedName>
    <definedName name="CB_9e4c2c299c364f1a9c2ccf14ed8d9402" localSheetId="3" hidden="1">Model!$AC$34</definedName>
    <definedName name="CB_9f52c939e671425485d1c159cbcfbe35" localSheetId="3" hidden="1">Model!$AA$19</definedName>
    <definedName name="CB_9f550ba96f004a809dd2d98ca32508b7" localSheetId="3" hidden="1">Model!$U$72</definedName>
    <definedName name="CB_a0004ed50af84159aea20c7be314b61d" localSheetId="3" hidden="1">Model!$AA$39</definedName>
    <definedName name="CB_a57b8915d4b34aa3a31e8db25cc721a4" localSheetId="3" hidden="1">Model!$AH$35</definedName>
    <definedName name="CB_a60bd68c30014ff19fa729253e860efc" localSheetId="3" hidden="1">Model!$T$7</definedName>
    <definedName name="CB_a82ad252f02945b9b0751bb7be111ea8" localSheetId="3" hidden="1">Model!$Y$29</definedName>
    <definedName name="CB_aabdeadfc41c4abb8ae3cb95b2a75f0b" localSheetId="3" hidden="1">Model!$AA$35</definedName>
    <definedName name="CB_abd459469c4b43d29e94be7c5b51dbc1" localSheetId="3" hidden="1">Model!$AA$25</definedName>
    <definedName name="CB_aee4f0696f884ae4a8850dffe660eaf8" localSheetId="3" hidden="1">Model!$AC$35</definedName>
    <definedName name="CB_b1cde6744f75483cb8959832d8e67e02" localSheetId="3" hidden="1">Model!$AH$30</definedName>
    <definedName name="CB_b4ba4dc8a2384fffb82d392904d39693" localSheetId="3" hidden="1">Model!$T$27</definedName>
    <definedName name="CB_b703c8455b1e4a1f80412e5641570b85" localSheetId="3" hidden="1">Model!$W$35</definedName>
    <definedName name="CB_b7c66788f9c14aa199283ba015c4e826" localSheetId="3" hidden="1">Model!$Y$20</definedName>
    <definedName name="CB_b8b0ccd73dfc47b9a33990b028f16f7f" localSheetId="3" hidden="1">Model!$AA$49</definedName>
    <definedName name="CB_b93f11a6a38144bba2cdbcab47f3f7bf" localSheetId="3" hidden="1">Model!$AA$44</definedName>
    <definedName name="CB_bb3558686b464d8eb1f2effc266bb024" localSheetId="3" hidden="1">Model!$AC$25</definedName>
    <definedName name="CB_bbc60f6a125f4ad983891983b779a2bd" localSheetId="0" hidden="1">#N/A</definedName>
    <definedName name="CB_bfa1970eac284fd6938edc19e6f0c44a" localSheetId="3" hidden="1">Model!$AC$30</definedName>
    <definedName name="CB_Block_00000000000000000000000000000000" localSheetId="0" hidden="1">"'7.0.0.0"</definedName>
    <definedName name="CB_Block_00000000000000000000000000000000" localSheetId="3" hidden="1">"'7.0.0.0"</definedName>
    <definedName name="CB_Block_00000000000000000000000000000001" localSheetId="0" hidden="1">"'638878257855100573"</definedName>
    <definedName name="CB_Block_00000000000000000000000000000001" localSheetId="3" hidden="1">"'638878257855080639"</definedName>
    <definedName name="CB_Block_00000000000000000000000000000003" localSheetId="0" hidden="1">"'11.1.2391.0"</definedName>
    <definedName name="CB_Block_00000000000000000000000000000003" localSheetId="3" hidden="1">"'11.1.2391.0"</definedName>
    <definedName name="CB_BlockExt_00000000000000000000000000000003" localSheetId="0" hidden="1">"'11.1.2.1.000"</definedName>
    <definedName name="CB_BlockExt_00000000000000000000000000000003" localSheetId="3" hidden="1">"'11.1.2.1.000"</definedName>
    <definedName name="CB_c47872e997ed4319adf2fb3f3349d439" localSheetId="3" hidden="1">Model!$T$32</definedName>
    <definedName name="CB_c4d0685e78ee440aad7b237bb42fe66a" localSheetId="3" hidden="1">Model!$AH$50</definedName>
    <definedName name="CB_c62e80ed678f4fa399f3a73011361e39" localSheetId="3" hidden="1">Model!$D$60</definedName>
    <definedName name="CB_c64d0237325c415884252f45357db11b" localSheetId="3" hidden="1">Model!$Y$25</definedName>
    <definedName name="CB_c94cc54f95da46ec9587c85e092cec40" localSheetId="3" hidden="1">Model!$U$66</definedName>
    <definedName name="CB_ca2c366f79154ee7a8d8bd6acff12a78" localSheetId="3" hidden="1">Model!$D$56</definedName>
    <definedName name="CB_cb4929b3dc6f46afb8d49c3da0060c07" localSheetId="3" hidden="1">Model!$AA$29</definedName>
    <definedName name="CB_cc0fabe170d44797a8c41df76b7b2ad3" localSheetId="3" hidden="1">Model!$T$2</definedName>
    <definedName name="CB_ced414c8788844c0829a0da92a6d9253" localSheetId="3" hidden="1">Model!$W$14</definedName>
    <definedName name="CB_d0f5f101f3f149d892b223413a541e58" localSheetId="3" hidden="1">Model!$Y$34</definedName>
    <definedName name="CB_d2ccf89dedf646e7ae62c1c880e5cdff" localSheetId="3" hidden="1">Model!$T$42</definedName>
    <definedName name="CB_d8da4562cd1d4c36afa96a9342f2242b" localSheetId="3" hidden="1">Model!$W$50</definedName>
    <definedName name="CB_def7b358f6974af0b8faa8d7691d93ef" localSheetId="3" hidden="1">Model!$U$70</definedName>
    <definedName name="CB_ecddc11418fe405c97a5d28024750e6e" localSheetId="3" hidden="1">Model!$Y$24</definedName>
    <definedName name="CB_f3991b7e99f4459297c3220a2488a5ad" localSheetId="3" hidden="1">Model!$Y$4</definedName>
    <definedName name="CB_f71d235adfdd4eadbaac7029ec5ebc87" localSheetId="3" hidden="1">Model!$W$30</definedName>
    <definedName name="CB_fbbb6cfbed404d729e3c6e63a37bb121" localSheetId="3" hidden="1">Model!$Y$45</definedName>
    <definedName name="CBCR_00631c2191c347698cb39578ec4901bd" localSheetId="3" hidden="1">Model!$I$5</definedName>
    <definedName name="CBCR_03ce0721f04e46208693a9dfd5d394cf" localSheetId="3" hidden="1">Model!$M$24</definedName>
    <definedName name="CBCR_071ebcf749104165838a771753b3cd4e" localSheetId="3" hidden="1">Model!$X$14</definedName>
    <definedName name="CBCR_078bdec6f9a3487682ec78e2b73e8631" localSheetId="3" hidden="1">Model!$AL$45</definedName>
    <definedName name="CBCR_07d80eb882584bf1b0b14d6afd4a754e" localSheetId="3" hidden="1">Model!$E$25</definedName>
    <definedName name="CBCR_08b9f7481d2b4ca7859a19cede7d563b" localSheetId="3" hidden="1">Model!$AK$30</definedName>
    <definedName name="CBCR_0a46a160aa8e48c4a55e57e9b9e752eb" localSheetId="3" hidden="1">Model!$M$44</definedName>
    <definedName name="CBCR_0b12d5b1a97b45958257f4f29b53ecaa" localSheetId="3" hidden="1">Model!$M$40</definedName>
    <definedName name="CBCR_0b4fcd2230dc4bf7aa2269856e43de23" localSheetId="3" hidden="1">Model!$M$19</definedName>
    <definedName name="CBCR_0bdd5af5281a475eaa74e559bb83d3ce" localSheetId="3" hidden="1">Model!$V$19</definedName>
    <definedName name="CBCR_0ce17d5fa501435bb6f1c21b78bf3532" localSheetId="3" hidden="1">Model!$A$60</definedName>
    <definedName name="CBCR_0e933288205d4b57a0df817d0cc15603" localSheetId="3" hidden="1">Model!$M$9</definedName>
    <definedName name="CBCR_0f23f3751332421ab4027a924475c065" localSheetId="3" hidden="1">Model!$A$56</definedName>
    <definedName name="CBCR_0f27f1ea47d04713a4e385f2a772ab15" localSheetId="3" hidden="1">Model!$AJ$19</definedName>
    <definedName name="CBCR_105580f242654b9685e8c514a0731861" localSheetId="3" hidden="1">Model!$AK$9</definedName>
    <definedName name="CBCR_10726a02a68a4075a31ac723aa939581" localSheetId="3" hidden="1">Model!$E$44</definedName>
    <definedName name="CBCR_13b828fd9fed44c4a021035628c418da" localSheetId="3" hidden="1">Model!$E$40</definedName>
    <definedName name="CBCR_192a5e54ebb84dd682e86118424e80c8" localSheetId="3" hidden="1">Model!$AK$29</definedName>
    <definedName name="CBCR_1b2ccba462324b50959379c0d5924758" localSheetId="3" hidden="1">Model!$AL$49</definedName>
    <definedName name="CBCR_1bbe0411469346068986d43de4ec832a" localSheetId="3" hidden="1">Model!$E$9</definedName>
    <definedName name="CBCR_1e718d384bf74e98b6c377f13d12a9a5" localSheetId="3" hidden="1">Model!$M$20</definedName>
    <definedName name="CBCR_1e7458d7fbc049a4b23c254ebf6748f1" localSheetId="3" hidden="1">Model!$AB$9</definedName>
    <definedName name="CBCR_1eb323bd3d5e444cb44319bcac395579" localSheetId="3" hidden="1">Model!$Z$25</definedName>
    <definedName name="CBCR_1fe1467a209343f6ab86fc3cf9c8f71c" localSheetId="3" hidden="1">Model!$V$24</definedName>
    <definedName name="CBCR_21622d516b534524b4f8c675218942d2" localSheetId="3" hidden="1">Model!$AL$20</definedName>
    <definedName name="CBCR_223d9a4b27b94bc2987c71ac29f8ec69" localSheetId="3" hidden="1">Model!$M$34</definedName>
    <definedName name="CBCR_240366133fb9468cbfe3b5edb11fe806" localSheetId="3" hidden="1">Model!$V$5</definedName>
    <definedName name="CBCR_25e768b2e8754f4bacc173cbbaf5da16" localSheetId="3" hidden="1">Model!$X$10</definedName>
    <definedName name="CBCR_263e445ed1db4c959e10d4dcca2c6e32" localSheetId="3" hidden="1">Model!$AK$34</definedName>
    <definedName name="CBCR_29afe04c26b1425fabb015f1eba44761" localSheetId="3" hidden="1">Model!$X$44</definedName>
    <definedName name="CBCR_2bfaa8ecc91c4a3da05691f9ffa48176" localSheetId="3" hidden="1">Model!$AB$19</definedName>
    <definedName name="CBCR_32a21c270c344ce1bd26c54724c9c61b" localSheetId="3" hidden="1">Model!$AL$44</definedName>
    <definedName name="CBCR_3341bdc7b4e043df9cb04107c12eaccd" localSheetId="3" hidden="1">Model!$AJ$4</definedName>
    <definedName name="CBCR_34dd507bf8844bbb8b280e73db143507" localSheetId="3" hidden="1">Model!$I$30</definedName>
    <definedName name="CBCR_357c93c123174d9cb6a3c7058f738a36" localSheetId="3" hidden="1">Model!$V$50</definedName>
    <definedName name="CBCR_35961194baa9497e819b5c7f6d06038d" localSheetId="3" hidden="1">Model!$AJ$40</definedName>
    <definedName name="CBCR_35b8ef34bde44c2c8c2d708febeb5beb" localSheetId="3" hidden="1">Model!$AK$49</definedName>
    <definedName name="CBCR_36d43eda9bd94dadbccfd85bef7a98c0" localSheetId="3" hidden="1">Model!$X$9</definedName>
    <definedName name="CBCR_37429d7402ea4bbba8f12808c12462a9" localSheetId="3" hidden="1">Model!$Z$30</definedName>
    <definedName name="CBCR_37b7da3a6752419686db132f80cbefb8" localSheetId="3" hidden="1">Model!$I$19</definedName>
    <definedName name="CBCR_37c2909ee64041de84da7e2f136be283" localSheetId="3" hidden="1">Model!$Z$4</definedName>
    <definedName name="CBCR_382df07c7b1b477c845fbbb5575a851b" localSheetId="3" hidden="1">Model!$Q$10</definedName>
    <definedName name="CBCR_3986b018076b40f0bfcb99b2402774ed" localSheetId="3" hidden="1">Model!$Q$34</definedName>
    <definedName name="CBCR_3af3fbf77e8c4b7796157fa52b8fc842" localSheetId="3" hidden="1">Model!$I$50</definedName>
    <definedName name="CBCR_3b812126195e404f860f67c55937e28a" localSheetId="3" hidden="1">Model!$AL$10</definedName>
    <definedName name="CBCR_3d70015afd1844ac98e1c8e8c0712ce8" localSheetId="3" hidden="1">Model!$M$35</definedName>
    <definedName name="CBCR_3df5c0875fb24176a968452a71e206d8" localSheetId="3" hidden="1">Model!$V$34</definedName>
    <definedName name="CBCR_43db60ba1e2f439a9fb5a57c427dfc7d" localSheetId="3" hidden="1">Model!$X$45</definedName>
    <definedName name="CBCR_458e2db8e3044ffdbde5dc752cbddfad" localSheetId="3" hidden="1">Model!$AL$40</definedName>
    <definedName name="CBCR_475d05e97a2942efa88f81aee1d7ee20" localSheetId="3" hidden="1">Model!$I$14</definedName>
    <definedName name="CBCR_47d2d270917a4c1e97e81c6a2880af32" localSheetId="3" hidden="1">Model!$I$4</definedName>
    <definedName name="CBCR_4942e2c9d093407ba19c17f06c11f7f0" localSheetId="3" hidden="1">Model!$V$15</definedName>
    <definedName name="CBCR_49d40af7f0a54267ad9f4c2c65737da0" localSheetId="3" hidden="1">Model!$E$49</definedName>
    <definedName name="CBCR_49d9522858c84c119e357351b9a044a0" localSheetId="3" hidden="1">Model!$I$29</definedName>
    <definedName name="CBCR_4adaf23f88f643188df3ade6ea51dbf0" localSheetId="3" hidden="1">Model!$Q$19</definedName>
    <definedName name="CBCR_4b9f1e8d987e4b9e9951f76ffd7b4ced" localSheetId="3" hidden="1">Model!$X$4</definedName>
    <definedName name="CBCR_4bc2b8e6f194451eb02e493db8129807" localSheetId="3" hidden="1">Model!$V$45</definedName>
    <definedName name="CBCR_4f852850bced4b53bcd63c5aaf6d1225" localSheetId="3" hidden="1">Model!$Q$20</definedName>
    <definedName name="CBCR_4f9bd7ef2f57442584015f8a6b1110a3" localSheetId="0" hidden="1">CB_DATA_!$A$10006</definedName>
    <definedName name="CBCR_535d1ca904434c7f80adeaf3eaf3339d" localSheetId="3" hidden="1">Model!$X$25</definedName>
    <definedName name="CBCR_53f43f7160574a9383ba26883d52bdf3" localSheetId="3" hidden="1">Model!$AB$24</definedName>
    <definedName name="CBCR_541e35c1765c40329730ff1ca66c36a3" localSheetId="3" hidden="1">Model!$AL$14</definedName>
    <definedName name="CBCR_549fb08441b8401e9036f3b595c9eec1" localSheetId="3" hidden="1">Model!$M$29</definedName>
    <definedName name="CBCR_5571491b73f44266ba86b173911d8da6" localSheetId="3" hidden="1">Model!$I$44</definedName>
    <definedName name="CBCR_5638ed0fd12b47d28e3d95168418e9e0" localSheetId="3" hidden="1">Model!$V$44</definedName>
    <definedName name="CBCR_566db00cf3c646faa4b4dfea752a7b9d" localSheetId="3" hidden="1">Model!$AK$45</definedName>
    <definedName name="CBCR_56b830fc3143489e912089e31b0c2d8f" localSheetId="3" hidden="1">Model!$V$14</definedName>
    <definedName name="CBCR_57a1719af2db47be83d778560457b529" localSheetId="3" hidden="1">Model!$AL$34</definedName>
    <definedName name="CBCR_57ee614368e8405ba7d07f8e1bcaf536" localSheetId="3" hidden="1">Model!$AJ$34</definedName>
    <definedName name="CBCR_5ba5debe485f49c3b5b322298ec4fa64" localSheetId="3" hidden="1">Model!$Z$9</definedName>
    <definedName name="CBCR_5c5bc412e3fa409c8ff9020233d15e39" localSheetId="3" hidden="1">Model!$AJ$35</definedName>
    <definedName name="CBCR_5ce73b20381946aa9ca6e4aa69ebc807" localSheetId="3" hidden="1">Model!$E$10</definedName>
    <definedName name="CBCR_60e89e869cc6448ab93fde0fc18f3397" localSheetId="3" hidden="1">Model!$E$15</definedName>
    <definedName name="CBCR_61b900ee87f3426882cb2f9a5dc61eb5" localSheetId="3" hidden="1">Model!$X$34</definedName>
    <definedName name="CBCR_63c86e6ef23c4f818146f08d6f3d3d54" localSheetId="3" hidden="1">Model!$V$29</definedName>
    <definedName name="CBCR_6462bb2c8e6841b18351201d92c74d47" localSheetId="3" hidden="1">Model!$E$50</definedName>
    <definedName name="CBCR_64a56f7e4bba47909602334951829fc3" localSheetId="3" hidden="1">Model!$AL$50</definedName>
    <definedName name="CBCR_650ad531a7964879950ef374c4a60ba4" localSheetId="3" hidden="1">Model!$M$49</definedName>
    <definedName name="CBCR_653f2e4f60fb4968a7c560816b42cc27" localSheetId="3" hidden="1">Model!$E$5</definedName>
    <definedName name="CBCR_665ddffc02404727a9cc3172e4d5b24e" localSheetId="3" hidden="1">Model!$E$19</definedName>
    <definedName name="CBCR_672a1715f83d495c828824cfcd87b7df" localSheetId="3" hidden="1">Model!$AJ$44</definedName>
    <definedName name="CBCR_68d209072b274ac999ea26f948b7e60c" localSheetId="3" hidden="1">Model!$Z$19</definedName>
    <definedName name="CBCR_6b0963520a964754bd147420ec415536" localSheetId="3" hidden="1">Model!$E$14</definedName>
    <definedName name="CBCR_6f2ec322221b48e3a5215217e927b2fb" localSheetId="3" hidden="1">Model!$AJ$50</definedName>
    <definedName name="CBCR_6f5253808de64744bf09719af74f36e3" localSheetId="3" hidden="1">Model!$AB$35</definedName>
    <definedName name="CBCR_73b1631dee6c4ff8b7608d89abe02879" localSheetId="3" hidden="1">Model!$V$25</definedName>
    <definedName name="CBCR_7481d08bac50482fb090e05acf08284a" localSheetId="3" hidden="1">Model!$AB$20</definedName>
    <definedName name="CBCR_74886c2add534e088a8c54b5ba2c2612" localSheetId="3" hidden="1">Model!$AK$44</definedName>
    <definedName name="CBCR_75ccdde1f4c14bad909308d3dca6d1c0" localSheetId="3" hidden="1">Model!$Z$40</definedName>
    <definedName name="CBCR_780841f4e74946aeaf6ef8b83b6767b6" localSheetId="3" hidden="1">Model!$X$50</definedName>
    <definedName name="CBCR_78db434df59540d4a0459d6dfa6e148b" localSheetId="3" hidden="1">Model!$AB$25</definedName>
    <definedName name="CBCR_7a754448a8f14335b8b4cf960a9fdbbf" localSheetId="3" hidden="1">Model!$AJ$29</definedName>
    <definedName name="CBCR_7aaf54680ac44d1780a2e109cb4b5e62" localSheetId="3" hidden="1">Model!$I$9</definedName>
    <definedName name="CBCR_7cb6d065a43449589f9fd564fe80a9e3" localSheetId="3" hidden="1">Model!$I$20</definedName>
    <definedName name="CBCR_7cdf3bcb11e14daba2b34323b9bc563a" localSheetId="3" hidden="1">Model!$Z$34</definedName>
    <definedName name="CBCR_7d7f4ac475614b72a38918ffcbf7514d" localSheetId="3" hidden="1">Model!$V$4</definedName>
    <definedName name="CBCR_7dfd0576ccc3401eab9c25cf9d4cac42" localSheetId="3" hidden="1">Model!$E$34</definedName>
    <definedName name="CBCR_7e59cef8d2924d60a954161ccc6b1c5c" localSheetId="3" hidden="1">Model!$AL$29</definedName>
    <definedName name="CBCR_854debbe7f214388869c4758298ca878" localSheetId="3" hidden="1">Model!$E$29</definedName>
    <definedName name="CBCR_85a48f2d8d414e06b285f13f74067c38" localSheetId="3" hidden="1">Model!$V$40</definedName>
    <definedName name="CBCR_878d7bd548b648368308a7cc02f1ee30" localSheetId="3" hidden="1">Model!$AK$14</definedName>
    <definedName name="CBCR_89f52da3b4b74828ae2494589da2f671" localSheetId="3" hidden="1">Model!$AL$4</definedName>
    <definedName name="CBCR_8a34402c5e574c1292eccbf627416ff7" localSheetId="3" hidden="1">Model!$V$20</definedName>
    <definedName name="CBCR_8a5f0f3ac24a458eb3b677545059897e" localSheetId="3" hidden="1">Model!$M$5</definedName>
    <definedName name="CBCR_8a9668a6c75945089c7bebe6a4f91b97" localSheetId="3" hidden="1">Model!$AL$35</definedName>
    <definedName name="CBCR_8b3276266ccb42258665400c78a7c30a" localSheetId="3" hidden="1">Model!$AL$19</definedName>
    <definedName name="CBCR_8c1d7d6258fb4ecc9ff7f96356dd629c" localSheetId="3" hidden="1">Model!$Q$29</definedName>
    <definedName name="CBCR_8c52cc7a60114c6fbc3068559994cbd8" localSheetId="3" hidden="1">Model!$X$24</definedName>
    <definedName name="CBCR_8cc05ab58f5c44008f0456b2b36f6143" localSheetId="3" hidden="1">Model!$AK$35</definedName>
    <definedName name="CBCR_92302469f3574dd38a8aca6dc2cb9e36" localSheetId="3" hidden="1">Model!$Z$39</definedName>
    <definedName name="CBCR_95d3cddd37594115ac3b966199e67ecf" localSheetId="3" hidden="1">Model!$X$49</definedName>
    <definedName name="CBCR_967ac88352654bdeb263082025a324bd" localSheetId="3" hidden="1">Model!$I$40</definedName>
    <definedName name="CBCR_97d6061d76ab4d71981688c521e439fb" localSheetId="3" hidden="1">Model!$Z$29</definedName>
    <definedName name="CBCR_97e7bf70facb4e2caecdf65a76c510c2" localSheetId="3" hidden="1">Model!$AJ$9</definedName>
    <definedName name="CBCR_98c62c8b684740c29b9ac90a6ef6198c" localSheetId="3" hidden="1">Model!$Z$44</definedName>
    <definedName name="CBCR_98cb3fe41ad748bb868d0a88f2ec43df" localSheetId="3" hidden="1">Model!$Z$5</definedName>
    <definedName name="CBCR_991b8c12156f49a7a3686c5926c3a539" localSheetId="3" hidden="1">Model!$I$49</definedName>
    <definedName name="CBCR_992e508dde9b4a859a1af25deb8c03aa" localSheetId="3" hidden="1">Model!$X$15</definedName>
    <definedName name="CBCR_9a18f440500a4c76bedd40b9442bcff1" localSheetId="3" hidden="1">Model!$M$10</definedName>
    <definedName name="CBCR_9cb916302c194071aa75e5ae81ee538b" localSheetId="3" hidden="1">Model!$Z$20</definedName>
    <definedName name="CBCR_9e7fbc74102c49d9bf8131b5e54dd228" localSheetId="3" hidden="1">Model!$I$15</definedName>
    <definedName name="CBCR_9ee4db0f144541deacc79fcdbe262c3d" localSheetId="3" hidden="1">Model!$E$24</definedName>
    <definedName name="CBCR_a02f003e41e443258aaebd90e4fb587f" localSheetId="0" hidden="1">CB_DATA_!$A$10005</definedName>
    <definedName name="CBCR_a08057a353f044c6b86e726b17cea407" localSheetId="3" hidden="1">Model!$M$50</definedName>
    <definedName name="CBCR_a1d19158f332424983d278f1cdb9dc58" localSheetId="3" hidden="1">Model!$Z$10</definedName>
    <definedName name="CBCR_a4223e4c9f6f4b7a90f5a81ab96cc7f8" localSheetId="3" hidden="1">Model!$AJ$30</definedName>
    <definedName name="CBCR_a605a5c0e53c4c918ec469cdc8c9e50d" localSheetId="3" hidden="1">Model!$I$25</definedName>
    <definedName name="CBCR_a7e417b077154151b8e632783e1bbdb7" localSheetId="0" hidden="1">CB_DATA_!$A$10002</definedName>
    <definedName name="CBCR_aacd1bc7070544c1934455bcd5dc359a" localSheetId="3" hidden="1">Model!$M$30</definedName>
    <definedName name="CBCR_ab43fbdaa84b479c9b593fb2cdabcc7a" localSheetId="3" hidden="1">Model!$AJ$49</definedName>
    <definedName name="CBCR_ac1fd10adac242f28b48012c11e57898" localSheetId="3" hidden="1">Model!$Z$24</definedName>
    <definedName name="CBCR_b0ae9d5cde45424da563e314aefa55b4" localSheetId="3" hidden="1">Model!$I$35</definedName>
    <definedName name="CBCR_b2f04b77aa374e2b8eaca48f4f4b81dc" localSheetId="3" hidden="1">Model!$X$19</definedName>
    <definedName name="CBCR_b3295603f87e49c2993e58aa9b6995e1" localSheetId="3" hidden="1">Model!$V$9</definedName>
    <definedName name="CBCR_b5e0c05984e24e47913e964ca6480f60" localSheetId="3" hidden="1">Model!$M$39</definedName>
    <definedName name="CBCR_b95649ee306e4a82adf8cfc340f56565" localSheetId="3" hidden="1">Model!$E$39</definedName>
    <definedName name="CBCR_b9f27e6bf553466a96429be5d8d90f64" localSheetId="3" hidden="1">Model!$AL$9</definedName>
    <definedName name="CBCR_ba7eda233b3d4c1d9d877500b1c84003" localSheetId="3" hidden="1">Model!$AB$30</definedName>
    <definedName name="CBCR_bcbe6a820c0546949b5be4fff9c1a1d1" localSheetId="3" hidden="1">Model!$V$30</definedName>
    <definedName name="CBCR_be0eafe3f43a4731b647ea2db0e1ea32" localSheetId="3" hidden="1">Model!$X$20</definedName>
    <definedName name="CBCR_be25a58536794705959e42e94a57ce35" localSheetId="3" hidden="1">Model!$V$49</definedName>
    <definedName name="CBCR_bfc19708642a4ce8b2b675187335c87a" localSheetId="3" hidden="1">Model!$AK$50</definedName>
    <definedName name="CBCR_c1136919caf446cdaa128cb606e2725b" localSheetId="3" hidden="1">Model!$AJ$39</definedName>
    <definedName name="CBCR_c49b194e3bfe4fa4b6e5c4227d9377ed" localSheetId="3" hidden="1">Model!$I$24</definedName>
    <definedName name="CBCR_c529d43811eb40e1a76b53e6f60bc3b9" localSheetId="3" hidden="1">Model!$E$35</definedName>
    <definedName name="CBCR_c5367818d6034951a9b5c6badbe8e208" localSheetId="3" hidden="1">Model!$Z$50</definedName>
    <definedName name="CBCR_c60d22410cbf428285ff1406164d4512" localSheetId="3" hidden="1">Model!$AJ$45</definedName>
    <definedName name="CBCR_c69fccb2000f4f828bcd5aa62f73bba2" localSheetId="3" hidden="1">Model!$E$4</definedName>
    <definedName name="CBCR_c6d0280c9b6b4310996a37d44e36f153" localSheetId="3" hidden="1">Model!$Z$35</definedName>
    <definedName name="CBCR_c70cfd393097427e9b79c6706afd1afa" localSheetId="3" hidden="1">Model!$V$10</definedName>
    <definedName name="CBCR_c7534aa23306451388e9ca3f46730c24" localSheetId="3" hidden="1">Model!$V$39</definedName>
    <definedName name="CBCR_c88754f176764a7bb60bfef311ddc5c2" localSheetId="3" hidden="1">Model!$M$4</definedName>
    <definedName name="CBCR_ca30e4f6f6bd4df39998c993608997f7" localSheetId="3" hidden="1">Model!$Q$24</definedName>
    <definedName name="CBCR_cb622668fb5448a490468296efca8f1c" localSheetId="3" hidden="1">Model!$V$35</definedName>
    <definedName name="CBCR_cc552082e7e7478d9126a2f0070287cb" localSheetId="3" hidden="1">Model!$Z$45</definedName>
    <definedName name="CBCR_ce7d59a53a324670be96f8d34098bc80" localSheetId="3" hidden="1">Model!$AK$24</definedName>
    <definedName name="CBCR_ce9d394a91c34ddc92379a8c09fea10a" localSheetId="3" hidden="1">Model!$E$30</definedName>
    <definedName name="CBCR_cfa0749355a34831bc3096d22912e126" localSheetId="3" hidden="1">Model!$E$20</definedName>
    <definedName name="CBCR_d0fe3e844dbf419b95d5432f8c512d36" localSheetId="3" hidden="1">Model!$X$40</definedName>
    <definedName name="CBCR_d20cce1897c440adb0e829d0bdca4be6" localSheetId="3" hidden="1">Model!$Q$30</definedName>
    <definedName name="CBCR_d374db4a5b6543368244e2955b4e0e36" localSheetId="3" hidden="1">Model!$X$39</definedName>
    <definedName name="CBCR_d37a46e1423b49d7a079306d764f25d4" localSheetId="3" hidden="1">Model!$AK$40</definedName>
    <definedName name="CBCR_d42fa5d77de84faead5204cced2bf55f" localSheetId="3" hidden="1">Model!$X$30</definedName>
    <definedName name="CBCR_d77a84895d834613be8d5cc8e2112449" localSheetId="3" hidden="1">Model!$AJ$14</definedName>
    <definedName name="CBCR_d7dcfccbe20d499abede8ddf4a094864" localSheetId="3" hidden="1">Model!$AL$24</definedName>
    <definedName name="CBCR_d828564469204cb68fbb2c2e9cd5b6bb" localSheetId="3" hidden="1">Model!$X$5</definedName>
    <definedName name="CBCR_d95ac6063afd4e1387b6c6a53a81c166" localSheetId="3" hidden="1">Model!$M$45</definedName>
    <definedName name="CBCR_d979266d1f9e48938cef0e1befe7f123" localSheetId="3" hidden="1">Model!$X$29</definedName>
    <definedName name="CBCR_da6d117e500a4a6ebb999be5b968e631" localSheetId="3" hidden="1">Model!$AL$39</definedName>
    <definedName name="CBCR_db8250134f624257af54bcaac471c398" localSheetId="3" hidden="1">Model!$AJ$10</definedName>
    <definedName name="CBCR_dc776374d4934a318118a70fe37694cf" localSheetId="3" hidden="1">Model!$Q$35</definedName>
    <definedName name="CBCR_df3ad8780d65439da08494d20b620a84" localSheetId="3" hidden="1">Model!$Q$9</definedName>
    <definedName name="CBCR_df9c16a7ba714435b4edd94598b626d5" localSheetId="3" hidden="1">Model!$E$45</definedName>
    <definedName name="CBCR_e1075edc2fea45e1ae2339ba04a764eb" localSheetId="3" hidden="1">Model!$AK$39</definedName>
    <definedName name="CBCR_e5082c5de62a45abba999f136e50008b" localSheetId="3" hidden="1">Model!$AL$30</definedName>
    <definedName name="CBCR_ed716b74822e4a60b2f25ac25a443344" localSheetId="3" hidden="1">Model!$I$39</definedName>
    <definedName name="CBCR_eefb0923b3e64b2cabd755b5e8c3b025" localSheetId="3" hidden="1">Model!$AK$20</definedName>
    <definedName name="CBCR_ef675d4c2c0247b1980ca7ee0980aca3" localSheetId="3" hidden="1">Model!$AK$10</definedName>
    <definedName name="CBCR_eff3976518684255a75a99c16e7d6c00" localSheetId="3" hidden="1">Model!$X$35</definedName>
    <definedName name="CBCR_f20ff84e46634fadb7e92588c1e47dfa" localSheetId="3" hidden="1">Model!$Z$49</definedName>
    <definedName name="CBCR_f2145f17ca4247ef8f5167caca267030" localSheetId="3" hidden="1">Model!$AB$29</definedName>
    <definedName name="CBCR_f277f233de9a4c04b4d5d5cac4388314" localSheetId="3" hidden="1">Model!$AK$4</definedName>
    <definedName name="CBCR_f30132c467d44a4cb7ff1823a5ecc9df" localSheetId="3" hidden="1">Model!$I$10</definedName>
    <definedName name="CBCR_f41cbbdcdf0441fa969a90e1f3c8ceab" localSheetId="3" hidden="1">Model!$AJ$20</definedName>
    <definedName name="CBCR_f465d812307e4740a8ff6a0ce48a4fdb" localSheetId="3" hidden="1">Model!$AB$10</definedName>
    <definedName name="CBCR_f56cfc268ab44c4bb8dc5afefcfb7224" localSheetId="3" hidden="1">Model!$AJ$24</definedName>
    <definedName name="CBCR_f7ccec6d287f43daabb72109661f522a" localSheetId="3" hidden="1">Model!$I$34</definedName>
    <definedName name="CBCR_fbd0d75ffafc4097b857db5d916ce798" localSheetId="3" hidden="1">Model!$AK$19</definedName>
    <definedName name="CBCR_fc0e00fe540942f8a28a5ac3dacb9a06" localSheetId="3" hidden="1">Model!$A$58</definedName>
    <definedName name="CBCR_fe17cb1db5f44ed9b9c22d09f5a52460" localSheetId="3" hidden="1">Model!$I$45</definedName>
    <definedName name="CBCR_fe6ffe7a6f4a4f6d98a0fb637b1e0ba7" localSheetId="3" hidden="1">Model!$AB$34</definedName>
    <definedName name="CBCR_ff05c932faa74e0e82776bbec1989e7f" localSheetId="3" hidden="1">Model!$Q$25</definedName>
    <definedName name="CBCR_ff09c39f82e44bd9b66d483805ee3b4e" localSheetId="3" hidden="1">Model!$M$25</definedName>
    <definedName name="CBWorkbookPriority" localSheetId="0" hidden="1">-2114830799</definedName>
    <definedName name="CBx_3abb73100c774cb69e09a396aeb4141c" localSheetId="0" hidden="1">"'Process Description'!$A$1"</definedName>
    <definedName name="CBx_510b48b2cdb04093b02dd6442bad685f" localSheetId="0" hidden="1">"'Model'!$A$1"</definedName>
    <definedName name="CBx_9c70d9da314044128dde6f074c8d35e9" localSheetId="0" hidden="1">"'Units of measure'!$A$1"</definedName>
    <definedName name="CBx_c996936dc43c4f7a8860ec799da44364" localSheetId="0" hidden="1">"'CB_DATA_'!$A$1"</definedName>
    <definedName name="CBx_Sheet_Guid" localSheetId="0" hidden="1">"'c996936d-c43c-4f7a-8860-ec799da44364"</definedName>
    <definedName name="CBx_Sheet_Guid" localSheetId="3" hidden="1">"'510b48b2-cdb0-4093-b02d-d6442bad685f"</definedName>
    <definedName name="CBx_Sheet_Guid" localSheetId="2" hidden="1">"'3abb73100c774cb69e09a396aeb4141c"</definedName>
    <definedName name="CBx_Sheet_Guid" localSheetId="1" hidden="1">"'9c70d9da314044128dde6f074c8d35e9"</definedName>
    <definedName name="CBx_SheetRef" localSheetId="0" hidden="1">CB_DATA_!$A$14</definedName>
    <definedName name="CBx_SheetRef" localSheetId="3" hidden="1">CB_DATA_!$B$14</definedName>
    <definedName name="CBx_StorageType" localSheetId="0" hidden="1">2</definedName>
    <definedName name="CBx_StorageType" localSheetId="3" hidden="1">2</definedName>
    <definedName name="Code_Decision" localSheetId="2">'Process Description'!#REF!</definedName>
    <definedName name="Code_Decision" localSheetId="1">'Units of measure'!#REF!</definedName>
    <definedName name="Code_Decision">Model!$T$22</definedName>
    <definedName name="CR_Decision" localSheetId="2">'Process Description'!#REF!</definedName>
    <definedName name="CR_Decision" localSheetId="1">'Units of measure'!#REF!</definedName>
    <definedName name="CR_Decision">Model!$T$27</definedName>
    <definedName name="Design_Decision" localSheetId="2">'Process Description'!#REF!</definedName>
    <definedName name="Design_Decision" localSheetId="1">'Units of measure'!#REF!</definedName>
    <definedName name="Design_Decision">Model!$T$12</definedName>
    <definedName name="DR_Decision" localSheetId="2">'Process Description'!#REF!</definedName>
    <definedName name="DR_Decision" localSheetId="1">'Units of measure'!#REF!</definedName>
    <definedName name="DR_Decision">Model!$T$17</definedName>
    <definedName name="FP">Model!$R$55</definedName>
    <definedName name="IT_Decision" localSheetId="2">'Process Description'!#REF!</definedName>
    <definedName name="IT_Decision" localSheetId="1">'Units of measure'!#REF!</definedName>
    <definedName name="IT_Decision">Model!$T$37</definedName>
    <definedName name="_xlnm.Print_Titles" localSheetId="2">'Process Description'!$2:$2</definedName>
    <definedName name="RD_Decision" localSheetId="2">'Process Description'!#REF!</definedName>
    <definedName name="RD_Decision" localSheetId="1">'Units of measure'!#REF!</definedName>
    <definedName name="RD_Decision">Model!$T$2</definedName>
    <definedName name="RR_Decision" localSheetId="2">'Process Description'!#REF!</definedName>
    <definedName name="RR_Decision" localSheetId="1">'Units of measure'!#REF!</definedName>
    <definedName name="RR_Decision">Model!$T$7</definedName>
    <definedName name="ST_Decision" localSheetId="2">'Process Description'!#REF!</definedName>
    <definedName name="ST_Decision" localSheetId="1">'Units of measure'!#REF!</definedName>
    <definedName name="ST_Decision">Model!$T$42</definedName>
    <definedName name="UT_Decision" localSheetId="2">'Process Description'!#REF!</definedName>
    <definedName name="UT_Decision" localSheetId="1">'Units of measure'!#REF!</definedName>
    <definedName name="UT_Decision">Model!$T$32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 i="1" l="1"/>
  <c r="V50" i="1"/>
  <c r="V49" i="1"/>
  <c r="V45" i="1"/>
  <c r="V44" i="1"/>
  <c r="X45" i="1"/>
  <c r="X49" i="1"/>
  <c r="X50" i="1"/>
  <c r="X44" i="1"/>
  <c r="Z50" i="1"/>
  <c r="Z49" i="1"/>
  <c r="Z45" i="1"/>
  <c r="Z44" i="1"/>
  <c r="Z40" i="1"/>
  <c r="Z39" i="1"/>
  <c r="X40" i="1"/>
  <c r="X39" i="1"/>
  <c r="V40" i="1"/>
  <c r="V39" i="1"/>
  <c r="V35" i="1"/>
  <c r="V34" i="1"/>
  <c r="X35" i="1"/>
  <c r="X34" i="1"/>
  <c r="Z35" i="1"/>
  <c r="Z34" i="1"/>
  <c r="AB35" i="1"/>
  <c r="AB34" i="1"/>
  <c r="AB30" i="1"/>
  <c r="AB29" i="1"/>
  <c r="Z30" i="1"/>
  <c r="Z29" i="1"/>
  <c r="X30" i="1"/>
  <c r="X29" i="1"/>
  <c r="V30" i="1"/>
  <c r="V29" i="1"/>
  <c r="V25" i="1"/>
  <c r="V24" i="1"/>
  <c r="Z25" i="1"/>
  <c r="Z24" i="1"/>
  <c r="AB25" i="1"/>
  <c r="AB24" i="1"/>
  <c r="AB20" i="1"/>
  <c r="AB19" i="1"/>
  <c r="AB10" i="1"/>
  <c r="AB9" i="1"/>
  <c r="Z20" i="1"/>
  <c r="Z19" i="1"/>
  <c r="X20" i="1"/>
  <c r="X19" i="1"/>
  <c r="V20" i="1"/>
  <c r="V19" i="1"/>
  <c r="X15" i="1"/>
  <c r="X14" i="1"/>
  <c r="V15" i="1"/>
  <c r="V14" i="1"/>
  <c r="Z10" i="1"/>
  <c r="Z9" i="1"/>
  <c r="X10" i="1"/>
  <c r="X9" i="1"/>
  <c r="V10" i="1"/>
  <c r="V9" i="1"/>
  <c r="Z5" i="1"/>
  <c r="X5" i="1"/>
  <c r="X4" i="1"/>
  <c r="Z4" i="1"/>
  <c r="V4" i="1"/>
  <c r="V5" i="1"/>
  <c r="S50" i="1" l="1"/>
  <c r="S45" i="1"/>
  <c r="S40" i="1"/>
  <c r="S35" i="1"/>
  <c r="S30" i="1"/>
  <c r="S25" i="1"/>
  <c r="S20" i="1"/>
  <c r="S15" i="1"/>
  <c r="S10" i="1"/>
  <c r="S5" i="1"/>
  <c r="AH50" i="1"/>
  <c r="AH45" i="1"/>
  <c r="AH40" i="1"/>
  <c r="AH35" i="1"/>
  <c r="AH30" i="1"/>
  <c r="AH20" i="1"/>
  <c r="Y50" i="1"/>
  <c r="Y49" i="1"/>
  <c r="W50" i="1"/>
  <c r="W49" i="1"/>
  <c r="W40" i="1"/>
  <c r="W39" i="1"/>
  <c r="Y40" i="1"/>
  <c r="Y39" i="1"/>
  <c r="AA39" i="1"/>
  <c r="AA40" i="1"/>
  <c r="AA45" i="1"/>
  <c r="AA44" i="1"/>
  <c r="Y45" i="1"/>
  <c r="Y44" i="1"/>
  <c r="AC35" i="1"/>
  <c r="AC34" i="1"/>
  <c r="AA35" i="1"/>
  <c r="AA34" i="1"/>
  <c r="W35" i="1"/>
  <c r="W34" i="1"/>
  <c r="AC30" i="1"/>
  <c r="AC29" i="1"/>
  <c r="AA30" i="1"/>
  <c r="AA29" i="1"/>
  <c r="Y30" i="1"/>
  <c r="Y29" i="1"/>
  <c r="AA25" i="1"/>
  <c r="AA24" i="1"/>
  <c r="W25" i="1"/>
  <c r="W24" i="1"/>
  <c r="AA20" i="1"/>
  <c r="AA19" i="1"/>
  <c r="Y20" i="1"/>
  <c r="Y19" i="1"/>
  <c r="W20" i="1"/>
  <c r="W19" i="1"/>
  <c r="W15" i="1"/>
  <c r="W14" i="1"/>
  <c r="AA10" i="1"/>
  <c r="AA9" i="1"/>
  <c r="Y10" i="1"/>
  <c r="Y9" i="1"/>
  <c r="W10" i="1"/>
  <c r="W9" i="1"/>
  <c r="Y5" i="1"/>
  <c r="Y4" i="1"/>
  <c r="W4" i="1"/>
  <c r="AF45" i="1" l="1"/>
  <c r="AF50" i="1"/>
  <c r="AF52" i="1"/>
  <c r="AF15" i="1"/>
  <c r="AF20" i="1"/>
  <c r="AF25" i="1"/>
  <c r="AF30" i="1"/>
  <c r="AF35" i="1"/>
  <c r="AF40" i="1"/>
  <c r="AF5" i="1"/>
  <c r="AA50" i="1"/>
  <c r="W45" i="1"/>
  <c r="Y35" i="1"/>
  <c r="W30" i="1"/>
  <c r="AC25" i="1"/>
  <c r="AC20" i="1"/>
  <c r="Y15" i="1"/>
  <c r="AC10" i="1"/>
  <c r="AA5" i="1"/>
  <c r="AA49" i="1"/>
  <c r="W44" i="1"/>
  <c r="Y34" i="1"/>
  <c r="W29" i="1"/>
  <c r="AC24" i="1"/>
  <c r="AC19" i="1"/>
  <c r="Y14" i="1"/>
  <c r="AC9" i="1"/>
  <c r="AA4" i="1"/>
  <c r="AH49" i="1"/>
  <c r="AH44" i="1"/>
  <c r="AH39" i="1"/>
  <c r="AH34" i="1"/>
  <c r="AH29" i="1"/>
  <c r="AH24" i="1"/>
  <c r="AH19" i="1"/>
  <c r="AH14" i="1"/>
  <c r="AH10" i="1" l="1"/>
  <c r="AF10" i="1" s="1"/>
  <c r="S55" i="1" s="1"/>
  <c r="AH9" i="1"/>
  <c r="AH4" i="1"/>
  <c r="AL10" i="1"/>
  <c r="AL20" i="1"/>
  <c r="AJ20" i="1"/>
  <c r="AJ10" i="1"/>
  <c r="AL50" i="1"/>
  <c r="AJ50" i="1"/>
  <c r="AL30" i="1"/>
  <c r="AJ30" i="1"/>
  <c r="AL35" i="1"/>
  <c r="AJ35" i="1"/>
  <c r="D60" i="1"/>
  <c r="D58" i="1"/>
  <c r="D56" i="1"/>
  <c r="AL45" i="1"/>
  <c r="AJ45" i="1"/>
  <c r="I25" i="1"/>
  <c r="J25" i="1" s="1"/>
  <c r="I24" i="1"/>
  <c r="J24" i="1" s="1"/>
  <c r="A10006" i="4"/>
  <c r="A10005" i="4"/>
  <c r="A10002" i="4"/>
  <c r="B11" i="4"/>
  <c r="A11" i="4"/>
  <c r="P2" i="4"/>
  <c r="H25" i="1" l="1"/>
  <c r="Y25" i="1" s="1"/>
  <c r="U25" i="1"/>
  <c r="U24" i="1"/>
  <c r="U30" i="1"/>
  <c r="U45" i="1"/>
  <c r="U5" i="1"/>
  <c r="U9" i="1"/>
  <c r="U20" i="1"/>
  <c r="U29" i="1"/>
  <c r="U34" i="1"/>
  <c r="U4" i="1"/>
  <c r="U10" i="1"/>
  <c r="U15" i="1"/>
  <c r="U19" i="1"/>
  <c r="U40" i="1"/>
  <c r="U50" i="1"/>
  <c r="U14" i="1"/>
  <c r="U39" i="1"/>
  <c r="U44" i="1"/>
  <c r="U49" i="1"/>
  <c r="U35" i="1"/>
  <c r="H24" i="1"/>
  <c r="Y24" i="1" s="1"/>
  <c r="X24" i="1" l="1"/>
  <c r="X25" i="1"/>
  <c r="AG10" i="1"/>
  <c r="AG30" i="1"/>
  <c r="AG20" i="1"/>
  <c r="AG52" i="1"/>
  <c r="U60" i="1"/>
  <c r="U66" i="1"/>
  <c r="AG40" i="1"/>
  <c r="U68" i="1"/>
  <c r="AG24" i="1"/>
  <c r="AG50" i="1"/>
  <c r="AG14" i="1"/>
  <c r="U70" i="1"/>
  <c r="U62" i="1"/>
  <c r="AG45" i="1"/>
  <c r="AG35" i="1"/>
  <c r="U72" i="1"/>
  <c r="U64" i="1"/>
  <c r="AG19" i="1"/>
  <c r="AG4" i="1"/>
  <c r="AG49" i="1"/>
  <c r="AG44" i="1"/>
  <c r="AG39" i="1"/>
  <c r="AG34" i="1"/>
  <c r="AG29" i="1"/>
  <c r="AG9" i="1"/>
  <c r="U74" i="1"/>
  <c r="U55" i="1" l="1"/>
  <c r="U53" i="1"/>
  <c r="U57" i="1" l="1"/>
</calcChain>
</file>

<file path=xl/sharedStrings.xml><?xml version="1.0" encoding="utf-8"?>
<sst xmlns="http://schemas.openxmlformats.org/spreadsheetml/2006/main" count="651" uniqueCount="204">
  <si>
    <t>Crystal Ball Data</t>
  </si>
  <si>
    <t>Workbook Variables</t>
  </si>
  <si>
    <t>Last Var Column</t>
  </si>
  <si>
    <t xml:space="preserve">    Name:</t>
  </si>
  <si>
    <t xml:space="preserve">    Value:</t>
  </si>
  <si>
    <t>Worksheet Data</t>
  </si>
  <si>
    <t>Last Data Column Used</t>
  </si>
  <si>
    <t>Sheet Ref</t>
  </si>
  <si>
    <t>Sheet Guid</t>
  </si>
  <si>
    <t>c996936d-c43c-4f7a-8860-ec799da44364</t>
  </si>
  <si>
    <t>510b48b2-cdb0-4093-b02d-d6442bad685f</t>
  </si>
  <si>
    <t>Deleted sheet count</t>
  </si>
  <si>
    <t>Last row used</t>
  </si>
  <si>
    <t>Data blocks</t>
  </si>
  <si>
    <t>CB_Block_7.4.0.0:1</t>
  </si>
  <si>
    <t>Decisioneering:7.4.0.0</t>
  </si>
  <si>
    <t>StartOptEquations</t>
  </si>
  <si>
    <t>Requirements Development</t>
  </si>
  <si>
    <t>Units of measure</t>
  </si>
  <si>
    <t>Unit Costs</t>
  </si>
  <si>
    <t>Effort</t>
  </si>
  <si>
    <t>Person days</t>
  </si>
  <si>
    <t>Dollars/Person  day</t>
  </si>
  <si>
    <t>Cycle Time</t>
  </si>
  <si>
    <t>Days</t>
  </si>
  <si>
    <t>--</t>
  </si>
  <si>
    <t>Quality</t>
  </si>
  <si>
    <t>The number of injected defects</t>
  </si>
  <si>
    <t>Reqts Review</t>
  </si>
  <si>
    <t>The percentage of defects removed</t>
  </si>
  <si>
    <t>Dollars/Defect to fix</t>
  </si>
  <si>
    <t>Design</t>
  </si>
  <si>
    <t>Design Review</t>
  </si>
  <si>
    <t>Code</t>
  </si>
  <si>
    <t>Code Review</t>
  </si>
  <si>
    <t>Unit Test</t>
  </si>
  <si>
    <t>Integration Test</t>
  </si>
  <si>
    <t>System Test</t>
  </si>
  <si>
    <t>Acceptance Test</t>
  </si>
  <si>
    <t>Customer</t>
  </si>
  <si>
    <t>Subprocess</t>
  </si>
  <si>
    <t>Description</t>
  </si>
  <si>
    <t>Traditional Spec Driven</t>
  </si>
  <si>
    <t>Requirements are developed using Traditional Specification Driven method.</t>
  </si>
  <si>
    <t>KJ Analysis &amp; QFD</t>
  </si>
  <si>
    <t>Requirements are developed using Intense interviewing and modeling.</t>
  </si>
  <si>
    <t>Prototyping</t>
  </si>
  <si>
    <t>Mockups are used for evaluation of requirements.</t>
  </si>
  <si>
    <t>Email Routing</t>
  </si>
  <si>
    <t>Reqts documents are emailed to reviewers. And each reviewer reviews them individually.</t>
  </si>
  <si>
    <t>Walkthrough</t>
  </si>
  <si>
    <t>Reqts are reviewed at informal meetings.</t>
  </si>
  <si>
    <t>Inspections</t>
  </si>
  <si>
    <t>All reqts are reviewed through Formal Fagan Inspections.</t>
  </si>
  <si>
    <t>Sampling Inspections</t>
  </si>
  <si>
    <t>Samples of reqts are reviewed through Formal Fagan Inspections.</t>
  </si>
  <si>
    <t>SA/SD</t>
  </si>
  <si>
    <t>Designs are developed using Structured analysis and structured design approach.</t>
  </si>
  <si>
    <t>OOD</t>
  </si>
  <si>
    <t>Designs are developed using Object Oriented Design approach.</t>
  </si>
  <si>
    <t>Design documents are emailed to reviewers. And each reviewer reviews them individually.</t>
  </si>
  <si>
    <t>Designs are reviewed at informal meetings.</t>
  </si>
  <si>
    <t>All designs are reviewed through Formal Fagan Inspections.</t>
  </si>
  <si>
    <t>Samples of designs are reviewed through Formal Fagan Inspections.</t>
  </si>
  <si>
    <t>Manual w/No Reuse</t>
  </si>
  <si>
    <t>Codes are developed manually without reuse.</t>
  </si>
  <si>
    <t>Manual w/Reuse</t>
  </si>
  <si>
    <t>Codes are developed manually with reuse.</t>
  </si>
  <si>
    <t>Code Generation w/No Reuse</t>
  </si>
  <si>
    <t>Codes are developed using Code Generation tool without reuse.</t>
  </si>
  <si>
    <t>Code Generation w/Reuse</t>
  </si>
  <si>
    <t>Codes are developed using Code Generation tool with reuse.</t>
  </si>
  <si>
    <t>Codes are emailed to reviewers. And each reviewer reviews them individually.</t>
  </si>
  <si>
    <t>Codes are reviewed at informal meetings.</t>
  </si>
  <si>
    <t>All codes are reviewed through Formal Fagan Inspections.</t>
  </si>
  <si>
    <t>Samples of codes are reviewed through Formal Fagan Inspections.</t>
  </si>
  <si>
    <t>Ad Hoc</t>
  </si>
  <si>
    <t>Unit test is conducted without plans.</t>
  </si>
  <si>
    <t>Path Testing Only</t>
  </si>
  <si>
    <t>Logical paths and decisions are tested.</t>
  </si>
  <si>
    <t>Data Flow Testing Only</t>
  </si>
  <si>
    <t>Different data states are tested.</t>
  </si>
  <si>
    <t xml:space="preserve">Both Path and Data Flow </t>
  </si>
  <si>
    <t>Logical paths and decisions, and different data states are tested.</t>
  </si>
  <si>
    <t>Bottom-Up</t>
  </si>
  <si>
    <t>Components are tested first with "drivers".</t>
  </si>
  <si>
    <t>Top-Down</t>
  </si>
  <si>
    <t>High level structures are tested with "stubs" for missing components.</t>
  </si>
  <si>
    <t>Hybrid</t>
  </si>
  <si>
    <t>Integration test is conducted using both bottom-up and top-down approach.</t>
  </si>
  <si>
    <t>On Breadboard</t>
  </si>
  <si>
    <t>Breadboards are used for system test. A breadboard is very immature and early prototype hardware. Breadboard has a lot of blue wires on circuits.</t>
  </si>
  <si>
    <t>On Brassboard</t>
  </si>
  <si>
    <t xml:space="preserve">Brassboards are used for system test. A brassboard is more mature hardware with very few blue wires, </t>
  </si>
  <si>
    <t>Production Hardware</t>
  </si>
  <si>
    <t>Real hardware with no blue wires is used for system test.</t>
  </si>
  <si>
    <t>Low Intensity</t>
  </si>
  <si>
    <t>Acceptance test has been conducted superficially for over several days.</t>
  </si>
  <si>
    <t>Medium Intensity</t>
  </si>
  <si>
    <t>Acceptance test has been conducted structurally for over one week.</t>
  </si>
  <si>
    <t>High Intensity</t>
  </si>
  <si>
    <t>Acceptance test has been conducted including stress test for over 1 month.</t>
  </si>
  <si>
    <t>RD Decision</t>
  </si>
  <si>
    <t>Value for Decision</t>
  </si>
  <si>
    <r>
      <rPr>
        <b/>
        <sz val="12"/>
        <rFont val="宋体"/>
        <family val="3"/>
        <charset val="134"/>
      </rPr>
      <t>需求开发</t>
    </r>
    <r>
      <rPr>
        <b/>
        <sz val="12"/>
        <rFont val="Arial"/>
        <family val="2"/>
      </rPr>
      <t>Requirements Development</t>
    </r>
  </si>
  <si>
    <t>1 Traditional Spec Driven</t>
  </si>
  <si>
    <t>2 KJ Analysis &amp; QFD</t>
  </si>
  <si>
    <t>3 Prototyping</t>
  </si>
  <si>
    <t>Costs</t>
  </si>
  <si>
    <t>Min</t>
  </si>
  <si>
    <t>Most Likely</t>
  </si>
  <si>
    <t>Max</t>
  </si>
  <si>
    <t>LL</t>
  </si>
  <si>
    <t>Avg</t>
  </si>
  <si>
    <t>UL</t>
  </si>
  <si>
    <t>std dev</t>
  </si>
  <si>
    <t>simulation</t>
  </si>
  <si>
    <r>
      <rPr>
        <b/>
        <sz val="10"/>
        <rFont val="宋体"/>
        <family val="3"/>
        <charset val="134"/>
      </rPr>
      <t>工时</t>
    </r>
    <r>
      <rPr>
        <b/>
        <sz val="10"/>
        <rFont val="Arial"/>
        <family val="2"/>
      </rPr>
      <t>Effort</t>
    </r>
  </si>
  <si>
    <r>
      <rPr>
        <b/>
        <sz val="10"/>
        <rFont val="宋体"/>
        <family val="3"/>
        <charset val="134"/>
      </rPr>
      <t>质量</t>
    </r>
    <r>
      <rPr>
        <b/>
        <sz val="10"/>
        <rFont val="Arial"/>
        <family val="2"/>
      </rPr>
      <t>Quality</t>
    </r>
  </si>
  <si>
    <t>RR Decision</t>
  </si>
  <si>
    <r>
      <rPr>
        <b/>
        <sz val="12"/>
        <rFont val="宋体"/>
        <family val="3"/>
        <charset val="134"/>
      </rPr>
      <t>需求评审</t>
    </r>
    <r>
      <rPr>
        <b/>
        <sz val="12"/>
        <rFont val="Arial"/>
        <family val="2"/>
      </rPr>
      <t>Reqts Review</t>
    </r>
  </si>
  <si>
    <t>1 Email Routing</t>
  </si>
  <si>
    <t>2 Walkthrough</t>
  </si>
  <si>
    <t>3 Inspections</t>
  </si>
  <si>
    <t>4 Sampling Inspections</t>
  </si>
  <si>
    <t>Design Decision</t>
  </si>
  <si>
    <r>
      <rPr>
        <b/>
        <sz val="12"/>
        <rFont val="宋体"/>
        <family val="3"/>
        <charset val="134"/>
      </rPr>
      <t>设计</t>
    </r>
    <r>
      <rPr>
        <b/>
        <sz val="12"/>
        <rFont val="Arial"/>
        <family val="2"/>
      </rPr>
      <t>Design</t>
    </r>
  </si>
  <si>
    <t>1 SA/SD</t>
  </si>
  <si>
    <t>2 OOD</t>
  </si>
  <si>
    <t>DR Decision</t>
  </si>
  <si>
    <r>
      <rPr>
        <b/>
        <sz val="12"/>
        <rFont val="宋体"/>
        <family val="3"/>
        <charset val="134"/>
      </rPr>
      <t>设计评审</t>
    </r>
    <r>
      <rPr>
        <b/>
        <sz val="12"/>
        <rFont val="Arial"/>
        <family val="2"/>
      </rPr>
      <t>Design Review</t>
    </r>
  </si>
  <si>
    <t>Code Decision</t>
  </si>
  <si>
    <r>
      <rPr>
        <b/>
        <sz val="12"/>
        <rFont val="宋体"/>
        <family val="3"/>
        <charset val="134"/>
      </rPr>
      <t>代码</t>
    </r>
    <r>
      <rPr>
        <b/>
        <sz val="12"/>
        <rFont val="Arial"/>
        <family val="2"/>
      </rPr>
      <t>Code</t>
    </r>
  </si>
  <si>
    <t>1 Manual w/No Reuse</t>
  </si>
  <si>
    <t>2 Manual w/Reuse</t>
  </si>
  <si>
    <r>
      <rPr>
        <b/>
        <sz val="10"/>
        <rFont val="Arial"/>
        <family val="2"/>
      </rPr>
      <t xml:space="preserve">3 </t>
    </r>
    <r>
      <rPr>
        <b/>
        <sz val="8"/>
        <rFont val="Arial"/>
        <family val="2"/>
      </rPr>
      <t xml:space="preserve">Code Generation </t>
    </r>
    <r>
      <rPr>
        <b/>
        <sz val="10"/>
        <rFont val="Arial"/>
        <family val="2"/>
      </rPr>
      <t>w/No Reuse</t>
    </r>
  </si>
  <si>
    <r>
      <rPr>
        <b/>
        <sz val="10"/>
        <rFont val="Arial"/>
        <family val="2"/>
      </rPr>
      <t xml:space="preserve">4 </t>
    </r>
    <r>
      <rPr>
        <b/>
        <sz val="8"/>
        <rFont val="Arial"/>
        <family val="2"/>
      </rPr>
      <t>Code Generation w/Reuse</t>
    </r>
  </si>
  <si>
    <t>CR Decision</t>
  </si>
  <si>
    <r>
      <rPr>
        <b/>
        <sz val="12"/>
        <rFont val="宋体"/>
        <family val="3"/>
        <charset val="134"/>
      </rPr>
      <t>代码评审</t>
    </r>
    <r>
      <rPr>
        <b/>
        <sz val="12"/>
        <rFont val="Arial"/>
        <family val="2"/>
      </rPr>
      <t>Code Review</t>
    </r>
  </si>
  <si>
    <t>UT Decision</t>
  </si>
  <si>
    <r>
      <rPr>
        <b/>
        <sz val="12"/>
        <rFont val="宋体"/>
        <family val="3"/>
        <charset val="134"/>
      </rPr>
      <t>单元测试</t>
    </r>
    <r>
      <rPr>
        <b/>
        <sz val="12"/>
        <rFont val="Arial"/>
        <family val="2"/>
      </rPr>
      <t>Unit Test</t>
    </r>
  </si>
  <si>
    <t>1 Ad Hoc</t>
  </si>
  <si>
    <t>2 Path Testing Only</t>
  </si>
  <si>
    <t>3 Data Flow Testing Only</t>
  </si>
  <si>
    <t>4 Both Path and Data Flow</t>
  </si>
  <si>
    <t>IT Decision</t>
  </si>
  <si>
    <r>
      <rPr>
        <b/>
        <sz val="12"/>
        <rFont val="宋体"/>
        <family val="3"/>
        <charset val="134"/>
      </rPr>
      <t>综合测试</t>
    </r>
    <r>
      <rPr>
        <b/>
        <sz val="12"/>
        <rFont val="Arial"/>
        <family val="2"/>
      </rPr>
      <t>Integration Test</t>
    </r>
  </si>
  <si>
    <t>1 Bottom-Up</t>
  </si>
  <si>
    <t>2 Top-Down</t>
  </si>
  <si>
    <t>3 Hybrid</t>
  </si>
  <si>
    <t>ST Decision</t>
  </si>
  <si>
    <r>
      <rPr>
        <b/>
        <sz val="12"/>
        <rFont val="宋体"/>
        <family val="3"/>
        <charset val="134"/>
      </rPr>
      <t>系统测试</t>
    </r>
    <r>
      <rPr>
        <b/>
        <sz val="12"/>
        <rFont val="Arial"/>
        <family val="2"/>
      </rPr>
      <t>System Test</t>
    </r>
  </si>
  <si>
    <t>1 On Breadboard</t>
  </si>
  <si>
    <t>2 On Brassboard</t>
  </si>
  <si>
    <t>3 Production Hardware</t>
  </si>
  <si>
    <t>AT Decision</t>
  </si>
  <si>
    <r>
      <rPr>
        <b/>
        <sz val="12"/>
        <rFont val="宋体"/>
        <family val="3"/>
        <charset val="134"/>
      </rPr>
      <t>验收测试</t>
    </r>
    <r>
      <rPr>
        <b/>
        <sz val="12"/>
        <rFont val="Arial"/>
        <family val="2"/>
      </rPr>
      <t>Acceptance Test</t>
    </r>
  </si>
  <si>
    <t>1 Low Intensity</t>
  </si>
  <si>
    <t>2 Medium Intensity</t>
  </si>
  <si>
    <t>3 High Intensity</t>
  </si>
  <si>
    <t>Total Effort</t>
  </si>
  <si>
    <t>Total Cycle Time</t>
  </si>
  <si>
    <t>Tests to Enforce e.g. exclude if 1</t>
  </si>
  <si>
    <t>功能点数</t>
  </si>
  <si>
    <t>FP</t>
  </si>
  <si>
    <t>Total Quality</t>
  </si>
  <si>
    <t>TEST01</t>
  </si>
  <si>
    <t>如果有分概要+详细设计，设计评审必须审查</t>
  </si>
  <si>
    <t>Total development costs</t>
  </si>
  <si>
    <t>TEST02</t>
  </si>
  <si>
    <t>手工编码便必须代码评审用审查方式</t>
  </si>
  <si>
    <t>TEST03</t>
  </si>
  <si>
    <t>如果手工编码没有复用，就必须用审查做代码评审</t>
  </si>
  <si>
    <r>
      <rPr>
        <sz val="10"/>
        <rFont val="Arial"/>
        <family val="2"/>
      </rPr>
      <t>F</t>
    </r>
    <r>
      <rPr>
        <sz val="10"/>
        <rFont val="Arial"/>
        <family val="2"/>
      </rPr>
      <t>ield Defects</t>
    </r>
  </si>
  <si>
    <r>
      <rPr>
        <sz val="10"/>
        <rFont val="Arial"/>
        <family val="2"/>
      </rPr>
      <t>Field</t>
    </r>
    <r>
      <rPr>
        <sz val="10"/>
        <rFont val="Arial"/>
        <family val="2"/>
      </rPr>
      <t xml:space="preserve"> </t>
    </r>
    <r>
      <rPr>
        <sz val="10"/>
        <rFont val="Arial"/>
        <family val="2"/>
      </rPr>
      <t>Reqts Review</t>
    </r>
  </si>
  <si>
    <r>
      <rPr>
        <sz val="10"/>
        <rFont val="Arial"/>
        <family val="2"/>
      </rPr>
      <t>Field</t>
    </r>
    <r>
      <rPr>
        <sz val="10"/>
        <rFont val="Arial"/>
        <family val="2"/>
      </rPr>
      <t xml:space="preserve"> </t>
    </r>
    <r>
      <rPr>
        <sz val="10"/>
        <rFont val="Arial"/>
        <family val="2"/>
      </rPr>
      <t>Design Review</t>
    </r>
  </si>
  <si>
    <r>
      <rPr>
        <sz val="10"/>
        <rFont val="Arial"/>
        <family val="2"/>
      </rPr>
      <t>Field</t>
    </r>
    <r>
      <rPr>
        <sz val="10"/>
        <rFont val="Arial"/>
        <family val="2"/>
      </rPr>
      <t xml:space="preserve"> </t>
    </r>
    <r>
      <rPr>
        <sz val="10"/>
        <rFont val="Arial"/>
        <family val="2"/>
      </rPr>
      <t>Code Review</t>
    </r>
  </si>
  <si>
    <r>
      <rPr>
        <sz val="10"/>
        <rFont val="Arial"/>
        <family val="2"/>
      </rPr>
      <t>Field</t>
    </r>
    <r>
      <rPr>
        <sz val="10"/>
        <rFont val="Arial"/>
        <family val="2"/>
      </rPr>
      <t xml:space="preserve"> </t>
    </r>
    <r>
      <rPr>
        <sz val="10"/>
        <rFont val="Arial"/>
        <family val="2"/>
      </rPr>
      <t>Unit Test</t>
    </r>
  </si>
  <si>
    <r>
      <rPr>
        <sz val="10"/>
        <rFont val="Arial"/>
        <family val="2"/>
      </rPr>
      <t>Field</t>
    </r>
    <r>
      <rPr>
        <sz val="10"/>
        <rFont val="Arial"/>
        <family val="2"/>
      </rPr>
      <t xml:space="preserve"> </t>
    </r>
    <r>
      <rPr>
        <sz val="10"/>
        <rFont val="Arial"/>
        <family val="2"/>
      </rPr>
      <t>Integration Test</t>
    </r>
  </si>
  <si>
    <r>
      <rPr>
        <sz val="10"/>
        <rFont val="Arial"/>
        <family val="2"/>
      </rPr>
      <t>Field</t>
    </r>
    <r>
      <rPr>
        <sz val="10"/>
        <rFont val="Arial"/>
        <family val="2"/>
      </rPr>
      <t xml:space="preserve"> </t>
    </r>
    <r>
      <rPr>
        <sz val="10"/>
        <rFont val="Arial"/>
        <family val="2"/>
      </rPr>
      <t>System Test</t>
    </r>
  </si>
  <si>
    <r>
      <rPr>
        <sz val="10"/>
        <rFont val="Arial"/>
        <family val="2"/>
      </rPr>
      <t>Field</t>
    </r>
    <r>
      <rPr>
        <sz val="10"/>
        <rFont val="Arial"/>
        <family val="2"/>
      </rPr>
      <t xml:space="preserve"> </t>
    </r>
    <r>
      <rPr>
        <sz val="10"/>
        <rFont val="Arial"/>
        <family val="2"/>
      </rPr>
      <t>Acceptance Test</t>
    </r>
  </si>
  <si>
    <r>
      <t xml:space="preserve">WAR </t>
    </r>
    <r>
      <rPr>
        <b/>
        <sz val="10"/>
        <rFont val="宋体"/>
        <family val="3"/>
        <charset val="134"/>
      </rPr>
      <t>审查</t>
    </r>
    <r>
      <rPr>
        <b/>
        <sz val="10"/>
        <rFont val="Arial"/>
        <family val="2"/>
      </rPr>
      <t xml:space="preserve"> Inspections</t>
    </r>
  </si>
  <si>
    <t>Infosys iter</t>
  </si>
  <si>
    <t>Infosys  iter</t>
  </si>
  <si>
    <r>
      <t xml:space="preserve">Infosys </t>
    </r>
    <r>
      <rPr>
        <b/>
        <sz val="10"/>
        <rFont val="宋体"/>
        <family val="3"/>
        <charset val="134"/>
      </rPr>
      <t>iter</t>
    </r>
  </si>
  <si>
    <r>
      <t xml:space="preserve">WAR  </t>
    </r>
    <r>
      <rPr>
        <b/>
        <sz val="10"/>
        <rFont val="宋体"/>
        <family val="3"/>
        <charset val="134"/>
      </rPr>
      <t>走查</t>
    </r>
    <r>
      <rPr>
        <b/>
        <sz val="10"/>
        <rFont val="Arial"/>
        <family val="2"/>
      </rPr>
      <t xml:space="preserve"> Walkthrough</t>
    </r>
  </si>
  <si>
    <t>..</t>
  </si>
  <si>
    <t>Exp Value</t>
    <phoneticPr fontId="10" type="noConversion"/>
  </si>
  <si>
    <t>㜸〱敤㕣㙢㙣ㅣ搷㜵摥扢攴㉥㜷㤶㕣㜱㉤捡㤲攵㌸づㄳ㍦攲㠴挲㕡㤴慤挶㑡愰㉡㝣㔸㡦㤸ㄲ㘹㤱㤲攳㍣㐰つ㜷㘷挸戱㜶㘶愹㤹㔹㑡戴㥤搸㍦㡡ㄴ㉤㤲ㄴ〸搰㈶㜱㡣挴㜵㔳户〱㡡㍥搰搶㑤摡晥㈹㄰㈰㐱攰〴昹ㄱㄴ㘸㠰〲㙥㔰戴㍦㔲ㄴ〲晡愳昹ㄱ㈰晤扥㜳㘷㜶㘷㤷摣ㄱ扤戶㕢扡攰㤵昶攸捥戹㡦戹昷㥥㜳捦㌹昷㥣㍢捡愸㑣㈶昳㉢㈴晥换㌴挸捣㕤㡢㥢㐱㘸戹㤵㤹㐶扤㙥㔵㐳愷攱〵㤵㈹摦㌷㌷攷㥣㈰ㅣ㐰㠵晣戲㠳昲㈰户ㅣ㌸㑦㕢㠵攵つ换て㔰㈹㤷挹ㄴち㐶ㄶ攵散㠴扦㜲晣㘰戰搵挸㈰挰搲捣昴晣捡㔳攸㜵㌱㙣昸搶㤱昱换扡敤挹挹挹捡㘴攵搸㐳㈷㈶㉢㐷㡦㡣捦㌴敢㘱搳户㑥㝡㔶㌳昴捤晡㤱昱㠵收㑡摤愹㍥㘶㙤㉥㌵慥㕡摥㐹㙢攵攸㐳㉢收挳㡦㑣㍥㝣晣戸㝤攲挴㈳㈳㜸㜵收挲捣昴㠲㙦搹挱㕢搴㘷㡥㐳㝥㜸搶慡㍡㥣㥢㘵昹㡥户㕡㤹㤹挶摦挴昸昱昴愱捡攲㥡㘵㠵㝣戵攵㕢㕥搵ちっ㌴ㅣ㜶愷㠲愰改慥㜳昱っ昷㌴愶㕡㌵㠳㌰攷捥㔸昵扡攱挶扤ㄶ摣㜹慣㕤摤摣ㅣ㜱ㄷ㉤㉦㜰㐲㘷挳〹㌷昳敥ㄲ㍡慡㤵摣㑢㠱㜵搱昴㔶慤ぢ愶㙢攵摣㌳㑤愷㌶愸㔳㘶攰晤㜱ㄷ挹㠱挹昴㉢㔳㠱㍢戳㘶晡㌲愲㠰ぢ㤳㔲昷戴㕦敤慣㝢㑦敦㝥㌹㜴㜹〳晢扣慦㜷㍤㤴㕣㌶晤㔶捤㠹摥㌵愳挹㜷㡥攰挱摥昵ㄳ㙢搴搹收〳扤摢挸㔲㜶搶㔶挳ㄱ㝦换㡡㘲㌲㐶㥥㘰㠸愰㐰㐰〲ㅡ㐵㠲㘱㠲ㄱ〰㌵昸㕦搸㈵挹㠶㉣捡㉥㥢搹攵㤵散㜲㌵扢㕣换㉥㕢搹㘵㍢扢扣㥡㕤㕥换㉥㍢搹攵愷戲换㔷㔱㈷㑥㠵愱愱㙣㤴慥晤昴㉦㥦晣㥤㈹晦戱㉦㝣敦ㄳ昷晦昷㠷㝦㥥ㅢ搹㠷㑡㡦㐷㠳㥡昵捤敢㘰戵㌶ㄷㅦ慢ㅣ攵㥦㕢敦ち㙣ち晢戸晤㈱㝢㜲戲㜶晣愸昹㤰㤹攳戴㔲㠸摦挱㈸㘵搴ㅤ戱㥦㜰扣㕡攳扡搰敥慥㘹㌳戰摡ぢ㌷ㄱ㤵㑤㌷㥡㕥㉤㜸搷昶㠵㡢愱ㄹ㕡㜷㜶㤷戵㍢搹搲㙣ㄱ摢捡ち攴㝤㜷㜷㌷扢㙣搶㥢搶搴つ㐷ㄷ扦扢慢搸㕤昰ㅢ㉢扤㑢㑦晢搶戵㔶改㤶ㄱ㑤㐱愸㙤㐸摦㕢㘶愹㡢昴戸挶㘷搶ㅡ㠱攵挹昰㈶摣〵愷㝡搵昲ㄷ㉤㡡㐴慢㈶㔳扤㥤㐵搱慥㥦㤸昷㌰㔱散搶摡晢㤲㔸晢搱ㅢ㈱㌶戳㔵挳㜸搷㉤㍦摣㕣㌲㔷敡搶挱㡥㉡晡㥤㈸㌸摣㠱㍥摤愸㌶㠳㤹㠶ㄷ晡㡤㝡㘷挹㔴㙤挳㠴愴愹㥤㙦搴慣挱挱㡣〸〵〸摣㠱〱愵㌲ㅦ散扤ㄷ㠴㄰〹ㄲ㜳㈳摦搱挹㜶㤵㡢㤸ㅤ㘶㔱户挸㤳搹㝢㙦搱ㄹ挷㉢㌲㈶㘵〷㈶收㐴晤挱㤷㍥㜰㡢㙥㕢㤴㝢㝢㉢㘷戳㘳搱散ㅦ摤戰扣昰慣改搵敡㤶㥦慡晤ㄴ㐷㘴㡣〲攴㙥㐲㈰昴㕣㍤慡㍡㜵㐳㙤收慥㍢戵㜰㉤扦㘶㌹慢㙢㈱㜰搰㤰㠵〲㤷㜶㑢㌲㙥〳捡搸㑦㌰〶㔰㉣㘶昲〷㔸㈹㕦㐴捡攴㈸㥤㔲昶㜲㠷㈰㘷扢㡥扤㍣㘲㥦㜶敡愱愵㠵昲愸つ㡡㘸慤㈶攴㉢㤱㐵㝤戳慡ㄵ挶〱㝢〶㕣㙡㍡㕥戸搹摥户㕢㜶㠹㘶愲㍤㔹戰敢㘴〱㐵㐱愷㍣㐸搹㙢㘰㥡㉥㘹㤰㕥㌹挱㐴摣〶㈹㥡ㅤ㍤㜷㌲ㄹ敢愷挸〸搴㑦㌲㈱㙢ㅦ敤㉤㈳挸散㕢㤹㤴㡤㝡敥挷㍤㘹戶㥤㉤慦愵搹敤㔸㌸攳㈰挱㈱㠲㍢〸づ〳愸㝦㠳㠴愳㤴㐳扥㌳ㄹ敦挲戳㜱ㄷ挱扢〱㈰㥦っ捡㥣㐸㔴搱㠶摡㠹ㅤ挹㝡㈵搸挹㘲ㄴ㙢㔱㐴换戸㘵㘷㤶㕣㈱㜴㘴㜵敥づ㕤㍢㈸㍡昶晥摥扣㤹㥣づ㌹㌲愵㙡㜲慥户愸㥡㕣〸㔶敤㔳㙦扤〷㑤㡤㜱㠲昷〲㘸挵㐲㘳㜷㘷搶㍣捤挹㜷㠴㐹愴つ愱㍥㤵㝢挴挴㌴晦㔳〴摣㤶愳换㥥晤㑣㔳㜰挲㝥挷摢捦㐷㝡敦敤㠸攸㕤㍡㜳㑦攷搰㔷昴〶㉤攸昷㘱㝢愹㝦敥愹㕦敥㐵戱㜱ㅦ挱晤〰㕤晡㠵㈷敦㌷敡㈵㄰㤳搸㑤㔰㙥㍦㍤㉥㘲攱㉥㙤慥㕢愲㝤㐶散㈵搳㕦戵㐲㜸㉦捥捤挲づ㙥昸扥㔵挷㠱戶㈶〸㥥㕤づ㜵㈲㠳搳㝥挳㈵㝥捦㍥づ摥ㄱ㡡㘱㜰㌰㍢㤰改戲㡦㔳散捣㠴扦㈹挱㌹搴扦て昵ㄶㄲ㠹㐶㥤散挵㜶改㘷换㍤㐹搲㠷㈴㜹〰换㙡㝣〰〰㔲㐲晤㘳㑦㠹㌲挱㙡㐷愴㕡愷戵㑡敦㕥捡挹愴换㝦戸㐵㡥っ㙢㘷敤㌴㝣〷㐱挹㕤㜴摣㤶戰ㄸ㜶ㄷ㉣扦ち扦㠲㔳户㡡摡㈵㑢㔱戳㈷㉢摥㈱戲㘲㘰㘰换㔹㍡挵户㈶㝣搲㈵㈵㔲㜷㝢㙡㘱捡㌹扣捤㔴㜴㐱㔲愸愴戸㠵㕡ㄲ㠸㥣挷扡㝢㈲愶てㄱ㔳挱挲ㄹてㄲㅣ㈵㤸〴挸晤〸㤲㘶愷ぢ捦㔰搸搰〶摤搹换换㤹〲挹㈰敥挱ㅦ昶ㄴ㔶て昳㌵挷〹㝥つ愰换晣愱昳㌱㠵ㄱ㠵攴〹㐶愴戵㘴搸㤷ㅤ敢㍡㜹㘰㥦㡤愰搲㑣㌳〸ㅢ㉥愳㑡㈵㝢戶㜱愱ㄱ捥㍡挱㍡愲㔰㘳㜶㤴㜹㘲捤昲挰㕤㍥㙣㥦㉥㕣㘳㝤摤慡ㄹ昶㘲愳〹搱㜶㙥㜶㌷ㅣ捡㌱㍦搸㤲㜲㉥捦㉡愴晥捥挶攸㐲挹㠹ㄸ扥㔶㝡㘲㜷攴昹收愱㙦戴扤愲㑢㑥㔸户㠶㙤扤改㤸㉦搸㔸㐵㐴つ㙡㐳昶搲㥡㙦㔹戳㈵晢㡣敦搴敡㡥㘷㤱ㄸ戰㌱ㄹ愸㥢戳㔶ㄱ㈱㔸㘸㌰晥搷昰㑡昶㤲㙦㝡挱扡挹㘰攲收晥㡥㈷〹㠹攴散㘹挷ぢ昰ㅡ愱㈲昳愳昶攲㕡攳㍡愲戵㑤搷㍢㘳慥〷扢㠲㉡㘴㝡㥤㠴㌴㉡慢戲㔹㔵挸ㄶ晡愵てて攴㤹捣㌱晣〶〹㠴㔶㤹ㅣ晤攵㈹摡㥢㜶㝤ㄴ㥦愱㥤捥㌱㡤㈰㜲搴㐲づ愴㑡㘱敥㔴攳ㄱ戶㌹〱昰戱㌳㤷捥戵愳㜲㙦㉡㕥㥤愳㠷㍦㐵挶ぢ㕢戴㠲㈰昴捦敤搳慣㐲ㅣ㌹〷㍢㄰ㄴ攷㔳㌷晢ㄵ㙤愹㐳敥摢搷捥㥥㐶ㄴ㘹挴㥥㌳㔷慣㍡㘲搱慥ㄹ敥搳て㌴㘳㕤戳ㅥ㐴㘵㌳つ搷㌵挹㕡㘴换挵慡㐹づ㥥㙡㠶㡤昳㡥㘷搸〰挲㝦ㄱ捡扣〱㤴㜹㐳㔰㈳昶㐵㠶〵㈵捦扥ㅡ慢愶敦㠴㙢慥㔳㉤昰㠱愱扢㕤挱㤳搸攴㤴扣㜱㡡㘵挶㜸㤷㌵㝦〹㈶㕢㔰〱戹㉢㤰愳㕣㍡㤲ㅦ㥣㥢㔵㜹晣㔱㝤㍡㤶㈰㘰挴㑢㙡㝣〴扤攵攴㘶〴㐴㡥愴㥢昱晤㡢㥢捦〱愳晤㜲愴㝡ち㡢挰㈳㤸㄰昲㜴㙦攷敤㑢㥥ㄳ㠲㝡愴搸㘹㈷㥣つ㐰㜲〰㘴攵㜸㝢愷㔰㌵搱㘸愲愵ㄵ摥戳戵愸㐳㑤摣扤戵㍣愹㌷敥摤愶㔸㙢㤴㠴㈲戹㔵㈵搱㉣摢㡣㜱㌷愹ㅡ㈵㡡㍢搶㌶㉡捤㙤摡㕥㜷㑡㤱㌷愱㤸㠴㘷㌲挶㐹㘱ㄴ〴㜹挹ㅤ搰㔱昴搷愷戳㐷㈲㕡㐳ㅢ愰㐸㍤愵㜱愵㈸ㅣ㜸づ㔷㑥㙡㔶㌱㝡挲晥摥ㄷ㘵攷㥢㘱㐷㠹㜹㘳㉣㉡㤹慡搷攷㍤㔸〹㔵搳慦敤㤲㉤㡤戹㘹つ㈳扢戳㕦敤慦㤷㌷戱ㄱ愳㙤挸㤰㐸㡡ㅦㄸ摢㄰㥢㉢ㄱ㑤愵㜵㔶攲㔲户搰〵㍥㥤户㑣㑦㈸戰ㄸ搶㘶慤つ㌱挳摡㤶晣㤸㌴㘸㥤ㄶ㐵㡥ㅡ昶搴㑡〰㤵ㅥ㔲㡥㐷㌹搹攰㠶㝤㤱㙥㈹㕣㘰㠰搸㡤㜲ぢ搵㄰㘱摤㔶〷㍣ㄹ散ㅥ敡㘰㐵㜴搸㠴搶ㄹ㈵㘸㍥㠵㜱㍢㈷挱扤搳㈷㐵㈱㐸㙤㐹晦㜹㑡扤昰㔵愶㙦㥤捡挴㤹㘸ㄳ㌱搴㤵㘲㍤㠰戸挹愸㈴㜷搱㔸ㅣ㉣搷㤲㑤㠴搶㐸㡣愳㠹㔱愲挹攷㠷戸挱挳㌸搶㈸户㑤ㅤ㜷摣㐲〷摡戴扥戹捦㍥攷㔵敢捤㥡㈵慡㌸㤶搵愲㤱㜷〵扤攴晡㥦摥㑤㈹敢ㄲ㉤捡㌹ㅣ愵㌸㘵ㄲ愹㝦扢摢昸㜵㌴ㄷ㈱㠷㍥戴㙣㘳昰㌱挵㉤㈷挱戰㉤㜷ㄴ㘸ㅦ敥㙦㕦㕥㤰㡢㜳㄰㘹㕢㔰㤴㘵㜳戸㡢搷㡡㈰换㙥㑢㔴㥢㙢捣㌵㘸戳㈷㔰㘷ㅤ㡤摡ㄵ㌴挲㍣戵挰换攷㘱㡣昴戹㍢搸㐹收㘶ㄴ搹扤昹㥣㍣㘶㙥㥥㡡㡣て挵昸㉥㑦㐱㤹晣㐷〱㠶ㅥ㙦㥡㜵㕣㑣〴㤹戵〵㥥㙤㕢攰㡡㔱㘰㕡攱挶ㄴ㠰㘲㌸㤸挶㉤㙡㙡㘳㘷〶昹㔴㘳挷㤸㐵つ㙡㌴〶㈷㔳愲愵挹挰㉡㘳㤶㘳㜰攰㠳㠸搸㕤㍣㔸㉦㌵愰㤴挲〳㜲㐹㉣扥愷㌸攱攲㐸搴昰て㜶㈱ㄷ捣㄰㔷㘱扣挳㕤攸愹㕡㡤收㉦晣㜵扢㠲捡戸挶愱捤搳〳㕤ㄷ戴㘴㑥戴昷敥改㉡㠸㉥づㅥ㥢慤㥣㌵挳敡摡㘲戸愹㉦㜱昵换㈲戹扦㠳㝦㘲摢户搳㠶ㅥ昴㜸㈹㜵㠳㙢㕦扣敡㌵慥㝢㌲慥㕣挰ㅢ㠰攰ㄲ㕣愷ㅣ攲㈰㡢㤹㕦攱㡦愴㙣㈶昷户攸㜱㈷挳㘶〷㙤㠷〹晢㤱愴愵挳㌸昲㈹㝣〲㕢扥㜵㠳㠰㝣㜲愰㡢㑦㐴㌰散㌱㡡户晡㤶㌱㡡晡づ挸㑡㘶搱㐷㜴慣昹㉢搸晥敡摢挰㤰攰㜸㡥挴㑡敥扤挸愵㤰㑥〴㝢㜴摤㠳㤷㐳晥晦㔰㈹摥捤摢㙥愷晦㠵捤慣晥愶㥢㐴㜷㤳㐴慦㙥㈵ㄱ〳戳㙦㈸〴捥搱敦ㅤ㍤摦昶㙢扥晦㠷㐷捦㌹㔰㤸㐹慣㌳〴搹敥㐵㕥㡣〳散㜷㤵ㄵ㤷㕣搲㈰戸て挵㘲㄰㥣㘷ㅢ挶敦戵㐱㄰㜹㍦收㠱㐸㌵〸攴㜸换愸㕥㡡〹㤸〸戲㈶ㅣㅡ㍣㝢ㅤ㜴改ㄹ㍢㡢敢戶㔶㠰㐸㍥搴㔳㌰〳㕦搴愱慤攸〵搳㌷摤挳㠲㍦攳㕢㔰㕢晥ㄲ敥㙦㑢ㄳ戶戸㜳摢ㄲ㘹戴㡤㤷㈲昶慦敦㜹㔲㜶㜶㙢ㅤ㤴搲㐹㍢敥㔵㐱攵摦㠴㡦㐴昱挴㤰㜹收挰㥦㥥昹㤷愷㝦攳ㄴ敦愹㐵扣㥡㘳㘰戸㥦㘰㍤㉤〷㠴㜳ㄳ㔷㐴㙥攷攷㌸攷昱㘱㤲戳㕥户愶㑤㕦散㥤挰㜰攳慣㘶扣〴㘳㙡收摢つ挶㈴㙥㍣㘸㘳戲搲攵攸㤴捦㤹挴㌹㔸㐹っ㕣扣㜹㜱挰㔰昵㔴㔹㝤摡㤵戹㍦㠷搲㜹㠳〳改戴〷㜹摥㘴㔲敡捦扡戵摡㜱㙡㌵㌱ㄳㄵ〳晥戱㤴㐲攴㠱ㅣ㤲㤴㔲扣ち㈰㔲敡㈲㌲戹ち㐰㑡㑣慤㍢戸㑢㑦挰㥥㄰戰㕡搷晤晡晣㜴〵慢〸㉡挶㕥昸㝥捦戲戴㍡㘳搵昴㈰昳昸ㄹ㡢〰㜲㑣㈱㠲㔱㕢挱㉥㈱ㄳ愷摣㈴㜲㍢㜶㐴昱㈵㈵㔷㠷摣昴挶捥戹昴戲ㄵ摤㐷扤㈶敥㝣㐰捦攴㐵㘱㜸晢㠹挶搱㔳愲㜳扡㙡㔱愳〸㐷㜵戶搵㘸㌸㉡㠲捥昲づ攳晣㠹戰ㅦ扦て㘲昹㐴扢敢摢扢㑢愸攳扣㈱㑣㤰㍦搸㕦㜷愷㙣㙣扣㤵㍢〶ㄲ㜶㐷戵ち晡㔲昸㈵㌴ㄱ㝢㕥ㄹ敤㉣摦愵ㄴ愳搳昱捥ㅡ搸慡晦㡦愳㔸㜶搶㘵搶㘶〰扢㐳晦㝦ㅣ㠸㕢敡㝦挵愸㥢㤰散挹㈸挳㠷ㅣ㈳㈷户っ搶㜰㐵攰搳㐶搸㐶㡥挰㠶㘴ㄹ散搶戹㐵㝣戲慡㡢㐵㠲挳攳㌵搸㝤㈹愲搵㤶戶敤㜰㑦〱㜸㠲㐳㝡〵㈲愸㘷㝢づ㝡敢㌹㌶晦㐹愰て㥣㜷慡㝥㈳㘸搸攱昸㈲挲扤攳晣攲捣㠶捤㌳愵扥搹㉤搴敥挱㑡㡣㝣ㅡ㙤㉥捣㐳㘰㕦戰挲户㉡ち挹㤸挲捥㘲ㄸ晣晡愸㥣〸㉣㔱㍢〴户搹㤱㕦㘸ㅥ㕥捥㤰愸㕤愱散戴慦戹晢㙥〶㤷づ户戳ㅥ㠳攷挷慡㔷㄰ㄶ㤳㈹㝣昲搳㕣搷敥㌵攸慣ㅢ捤㉤㘰捤晥扣㙤挵摣换愰改捥摥搲挹㌲㝣㈷扦㐳㉥ㅡ换㠴昰㤲搱㕢扡㜳搷㉣㝢ㅢ〳㥦㐷㥦㜱搳攵㌵㔱㠷愳㙣〷㜱敦㉢㘸慡愶〸昰㌳捣㈸挳挱㈸晡昴戸ㄵ搵搷㌱㉤㙥〰攴㌳昹㉡㐰㙦慥㝥㜱㍢慥㔶戳散〵㍦挳㘲て搱㑦昱挰㐱摥㉣慡ㄷ搰㡡㙢愷搷㘰㤵㌸ㅣ㐰攴㘰㠱扣戱〶㄰㈷挵㠳㠵㡣敡换㘸搰ㅡ搵㔳挰昶ㅥ搵敦㙥㍢㉡㥡〴㌲慡㝡摣㌹晥㉤挷㉡挵㜰昱㘴㜸〴つ㠲㜵ㄶ挶㥡㘵㤴挲㤲ㄲ㈸慦㐳つ摦㌹㠵㍣搲㡦愳㝦㕦㍦昵挳搷㤸晥攳㤴ㄲ昱㠸㈲攳㥡搴搰㐰㔱㍣捡㉣扥㤸㥣㐵〰㙣敦㔹㝣㝥扢㔹㤴㈹㌹㜹㐱挵㘸〲㤴㐶ㄵ㌹㐸㘶戵ㄱ㘵昸愰慥挴搸敢挸挴愹㙣㈲㈷㙤㙦㈰㔳ㅡ㉤㤳㍣昲扣㠹㡣昱㌴挱㌳〴捦ㄲ㝣㠶攰戳〰愵愲㈲㠹攴㈵捦㐵ㄹ㍥㤴㐹㈷㌶㉦㤵换㕣㔲㥤捤㜱ㅤ㔳扥ㄳㄲ愳㡢昷㉡改ち捡㙢㕦㙥㕥慢摡㠲ㅢ㌹㜱㜷㠵挰㠹摣昱㍤昵㐴扥捦ぢ〳敡昹㤸慥㘷捦挶ㅦ㘱㘵愳㄰ㄶ昸㑡㥢戹攴㐳㉥愴㝡㉥慥晣ㄷ慦戶㍤慥㈸㐰〲昳改捡攴㔷愹晣搹戸昲㌱㝣攰㈵㜵㌲扣㤰挰昴㝡㕣㜹ㅤて㔲昹㌳㜱攵㥦ㅦ㍢摣慡ㅣ戳戱敥戹㑣ㅥ㡥挸㑡㜶㑢戱愵攵㜴㤱昸敥㝢ㄴ搵㜳㌶昵昳戰慤搱㤴捣ㄲ㤴慥㡢㠶ㅥ挱㌵ㄳㅦ㕦㕥捦攱搶ㄴ㉥㤷㐰㠸敢晦㠰攱ㅣ㙥㔳捤㥡愱㠹て慢㌷㄰挶昶つ㜹㘲攳扣㍤敦〳㌱㘴㥦ぢ㜰㘶慢敤㉡㙥㠱戹㌱愸㤷晡ㄶ敥晤ㄴ搳戴扤ㅥ㜱昸㉤换摢㈹晤㈹㈷〹搳っ慡㘷㘲㈲㘷㥥㙦戳㡦昱㌹㄰〷〲ㄷ㤰ㄹ攳㌷〱㜵㔸攷〰ㄱ㘵㑡ㄲち㍢攳户〰㑡〳㘵捡㄰捤〵㡡㠲㠳㥣㤰晦㙤㠰搱昸㍦挰ㄸ摦㄰㡦㑣㔶㌵攳搷㈵㜹捡昸㍣ㅢ㝣〱㘰〰慥㘰戸㤶㤰㜰攱挱昸㈲晥㑤扣㌶㐷㈱昴㤱摥ㄶ㉦て戴昱㐷昹〸㔵㜶㝣㝤晦㈸扥愶摦㘴挷〳昸捦㐴㜲㘲㥥て㘶㍦摣㕦㕦㘴㌵㕡搶昲㕢挷㠴摥㐴㍦㕣攲戶愵挸ㅥ㐵攵㈹㡡㕡㑥㔷㌵搰㍦摦㐱挳扢愸㈸㝣〵敤㐵攸㠳㠲愶㌸ㄶ戴ㅢ愱㜹㝢愱愸㈸愰〵㕤㡦搰昴慥ㄵㄵ㐵戶愰慦㐶㘸㍡㑢㡡㘵㑡㙥㈱敡敦㈱㔳ㅡ挸㤱〷㜶捣㡣㥣㐷㥦〶挷㤷搱㔴㤱挳搸㠷昱㤵㈸挳〷㐵昶㤲㤱慥㐶㈳㍤挵㉡㉦戰㠸㉣挳ㄱㅡ㕦攳ㄳ㌹㐵㥡扦㠸っ昵〶㝦㡡ㄳ㤱收搵㘴昳慦戳㐸㕥㡡㡣昱つ㠰㌸㤵昹㜲㔹㠲㤷㤰㈹つ㡣昲㑤㑦攰㤷扤愱慡㔷㙡㔷慥晣㘲㜴㜰晣捥挱㡦㝦㜴攴慢慦晦攰㘷㕦晡挹愷㑥晥晢㉦㕦㝣昱㈷晦晡愵搷㝥昹昷㉢㈷扦昷昲换摦晤搸㌷㕥晢搹㝥晢愵散慢扦㤸㝢改搹挹慢捦㕥戳㉦㝤昰捣戳㑦㍥昵昸攴挲㙤ㄳ〳〳㐳㐳敦ㅦ晢晥ㅤて㤴㥦扦昶㙤昵て晦㜴挸㔳㌲㜸扣挰昸㝤㠰㌸㤵㌹〹㙥㈷攳㘵㠲㍦㈰昸㈶挱ㅦㄲ扣㐲昰㐷〴㝦㑣昰㉤㠰㔲㘱㤴㤳㝡㍢㐷㕡收㍡㐵㕢晣㈵㘴㘵㔹㉦㐷换㍡つ㐴㐱㘵捡昱㈴ㄴ挷㉤㌵㉥㐵㌵㘴㌶㝦〲慣攲㙣愴㘸㌱㉡搲晣捥昹〹晡㘲㠴搶晣捥ㄹぢ晡昱〸慤昹㥤㙢㈰攸㠵〸㝤〸㠸愲攲慡〸㝡㍥㐲㙢㝥攷㍡〹晡㐲㠴ㄶ㝥㔷㕣㌹㐱㥦㡦搰搱㌴ㄴ挷㈹慣昵㔷挸㈸〱挸ㄸ㝦つ挰㐴〶㈹昳㐱㉦挷昰晦〰昵敦て〵</t>
    <phoneticPr fontId="10" type="noConversion"/>
  </si>
  <si>
    <t>Decisioneering:7.0.0.0</t>
    <phoneticPr fontId="10" type="noConversion"/>
  </si>
  <si>
    <t>CB_Block_0</t>
    <phoneticPr fontId="10" type="noConversion"/>
  </si>
  <si>
    <t>㜸〱敤㕣㕤㙣ㅣ搷㜵摥扢摣㕤敥㉣戹㈲㉤捡㤲攵㌸づㄳ摢㠹ㄳち㙢㔱戶ㅡ慢㠱慡昰㐷㝦〹㈵搲㕡㑡㜶㤰〶慢攱敥っ㌹搶捥っ㌵㌳㑢㠹戶〳扢㠵㠳ㄶ㘹㡢〲㐱ㅡ挴慥摤戸㙥敡愲㝤攸㉦攰㈶㙤㕦ち〴㘸㔱㌸㐵ㅦ㠲〲㝤㈸攰〶㐵晢搰愲㄰搰㤷㍣〴㜰扦敦捣捣敥散㤲㍢愴搷㜶㑢ㄷ扣搲ㅥ摤㌹昷㘷敥扤攷摣㜳捥㍤攷㡥㌲㉡㤳挹扣㠳挴㝦㤹㜲捣摣㔷摤昴〳挳慥捣戹捤愶㔱て㉣搷昱㉢㌳㥥愷㙦㉥㔸㝥㌰㠴ち㠵㥡㠵㜲㍦㕦昳慤㘷㡣㘲㙤挳昰㝣㔴捡㘷㌲挵愲㤶㐵㌹㍢攱㙦㍣㝥搰搸㙡㌴〷戰㍣㌷扢戸昲㌴㝡慤〶慥㘷ㅣ㥢扣ㄶ戶㍤㍤㍤㕤㤹慥㥣㜸昴搴㜴攵昸戱挹戹㔶㌳㘸㜹挶㘹挷㘸〵㥥摥㍣㌶戹搴㕡㘹㕡昵㉦ㅡ㥢换敥つ挳㌹㙤慣ㅣ㝦㜴㐵㝦散昱改挷㑥㥥㌴㑦㥤㝡㝣ㄴ慦捥㕣㥥㥢㕤昲っ搳㝦㥦晡捣㜳挸㡦捤ㅢ㜵㡢㜳㌳っ捦㜲㔶㉢㜳戳昸㥢ㄸ㍦㥥㍥㕢愹慥ㄹ㐶挰㔷ㅢ㥥攱搴つ㕦㐳挳ㄱ㝢挶昷㕢昶㍡ㄷ㑦戳捦㘱慡㜵摤て昲昶㥣搱㙣㙡㜶摣㙢搱㕥挴摡㌵昵捤㔱扢㙡㌸扥ㄵ㔸ㅢ㔶戰㔹戰㤷搱㔱愳㙣㕦昵㡤㉢扡戳㙡㕣搶㙤㈳㙦㥦㙦㔹㡤㕣㤸㌲㐳㥦㡡扢㐸づ㑣愶㕦㤹昱敤戹㌵摤㤳ㄱ昹㕣㤸㤴扡攷扣㝡㜷摤〷晡昷换愱换ㅢ搸攷㐳晤敢愱攴㥡敥戵㙢㑥昵慦ㄹ㑤扥㝢〴㡦昴慦㥦㔸愳敥㌶㥦敥摦㐶㤶戲扢戶ㅡ㠹昸㕢㔶ㄴ㤳搱ち〴挳〴㐵〲ㄲ㔰㉢ㄱ㡣㄰㡣〲愸摣㝦㘳㤷㈴ㅢ戲㈸㕢搳戳戵㤵㙣慤㥥慤㌵戲㌵㈳㕢㌳戳戵搵㙣㙤㉤㕢戳戲戵愷戳戵ㅢ愸ㄳ愷攲昰㜰㌶㑡㐳㙦扥㥣㜹㌶愸㥥晤晡て摥昹收慢愳敥捤搱〳愸昴㐴㌴愸㜹㑦扦〵㔶敢㜰昱㠹捡㜱晥搹㜹㔷㘰㔳㤸㈷捤捦㥡搳搳㡤㤳挷昵㐷昵㍣愷㤵㐲晣㉥㐶ㄹ㐷摤㔱昳㐹换㘹戸户㠴㜶昷捤敡扥搱㔹戸愹愸㙣搶㙤㌹つ晦㈳摢ㄷ㔶〳㍤㌰敥敤㉤敢㜴戲愵㔹ㄵ摢捡昰攵㝤昷昷㌶扢愶㌷㕢挶捣㙤㉢㉣晥㘸㑦戱扤攴戹㉢晤㑢捦㜹挶捤㜶改㤶ㄱ捤㐰愸㙤㐸摦㕢㘶ㄹㄶ㠵攳㥡㥣㕢㜳㝤挳㤱攱㑤搹㑢㔶晤㠶攱㔵つ㡡㐴愳㈱㔳扤㥢㐵搱慥㥦㕡㜴㌰㔱散搶挶㈷㤲㔸昳散敤〰㥢搹㘸㘰扣敢㠶ㄷ㙣㉥敢㉢㑤攳㜰㔷㤵昰㥤㈸㌸摡㠵㍥攷搶㕢晥㥣敢〴㥥摢散㉥㤹㘹㙣攸㤰㌴㡤㑢㙥挳挸攵㌲㈲ㄴ㈰㜰㠷㠶㤴捡㝣愶晦㕥㄰㐲㈴㐸捣㡤㝣㑦㌷摢㔵慥㘰㜶㤸㐵搳㈰㑦㘶ㅦ摣愱㌳㡥㔷㘴㑣捡づ㑣捣㠹晡㠳㉦㝤㜸㠷㙥摢㤴晢㘰㉢㘷戳ㄳ搱散捦㙥ㄸ㑥㜰㐱㜷ㅡ㑤挳㑢搵㝥㡡㈳搲挶〰昲㜷㈰㄰晡慥ㅥ㔵㥤扡慤㌶昳户慣㐶戰㔶㔸㌳慣搵戵〰㌸㘸挸㘲㤱㑢扢㈵㘹㜷〱愵ㅤ㈴㤸〰㈸㤵㌲㠵㐳慣㔴㈸㈱㘵昲㤴㑥㈹㝢戹㑢㤰戳㕤搷㕥ㅥ㌵捦㔹捤挰〸㠵昲㤸〹㡡㠴㕡㑤挸㔷㈶㡢㝡㝡㍤㔴ㄸ㠷捣㌹㜰愹㙥㌹挱㘶㘷摦㙥搹㈵㈱ㄳ敤换㠲㍤㈷ぢ㈸ち扡攵㐱捡㕥〳搳昴㐸㠳昴捡〹㈶攲㌶㐸搱散攸戹㥢挹㔸㍦㐵㐶愰㝥㤲〹㔹晢㜸㝦ㄹ㐱㘶摦捡愴㙣搴㜷㍦敥㑢戳敤㙣昹㔰㥡摤㡤㠵搳づㄳㅣ㈱戸㠷攰㈸㠰晡㌷㐸㌸㑡㌹攴扢㤳昶ㄱ㍣㙢昷ㄱ㝣ㄴ〰昲㐹愳捣㠹㐴ㄵ㙤愸摤搸㤱慣㔷㠶㥤㉣㐶㜱㈸㡡㘸ㄹ户敤捣戲㉤㠴㡥慣捥扤愱㙢㜳愲㘳㍦搹㥦㌷㤳搳㈱㐷愶㔴㑤捥㜵㠷慡挹㠵㘰搵〱昵搶挷搰㔴㥢㈴昸㌸㐰愸㔸㘸散敥捥㥡愷㌹昹愱㌰㠹㐲㐳㘸㐰攵ㅥ㌱㌱捤晦ㄴ〱户攵攸戲㙦㍦搳ㄴ㥣㌲㍦昴昶昳戱晥㝢㍢㈲㝡㡦捥摣搷㌹昴ㄵ扤㑢ぢ晡ㄳ搸㕥敡㥦晢敡㤷〷㔱慣㍤㐴昰㐹㠰ㅥ晤挲㤳昷扢昵ㄲ㠸㐹㙣㈷㈸㜷㤰ㅥㄷ戱㜰㤷㌷搷つ搱㍥愳收戲敥慤ㅡ〱扣ㄷㄷ攷㘱〷扢㥥㘷㌴㜱愰㙤〸㠲㘷㤷㈳摤㐸晦㥣攷摡挴敦摢挷晥㠷㐲㌱攴㜲搹愱㑣㡦㝤㥣㘲㘷㈶晣㑤〹捥愱晥㝤戴扦㤰㐸㌴敡㘶㉦戶㑢㍦㕢敥㑢㤲〱㈴挹挳㔸㔶敤搳〰㤰ㄲ敡ㅦ晢㑡㤴㈹㔶㍢㈶搵扡慤㔵㝡昷㔲㑥㈶㍤晥挳㉤㜲㘴㈴㜴搶捥挲㜷攰㤷敤慡㘵户㠵挵㠸扤㘴㜸㜵昸ㄵ慣愶㔱ち㕤戲ㄴ㌵晢戲攲㐳㈲㉢㠶㠶戶㥣愵㔳㝣㙢挲㈷㍤㔲㈲㜵户愷ㄶ愶㥣挳㍢㑣㐵ㄷ㈴㠵㑡㡡㕢愸㉤㠱挸㜹慣扢㉦㘲〶㄰㌱ㄵ㉣㥣昶〸挱㜱㠲㘹㠰晣摦㐳搲散㜶攱ㄹちㅢ摥愰㍢扢㔶换ㄴ㐹〶㜱て晥戰慦戰㝡㡣慦㌹㐹昰㌳〰㍤收て㥤㡦㈹㡣㈸㈴㑦㌰㈲慤㈵捤扣㘶ㄹ户挸〳〷㑣〴㤵收㕡㝥攰摡㡣㉡㤵捤㜹昷戲ㅢ捣㕢晥㍡愲㔰ㄳ㘶㤴㜹㜲捤㜰挰㕤ㅥ㙣㥦ㅥ㥣扢扥㙥㌴㌴戳敡戶㈰摡㉥捥敦㠵㐳㌹收〷㕢㔲捥攵㔹㠵㌴搸搹ㄸ㕤㈸㌹ㄱ挳搷㑡㑦散慥㍣摦㍣昴㡤㜵㔶㜴搹ち㥡挶㠸ㄹ㙥㍡收㡢㈶㔶ㄱ㔱㠳挶戰戹扣收ㄹ挶㝣搹㍣敦㔹㡤愶攵ㄸ㈴〶㙣㑣〶敡ㄶ㡣㔵㐴〸㤶㕣挶晦㕣愷㙣㉥㝢扡攳慦敢っ㈶㙥ㅥ散㝡㤲㤰㐸摥㥣戵ㅣㅦ慦ㄱ㉡㌲㍦㘶㔶搷摣㕢㠸搶戶㙣攷扣扥敥敦〹慡㤰改挳㈴愴㔱㔹㤵捤慡㘲戶㌸㈸㝤㜸㈰捦㘴㑥攰㤷㈳㄰㕡㘵昲昴㤷愷㘸㙦摡昵㔱㝣㠶㜶㍡挷㌴㡡挸㔱ㅢ㌹㤴㉡㠵戹㔳戵挷搹收ㄴ挰ㄷ捥㕦扤搸㠹捡扤愷㜸㜵㥥ㅥ晥ㄴㄹ㉦㙣搱づ㠲搰㍦㜷㈰㘴ㄵ攲挸㌹搸㠱愰㌸㥦㝡搹慦㘴㑡ㅤ㜲摦㠱㑥昶ㅣ愲㐸愳收㠲扥㘲㌴ㄱ㡢戶昵攰㐰昸㐰㌳搶搶㥢㝥㔴㌶攷摡戶㑥搶㈲㕢㔶敢㍡㌹㜸愶ㄵ戸㤷㉣㐷㌳〱㠴晦㈲㤴㝥ㅢ㈸晤戶愰㐶捤㉢っぢ㑡㥥㝤戹慢扡㘷〵㙢戶㔵㉦昲㠱愱扢㍤挱㤳搸攴㤴扣㜱㡡㘵挶㘴㡦㌵㝦ㄵ㈶㥢㕦〱戹㉢㤰愳㕣㍡㤲ㅦ㥣㥢㔵〵晣㔱〳㍡㤶㈰㘰挴㑢慡㝤づ扤攵攵㘶〴㐴㡥愴㍢昱晤㡢㍢捦〳ㄳ晡攵㐸昵ㄴㄶ㠱㐷㌰㈱攴改摥㉥㤸㔷ㅤ㉢〰昵㐸戱㜳㔶㌰敦㠳攴〰挸捡昱昶㕥愱㙡愲搱㔴㕢㉢㝣㙣㙢㔱㤷㥡戸㝦㙢㜹㔲㙦㍣戸㑤㜱愸㔱ㄲ㡡㘴愷㑡愲㔹戶ㄹ攳㕥㔲㌵㑡ㄴ㜷慣㙤㔴㥡摢戴戳敥㤴㈲敦㐱㌱〹捦㘴戴搳挲㈸〸昲㤲㍢愰愳攸慦㑦㘷㡦㐴戴㠶㌶㐰㠹㝡㉡挴㤵愳㜰攰㐵㕣㌹㘹ㄸ愵攸〹晢晢㐰㤴㕤㙣〵㕤㈵晡敤㠹愸㘴愶搹㕣㜴㘰㈵搴㜵慦戱㐷戶㌴收ㄶ㙡ㄸ搹㥤㠳㙡晦㜰㜹ㄳㅢ㌱摡㠶っ㠹愴昸㠱戱つ戱戹ㄲ搱㔴㕡㘷㘵㉥㜵ㅢ㕤攴搳㈵㐳㜷㠴〲搵愰㌱㙦㙣㠸ㄹ搶戱攴㈷愴㐱晢戴㈸㜲㔴㌳㘷㔶㝣愸昴㠰㜲㍣捡挹〶搷捣㉢㜴㑢攱〲〳挴㙥㤴㕢慡〷〸敢戶㍢攰挹㘰敦㔰〷㉢ㄲ㠶㑤㘸㥤㔱㠲ㄶ㔲ㄸ户㝢ㄲ摣㍢〳㔲ㄴ㠲搴㤴昴㕦㘷搴换㉦㌱晤晥㤹㑣㥣㠹㌶ㄱ㐳㕤㈹搶〳㠸㥢㡣㑡㜲ㄷ㑤挴挱昲㔰戲㠹搰ㅡ㡤㜱㌴㌱捡㌴昹扣〰㌷㜸ㄸ挷ㅡ攳戶㘹攲㡥㕢㘰㐱㥢㌶㌷て㤸ㄷ㥤㝡戳搵㌰㐴ㄵ挷戲㕡㌴昲㥥愰㤷㕣晦ぢ㜷㔳捡扡㐴㡢㜲ㄱ㐷㈹㑥㤹㐴ㅡ摣敥搶㝥づ捤㐵挸愱㡦㔰戶㌱昸㤸攲㤶㤳㘰搸㤶㍢ち戴てて㜶㉥㉦挸挵㌹㠸戴㉤㈸捡戲〵摣挵㙢㐷㤰㘵户㈵慡㉤戸ぢ㉥㙤昶〴敡㠲ㄵ愲昶〴㡤㌰捦㔰攰ㄵち㌰㐶〶摣ㅤ散㈴㜳㈷㡡散摥㜹㕥ㅥ㌳㜷捥㐴挶㠷㘲㝣㤷愷愰㑣攱昳〰挳㑦戴昴㈶㉥㈶㠲捣愱〵㥥敤㔸攰㡡㔱㘰㕡攱摡っ㠰㘲㌸㤸挶㉤㙡㠶挶捥ㅣ昲愹挶㡥㌶㡦ㅡ搴㘸っ㑥愶㐴㑢㤳㠱㔵挶㉣㈷攰挰〷ㄱ戱扢㜸戰㕥㜶愱㤴㠲㐳㜲㐹㉣扥愷㌸㘵攳㐸攴㝡㠷㝢㤰㑢㝡㠰慢㌰捥搱ㅥ昴㑣愳㐱昳ㄷ晥扡㍤㐱㘵㕣攳〸捤搳㐳㍤ㄷ戴㘴㑥戴昷ㅥ攸㈹㠸㉥づ㥥㤸慦㕣搰㠳晡㕡㌵搸っ㉦㜱つ捡㈲昹扦㠴㝦㘲摢户搳㠶捥㌹扣㤴扡挱戵㉦摤㜰摣㕢㡥㡣㉢敦昳〶㈰戸〴搷㈹㠷㌹挸㔲收ㅤ晣㤱㤴捤攴晦〲㍤敥㘶搸散愰攳㌰㘱㍦㤲㐲改㌰㠹㝣ち㥦挰㤶㙦摦㈰㈰㥦ㅣ敡攱ㄳㄱっ晢㡣攲慣扥㙦㡣愲扥て戲㤲㔹挲㈳㍡搶晣つ㙣㝦昵㍤㘰㐸㜰㍣㐷㘲㈵晦㜱攴㔲㐸㈷㠲㍤扡敥挱换㈱晦㝦愸ㄴ敦收㙤户搳晦挲㘶㔶㝦摥㑢愲晢㐹愲㌷户㤲㠸㠱搹㜷ㄵ〲攷攸昷㡦㥥ㅦ昸㌵摦晦挳愳攷〲㈸捣㈴搶ㄹ㠲㙣て㈲㉦挶〱昶扢捡㡡㑢㉥㘹㄰㍣㠴㘲㌱〸㉥戱つ攳昷愱㐱㄰㜹㍦ㄶ㠱㐸㌵〸攴㜸换愸㕥㡡〹㤸〸戲㈶ㅣㅡ㍣㝢ㅤ戶改ㄹ扢㠰敢戶㠶㡦㐸㍥搴㤳㍦〷㕦搴㤱慤攸㈵摤搳敤愳㠲㍦敦ㄹ㔰㕢摥㌲敥㙦㑢ㄳ戶戸㜷摢ㄲ㘹戴㡤㤷㈲昶慦敦㝢㔲㜶㜷㙢ㅤ㤴ち㔳攸戸㔷㐵㔵㜸て㍥ㄲ挵ㄳ㐳收搹㐳㝦㜸晥㕦㥥㜹昱っ敦愹㐵扣㥡㘷㘰㜸㤰㘰㍤㉤〷㠴㜳ㄳ㔷㐴敥收攷㌸㤷昰㘱㤲戵摥㌴㘶㜵㑦散ㅤ㕦戳攳㙣挸㜸〹挶っ㤹㙦㉦ㄸ㤳戸昱㄰ㅡ㤳㤵ㅥ㐷愷㝣捥㈴捥挱㑡㘲攰攲捤㡢〳㠶慡慦捡ㅡ搰慥捣晦㌱㤴捥扢ㅣ㐸户㍤挸昳㈶㤳㔲㝦搴慢搵㑥㔲慢㠹㤹愸ㄸ昰㡦愵ㄴ㈲て攴㤰愴㤴攲㔵〰㤱㔲㔷㤰挹㔷〰㔲㘲㙡扤挱㕤㝡〲昶㠵㠰搱扥敥㌷攰愷㉢㔸㐵㔰㌱昶挲て㝡㤶愵搵ㄹ慢愶㐷㤸挷㑦慢〲挸㌱㠵〸㐶㙤〵扢㡣㑣㥣昲搳挸敤摡ㄱ挵㤷㤴敤㌰攴ㄶ㙥散扣㑤㉦㕢挹㍥敢戴㜰攷〳㝡愶㈰ち挳㌹㐸㌴㡥㥥ㄲ㥤ぢ慢㤶㐲ㄴ攱㔸㤸㙤㌷ㅡ㠹㡡愰戳㥣愳㌸㝦㈲散挷敦㠳㔸㍥搵改晡敥摥ㄲ敡㌸㘷ㄸㄳ攴て昶搷晤㈹ㅢㅢ㙦攵㡥㠱㠴摤㔵慤㘲㜸㈹晣㉡㥡㠸㍤慦戴㑥㤶敦㔲㡡搱改㜸㘷つ㙤搵晦㈷㔱㉣㍢敢ㅡ㙢㌳㠰摤愵晦㥦〲㘲㐷晤慦ㄸ㜵ㄳ㤲㝤㈹捡昰㈱捦挸挹㡥挱ㅡ慥〸㝣摡〸摢挸ㄱ㔸㤳㉣㠳摤㘱慥㡡㑦㔶挳㘲㤱攰昰㜸攵㝡㉦㐵戴摢搲戶ㅤ改㉢〰㑦㜱㐸㙦㐰〴昵㙤捦㐱㙦㍤挷ㄶ扥っ昴愱㑢㔶摤㜳㝤搷っ㈶慢〸昷㑥昲㡢㌳ㄳ㌶捦㡣晡㙥慦㔰㝢〰㉢㌱晡ㄵ戴戹扣〸㠱㝤搹〸摥慦㈸㈴㘳ち扢㡢㘱昰敢愳昱㐴㘰㠹摡挱扦换㡣晣㐲㡢昰㜲〶㐴敤〹㘵ㄷ晡㥡㝢敦㘶㜰改㜰㍢敢㡢昰晣ㄸ捤ち挲㘲㌲㠵㉦㝦㠵敢摡扢〶摤㜵愳戹昹慣㌹㤸户慤㤴㝦ㅤ㌴摤摤㕢扡㔹㠶敦攴㜷挸㈵慤㐶〸㉦ㄹ扤愵扢㜷捤戲户〹昰㜹昴ㄹ㌷㕤㕥㔳㑤㌸捡㜶㡥㝢㤷搴っ摡戲扤㜶㍤捡㠸㥦㤷晥㍣㙥㐳昵ㅤ㑣㠹捣㡦㝣愶戰〲搰㥦愳㕦㐵戵㉥晦〰㌹㕡捤戳ㄷ晣戴〶㝢㠸㝥㡡㠷つ昲㘵㐹晤㈶㕡㜱摤挲昹㘳㙦㜰晥㑡づㄵ挸㙢慢〰㜱㔲㍣㔴挸愸扥㡤〶敤㔱㔹挰昶ㅦ搵户戶ㅤㄵ捤〱ㄹ搵㡤戸㜳晣㍢ㅥ慢ㄳ慤㠹㈷捤㈶㜰〸㕣ㄶ挶㕡㘵㡣㠲㤲搲愷㄰㠶ㄹ扥㝦〶㜹愴㝦㠸晥㝤晢捣て摦㘲晡捦㌳㑡㐴㈳㡡戴㜵愹ㄱ〲㐵搱㈸戳昸昵攴㉣㍣㘰晢捦攲搷戶㥢挵㌸愵㈶㉦愷㘸〱㐰㜹㑣㤱㝢㘴㔶慤㈸挳㠷昱敢〴昸㘹ㅢ〰攵戱㜱ㄲ㐲㥥㙦ㄱ㜹㥢㘰㤳攰ㄹ㠲㘷〹㥥〳㈸㤷ㄴ㠹㈱摤㝤㌵捡㐸㜷愴〸㥢㤷挷挷戹㜸㘱㌶捦ㄵ㑢昹ㅡ㐸㑣㉢摥㥥愴挳愷㄰㝡㙣ぢ愱㐲㉤摡㤱慢㜶㑦㠸㤵挸改摥㔷ㅢㄴ〶扣ㄶ愰㝥㌱愶攰㠵ぢ昱愷㔶搹㈸㔰〵づち㡤㔹㜲ㅣㄷ㔲晤㐲㕣昹㑦摥散昸㔵㔱㠰〴㌶ぢ㉢㤳㌳愵昲ぢ㜱攵ㄳ昸㡣㑢敡㘴㜸敤㠰改敤戸㌲㌹㔸㉡㍦ㅦ㔷晥㡦ㄳ㐷摢㤵㘳㠶つ㝢ㅥ㕦㐷攵㠸慣㘴慣ㄴ㡢㔹捥㄰㠹慦扢挷㔰㍤㙦㔲ぢ㡦㤸㈱㥡昲㔷㐲捦㑤搱挳愳戸㑣攲攱晢敡〵摣㡤挲ㄵㄲ㠸敡昰扦㔹戸㠸㍢㔳昳㝡愰攳昳改つ〴慢㍤㑤㥥搸戸㘰㉥㝡㐰っ㥢ㄷ㝤㥣捣ㅡ㝢㡡㕢㘰㔴攴挲愵摥挱㠹㥦㘲㠰㜶搶㈳づ戲㘵㜹〷㘵㌰ㄵ㈴挱㤸㥣晡㙡㑣攴捣ぢㅤ昶搱㕥〴㜱㈰㕡〱㤹搱扥〶ㄸ〶㙦づㄱ㌱㑥㤹㐱戱愶晤ㄲ㐰㜹㐸㔱㕡㤰晣㠵㕦〶ㄸ㡢晦㙦㡢挹つ㜱戶㘴搵慤昸ㅤ㐹㐶搲扥捥〶扦〲㌰〴㉦㉦扣㐶㐸戸换愰晤㉡晥㑤扣㉢㑦挹昳戹晥挶㉣捦慡昱昷昶㠸㐲㜶㝤㔸㝦ㄶㅦ捡㙦戲攳㈱晣㍦㈱㜹戱扣㜳搹㥦ㅤ慣㉦昲ㄷ搵㥤晣㍣㑣攸㍤昴挳㜵敤ㄸ㠱散㔱㌴㥡愲㝣攵㜴搵㑤昴捦㜷搰愶㉥㈹㑡㕣㐱慦㐷攸挳㠲愶っㄶ戴ㅢ愱㡦〸㥡㔲㔹搰㑥㠴愶攳慣愴㈸愷〵㙤㐷㘸晡㐱㑡攳ㄴ搷㐲挹㙦㈲㔳ㅥ捡㤳昰扢收㐰捥㘳㌰㕢㐲晢つ㌴㔵㘴㉢昶愱㝤㉢捡昰㐱㤱愷㘴愴㔶㌴㔲㉡㑢敤摢㉣㈲换㜰㠴摡㑢㝣㈲愷㐸昳㤷㤱愱戲攰㑦㜱㈲搲摣㐸㌶㝦㠵㐵昲㔲㘴戴㔷〱攲㌴捥㤷换ㄲ晣ㄶ㌲攵愱㌱扥改㐹晣戲户㔵晤㝡攳晡昵㥦㡣攵㈶敦捤㍤昵昹搱㤷摥晥扢ㅦ㝦攳㐷㍦㝦晡摦㝦晡捡㉢㍦晡搷㙦扣昵搳扦㕡㌹晤㌷慦扦晥㠳㉦㝣攷慤ㅦㅦ㌴㕦换扥昹㤳㠵搷㥥㥢扥昱摣㑤昳敡㘷捥㍦昷愵愷㥦㤸㕥扡㙢㙡㘸㘸㜸昸㔳ㄳ㝦㝢捦挳攳㉦摣晣㥥晡敢㝦㍡攲㈸ㄹ㍣㕥搰㍤っ㑥㠲㤲㔴㝢㡤攰户〹㕥㈷昸ㅤ㠲敦ㄲ晣㉥挱ㅢ〴扦〷㔰㉥㡥㜱㔲ㅦ攴㐸挷攳㜵㔲㕣ㅡ㔹搴愷愲㐵㥤〵愲〸㤳敤戵戸攰挹愸㐰愶昰〷挰㉡㑥㐱摡㕣㡤㡡㐲㈶攷愴〴扤ㅣ愱㐳㈶攷㌴〵㕤㡤搰㈱㤳㜳攲㠲扥ㄲ愱㡦〰㔱㔲㕣ち㐱㍦ㄱ愱㐳㈶攷攲〸㝡㈹㐲ぢ㤳㉢㉥㤷愰ㄷ㈳㜴㍣㝡㡥昳㐵晣戴㍦〵㔰〲昸昴㘷〰㑣㌹晣挶昹㄰㙡戸㤱晦〱㤳㈹ぢ㈵</t>
    <phoneticPr fontId="10" type="noConversion"/>
  </si>
  <si>
    <t>CB_Block_7.0.0.0:5</t>
    <phoneticPr fontId="10" type="noConversion"/>
  </si>
  <si>
    <t>Decisioneering:7.0.0.0</t>
    <phoneticPr fontId="10" type="noConversion"/>
  </si>
  <si>
    <t>CB_Block_7.0.0.0:4</t>
    <phoneticPr fontId="10" type="noConversion"/>
  </si>
  <si>
    <t>CB_Block_7.0.0.0:3</t>
    <phoneticPr fontId="10" type="noConversion"/>
  </si>
  <si>
    <t>CB_Block_7.0.0.0:2</t>
    <phoneticPr fontId="10" type="noConversion"/>
  </si>
  <si>
    <t>CB_Block_7.0.0.0:1</t>
    <phoneticPr fontId="10" type="noConversion"/>
  </si>
  <si>
    <t>㜸〱敤㔸㕤㙣㈳㔷ㄵ昶昸㘷散敢晣捤ㄶㄶ愸㡡㔰㤶㘶㔱㑢戲慥㥤搸㜱ㄲ㌶㜴ㅤ㈷扢㐹㜷ㄳ㘷㤳散㜶㠱㠷搹ㄹ晢㍡㜱㌲攳㐹㘷挶㈱㈹㔹扡戰愸㉤〸愹㐲㉤晤㐱攲㘵㡢搸ㄶ愹㔵㔵㈱㐱㠵㉡㐰㐲㉢㐰㐲㠸ㄷ〴敦〸㔴搴㍥㔴ㄵ㔲㥦㔸捥㜷㘷散㌸㠹攳㤴㉡ㄲ㐲㜰㈵ㅦ摦㝢捥㤹㜳捦㥣扦㌹昷〶愴㐰㈰㜰㠷〶晥㌱挲㤸㝣㜲㜱换㜱戹㤹挸㕢㠶挱㡢㙥挵慡㍡㠹㥣㙤㙢㕢ㄷ㉡㡥ㅢ㈲〶㔹慤㄰摤㠹愸㑥攵㔱ㅥ㔳㌷戸敤㄰㔳㈴㄰㠸挵㔸㤰攸攰挱㑦愹㉦ㄸ㔶㉣っ㐰㕣㠱㑥㤹挰㔲㝥愲愰慦㤲晣㐵搷戲昹㐰敦㘵㑦捡㜸㉡㤵㐸㈵〶㠷㐶㔳㠹攴㐰㙦扥㘶戸㌵㥢㡦㔷㜹捤戵㌵㘳愰㜷扥愶ㅢ㤵攲㜹扥戵㘴慤昱敡㌸搷㤳㐳扡㤶ㅥ㐹愵㌳㤹昲攸攸㐸㘷㤴㈴捦ㄵ昲ㄳ㠹㌹敥ㅥ㤱捣〸㤴㝦㘰㤲ㄷ㉢㜸㑢捥敤㑡㜵㌹㐱㍢散搲㍦㔱㔸㜷ㄳ㠵㐵敦㡤㉡ㅢㅣ㝡㜴慡昳㌶㉦㜳㥢㔷㡢摣改㔶愷㌶㡢摣挸㜳挳㔸攰㘵愷㐳㍤㘷㕢戵昵㤹㙡㠹㙦㠶搵换㥡ㅤ㔳捦搵㉡愵㔹㙤扤换扣攴昰〵慤扡捣攷㌴㤳㐷㑣愰㠳攱㐰㌸ㄴ〸愵づ㔳㈲㍦㤱㑤散摡〶㠶㡥昵敥㜹っ收㈱㜵捦㜳扢捡㡤〴愹っ㘵㕢㌹㝤㕡㜳㔶㕣㑤㌷戸搴攱㠷〴㤴㠱捣㌸㡢ㄱ挴㘰っ㈰㑥㐰ち晦㠳㈲愹㤹戳㠳戰㐱㔵ぢ慡㝡㔰㉤〶搵㔲㔰攵㐱戵ㅣ㔴㤷㠳敡㑡㔰慤〴搵搵愰扡㐶㍣昵ㄱ㡢㐶㠳晥㈸㑦㥣昸挶昰㑦扦㌷晤摣㤵㝦㍥昱摥㕢㉦㙢ㄱ〴捦愱敦敦㌹㘱㠱㍦㔲慢搸摣攴㔵昷扦挷つ愴昴㠷㜱㐳愷㙦㍢搶㐵ㄳ搶㑤㐰㤲摥㈵㌷挰ㄵ扦㑣㍦昶敤摥户㙥㥦㝦昹愵㕦摦㤸昸昱慤〱〹戹〷㍢挶㤹㐲㄰㠳ㅤ〳戸㡢㠰㈴扤攳㍦戶摡㜳晢㘷敡㕤㝦㝥攸挶㌷敦扥昱㤳慤㥢㙦㐶攰敡㐳㑤扦㉦昴㤰晢㑣㐴㉦㘵慢ㄳ㌱捦㕡戶ㄳち戵つ戳戶㐴㠴ㅤ晢㈸挰㜱〲ㄱ㠴摤愱㠱晤㌱㘲㤲㌴㐹㡦㥡ㄴㄹ戳换㜶挴昴㜲㙡㤲㍢㐵㘶㔲搶㠹晣㤳㘹㘶搴㜸愷㤹户慡㉥摦㜴㈷㌵㔷㡢㥡昳ㅡ㈵慥摢㑤てㄲ㕦扦㉦愰戳扥㠴㥣挶〲攲㤴㍡愵㉥戵㙢〷㐱挲㍦㔲㕦㌵敤搱㤰敤㙤挵挴㍥㄰散捤㈰戵㑢攰敡㈲攳晥㡡攴㈹㘲摡㈴慣㐳㈰㍣㐹攱㜰㔸愲㐲ㅥ慡晦㜹㡢晢て㉢〳愸昵ㅢ晣㙣慤㡡㐰散晦㘰摣㑢㕢敢摣〱晦扤敤昹㠵昹挱ㄷ㤳摢㝡戹慦㤵㤸愲㝥挹慤ㄸ㑥㠲㕥㔱㔴捤晦挴㝥㐷愵㌷㜴㡦㐷晥㑥戹昶敦㔸ㄸ㥦攵攸〶愲㔴㔵〳㌱挸㐰㝡挵攵㡦ㄳ散㙥晡散㡣つ㡥挹㥦㈰㥣昸愸攳ㅦ㠳摤㑤㈰ㅥ㘷㘰㘶愰搲收㜷攸㑦っ㡦搸㡥ㄶ㐶㜱㙦敢㌴昱㑥ㄷ㉣慤㜴㔶㉢搲挷㍣敡㝦捡㘳㜹换㕣愷㉣戲ㄵ㝣㐸昲㔶㠹捦摢搶㐶愵挴敤ㄸ㄰㡢搴㍣㠴㔱ㅢ㘴㤱㝥づ〵㙣㈸㄰㠹㜴挴㕡敤㌵㔳㤷搵搷愲㌹㤹搹㈷晦敤㡢㈳て昶㤰摡昱㌸扥㐱慣ㄷ攰〴〱〹昵ㄲ昵㡣㝤ㅡ攰㕥〲ㄱ㔴捥昶㤵㠴㙡昳晦㘸㈵㐱㐷戸扦㤲挸昲晦戳㝤㔷㌷㈸㍡慡㔶㔵ち㤹攱㡤昷晤㡣㝢晦㑥㕣敥㈳㤴㔲㔸㙣敡㔳挶搲㘳晢㌳昳㌳挴㐶㘹ぢ敥〳㠸敤㘸ㄲ㥡〱愴敥㥥㕣㌸〵㜱〹〲ㄲ㥡〰㤱ぢて〰㤵〴ち敤〰昲挱ㅢ捤㍡愷〸戵㐷攷挱ㄶ㍡てㄱㅢ改っ敥晤㍡ぢ㘲㍢㥡㠴㑥愴慥㌳昴昰昳㜷っ攲㍥㐷㐰㐲〳㔰㘷㐰㔱昴ㄹ㑥㠳㘱ㅣっ㘸づ㕡㌰㝣ㅥって㠲㐱ㄴ㐳㥡挰㉣㔷改摦㤷㜰㠶愶㉣㐷㐰改㈵〰搱㌱搸㈶愰㥣昰㤷㙣〲ㄳ㤴㡤ㄶ攲昳㠴㘶㤳㘰㐰㐹㘹挱㌰〵㠶戳㘰㄰㕥愵〹昶㕦〲戳㔷愲捥㠱㘱㥡㠰〲〷㌵敤㉦㕣〵攲っ昰㜰㔵ぢ昱て㠱攱㍣ㄸ攰挶ㄶっㄷ挰㌰ぢ〶攱〴㥡㘰㝦㙣敡敦㍦〷㠶〲〱〵挶㙥摡㕦㤸ㅤ挴㜹㄰㘱㘸㄰攵㡢〴㑥收㈷昲ぢ慡㤶ㅣ㉣㈷㤳㐳㍣㥤攲改昴搰㘰㘶㐴搳戸㕥ㅡ㑤昲㜴㔹捦㡣㘴换㡡昰ぢ戱戳〵〲ち㍣〱〹㙣ㄱ㉢攱ㄲ慣〴敤っ捤搰愴捡㤷〸㐴搵愹㐷攸㠳戱㉥㕦愶挵戱晣㠴敡ㅤ慥㘶㑡搴㤶㔵摣㉤昹㘱㐲㜷〳扤敥㉥㔲挷㡦㔳㤶㝣㠵㜰㕤ㅥ㉥㔷摡㔸㜴㌵㔷晥挲づ㡡㡥㐶㐶慤挴㤵ㅣ愱挴㌶㕦愴㠹昶㤵敤〵换㜲户愹㍦攵㐵捤㜱㥤㙤㝣㙡㉣愷㠲㠳㙦敦搴愶㘶慥ㅢ晣搴挵㥡㘶搰愶愷㘸戳扦晣晣搵扦㍥昳㐶㌶戱㘹㌸㥢摢戳昴㔵㌳戶ぢ㜴〴搶っ愳昷㥣愵ㄹ㠹昹愹㠵晣搴摣搲捣㠵愹晢㤲㠹搱捣晤搷搸㤷㘸ㅢ㉦㥡㐴㑥挴愴㐰ㄴ挱㈴捣㄰愴晦㔰昳愱㐹㝡搱敦挳搷晥昰㐶搷挹捡昴摣慤㥢㍦晡㐵捦搸て慢搲㑤㥦昰晡㜴挷挵搷㝥昷昴㤹搷㑥晤㜱戲晦㤵ㄵ㔵㐱昴〹愷愸㌴昱㥣㤲㉥㡦敡愵㉣㉦て㤶㌳搹㜴㥡㥣㤲㑥愶㌲攵ㄱ㙤㔸㑦愵㔲㐹㙤㐸ㄱ挱㑡散散㉡〱〵攱㈹㥣愲㘱㈵攲㤴㈶ㅥつ㐱〲㙢㌱㌸㠵挱ㄹっ愶㘷戰㌵㠳㜵ㄵ㠴慤戰攷ち㑤ㄶ㤲愷挷㡦挰愴攳戹捣㜰㘲㌶㜷攵摡改昱㈴慢㤰摣㍤〶㐴㌶ㅣ㘰挰敦晡㜶戲㠶〷㝥㝢㝣敢㙦㜳㉦晤改捤搵摦扦晢搹㑤改㤹㠳っ㠸昴ㄱ〶㌴㘹攲㐷㜵㤶〲㍡慢㈷戳搹㔴㈶㥤捡愴昴ㄱ㍥㍣㌴㤸ㅤㄹ攲㈹㕤㉦改㔹㐵㘴ㅢ戱戳㉡〱〵昹㈵っ㘸㘱㈵ㄲ慤㐱㐳㙡戵㌷㈰昲㑥ㄸ㜰㠳㈶㐷㘶挰攱㘴挳㠰㕦㈶戹㌱㡡㍢㔲ㄷつ㈰㈲㄰改㝣㠰〱㥦昰敤昴捥昵挴敤愷㤶㕦㉣扣昰摥慤攴戱攱㑦㡤㑡㡦ㅦ㘰挰〸戲㌷戹愷㜵摦㜷㐵戲昷㠸㈸搳㐳挷捤ㄹ㠷敥㐳攸敥㘷挹捡㌵㙥㍤㡥㠹㡥㤰昰晤昵〳攴挹ㅤ㑣㑥㜷㉣愳收昲晡㘳〵扢昱ㅣㅤ㤷愸㐵ㄶ捦㔱㍡ㅦ摦㔹㌵ㅤ㤴敥搹挱捥㔴ㅤ㙥扢扣㔴㤷攸搰㈹㌸ㅣっ㐹㤹挳摥㠴慡〰㉥㝢扣愳㘱晤㑡〷慦㜳㑦㡢敥㜴愲攲㡡摢㌳搰㈵㠶扡㈹㙦ㄳ㘰攳㝤戹扥㔴㌲㤹捣㐴㙥㤰㔹㍦摣㥥昰攸捥戹〰㍢㘰挴搹㔷〹㑡㈸戰㄰つ㔴攷㘳〴愸㑤㤹戴㑣慤㔲㍤慡㥢㌱ㄴ戶扤挷ㄸ攱㜶㙦㥢挶ㄵ㔹扤㘶㈳挶㍢捤㐲㔱㕦戲戹戸摥㡡㠹〵㥤㈱扢捣㠷㉤㝢㑤户慣㌵ㅣ㠰扢挵捡㔹攱摣挵㡤㔳㠷改㤵㝥捣㈵㐹ち敤慡㤷捤戵ㄳ㉦㈹㕦㈷搰㤵愳㙡㕣㤷攸挸㕦㈳㔴㠸㘴挸㕦愷㐹晦〷慡敦ㄹ㔱摦愵㙢㝥挴㥢㑦㍦晢㥢搳扦㝡戴昰攴搵户户扥晦㠳㝣㐹摡昶〹㝢㉦慡愴慢戴〵搲㐱㘲愸挶昲攳〴ㅡ慥ㅥ㤶戶攸戱扡㑦攲散㐹昰㘹〴敡㈸〹㤵づ㔶㘵搷〹挸摦㈲㄰愲㌶㤱㐱㙦挹㍤㐸ㄷ挷㈷散扢昰㐱㘹昲㜴㐱㘱㤳㥦㈲搰搰㘵㔰㕡摦愵换㜷戰〵慡㔷㐳ㄷㄴ㡤㠶㉥っ扡㜸㝡慣ㅤ愴挷慡㑦搸㝢㠳ㄴ㐶㌸戶㑢㡤㄰搱愳愶慡攱㤲㌹㘶慡〶慦㉥扢㉢㡤㡢㘵㙡愲㘳㜴戳晣ㅣ㌱〵改㠷㈱挱㜲㤰捡㥥㈷搰挰攲ㅤ〴昶㠵㈶㙣てㅥ㐴愲挴攸ㄷ攸挱〳㍢㉢㌰㌶㔶ㅤ晦〲㥤捥㙤て</t>
  </si>
  <si>
    <t>㜸〱敤㕣ぢ㜸㕣挵㜵摥㔹㘹慦㜶㔶㕡改ㅡ㥢昷㑢㌶㜶戰㉤㈳㜶昵戲㘴㌰搶㕢ㄶ搸㤶㙤挹㈶㐰㠸戸扢㝢搷㕡扣て戱扢㌲㔲㥥㑡㥡〴昲㉣㐹㤳㠶㈴㄰〸㐹㜸〷㐸摢㉦㠵〶ㄲ㈰㐹㐹㔲搳〶㐲ㅦ戴晤扥〲〱㥣㌴〹㈵㘹㥡㤲㌶〹晤晦戹昷敥摥㝤㐸ㄶ挶㘹摤敦换搸㝢㜶收捣㤹㌳㌳㘷㕥攷㥣㤹㤵㐷㜸㍣㥥㔷ㄱ昸捤㔰换挸㘹攳㜳戹扣㤹㙡ㅤ挸㈴㤳㘶㌴㥦挸愴㜳慤㝤搹慣㌱户㉤㤱换搷㠰㐰㥢㑣㈰㍦攷㥢捣㈵摥㘲晡㈷て㤸搹ㅣ㠸㝣ㅥ㡦摦㉦扤挸昷摢ㅦ摤㐹㐸㤶㤲戵〴愰昲㐸㡤愰㡥㠰愴㔲ㄲ〴〰ㅡ敡〱㈶〶晡挷㈲㔷愲攲昱㝣㈶㙢㙥㘸摥㙢戱摦ㅣづ户㠶㕢摢摡㝢挲慤愱つ捤〳㌳挹晣㑣搶摣㥣㌶㘷昲㔹㈳戹愱㜹攷㑣㈴㤹㠸㕥㘴捥㑤㘴昶㥢改捤㘶㈴搴ㅥ㌱㍡扡挳ㅤ㥤㥤昱㥥㥥敥㠶〶㜰摥㌱搰扦㌳㙢挶㜳㐷㡢㘷㤰㍣挷〶晡㕢㜷㤸昹愳挵戳ㄱ㍣挱㜲㌰㤳㌲ㄲ改愳挴搴㐷昱㜷づ㥡搱〴挷挹㌴戳㠹昴扥㔶㌴扢㐴搰㐸㙤㙣敤换攵㘶㔲搳ㅣ昲〱㌳㤹摣㙤挶搵昸愴〶㜳昹㥤㐶㌶㤵㙢㐸㔱㝥㘶搶㑣㐷捤㕣㘳㙡㘸㌶㙡㈶㙤挲㥣㍦戵搷挸敥㌰㔲㘶㉤㈳㑤㈹㙢っ㐷㘳㘶㍡㥦挸捦〵㔳㝢㜲收㙥㈳扤捦㈴㠹㉦㌵㌲㤳㠸㠹摡㕡晣昷搴㥣㕤慤㘵㙡愰搰㥥搴挰㤴㤱捤慢ㄴ㠷㌰㕣㡤搶㌵㕤㔴㉦㑡摡挵㈹搵㕣㔶㡡㘳㌶㥥㐸㕤㘴㘶搳㘶㤲㤵㜰㈴㕢捡㠸㤴㠰慣㜱㈸㐸捡改づ㐷㐹搴摢敢㠴㝤㘱㉤㕡ㄳ挰晡ㅤ㤹㙣ちㄳ㜲扢㘹愴㌷㠷㕡㍢㌶㡣攷㘳㠳收〱㐴㐳㥤愱㤲㄰㤶㍡攸攵㌲㤶㍣づ愰㌱㤷㐸捤㈴つち㝦㔳戸㙤㤳㕣捥摣ㄵ〰愲昶挷㔸愲攵戵㜹㈷つ敦㘴挴㍢ㄹ昵㑥挶扣㤳愶㜷㌲敥㥤摣攷㥤㥣昲㑥㈶扣㤳㔷㝡㈷昷愳愴ㄳ晣㜵㜵㕥㍢捣敦㝥挸㍣愰ㅦ摡㝡㜳㜳慥昳晡挰捡扦昴㜱㔵戶㔷敢㝡戹㔴㠷戱ㅡ愳㐶㉥㙦て㌸㤷敦搱㥤て㠷㥦づ挳搹攸敦㝥㍡愰㤲愳㌲ㅤ攴〹㤰㤰㍣ㄱ㐰㍢㠹戲ㅡ挳㍥㘹㈴㤳捤㈳ㄹ㈳㈹㑦㘶摥㈹〰㐲扣㠰挱攵〰敦㝦攲㠱攰㥡挴搶ㅤ户摤㜲攷挳㑤㥢㙥㑤晢戸㔵㉥㘹扥㘳昴戰攴㕣㉢戶㤱慢㙤㘰㈶㤷捦愴戸摣㡥敥㌰㜹散㜱ㄲ㙢慡捤ㅡ㙢摤㕡㉤㝡㥤慢昶慣㌲晥㕣戵㘳搳㜹㝢搵㕡㔵ㅣ㤵㤱ㄲ昲㌴づ挷改〰摡ㄹ〰昵扢〷㈷㥤扡攵㤹捣㙡〶㄰攲㕦散㤱㝡昶慥愶㠳㑦㑤㝦㜲攴昶㙦㥥晥㥦晢摦扡晥晢㠲攷ㄹ㐷㑢挸㔵㠰昲㉣〰㙤㌵㐰㝤摦㐴㤱搱ㅡ㘶扤〱㐰㠸愷㙤㐶晡ㅢ扦㜰挶搷㑥晤搲攸㜵搷戴摦晣昰昹捦㝥㑡㜰㔱㔹㡣搶㤲㝡ㅤ㠰戶ㅥ愰㝥摣挵愸㠵㔹ㅢ〰㠴昸扥捤攸挶㔷づ㍥昹换㥦ㅥㅡ扥㈷昲挸户攷㕦㜸晣㔵挱㝤㕢ㅤ搵慤㠸㥣攰摥㤳ち㍢㔲㔸㥥㑢㐶㈱〰㉤っ㔰戲晦㠴㌶挹㌶收戶〳〸㜱搰慥收㘲昳㉢㈷㝡扡㔳㐳搷扦攳扣㥥㙢摥扦收㍥挱㤳㕢㔵搳㠹挸摡㤲㙡㍡㥤㥤慦扤戵扤㌴㜴捡㉥戲摥〸愰㜵〳〴㕤ㅢ㕦晢㈶搹挳捣㑤〰㐲㝣换慥㜷挵摣攷㑦㝡昸慥㑦㡥㝤昶晥㈷慥㔹摤昳㙥㥦愰戲㘰挹改㝣㔲㙦〶搰㉥〰〸づ㘴㘲㘶㔱攴㕢㤸搹ぢ㈰挴搷㙤㔶昷㥦晢愱㜳ㅦ㝡换㠹㈳昷㌶㍣㝡敦户㍥㌳昷㤱㠶㝥㘴敦戲㜷昲挱慣㜱㌵捥挶攲戱摢搶㡡㝤㝢㈹晡〶搴㡤㜸㘷㝣㘳㍣ㅣ㡥㜵㠶㡣㜶挳挷扤㝤愹〷ㅢ㘹ㅢ攲ㄷ㈷搲戱捣搵㙡捤㥣搶㙦㘰晤ㄶづ扥ㄶ㍢慦㍦㌳㤳㡥攵㑥慤㥥㌹㥥㌷昲收㈹攵㜹㐵㈶ㄵ挵挶愱〷㤸㌹㔵摦ㄹ攵挵昶ㅡ挹ㄹ戳㙦㌶㘱㘵㥦㕥㤶つ㉤㈰ㄳ㔹㌸㜷㌸㙢㕥㔵挸慤㘸㔱ㅦ㌴捡〳㡡㜷㐵㉦慤㉣慢㕤捤〳㔳㤹㥣㤹㔶捤㙢㐹敤㑣㐴昷㥢搹㜱㤳晡愸ㄹ㔳㕤㍤㥥㔹戶㉡搲㌲㤶㐶㐷愱㕣挴㔶戹戱昱愱搹扣㤹㡥㤹㌱戴㜷摡捣收攷㈶㡣㐸搲㍣愱㠴挴慡ㄳㄹ㈷㤷愰㠷㌳搱㤹摣㐰㈶㥤捦㘶㤲愵㌹㝤戱〳〶搴㥦搸㜶捣㌴㘸㉦戵っㅥ攱愹愹ㄱ挲戳摥搹㌵摣㍡ㄶ昹收㕡搵㐰戸㠶㤸捡捣㐹愵搳慥㜵㌷㝡㠷㕥㈴㑤捥㐹敦敡挳㌰㔳㝣挹㘶摤挲㠴慥㍥㔱㜹㈷昵摡㠵愹㔵ㅢぢ㈳昷扢㈵昶㝡㤷摢扤ㅦ㍡〰ㄵ㜱慢㤱㡥㈵捤散愲愶㠷㘰㡢攴〰㠰敦㐱慣收〵愵㐷㡤㐶捣㡡㌹摦搵㠹㔸㝥㑡㥢㌲ㄳ晢愶昲挰挱㍣昱晢㈹摡㡡㈰㠷㠰㤲挳〴㈳〰㠱㠰㐷摢㑡㈲㉤㈰㐷慤戴㡦㙡摡㤲づ攳ㄲ攵搳㡢㔲㔲㈹扢戰㑣㜲扥ㄴ㜴愸㕣㑤㑤戵㕥㙥㌵㜲㔳㜹㑥捦㐵㌳愹㘶捡ぢ〹㉥〲昰㔱㐵㍣慣㙥㑢慤戴㤶㉡㝣㌰㌵㘸挶つㄸ㑥㙡㜵ぢ挳愷㤴〳ㅦ戰戹愸愴搲㍥㡡戵㌲慢㈱㠶挵摦㤰攲散㌷㘷昳㠳㐶摥愸㑢㐱晤挷㈸㐹㄰戵愸㔲㔶㡣㈵㠳ち攷㤴づ搸㈹㜰搰㔵搴挵愵㕥㈱㉣㑥㔸㌸㔸㉦㥥ㅡㅢ㉥摥〹戶ㅤ㥤搰捡㈷㝡愹ㅡて敢㈲㌶㘲愶㈷收愶捤ㅣ挹晤摡愲愲㉣㕦㕥㑡扢㠸㐶昶攴ㄳ挹㕣㉢㕡㍡㤲捤捣㑣ㅦ㑤㍥攴㈵户〱㌸挱昷愷㤸挵㑢敦ㄳ㑤昳扡〳ㅣ㥢挹㐹㡦㥦摣㠸搱㜶〰㤴ㅣ摤㌰ㅤ㌸㜹挱晢㔵㝣愹㈰㜷攲㉢㈰㐹扡㐰㥥㡦㠶挶㙢戱㠰㜸晡㌶愴挶愲㤱㠹慣愹㙣㍡扦㑡㐰昸挱搴挵㤹散晥㐸㈶戳㥦扡㘷愳㑡攵愶㑣㌳慦散㈴摢㉥㔴昶㥦㄰㌵㌵㈵㘶㡤换愰愲㠵愵㑤〰〴晢愰㌳㍢ㅣ㜳摡ㅥ愰㙡㘰戱㘹㝢ㄱ戹㘴攵捥愱摤ㄳ㤳㐳戳㐶㙡㍡㘹㥥戳㙢挶㐸挲搶㍣〷㑡攲㔰慥昹㐰愸愳㜹㙤㕢㘷愸愳㉤㘴收搶扤㜰捦〷㝦㌸晦慥ㄷ敥扦昶㠵㍦晣攸㡦收摦㜵攸敥扢㥦扦㝦晥搰晢慦㝤昱ㄳ昷扤昸攱㝢㕥晣昸〳㉦㕥㝢㕤ㄴ㥥づ㌳摤㍡㥢捣捤㡡㍢㈰㍥㙡攵㝦戲戵㝥搷㝤㡦晦㔱敦㝤攷晣摤㘰换㤷愶㈶挵敤㜶㐶㠵㈱㐵㜵㝦㤱ㄳ扦挴㜶愱戴㑢㑥晣㠶昸㜰㈲㤹㌷戳㙡㔳㙦㡡攳换㌲搶㔵㍡挸㠳㉣㙢㐴㉤㌳㜸㐵㝣〰㘷ㄹ扣〳昹戹攲改㕥㜱㤶㕡㐷捤敦㌵㠶㘳㑥㘳㔰晡㐲㠹搶戰挸㠹㡣㐹㔳愶㌳㉣㑥散㥡㐴㍣㉣慢㉥㘸㌵愵㕡挱戹㜴㤲㤱扥㝣㌳㔲㉥㤰〲扤㝢ㄲ㤲㍡戴戰㈶挱挹㕥㌹㐹㔹㘸挱㔳晢昷㍡㑦㌵㜷慢愵昳㕣〲挱挹㑢〹㉥㈳㜸ㄳ挱攵〰攲ㄶ㙣㐶搴㠵愸昲㌴攳昳㘹ㄸ㘳㜷㐰改㄰㜲ㄲ㈹㜹〵㠱〱〰㡤㐶㙤晣㔰㘸愲㐸㙡㌱㠰㈶挷愱搳㙣㑤戱㠰㄰㜴㔶㔰搱㤱㈶㐱ㅣ愰㘱ㅦ挰㡥慤㘶ㄲ晡昳搱昲㥢晡攸晣㔸晣挴挷晣愱㑢散㠴搴昸㕣㍡㍡㤵捤愴攱㘸愶㈲搲ㄷ㠵攳㌱㈷っ㉤戵㉤㌳㌰㤳搷㔲㕢ㄳ昸㙡㐸敤㌶愷㑤㈳㍦〰晢〸㕡捥㌶㌸愹㤴づ㌳ㅡ㥢晤扦搴㜱㍣ㅣㄵ㤸㥥㐵㌵㐷㤴慦㕥㑢摢戰挵摢㍡㤸㠱ㄳ摢㔴慥㜶㡡㕤搳愰慦ㅥ㠳㑡㡣㐷㑥愱㜵㌷晤散捥昳搶摣㜸敦慢昶昷㍢㌱ぢ㔵搰ㄲ挸㉣㜵㜶㔵愸㈳晢㐱ㄲ㤰㈴慣㔴㐷㔴㥥愰㙢㡣㠷愴愴ち愰㑤〳搴㘰㑥㐸ㅥ晡攲㈳愸愷敡搱晣㘱㍢愳挲㤳㐶昷捥搲扣㔵昴攴晣扦㌰㍤㉤㠳昳〸㡤愸扡〰㠲㐷搰攱愵㤶㝢ㅥㄱ㌹〳攰愳户㙢㈹㝥㌷㉥㘱㘱㠸㠸㠸㡡㤸㌰敢㔲㔰戹戶敦换扥昶搵搶㠸㠲捡㉣戰ㄸ㌴㌸㐹攵戶㜴ㄲ㌴㌳㜴㈷〱㙡㘵愷〴㡢〸愸挴换㥤㤴换摥㈸昰㍥摡挶ぢ晡捥慢㌲戵戰㑢捣ㄸ㡤㘱㜱昱愱㥤㄰搴搱戴㉢晥户敢㍢㕡㕢ㄲ㘵㘰㠵㤷改愷㐳昰昷慡慦挲户㠳㝦收敢〱㐹扦㙣攵㘶㌱ぢ㙣㘰搱捣挵ち㡡㘶ㄴ㉦敥㌲昳㐸㘹搰㘹㌰挳慣㡤收ㅤぢ㙤㌴㙦户㌳㉡ㅣ挱慢挰㠲㥢㡤扤挰捥㐲㔴㉤戰昷㈰㈲摦ぢ㈰搶〰㜰㤱㔹挱改攱㐲㍤昷昴〶戴昷㠱戴挴㤱慣㕣ㄳづ〷㝣换㙢〱㈰〵ㄲ㉡ㄱ戹昲散捣挵昲挴ㅢ㐰㕦㤰㠲㥣㈷ㄷ戵捦愶ㄷ敡㝥捡捥愸㜰㕦慦㐵㔹㔷昷搷㈱愹扡晦㜱昲晣〴㠰㘸〱愸散㝥戹ㄸ㥣㌴扢晦挷㈸㔱攲晥慥攸晥昵愰㐰昷㐹㔸搹㝤㤵戹㔸㥥搸㠰㜲搵扡晦收㠵扡㝦戹㥤㔱攱㜴愷㍦㥤扥㕣昹〵〰㜱ㄹ挸愸㥢㈱㕥ㅡ攴慤㐸换摢〸㙥〷㜰改㘶㜷㕡㐹ㄱ挲户ㄲ摣㕤㈴扡ㅢ㐰搰ㅢ慦㙥〴扦㠴㠸ㄳ挴㙥昰愷ㄷ〱㕢㤱㐷扢ㄷ愰挴ㄳ〰㈷㍥㠵㠵晣㐲㈳攴㤷㠱〸㐸㤲㉥㤰㈷攸昲㉦捡㠳昶戶㌵ㅤ戶㠲㑤搵㘳㜷挴捥愸戸ㅤ攸㐲㔹㈵㡦扦㐰㐴っ㠱慣扡㍣ㅥ㘴ㅤてㄱ㝣つ挰㈵㡦㠷慤愴攰㔵㠱㤲挷㈳㠸挸㐷〱〴㙦〹㤴㍣扥㠱㠸ㄳ挴昹愸愳㈰㡦㙦〱㕤㜶户㔰㈱㡥挷㐰ㄳ㤰愴慣ㄴ㠷捡ㄳ扣㠹愸㈶㡥戶㠵挴ㄱ戶㌳㉡㉥㉤捥〷㈷搷敡攰愵㠵敡搴昷㔸晢ㄳ〰㘲ぢ㐰攵敡㜸挵ㅥ㍤扤ㄷ搹〸捥敡昰㘳㜵㍣㠹㜴搹愵㐷挵晡㜸ち㌴㔸ㅦ㈴慤㕣ㅦ㉡㜳戱㍣搱㡢㜲㐵〱捣㤳㡢摡ㅥ㔶㉤㈴㠰㤵㜶㐶昹㔵㡢㙦〰㘵㕦㠳㡢扣㥥㔵挵昷㈶捣慢改搳㙢㡣㤷摣㘹〶攳㠳㤹ㅤ㤹晣㘰㈲㌷㥤㌴收㤶挷敤挸挵㔳㘶ㅡ搷〳㔹摣ㄲ㤴攱㌲搳搳㘶㑣挶挷㌳㌳搹愸㌹㍡㜸㉣㕣ㅦ愰㝦ㄸ㜴㜵㜳攰ㄵ〸㐷收ㄱ㠷㠵㈱㌰扥搴攸㝣㐳㘰㔸敥搸㜴ㄹ昱㐵㝦ㄱ㤷㘵㔳㔱愲ㄳ㠹㝣搲慣㡦慢㝣ㄵ昷挷㈱㐵摣戹挴敡攲ㄳ㔳昰昰つ〶攳㈳搹㐴㉣㤹㐸㥢ㅣっ昸愰㜸㍢戵捤摣㠷晢㤵㥤㤹㕣㠲慦ㄶ㠲昱㠹慣㤱捥㑤搳㔵ㅣ㥤㍢慥㈴愵散㌱㕦扣㍦㤱捥愱ㅡ㜵㌳捤㜸㔳㝣㝣㉡㜳㌵ㅥㅡ捤愴搲㈳挶㜴敥㤸ㄸㄵ㙥愶㔶㔰㐳㈳扣挲敢ㄵ㝥慦晦㐸挷㐷㝢〶摣㤶㕢㤷愳捤㤸愷昹㙣㈲㌲㐳㠱愹㑡戸戱搷ㄲ愸㌱昴昸㠶ㄱ㕢挴て㐳㙦㡣㝤敢挵ㅢㅤ戶戵攴㝡扦敡攵㐲攱昵ㄶ㍤㌰昲㔹㤶㜹づ攰挲㤱㍤愳挵扢捥搷昵扥捡㌷〲㝥攵搶㙤昹捣㉢㕣㉤ㅤて攲㐶㙢ちㄱ挷ㄹ㠵㤵㠹㤹挰㔴昹戴っ挴ㄵつ㘷㘸㘳㌱㍡㡣摢㠹㠶昸㌶㈳㘲㈶攱挷㐸ㄹ昹㐶㉢㐱㥦ㄴ摥摦攴散扣㠱㑣㉡㘵㜰捡㜱扡㡥㐷㡤愴改㡦昷捤攴㌳摢ㄳ㘹ㄹ〷㔰昳搲㐶ㄹ戳㐰ㄹ戳ち搵㄰摦捤换㔶ㄵ㈷慦捣㍥㈳㥢挸㑦愵ㄲ㔱㍦ㄳ扣㄰㍤㈶收㉡昶て攵㘵㠰㐰ㄹ㥣扤愴摣扢㘲昹ㄹ㌰摣慤昰昵㔰㜴ㅣ㝥捣㘸慦搰昰㑦ㅣ愱ㄹ㠹㥤㐷ㅤ㈸昲㜹㜰昳㜹〱戸ㄵ愹昰戲昳愴昰攵㜷〲愳㌶㈷挱慢㌴㘶换ㄷ散〸ㄳ戵ㄷ〲㉣㝡㔱㔳〷㠲挰戶㡣ㄱㅢ㠶〷㍣㤳慤戳摦〳晡㌱戴摣㙡戲㍡慦捥㜸敦㡦㕢摥〳㠹㤸㤹昵ㄳ㌱づ㡦㔱㉤㉦摤㌴㙢っ㈹ㅢ㡦捦㔷敦慦㔶搷愸挳㙢戵㝤〳攱㝥晡㌸㕡挱晦㈷扢扡户慣㘷慢〲敡㠸㝡ㄱ㔱㜹〸㐰㕣〴挰晥㤴ㄱ晣㤰〴㍦〲昰㙤〳㈸ㅦ㥢搲㕢㉣摣㜵㐹㄰搵搲〰慥愵攱敢㜷っ㕥㥦敡㐸扤换挰搵㉣挳搶㡦㌲㠸愵㜲摡㌸㘶戹ㄹぢ㔸晢㉢晤㘵ㅣづ慦户ㄶ㐳慤㤵㕦㑤㔴㔴㑢ㄶ攳愶扡㘹ㄳ戴捤戴㝦〵㌸㠱㡢〵晣昱搴戳攴㜱㕡戹㈲〵晤攲㈷㈰昷〴挴㑥㐰㐷〶扣㜰戲㠵昴㔳㐴攵㑢〰㍥㍡㌳ㄷ搹㈹攰收㜱戹扣搵㌵㔰㝣㑦㍡㤱挷㈲㘶㕢㠶ㄳ㜹㌴愷㈱づ㠰愸昲㑤㥦愲ㄶ户慢㔰㑢㐱㘹㌸戳㌲慢㐴㡢㌸愳㌲摦慤㔶慣慥㤲㙤㈹ㅣ㉥㍤攳㜰㐴㑡昱愸搲挶㘳㐹ㄳㄱ㤶慦搲㔶㐶ㄶ㝤搹㔵㤴㍢て㤳搷愱户㔸扡愸㝣ㄹ㕣戰㉤㔰㠵㤱㍦㐳㤴㙡っ㕤摤㡢㑦ㄱ搷㐵〷搷㘰㠰慡㡣㠵ぢ摡㌷㘹愳改ㅣ㌶㠳㠰㥤挲㔶摦㘸㐷挷㘶昲㈵㌹挶散㜲㍢〷㌷㡤㘳㘹ㅣ搰㔱㈳ㅢ㍢㐶㜶㜷昴捤㔲㐲搴㐶㝤㠴ち㈲㤸㌰戸昶㘴㐸㤹㜲收㙤挲㙢戹㈳攲㔳㠲㈰㐵㕤戸㍡昲㌳挵户慥㙡〴慣户慥㑡㔳摦㘹㐲捤挶搳摦愴戹㕣ㄵ㈸㈴搵㉥㈶攳㝤㤱ㅣ戴扥㍣㡦㜴㍢愶ㄶ戹㡣敦㌶昹〶昶㠰㠹ㄳ搸㡥敤㡣收㜱㈳㕡㘰挰搷㍦挷捥攸㐰㈲戵昶〸〹㌵㐶摡㈲ㄳ户戴ㄳ㕣㍦㐷㌸愲搸搶攳㉡扣戴㐵㝣晡㔳っ㜷㙣昱㌸ㄱ㡥㉤〶昷㑤㘰扦㠸㈲㠹㝤搶㝤愱挷㔵戴摣戹㘷戶㜶㌷戵㜱㌵㌸㌸㙡㥢㐱㕡〵搹㍣㥥挸昱戱㘹ㄳ㤷㑤ㄲ挷㜱㍥〱挵㉡㌹搷ㄸㅦ㑤㐷㤳㌳㌱㔳㘹㘵捥㝥慤㤴戳㘳㘲扣搴㡦ㅢ慣戱㕡㐴㉥戶㔰㐶昱ぢ〷攷挹搴㤱㥢㘶昲攷㄰慢摡攸挰㈳㈰㝦㠱ㄴ㠷㠶㜷㜷慦昹昶㌴㠰㐲挷ㄵ敦晥搵㘳㝡㙣㙢ㄵ㈸敥㘷扣〲㉢㕣挰慡ㄵ攷㈲摢㤶搹㤶愱㘹攷㐲㙤㑤㔸愸㘳㘲㥣搰㑦㙢搳㠳㌳晤㐸㡤攲昷㍤晢攴㡦㉦昹攲敡扥扥㝢㝥㜰㐹捤愳敢晢ち慢挵摡昹挴㈴敡愰戱散㔱户㔰㑡㉦愵つ收㉤ㅡ㘲攲ち愴㘹㡣挹㕦〲〸〳㠰㌶づづ㉡㑢攷㝤〵昱㐵㜵㕥昹㉢㔰㘰戴㐵㔴㤵〲愳晦㘲ㄱ晢㈳㑣㐴ㅣ㍤〹㔱㔰㉡㘵昲扦ㄱ㤵扦〶㄰㜱㠰㉡〴扦㈱挱㙦〱㝣㔳〰攵㥢捤㠲ㄷ㡡㌵㉣㤱愲㑥攸㑦㔱㌷挶㔲搵昰挴ぢㄷ愶搰慦戵㝡晦㍥戲愵愳改昱㠳〷改㤹昲㠸晤〰㑥晤㉥㐵づ〲昰㐸敡㤵㈲敦㈲㘰〹扢〷㕥ㄲ搴㤰㠰㌷㑡づ〷ㄷ〱搷愱昴㤱㠰敥㝢㠷㘰㐲㜱攰つ戴搴㐸㔰㐷〲晡捤ㅤ〲㐴㥤㉡晣㈴㤰㈴㜸㙦㜵㠲〰〹敡㐹㜰慤㡢攰㜳㐰〴〲慡㡡〶ㄲ〴㐹昰㜱ㄷ〱愲㑥ㄵ㡤㈴㘸㈲〱晤搶㔵摡愰㤳㘰ㄹ〹攸㘲㜶〸晥〳〸扢㡡攳㐸戰㥣〴㜴〷搳昷攵昲搴㠸㕢㤱㔴ㄳ㔰㕢〱㤲愵㝡〷挴㙤㈸愶㈶攵昱㘴㝣㍢㔲搶愴戴つ戱ㄳ㠱㕤㜴㔲昲㘴㄰㜷戲㈹昸挸㤳挸挴㑥㠸扢㄰㜱扡戱ㅥ㜱㝢㌸㑦〶㠱㍣㠵㠴㜷㔷㈷㌸㤵〴愷㤱㠰慥改㙤昸㘸愷㈳㔵搵㜲愸攲㤱㠶摡㜷㈶挸㘱㌹㝣搹挵摦㌵攱㥡挹㝦㈵昹搳㡤㕣㉥挷〷㠱戳攴戸ち㈴㑢㤶攳㐳㈸愶攴㜸ㄶㄹ搳敤㕣㈲挷㌵挰ㅥ㕥㡥て愳ㄸ〸昱慡㥦㑣散㠴㜸〴㤱㉡㜲㍣ㅢ〴㜲㉤〹ㅦ慤㑥戰㡥〴敢㐹昰つ㄰㈸㌹戶㈰㜵㝣ㄵぢっ慦攴慢ㄸ㘰攷㠰ㅡ㘲㝣捣挵摥㈵挶㔶戲㍦㤷散改㙦㜶ㅡ㠸愸㌳搰㈱ㄲ㠴㐹㐰㕦㜴ㄵ㠲㌶ㄲ戴㤳攰㈹ㄷ挱昱戰晢敤ㄹ摦㐱㠲㑥ㄲ㍣ぢ〲㝣㝢㘴ㄷ㔳㜶挲㐷㌷㐱戹昵㕢攱㤹愸〵ㄱ戴㜶昸㈸挶昳㜳㐹昸㠵ㄸ愵㌵㙣挵戸㜷㔹搹戰搱㌳㔹散㈵戵攵㑦㡡ち㘵晢挱慡㝥㐵搹㈳㙢㔵㡣㌹捦攱攳晢捥㙦㉢ㅦㄲㄷ捡戳攱挵ㄷ㤷㉣挳愰㜵〳扦㘲㝢㈲㥡捤攴㌲昱㝣昳㌸㝣㥥捤㝣戴㡥つ㍢搴攷㝢っㅣ慢搶挹㡥搵愶搱ㄱ摦〱㍥攲っ散㑦㘷慥㑥慢搶昸㜲㝣扢捦摡㘴㕤ㅤ慢〹攰愳挲㔹㄰㥥晥〲愲昴搷捡㑤㈰〹㌶改㉦㈲敥挵㐷㍢て改㌵〳晤〳扢㈷愳ㅢ㐳搱㜸慣扤愷㍤搴戳戱愳㙤愳搹ㄳ搹搸ㄳ敤摡ㄸ敡㌲攲戱戰ㄱ㌷戴昳ぢ愴㥤㔱㜳㘳㝢愴㉤搴摥ㅤ敥改攸㌲㡣㥥愸搱㘵㜶ㄸ㐶㔷㡦ㄹ㠹㜶㠷㌶敡㠷㙣昶㜲㌳捡挸ぢ〰昴ㅦ㍡愸㉤㐴昵ㄲ㐵㜷〶ㅢ㔱愴昲晤〴挹愵㝡ㄹ㈸っ攷昵㐰㙤㕤㕤㠵挵㔹攱㥤㈸㍣敢搵㌴㍡㈷㝣て㐱捣攵㑦㍡慡ㄷ㐲㙢㕤愳挸挲㍣ぢ攵㈰扢㌲〴㄰搰改㥢㈰㑥ㅢ㐶㜲搹㐰晦㘴改㙦ㄷ戵ㄱ愰ㅢ㠰㔶㡡搴㙥扣收搷戶〲搳〸㡣换ㅢ慢扦攴㜰ㅥ㐵愶晡㔹㥦晡㠱㥦㡦〶㙥㜹㑢㕤㥥㔱㤷㈳愳づ㤴扡换换愱晡扣㉣㙥㍦㙢ㅤ㠳扡㥤㈷敡㔸㔰搲㙡㉤愳攷戰挳慤扡㜰搹攵㤴㝡戹っ㑡㐷换敥㥢㝡戹㝤㘴㐶㔱挰昷㘷㠷㥤ㄳ㑥㉤ㄸ愱㉡㜳㈲㈰户㈳㠳㈷㈴ㅤㄱ愴㤱㍢〸敤攰愳㌲扦㜴换㠱㈵㤷ㄷㅤ㠹㜴ㄹ户㈴㘱㐴㉤挱㐳㍦㠶戲攲ㄷ㈸慦摡戰ㄳ㤰㑢㡤ㅦ愱㤴㔱㐴攴㉥搲㈰挲㠹㉢愸㡣㜲㜷ㄵ昷㐰〴摣搳㄰昷㘸攳挸㕦㜰愳ㄲ㜷㠳㡣㥢㔵挹㘶㈳愸戴㤲慤摣〳愸㤱ぢ㍥㍡㌵㔷戵〵敤〵㔶㕥㑣昰㐶㠲㑢〸㉥〵〸搶敢搴㕣ㄹ㜴㙡慦っ㍡㔵㔵〶㥤敡㉡㐳ㄳ摢挵晡挸昴愸〶㥤㡤㔶敢㥡㙢㔸㜲挵㑡㉥㔲㥤㥡慡挲扦㤹㈸愵晢㥤㠰㥡㜵㙡愹っ㍡㌵㔵ㄵ㔱收㈱㌱㔴㑤ㄵ㐶㐳㠴㙢㔲㌳㄰搱戱摣㑢㝣㠷㕡〴搸攰愴攵㙣㔵㕢㐳㑥㡢〲㔵戶㉦㘸㌱㤲愹摤㈳摢ㄷ㡢㘵昱㝥㔱攳㕥㕦㘵㥦㠹〳㕤扡捦散〳愶㥥扦㘷㠳ㄳ㤸㑢㐹慦〳㠲㑤昲搳㥣㍣㡤㙤㑢〰戳昹散换㔶搲㠵㙤㕦挴㔵㝦㄰㝦攸慢㝦昰晣〳㌷户㤹戹㌶昵挲晤㜲晥㠰㈹㜹昶捡㠹㌶㜹㈵㔸愸㕦㍦晡愹㔸㝢㜴〵ㄹ愱㡡捤愰㔳㥦㔶ㄱ敡搴㉡㐲〵㕡挹㈶㠹㐸愵㙣㔲挰㤶挹㈶つ㔴戹㙣㌲㈴㉢㤵捤㌴㔰㔵㘴㜳ㄵ搰愵戲挹〲㔳㈲ㅢ慡昳〵搹慣㐲㉢㌵㕥㡦㕤昰㝡㘴搳戱㔱捥㠰㠷晡㐵愷㉤ㅣㅡ〶㑡〲㌴づ㔴㠴㤶㠰㡡搰ㅡ㔰ㄱ慡晥㙣㠹愴㜰㈴㘵㈱搹㝢挹敥㑡㜶㔰戲㍢㤲㍤搰㘹㈱ㄴ㕡扤ㄶ㠵㌴摥㤸扣扥㔶户挹㜹昲㕦〷㙥㔶慢㠵㌲ㄷ搸愲㜷㈳〳晦慤て捤〵戵㙤扣摤扤㙤扣〷搸㠵户㡤户㔶摢㌶㜴㕡ㄲ㙡㠳㜸ㅦ㈲搰㔱㘸㌵㜰扦搲慥㐱挴搲㔱㈲敤㙤㍤㥤㕤昸㥤㘴昷㐶戳愳㈷摡搶搳搳㙥㜶㜶㐳〱㠹㜴昵昴㜴㥡㘱敤摡〲㘹㌸ㄲ㌱㐳ㅤ攱㜰㐷㔷㑦㝢㐷㔷愸慢扢愷扢㉢搶搱ㅥ㌳㍢捣㘸㜷㝢㥢愱搳ㅥ㈱㝢昹㝥㐴攴〷〰㜴㥡㈱ち昵㐱愲㍥㐴ㄴ㡤㤲㔲㉡㐱㔳㠳㝡㡡戸ち摤愰づ愱昶㠶敢㔸攴愳〰〱扤ㄹ戰摡㍥㐲〳㐴攱㍦㐱摡㄰敢收㜳ㅦ愱散〷愶慥〷ㅥ晦慤捦ㅡ挴㤴㘰昷戹〴㉢㈹㔸敡㠸挲慣㉡挳㌷㈰㕢挹昰〶㐴㈰挳戳昱愵㘴㜸㈳㈲㤶っ摢㍡㐲敤㕤㕤攱昶昶㜸〴捡㕢㜷㌴ㄲ㌷摢㈳㥤㘶㉣ㄲづ挷捤敥㔰㤷昶搹〲㘹㔷㘷㝢扣捤散㠸㜷㠵攲㤱㡥㥥慥㙥㘳㘳ㄴ搲敦づ㜷㐵㍡摡愲搱戶㡤晡㕡㥢扤扣〹ㄱ㜹㌳㠰扥捥㐱ㄵ㘵㐸㠳㐴挹戰㐰㈵捥〱㑡挹昰㌲户っ㙦〵㔶摥〶㄰搰㕢〱慢挹昰㕣〷㝦ㄷ㘹昹愸㐷晤ㄲ㔸て㈱挹愰㠷㥤〸㑤つ㠵愱戹愱㈲戴㉤㤶扡愴㍡㙤㕡戵㐹㥥㡦攲摡㔷㠰㜹㕤㑢慡慤㑤晥㌹㜸愸㕦ㅡ摢ㅢ〱㑤ㅢ㌵㕣て㈰ㄲ㙣昲㔱㍢㍦㙦攱㥦㐴戸㔴挵ㄶ昸ㄸ㑢㝥㤷㍡㠴摦㤹捥㔱捡㌵戸戱戴敥昹㙡扤㥢㡥㡣ㄷ㡦㠹〶戰攲挷㌷㡣ㄱ㝡ㅤ㝣搰㈳㤷㥡㐴㡥㘷攲㈳扦ち扣㡦搶㐱㔵ㅦ㘶昹摦㡤㜰晦㈰㤲攷晥昱愹搱ㅣ㤴㘸晣㥥㘰㈲搳㔷昸㤳㈰换ㅣ攵扡挵昹戹攴㥡㈲挶戹㈲㜰㡡㡤㘵ぢ攵昰昳㐳ㄸ㔳挸㘸攱㡦㉢㡦㉦愶㕣昷愴愷ㄶ戱戸ㄵ㠲扦摡㡣㌹ㅣ㜳昰挹搴㝡㙢㉡ㅥ收㉢〵摤晥攳ㅦ扣ㄸ㈵㌷晣ㄴ㜸㌴搶㠸ㅥ㥣㕡攵㤶戸㍦㤱㔷慦㉣攸挴ㄳ㤲㤶㤹昶㄰挱收搵㝢㔷㠷㐳扥㝥っ㐴戹慦㙥挱㍡㔰捥㈵㜶搶挸搵ㄴ㤰㕦㐷㠶愰㐱㐶搹ぢ㐹㥢㑥㝢㠴㘰昳敡㈱㔴㈲㉥㐰㈵慣㠸㌳㈹㈰扦㐱愲㉤〰㐴㤱㠱攸戵ㄳ捣㙦ㅡ㐴挲㠷㐸㤹㉡收㍣㉥昳昴㈲て挱摦慢扥㍣㝡㙦ㄳ㡤㈵㔵攲㜲戱昲㘳㝤扥㘷摥㔹晥ㄳ〰敢〲攲改㉤㥦戱㙦㈴挴㈸㑡慣㐰㜹昵㡡㕦ㄶ㥦ㄲ昶愰㐵㔵㥦ㄲ㜶摢ㄹ攵㍦慥ㄳ摢挱〹晦㍤昲㍢㜶㠴〹㝤〷㈱㠲ㄸ戳戱昲扢づ〶㔸㝤㈷ㄲ㙡㠵晥ㄵ㈲昲㈰㐰戰㔱摦攵㈰ㅦ㘷扡㐹摦攳愴晦ㅡㄱ昹㌷〴摦㈳㜸㠲攰㐹㠲敦〳〴〳㠲慡㉦搷戸搸㠰㐶㜲㘱㥤㠱㍡戰挵〸慡挳㉡愳挵捥攰㠸昹㙤戹扥昲慡愰愶慣昲搷摢昹扣㐶㜳攵㔳㠹㔶昹敢散晣㔳㑢昳㉦㜵昲搷摡昹㙡ㄱ㍥つ慣愰㔲㕢ㄴ昰㌴捡㔹㙦昳捥〲㘵㔵〱慦戲㌳捡㝦㈲㈱慥㉣攱㌴㕦攰㜴挶㐲㥣㑥户㌳㉡摥㐰捦㉣挰改攴㠵㌸㥤㘴㘷㔴㍣㈷㥥㕦㠰搳㡡㠵㌸㉤户㌳捡㕦收敡搴㝡搴㑣㜸〹㤱㘰㤳愰㤶愲㐴扥っ㈵㌸㤶㑡愴㉦〳㉢愸㔱㔸敢㡢慡㡢昶㜳〰ㅦㄷ㜱㡦〸㠲捥㔹㑢戸换㈱㌱㌵て㡢㤸捡㡢昶㑢㡢㜸〸挴搲㈶戶搶攲㉢㈴收愱敡㤴ㄷ㔴㔰㤸㔰㙢昱㍡㤶㠳挸㤷扥ㄶ愹慣㉣扡ㄶ挱つ㐱敦㔵㕦㜸㌲㉡愸户ㄴ愷㑡㜱㉤搶愲ㄱ㔵愷㑡㡤㥤㔱晥慣㔷愷愶愳㠴昹㕢㐴㈰㑣慡㉢㑡㤸〲㈵ち挲愴搶㈰愸㌴㔸昲戹ㄱ㌱捤ぢ㥣ㄲ㘶愷昸捤㙦摣挲慣㈵㌱㔵㄰㡢㤸㕡㡣愶㔹挴㐳慢㍢挵慦㙣㘲㘰戰戱昹昱搵㐴㜵攳戵㠹㡣扡挹攱㐵㌶㍦摣㝢搷㥤っ㠱㕥㐱㌵愵㥡挸㝥㠱收㔴ㄵ搹扦摢ㄹㄵ㑦㝦愹㍢ㄴ㌹捤愳ㅢ搶㍡晤户㠵㌸扤㘴㘷㔴扣愱愵戲㜱戸㌷戴慥扦散挱慤挶ㄷ愷晢戴㍥㙥愱愹ㅦ愸㔷ㄱ㐹攵㝢㙣挰㤳户㉣晥戶挶㌶扣散挴㐳㌷晣㔵㉣摢昹㠵ㄷ㥦扣㉤㜲ㅥ㔵㐹㤵㘲㘱㉤㍥㤶挵㉢慢扡昸㘸づ昶㜰捣㡦扦つ㤰挷㉦㤷搳挷㠲㕢ち摥㘰㑥㈵〴敢㈵㕣㔵㐷㙣㍦戲慢㥥挵敡㌵㔱㙢㔱ㅥ捥晤慦㤷㉦攵㡥捣㈹愵㉤㐷㜳㥣㕢㠹㤸敢敤㘷慤昸〹㠶搸昲扦捣㝢攸ㄷ㐱昰㝡㈴摤改摡〹〰㌵昸㤱扢㍡昲〰〲昲㐴㘰慣㝢㐷㍡晥㍤㍥慡㘰攵㥤愳㙢㝣ㄸ㜴㥥戲㍦㝣㔱㕦摦捦㌲㜶愸愵ㄶ戱㤸〶㐳㔵愱㉥㌵㘹昰㉦晥昹㔳㤳㐹㌳扤㉦㍦㔵昸㉢㝦搰挱昱慢㐴㜹㌲敡㘱㔵晣〸㙡ㅡ攴㉡㑦㜱㘱㜵㥥搴㜴昳捡㔳㠱つ搶攸㍣㥡戹㙤〴㜵挱昳㔸敤ㄸ捦㐳〶摣㌱攸㤲㠱搷㐱昰㡣㔶ㄹ㍦戰㌳攸戰昱晢昱愰晣㔵挱昳㥡戳㕦㍢〳晣㡡㍦㕥㍤㐰晤㉦攷ㄵ捦㍡攲晣㜱摢挹㐵㜱㌶㠳㔶㕢〹挰㥦てち㝣愳戹㄰攷㉡挴㕣攲ㄴ㍣晢㔵扤晦㙣搷慢ㄴ㉥㐱㙤㐰愱晦挹㐶㉦㐳昹㠰愰㝥愰搰晦㘸愳搹晣㠰愰挶愰搰㑦摢㘸㌶㍥㈰愸㐳㈸昴㍦搸㘸ㅡ昹〱㐱慤㐲愱晦摥㐶搳㕡て〸ㅥ敢ㅣ摣㍢戶晣愸昷ㅤ扤ㅦ攸ㄳ㍣戱㔴户搷愳捤搵㘷搲摦㠲㐳攵㑣摡〰㝡敤ㅣ㠰搲㤹搴㕡搶㜵ㅥ㝡慣搰〹㠲〷㥢ㅡ捤㄰㈸昱摦ㅡ㘳㥥㘰ちㅢ㜶㘳㜹〲愸挶戵〱㕢扤㜱㡦㔷㙤㕣〷攸戵㑥㠰搲挶㜵〱攳ㅥㄷ搶㕤搲㌸慥㙥搵㡣㙥㐴昰摦㙡ㅣ㑦〴㠵敤㜱㘱㝤㕣㑡㑢㕥攷㤴挰ㄱ㝡㙢㌷愱ㅥ挱〵㑡ㅥ昲㍣㔷ㄳ㥡戸㑣㠸昵㜳㍥㌵㜱㜹ㄴ㔲㠲换㐲㑤㠰㙦摡ㄳ㘰ぢ㡢㙦㈶㑤㌳〰㕢㉦㉦㘰㡡㤳㔵戱摥㠲㠸㥦摣昰ㄱㅣ㕥㐵搳换㙣㡥慡愲改㐳〴晦搵愷㠹㈳㔸愸戰㠹㈳㔷㐸〹㡥㠰㉡摦㑦㌴〵慦捡て㈰㠲晦㔶㜹ち戹㔰愲㠹挲㉤愴㠴敡㌵〸攵㈰挹敤愰戳昷㑡㌷ㄸ㐲㐴㜲㌷ち㌶㌶戱㑦ㄷ㠳挲㍢㉢愲㔷挴慥戸攲㤵愶摡收㔳㙡摦搸摢昰愹㘷扥晢摣挷㥥㝡搳收㐳扦扥攱㠶愷㥥晦搸挱㕦㍦ㄸ搹晣搸㉤户㝣昳挲㥢づ㍥㜷㕣晣㘶敦㔷㕥搹㜶昳摢挲晢摦㜶㔵㝣捦晡㤱户㕤㜲攵慥昰捥㘵㉤㌵㌵㜵㜵㘷㉦晦昶㐹㙢昵昹慢敥ㄷ㡦㍣㝤㘲㕡㈸㌱愱〲㌹㠲㥡ㄸ昶攲愳㔳㕣慡㉤㕢ㄱ㤱愳〴ㄷㄲ㕣㐴戰㡤㘰㍢挱づ㠲㌱㠰愰㕦昴攲㑢㠹㘱㈷㈲㑥搰㈹㔳挵㘸ㄷ㈲㜲㌷㐰戰㔱㈸戱㠱㐴㡥扢㐹㈹㍥㐵㍡㐱搲㍤㡡㔴愷㠴㠸挴捥㐷戱愸㐱扦搳ㅥ㜴㐵㝣㌱戰㠲挲㔲㔹户摢㔹晤㈸㠲㑤㔱㘷愷散攲散㠹愲戹捤㕤晣㔲㘰〵晢愷戲扥㘸㘷㔹㕢ㄸ㝢慣搰㕦戰搱搶ㄶ㐶ㄹ㈸昴攷㙤戴戵㠵㔱㉡ち㝤㡢㡤戶戶㌰捡㐹愱㍦㘷愳慤㉤㡣㤲㔳攸㥢㙤戴戵㠵㔱㤶ち㝤㤳㡤敥户㍢㐲愱摡ㅤ愱㈴ㄵ捤㘷㙤ㅡ㈵㠷㈸戰㠲昲㔵㔹㌷㤴ㄵ愷愰敤攲㤴慥愲昹㑣㐵㜱捡㕣㘵㝤扡戴戸愰㤰㌹攱〳㠲昲㔲㔳㝦ㅦ㈲㠲㤵㕡㜸㤵攴㤰㑥〱攵〴㥤〹慢摡晡晦〱㕤敢晢㌸</t>
    <phoneticPr fontId="10" type="noConversion"/>
  </si>
  <si>
    <t>㜸〱敤㝤〷㤸ㅣ挵ㄱ敥昵改㙥㜴扤ち户㈰㜲㤴㠴㠴㈴㠴攵㡤户㝢㘰㔹㌹愲㉣ㄱ㑣戰搸㌰㉢ㅤ扡㈰敥㑥㐲㈲㔹〲㡣〹㈶ㄸ摢㠰㌰㐱㈴㤳㑣㌴ㄹㄳ㡤挱㘴㠳ㄳ㘰㑣戲㠹㈶㠸㉣㌰㠶昷晦㌵㍤戳戳扢戳㈷〹攳昷昱扥敦捤敤搶㑤㔷晦㔵摤㔳摤㔳搳摤㔳㍢㔳愳㙡㙡㙡扥挴挶晦摣敡戸戳挳晣㤵㕤摤㜶摢愸〹ㅤ慤慤㜶慥扢愵愳扤㙢搴戸捥捥捣捡ㄹ㉤㕤摤扤〰戰ㄶ戶㈰扦慢㝥㘱㔷换攱㜶挳挲攵㜶㘷ㄷ㐰昵㌵㌵つつ扡ㄶ昹摢㥡㙦搸㑤㘸㑡改㍡ㄲ愰㙡戴㐵搲㥢愴㠱㐴㤳㠴㐸晡㤰昴㈵改㐷搲㥦愴㤱㈴㑣戲ㄹ挹收㈴〳㐸戶㈰搹㤲㘴㉢㤲慤㐹戶㈱㘱昹㝡㍢㤲敤㐱晡敥〰戲㘰挲昸搹搹㐳㜰㌴昳扢㍢㍡敤摤〷敥攳搴㜹㜴㌴㍡㉡㍡㉡ㄶ㙦㡥㡥㡡散㍥㜰挲戲搶敥㘵㥤昶攸㜶㝢㔹㜷㘷愶㜵昷㠱㜳㤶㘵㕢㕢㜲㝢搹㉢ㄷ㜴㉣戱摢㐷摢搹㐸㍣㥢㐹愴愳㠹㘴戲搰摣㥣敥扢㈳㌴捦㥡㌰㝥㑥愷㕤攸晡扡㜴敥㐴㥤戳㈷㡣ㅦ㌵换敥晥扡㜴敥っ㥤㔰㌹戱愳㉤搳搲晥㌵㈹慤㘷㥢㈶㈷摡戹ㄶ㌶扥㙤㜷戶戴㉦ㅡ㠵㙡㤷ㄸㅡ愹搴愸㜱㕤㕤换摡㤶戲ㅦ㑤戰㕢㕢攷搹〵㘹昴戶㠹㕤摤㜳㌲㥤㙤㕤㝤摢㘸㍦扢搳㙥捦搹㕤晤摢㈶慤挸搹慤〶搸搵搰戶㑦愶㜳㔶愶捤慥攳㑥㘳㥢搳㠶搳昲㜶㝢㜷㑢昷捡㝥㙤㝢㜷搹昳㌲敤㡢㙣㐲敡摢愶㉣㙢挹慢扡㍡㝣㙡㝡つぢ慡㤹㌴ㄴ敡搳㌶㘱㜱愶戳㕢㔲㙣挲㘸㄰搶搷㕤攴㈸㑡敡挵㉥㌵戰㑣㡡㙤㌶扦愵㙤㉦扢戳摤㙥㘵㈱㙣挹㤱㘵㈰㌱㤰搳づ㥥愵摣挳㘱㉢愹㍥收攴攳戱戰ㄴ㙢㈰挸㠸〵㥤㉤㌸捣㘵慤㤹捥摤㘷戶戴㡦㑥㐵㈲扢捦㘸㔹㘲户戶搸㕤摤愳搳㐸捤捣慣ㄸㅤ㡤㐴㈲㝡㄰攰㝡㌰〵㜷〱愹ㅢ㌷㌵摡愴㠷㤰㌷ㄴ㐴搵㍤㡢㤳摤㕦〴㑦戸摡㠵㤹摡㠵搹摡㠵戹摡㠵昹摡㠵㜶敤挲㐲敤挲㐵戵ぢㄷ搷㉥㙣愹㕤㜸㐸敤挲㈵挰戸㕢㐳敦摥戵㘶摢愳㘰㐵㜷戹㘴晣攴攳愲挳昶㕤昹晢㘳㔵㍤捦敦㡤㌲㈵㙣㠲搶昴㜵㠶晥㙣挸〹换扡扡㍢摡搸㤲㕦㙦㡦愸㌱㍤㐲つつ㙡ぢ愷㑢㌸㌵晡㉦㍢挴㉥㘵晡搹㈱㘶㉦敤㌶ㅤ挲㈹攲㙢改ㄳ㑡て㠳愹昵㜰㄰㙢〴㐸㥦扤ㄷ㉣㜴换搶扢㌱㙢㈴㠸㔲㝦㐲㘳戳挱摦攸㕣㜱晦摢㘷㙤㍢攱敡昷晦㍤㈶㍥敤㑦捤㡡㑥㔸ㅣ昹户戰㌳㜲㔶㐷㘷ㅢ扣摤㑣㍢搳㍥㍡㌲㉡㥤摥㝤㝥㜷㝥愲扤ㅣ晢㤱㘸㔳挹㤶搶愳愸晤摢㈰㔶〴愴㝦㔷㑢ㅢ㍡㈵㑦敤㍤攲昱㍤㜴㤴戹㌱㄰愵ㅥ㌳㘵捦改㝢㜱攴愱㕥〳愶ㅦ户换愲挲戵㕦晥攸㉣㐵摦㉦㘵㈷戰㌳摣㕦㜶㍣改㤶ㅣㅦㄵ㉦摤㤲㍡㐹搵㑤㈰㔶ち㈴㔴㉣㔸愷㤹搳っ愲搴〳愶搰晥ㅤ愹㜱㈷っ㡡捦扡晥搵戵攷㙤晢敥换㝦㔷扣搶㐸愱㝢㘲㘷㠴扦搰㔸㌲攲㤶ㅡ㙤ㅡ㔵㜲戴㑤㘹晤ㅤ敡ㅥつ㘲㝤ㄷ挴㝦戸戱攸ㅥ㝡っ㜳挷㠲㈸㜵户㈹㜹晢慤づ搹晤搳慤㘶㡣㕢㜳换戶㐷扥㜴昴攳扦㔱昴㜵㔲昲㜸散㡣㉣㍢㡦攳㠹㤲ㄳㄹ㈹攷㑣㑥㌴攱㑣㥥〰〱㍤ㄱ挴㥡〴㠲㌳㌹㤶搰㤳挹㥢〲愲搴慤愶挴㜱㕦攸㜹ㅤ㥦㡦㤹扡㝡搲㌱㕢扤扥搵扦昷㔴扣㥡㑡㠹搳戰㔳㘲攰㔸昱㔰换㡥戴㈹愵愷㔳昵㕥㈰搶っ㄰晦愱㈶㈲㝢攸㤹捣㥤〵愲搴昵愶攰敦ㅥ搱㝢搰つ㜳㝦㌰昹搶户㑥㝢敤慤扦㌶㍤慥㜸〵愷て㔰㝡づ搱㜳㐱慣㜹㈰㝤㈶捥㉢㜶捦昹捣㕡〰愲搴㔵㐶搱㠳㌷户ㅥ扦㑤搳㡤㤳敦戸攸搶昵㥦㥣㍤㝣㡤敡㠳㙣㐷搱㍥㐴敦ぢ㘲敤〷搲㘷㥥㑦搱昷㤸戵㍦㠸㔲㤷ㅡ㐵㍦晥㑢㥦㕦慡挸㝢戳㉦戸㙣挴搰敦ㅥ摦晦㜳挵㤱㠴㤸攲㐰散散敥㙦昶挸愸愴搷摢㉡晢㜹㔳㕣ㅦ㐴昵摦〷戱ㄶ㠲㤴㤸㈳戶㠷㍥㤸戹ㄹ㄰愵捥㌷㠵㥦戰攸㠱㕢敥晤昴挲改㙢㠶敦戹㜶换晢㕦摦㔵㜱〴㈳㠵攷戰㔳㜶㤲愵㝡㈸㍣慤昳搴㙥㠳㔸〵㄰㝦搹㘹昴扡㐵捣㕤っ愲搴㔹愶散㜳摦㥤㝢捣户摥昸昷昴㡢㜷散㜳昸㕢㍢㍤昴㐶㍤〷㑥㜱搷㈵昴㜴㙤㥥㡣搱㔰㉥搳搵㙤㥣㌱捦㤳慦搷晢㙥昸㜲㍣戹㌳昷扦扦ㅣ愳㤰慦挵昵敡㐳㘸晤㈵㈰㔶㉢㐸摤攸㜱挹戴㙥㈳慦ㅤ㐴愹㥦㤸ㄶ搹㈶㜹㙦散捥㐵㝤㘷㕣晢散昸㜷慥戸㔰慦㔴ㅣ挵㑡㙦㔸㡡㥤慤晤㕤㌱㕡㍣㉢昵愱搴搴〹㘲㜵㠱昴㉢㝡戹㍤㔲㝢攸㙥㘶㉥〳㔱敡㈴㔳捣㉦捦ㅥ㍣攲搲㕢敦㥡㜶昲摢㥦扤㝡挸㘳挷摤慤㌸㑥㤶㘲づ挳捥戶晥㘲攲昰㉤挶戱㈷㈳㝡〵㜵慤〴戱づ〷昱㜷戱㘸昳ㅥ晡〸收ㅥ〹愲搴戱愶愴㍢捥㕤昳㥤攵搹㑢愶慥摤㘵㑡捤捦捦㍡㘴愸攲㘰㥣摤㑣ㅦ㑤昲〳㄰㙢ㄵ〸㉣搲ㄴ搱慢挹㍢〶㐴愹愳㡣㠲户㔷㡤㝡攰戴㐵ㄷ捦㕥昳挱㘵㤱捤㥡㜶㙡㔶ㅣ挸㑢㔵㡦挳㑥㠹㑦挶㐰挶慤㙡挰㤵攰㠷搴㝤㍣㠸昵㈳㄰㝦搵㘳挹㍤昴〹捣㍤ㄱ㐴愹攵愶攴晤㤶捣㌹㜲㠷搰昲愹㌷つ㝣昶晣㝤㡦㍤昴㐴挵搹㠳㤴㝣㌲㜶㌶㘱㙣昵㘳敡㍥〵挴㍡㤵ㅡ挶㑤㑤攸搳挸㍡ㅤ㐴愹づ㔳摣ㅦ㜷㍥戹㘶㙥扤ㅡ㝦昹㉢昷㕥扢挳ㅦ㙥扦㔳㜱㥥攲戸戳㌳㠸晥㈹㠸昵㌳㤰㍥ㄳ㝣敥散攷捣㍡ㄳ㐴愹ㄶ愳攸昷㌳㙦扦㌱㝤搱㤷戳㙦晤㔶昳㠸扡㍦㥥昹㔳挵戹㡥搴晢㙣散㤴㜸昶ㅥ㉦㥤㙢愸晡ㅣ㄰敢ㄷ㈰㝥㠳㐵㘱戰㜳㤹㝢ㅥ㠸㔲㔹㔳昰〷戳捥敤㙣㕡晦昰㡣㔳㈷慦ㅥ㍢敡愸晢㥥㔲㥣㕦㐹挱ㄷ㘰愷捣㡦ㄶ㡢慥昴愳愹戸㕥ぢ〹㝤㈱㠸㜵ㄱ㠸扦昰㐴㝡て㝤㌱㜳㉦〱㔱敡〰㔳昸慡昷㍥ㅢ㤸扢攵摣〹扦ㅡ戶晡攷扦摤收㤹挹㡡昳㍡㈹晣㤷搸搹愴㉢攸㘵搴㝥㌹㠸㜵〵〸挷挲ㄱ㝤㈵㜹㔷㠱㈸戵挰㤴㜸捡㤵㑦ㅣ昲㕣扣㜶摡捦慥㝡敤㍦昵ぢ㠷敤慡戶㈱㥡㄰㝤㌵搱搷㠰㔸搷㠲㌴㑥戴扢㕡ㄶ戵ㄷ㉦㘶搷㌱晢㝡㄰愵㘶ㄹ㘵搷捥晤㘲㠷㑦晦昶昱昸戳〷㥥扦挳搴㙤㙦扦㕦㙤㡢㙣㌹㑦㝥㑤昰㡤㈰搶㑤㈰晤㈶户搸慤㜹捣㈱ち㤸㤴㜶改㥢㤹㜹ぢ㠸㔲㔳㡤愶㝢昲㑦㉤㍤㜸挲扢㤳捦扡攱㠴㥤〶㘴搷㥦愳㌸愳ㄵ㑤户ㄱ㝣㍢㠸㜵〷〸㝤㔰㤳晥つ㜹㜷㠲㈸㌵摥㈸攸㘸摡晤攱㉤㔷扥㌶敢昲愷敦㍣攴㠹昷㜶㕢愱戶㐷戶㔸昲㙥散㤴昴㥦㠴㜷㍤ち㌸攱敥〱㕡摦ぢ㘲摤〷攲㜷㑡㠹㍤昴㙦㤹㜹㍦㠸㔲㝢㥡㜲㡦摥㝥捤〷ㅦ慥㌹㘳搲㔹扦ㅤㅣㅡ㜲挲愵㔷昷㝤〰搹㜳捤扣㘶㘲㘷收㌰捣ㄴ㡢㤳搰搸㈸昴㥢㡤㤹㝤㘳昲㕤㐸ㄶ㔲㠵㘸㌴㥦㡣㘴攲㤹晡㐱㔰扢戱搳㍣晡挵扥㠵㝤㕢摡昳ㅤ㠷挹㌰㝦㠷昱ㄹ㑣㌹扣㘹攰㐸㤳㌷扥㘳㔹㝢扥㙢晢攰捣昹摤㤹㙥㝢扢昲扣愲㤲ち戱昹㤸ㄵ摢㕤㔲摥㑥攵㘲晢㘴㕡㤷搹攳㔶戴㌸搹㍢㤶㘵㘳㑥摣㤱慤㥥㍢戹搳㍥搴换慤愸搱㌸㉣摡㉣ㄷ摤ㄵ㐷改㘴㌹昵ㅡ㌸㘱㜱㐷㤷摤㉥搵ㅢ搹㌶愷㈵户挴敥㥣㙦㜳挹挷捥换愱㙥挹㉣㌳㌱ㅦ㌹扢ㅤ〷㡡愹㜶㝥戰㥦㕢㤸戴愲摢㙥捦摢㜹搴㜷愹摤搹扤㜲㐱㈶摢㙡㙦㔵〲㜱捡㐴挶戶㈵散挹ㅤ戹㘵㕤ㄳ㍡摡扢㍢㍢㕡㑢㜳挶攵㤷㘷戰ㄸ㤰㥦搹㤱户㌱㤷慦攳㔶愳㙡㝡昵㔲慡㘶户愰㔱つ昵㜶㡤㤲㠶昰㌵昱㡥㘸昳㙤㑡扢摤愸㜹㌸㍡ㅣ㐵慢捤㍥㔹㍢㘴〳捡㐴㉦搵㡣愸づ昴ㅤㄳ搷挷㠸ㅥ㕥ㅤ㉤㜵昴㕡敥㝦ぢ慥慤ㅤ㘰㡥㝥搲㜲㉣㤸㑣捤戴攷㕢敤捥ㅥ㔷昷ㄴ㙢愴ㅦ〴愹㑦攳㙣慥㙡㍤昱㡥㉢搴捡晡挳㕡昲摤㡢慤挵㜶换愲挵ㅣ㥥㘰〵戰愱㠱愶慤搸昴㐳㘰改㠷㐹ㅥ〱〹㠵㙡慣㐷〹戲㐲晡㌱㈷㕤㍦ㄸ晦㌷㙡晤愰㘴㈹愶ㄶ㔲㕡㤶㝥戰㑥搷㔵摦㠶ㄱ㙤㔷慦㕥㐱㐷㌹㌵搳戵戸㥢摤戳攷㑣敡㝢㥣攴〹㤰晡㈱㈰ㅢ㕣改攱攰慥㡥ぢ㕡晤摡攰搰㌳㔸㐶㤴戳㕢㘵敡㘵㍤愳ㅥ摣慥㥣收ㄲ搶㌴㥣㉢㉢㉣散攱攴敦摢挶摥㙦慦攸㥥㤸改捥昴㙥挳㘲ㄸ㕡㐹〳㌴㔲愴㥣㍤㑡昶ㄳ㥥㉢ㅤ㌲㈹㘸〸换慥㑦㑢ㅦ㘱㌸㥡㜰攲攰㝣愹改㘵㘸捦〷㠱扡㜳㝣㙣㤵㜷昴搲㐵㉤慣戵攵愷搸敤ぢ㔶㉥戵扢〸㙦戰㝡㌴㘵昹改㈵ぢ㈲戹散摥摤㉤慤㕤愳㔰搳㈹㥤ㅤ换㤶㝥㥤㝡愸㑢晦〱挴摤敡扦㡤㕥扣昱挷〴㜳搵昴㕥捥戶㔹戸戰愶㠱摡挸戱㥥〲攱攸㈱愱搹㘵愱昱㑢晣㤳㑤晦〹晦㐲㥡㠰㉡㜹昵㐳㤱户㈹慢㠰昵挰昷㙤㥢㥤换㉥攸戴㘵㕤戳㐱ㄲ㌰㜹扦戶㝤㍢㍡㤷㘴㍢㍡㤶㜰㤱慣扦愴扡ㄶ摢㜶㌷搷ち晢㤸戵㔱㔹〳㔵慡㔷慦㤲㔵㍥摦愲攲捥搰㙦㍤つ搲㙦㕣㙢敢㐰㔷㘳㤷昵っ㔸扤戰㙡㘹㍤㡢㥤敦つ㥡㌳㘹摥㠲㠵㤳㔶㘴摡㤶戶摡摦㥡扢㉣搳㡡昵搶㙦㘱㌵㙢㔲搷挰攵㤱挴挰攱㔸㌷㐹挴㈲㜶搷㠸㔷慥㌹昹昵㔵慢㕦戹昵㠴㔷㑥晢挹ㅢ慢㔶扦昶慢㕦晤昳搶㔵慦㥤㜸挲慢㍦扦敥搵㔳慥㜹昵㘷户扤㝡挲改㌹摣㐲戰摢㐷慤㘸敤㕡愱㠶挲㝣㕣㤴扡㘱㙡㥦戹搷㍤昶搳戱搷㝤敢㉦ㄳ㐷㕥扤㜸愱ㅡ㘲㌲㉡搶ㄵ㠷愱㐲ㅢ户㜶㘷〱昹晦挴㔵捤戹㤶㝤㐵晦摣㍢㠴慤㐶つ挷挱搲㘵敡扦㤳㍣て㔲扦ㅢ挸挶慣㐲㜲㑣慡㌲㉡慢㜲㉡慦散摥㙤㘸搷㤹㡢㍡㌷摤㔹昵㠷愰㜸ㅣ㐷㐱㕦㌷㈹㡢戸㙥㠲ㅥ㉣散㈶㠰ㄶㄷ搸慦挸挰搹㌶挰㑤昹㕣㤹愷晢敢昶㡢㌸㜶㥣捥㡥㙢㉣昱㤰ㄶ户㥥捤㠷㝡挲㔰㕦愷换晡扦㕤摥搷攵戲㘹〳㘷㕢㌷挶散㡣㜵晥㌷㤸晦㉥晦挵扢㐳㝡〴戲㉡ㅤ攴㑢攰㠶㝡捣散㐹㔰㡤㠴㌸扤慢愶㌷戳摥㈰挱挰ぢ㍤㑣搳㠵愹㉤慢㌹㥡㉤㑣㐶挵戲昸㈸㠸つ挲㔷扦㑤昹捤〱攳㈰〸晢愵㥢㝥ㄷ㘹扤㡥攴㍤㄰㥣㡢㜲㘸ㄸ挹㝣攰㈴搵户昱㕦㑥捤て〹晡〸㐴㐵㐱㌸㤶搰ㅦ㠳戸㥢搲搰捦㑢㤴㕣㘶搶㠳敤㥦㈰㜳㐵扤攲㠲昳ㄹ㐰㈱㑤㘸㤵㍣ㄵ㐳㥥㘷ㄶ㑤户敥搸攳换㉦慡㌸摥㉦㑣㐶挵㔲㝤ㄲ戲㘲㡦㕥愸㥦晡ㅣ戰㘰㝢搴㈳㕢㕢㈴扤㐱㝣昶搰㑥㔲㌵㐱㤱搸㈳㐴㔰ㅦ㄰㤵〶㑢散搱ㄷ㈹㜷㔳ㅦ愰っ捦ㅥ晤㈹㕤㕣〲慢㍣摥㌰〱㥡戰㉡㜹慡ㄹ㥡㠳㙣昱㐶㌵㕢扣㙥㌲㉡敥㈰㝣〷㥡〶攱慢户㐵㜱敡搵慡戶搸㥥戵搹㠱㘴㐷㄰㥦㉤㜶㜶㤲㙡㌴㤴㠸㉤〶ㄲ㌴〸㐴昱〴ㄲ㕢っ㐶捡摤搴摦晤戶ㄸ㠲ㅣ㝦摦攰敤㠷㡡扥戱㉢㐰㈱㑤㘸㤵㍣㌵ㄶ摡㠳散昱挷㙡昶㜸捡㘴㔴摣搷㤸〰㑤㠳昰搵摦㐶㜱敡て㔵敤ㄱ㘵㙤㘲㈴㜱㄰㥦㍤㤲㑥㔲㑤㠴ㄲ戱㐷ㄳ㐱㈹㄰㌵ㄹ㉣戱㐷ㅡ㈹㜷㔳て晡敤戱〷㜲㜸㑢㈴㔲㜹愴摦㐱㔶㐸ㄳ㔰㈵㑦㑤㠱捥㈰㉢摣㔹捤ち扦㌱ㄹㄵ昷㕡愶㐳搳㈰㝣昵㈴ㄴ愷㙥慦㙡㠵㈹慣捤㔴㤲㘹㈰㍥㉢散攵㈴搵㕥㔰㈲㔶㤸㐱搰㑣㄰㌵ㄳ㉣戱挲㉣愴摣㑤㕤敦户挲ㅣ攴昸㝢〵敦搴㔴昴㡡㜹〰㠵㌴愱㔵昲搴㉣㘸て戲挷㘵搵散昱㑢㤳㔱㜱ぢ㘸づ㌴㜱戸㘶㌹㐳㤴戹搸㤵愳㍡㠰愵ㅦ〸愲收㠳挵㘱㡡戳戹搷㡡昰㔸㈷敤晥㜷慦ㅤつ㘳㐳搶㐱㄰㉢戹㠵挴㈳昴㙦㝡㈱㄰戸㡥㄰㈸㠷㔸㤹搹㔳㥥㕡〰㝣昱昰㜹ㅤ㜱ㅣ收㔹搵づ晦㑣㤳㔱㜱攳㙡ㅦ挸晡づ㥦㌷慥攴昰㤷戰㘶慤㈰敡㝢㘰㙤摡攱户㐱慣攴挶㔷挵攱㜷〰㠱挳㈷戰昲昰㈵戳愷㍣戵㍦慡ㄴ㜴昸㍦慡㜶昸挷㥢㡣㡡摢㙤〷㐱搳㈰㝣昵ㄱ愸㡡㍡づ戰攰敢挵㔱慣改搱㈴㍦〰昱㥤つ慢㥤愴晡㍥㤴㠸攱㡥㈱攸㔸㄰㜵㌰㔸㜲㌶ㅣ㠷㤴扢愹㈳㔰㠶㜷扤㌸ㅥ㌹㈵㘷〳㙥搴㔵㥣つ㈷〰ㄴ搲㠴㔶挹㔳ㄹ㘸㉦摡愳㜸晤㍣戴㥡㍤㤶㥡㡣㡡㍢㠰㜹㘸ㅡ㠴慦晥〹㡡㔳敤㔵敤昱㔳搶收㘷㈴㍦〷昱搹攳㉣㈷愹㙣㈸ㄱ㝢㥣㑤搰ㅡ㄰戵〸㉣戱挷㌹㐸戹㥢戲晤昶㌸ㄷ㌹㝥㝢昰收㘱㠵㍤捥〷㈸愴〹慤㤲愷㜸慢㌱挸ㅥ〷㔴戳挷晥㈶愳攲慥攴㈱搰搴挳㠲㙤挹㡤挰㉤㠰㉤㔹戰敤㕢㤸摣搲摡㙤㜷捡㥡㕣㘳〱晦㥣挸㈳㐹昷攳㍡㘴㘷㈶攷挴昴㙣㔱㤸㠰愵㐸㠴㍡㜵慦㉣㉥捥㔶㉣㠵㍡㉢㠵晦㝦挱昷ㅢ户攰㉢换扤㈵㡢扥㍤㉣愸愲搳㤴㉤昹昶っ昶㜵㈲慥㜵〶慥捣㐸㤷ㅡ〵捤愵㥤㡣昸昲戵㈴㠹攷昲昰晥㑥㐸㜴愴晡㐲㌰㍢㝢㘵㈷愵㔰搵㐵搷晦扦㘴ㅤㄴ㤰敡㉣㔹㕦㐶〷㜶㌹挹ㄵ㈴㔷㤲㕣〵愲ㄶ㔴昵扡㔷ㄳ㜳つ挹戵㈰㍥慦㝢㍤㤲搶つ㈰㡤㙥㜴挴㐰愷㡢㠵㤴㕡㠲〶ㄲ㑦晣㙢ち摥〸搲昷㈶㤰㔹㔳敤㔶摣晥昸扡㠲㐰敢摢㔰㑣捦ぢ戶攸㍦㥢〳戴㔵摢晣㤵敤戹挵㥤ㅤ敤〸挵攵㍡昲戸ㅣ愲㈸扢㔴挶㙡㥢搱㌱㘱㔹户搵㌶戵〵晦晡戶捤戳㤷摡㤹敥〹戸扤㠵㐵敡ㄹ㠸昸㤰㈵攸㘹昹ㄵ㥢扥敡昳昵㉤㔱换㕤搶ㅡ〵〳扡慢搴慡晣散㜵ㄶ㡢㡤㜹㐷㑤散㐰㐴慥㉤挱挸㌴扢㘵攱㜶挳㌷㜰つ扡㐶摦㡣摡㕤昰摥㤵㝢づ㍤敦摡㉦捤晦ㅦ㘰㥥㉦㥢㙥㐵挳㔵㕥㙤㙦㠳㐸愸愷㍣搵づ㌹敦㑡㙣摤㐵戳愱ㅢ㌸㠳搵戱搵慥挶㘳㑣㐶㐵㐴捡愱搰㌶㠸㌵戹て㡡搴攸慡攷挹晤挸搶扦㈳㜹〰挴㜷㥥晣摥㐹慡㑥㈸㤱㜳攲㈱㠲ㅥ〶㔱摤㘰挹攸攴ㄱ愴摣㑤㈵㔰㠶㌷㕡㝢っ㌹晥㝢挹〸㜰愹ㄸ㥣㍣〱っ敥て㠱㔶挹㔳换愰摣㌳㠹㙦戱㘳户㙡收ㄸ㘱㌲㉡㈲㘷㔶㐰搳㈰㝣昵搳㈸㑥つ慢㙡㡥㘷㔹㥢扦㤱㍣〷攲㌳挷昳㑥㔲慤㠴ㄲ㌱挷ぢ〴扤〸愲ㄸ㑦㈳收㜸〹㈹㜷㔳㍢昹捤昱て攴昸〷㙢っ挳愹戰挷㉢〰㠵㌴愱㔵昲ㄴ㠳㜶㠲散戱㐵㌵㝢っ㌰ㄹㄵ昱㍤㐷㐳ㄳ〷㙣晡ㅤㄶ昷㉥挹㍡㤲昷㐸摥〷㔱晤㡣㡤敡捤ㄱ㙤㕥㔷㔳戳慣ㄶㄹ晡㐳㘲㍥㈲昹ㄸ挴㘷愳昵㐸㕡㥦㠲〴戸搶ㅦ㐰㡤搸敤㌳ち晥ㅢ㐴慤〶㡢慥戰㐶㝦㡥㘴搵昳㘹ㄵㄱㄵ挶晡ㄲ㈲㈱摤㐳㥥㍡〶㜲㐵㘳昱㝣㜲捥愵捦晥㔳㘵愵散㔳㤳㔱ㄱ换昴㐳㘸ㅡ挴㕡㌴昰昸㍦〱㉣㜸收ㄳ㐲戶敥㐳搲ㄷ挴㘷㤸晥㑥㔲ㅤて㈵㠳愹愸㤱㈰晥㠰㐲㌱愲㐹㍡捦㘶㐸戹㥢㝡〷㘵㜸攷搲〰攴昸㍢て〳愱㉡散戱㈵㐰㈱㑤㘸㤵㍣㜵㈲戴ㄷ敤㔱㥣昹晣戳㥡㍤晥㘱㌲㉡㈲慣㝥っ㑤㘲㡦㥤㔰㥣㝡愹慡㍤〶戲㌶㠳㐸〶㠳昸散㌱挴㐹慡㔳愰㘸㌰扥㝡㈸㐱扢㠲愸搳㤰ㄴ㝢っ㐳捡摤搴搳㝥㝢㡣㐰㡥㠴㘷㔵ㄸ㘱㈴㜲戰攲っ㕡㘹〴挹㔳愷㐳㘵㤰ㄱㅥ慦㘶㠴挷㑣㐶㐵摣搷ㄹ搰攴㕢つ㘰摣搷㘰㝣㜵㠲愵㈷㐱搴捦㤱㉣慥〶戸㡢ㅥ敥晦㥡戱挸挶收愶戹ㄸ搲〴戱㤲戸㌱ㅥ愱㝦搳㘹㈰戰ㅡ㐰愰ㅣ㘲㘵㘶㑦㜹敡㑣攰㡢㠷㕦㕣っ戹慢摡攱摦㘹㌲㉡愲搵搶㐰㤳昴㠱㠹愸㡡扡〳戰攰㜳㘲㌲㙢㍡㠵㘴㉡㠸慦て㑣㜷㤲敡ㅣ㈸ㅡ㡣慦摥㡢愰ㄹ㈰㡡㐱㙢搲〷㘶㈲攵㙥敡〶㤴攱㥤ㄳ戳㤱攳㍦㈷ㄸ敢㔶搱ㅤ收〲ㄴ搲㠴㔶挹㔳攷㐱㝢搱ㅥ挵㜳攲昲㙡昶戸捣㘴㔴〴搱慤㠵㈶戱挷晥㈸㑥㕤㕡搵ㅥ〷戲㌶〷㤱㝣ㅦ挴㘷㡦㠳㥤愴扡㄰㡡〶攳慢㌳〴㘵㐱搴挵㐸㡡㍤㜲㐸戹㥢㍡搷㙦てㅢ㌹㝥㝢㌰晣慥挲ㅥ㡢〰ち㘹㐲慢攴愹㑢愰㍤挸ㅥ㘷㔴戳挷㑦㑣㐶㐵㕣摦㘵搰㈴昶㔸㡡攲搴㘹㔵敤搱挹摡㜴㤱㜴㠳昸散戱摣㐹㉡㐶昸つ挶㔷ㅦ㐶搰ち㄰㜵㈵㤲㘲㡦㤵㐸戹㥢㍡摥㘷て㝤〵搸㤵〷㜹ㄴ昰愱㥥昲搴㔵㤰ぢ㌲挰㤱搵っ㜰㠴挹愸〸㌳扣ㅡ㥡攸ㅦ捣晤摣㙢戰㍢ㄸ㕦㝤㍣敡愰㝦〴愲慥㐳戲搲㍦慣㜷㙦㐹㡤㐵㌶㌶搷㍦昰㐶摢戵㐸㔷ㅥ搵㐹㍣慡ㅥ㌳㝢ㄲ㔴搷㐳㘹昱㤰㡢㍥愱戵摡㈱㉦㌱ㄹㄵ挱㤰㡣㠱㤴㐱挵㤹㍣挶戳㐸捥㈶㔹㐳㜲づ㠸戲㈱㑡㍦㔱て攴㐱昸㉥敢㔵㔳搳㡡㡣ㅡ㝤㉥㌱攷㤱㥣て攲敢〷㙢㤱戴㉥〴〹ㄸ㔴摣〸挹挱㤴扥〸昹晡㘲㄰㜵㌳㤲捥愰攲ㄲ㈴慢づ㉡㙥愲㔴挵〹㜲ㄹ㐴㐲扡㠷㍣挵㈰捥愲戱㡡㠳㡡㜹搵㡣㌵搷㘴㔴挴㝢摥〶㑤㘲慣敢㔸昷敢㐹㙥㈰昹㌵挹㡤㈰㙡㉦㥦戱〰慥㜱㐷㘰㤸㝦㄰㜳ぢ挹慤㈰㍥㘳摤㑥ㅥ㈷户㤸捣摥づ㤱挱昸敡摦㤰㜹㈷㠸㘲ㄸ愹㘳㥣扢㤰慣㙡ㅣ挶㥤㔶ㅡ攷㕥㠸㠴㜴て㜹敡㑥挸〵ㄹ㈷㕤捤㌸㈹㤳㔱ㄱ换㝡て㌴㠹昷㜸㤸搵㑥ㅡ㐳㠰㔹扡改㐷㤱慤ㅦ㈳㜹㥣戵㉢摥慢晤㠳㤳㔴昷㐲㘰㌰扥晡㐹㠲㥥〲㔱扦㐵㔲扣挷ㅦ㤱㜲㌷戵㍢捡昰慥㉥㝦㐶㡥㝦昶㠲㐸搸㡡扥昲㔷㘰㐲㥡挸㉡㜹敡㝥㈸㉦㥡愳㜸㜱ㄹ㕣捤ㅣ㠳㑣㐶㜹㠸㙤晤㠳搰戴〹愱㤱㝤〰搷㠵㝤㕡散挳ㄸ换搵扦㔰昲昳扢㝥㠵㠹ㅤ戳㍡扡㈷戶㜴㉤㙤捤慣ㅣ㔰㌰㍢晢㉥戶摢ㄱㄶ摡㠹攸搰㌲㕥挷搲愵㜶㕥ㄷ收㜷㉣敢捣搹搳㈶㝥ㄳ挲㐶愵搵㄰〵愵㔴㑤慤挲昶搵㈲㈱搱ㄷㄴ晡っ挳㙤敡ㅦ㠲捡昲㠰㌶摦敡㕦㜱愱㌹っ㘰㘳搱愲ぢ㕡扡㕢敤㍥〵挹㤷晤㠶〲慣㠸㔸摢㝣敦挲㠲挵㠸昱㥡搸慦㌰愵戳㈵摦摡搲㙥戳㌱戰㜸捤愸攴ㄹ昶㈲挴搵捥改攸㙡攱慦敢晡ㄵㄶ㜴㘶摡扢㤶㌲㐴㌰户㜲昳㤲㤴㉣攴搴ㄷ挶户戴㜷愱ㄸ昹ㄱ㈵昷ㅢぢ昳ㄷ㜷ㅣ㠶摦㜰㉦㙢㙢㥦㤲㔹摡昵㡤㘸ㄵ昸ㅤ戳㐹搳愸㕡㔵㕢慢ㅡ㙡ㅢ扥㙡晢㔸㉦攲散摡扡昸慢扡㠱攸慢摤㥤㉤搹㘵㌴㥡㤴ㄴ〳慤㈳㤱㜶慣愹㝦ㄸ㝢㍤㉣攲㜲㈹搷㐴㍣㌳㥡㤷昵㉤昹㍤㔴㘰㘰愹昷攳㜸㉥摦敡㤷㔰愵扥㉦㠳㑣㥦戲昷戴㘲㥣晢㝦昵㑢昳晡㐷愰戹㝣㘹慣扣昷㜹㘱挵㕢〲摣摦改㐶攴戱㔷攱散㐴㙦㘰慡扣㙢㠶ち㠲㘱㉦敤㕦摣㥤㡣挸搴扥㠵ㄹ㤹慣摤㡡㐵搰戶㑣㜷㝦㈷挱〵㙤晣㔸戴换攴㑤攸㘸㙢换戰摢戱换捥捦㘵㕡敤㠶挲戸㘵摤ㅤ昸㤱戲㉥㠰㐸摦㌴慣捣ち戰㌲㉢㠴搵户㌰㡦㠱昶戲㑦㕤ㅤ㡢㌲㥤㉤摤㡢摢㕡㜲つ㑣㌰ㄸ晥ㅢ搱㕦攱〰敡㘰㑣㜷㜳晤㐹昹搲慣戳㐸㠹收ㅥ㠵㠵㘲㥡㡥捤㡦㕥㕤慢㉣晣愹慦ㄸ攷〷攷㈳ㄷづ晤㑦㘸慢挷ㄷっ㜳〲慤攳攲〶户㜵捥ㅤ㔴㌸㈸昵ㄸ㤲攴敡㔷〰攵づ扦㜵㡦㠳昴ㄸ愴摢ㅢ㠰搰㡣㡥㑣㝥㌲㙥㥦㜵㜴昶㌶㑦㐶㘸㐰搳搲摤㜴㠶ㄹ㌶㍤〱㤱昸㠸昰㕦摥㤲户㍢ㅢ挸㤸㡦攵收㍡〶㕣㕢㑥ㅢ㘲扥摤慢愶扥扥㑦㐳㔰㔹搳㕣㕤㐳㑣ㅣ慡晦挹ㄲ搳㉡昴扦㌵㌷㍤㈶挲㕡㠵攴㌲昵㉡づ㐷扦挶㘳㝡〲㑣ㅥ㑦ㄹ攰㜵〲摥〰愹晦〳㌲换摢愶㌴㠲ㄹ㜱捥ㅡ愰㍡㐶㈸搶㌱㌲戱挱㡤㐸慣㤷〳改攳㡢㐰戴㥣挸挳〶挸㘰慦慤换㥡㡦㕥㙥攷㐳㡥㡦攵㘲㍢㥢愳戶戶づ㑤㙤㤵摦搷慣㈸㤶㉡收摢ㄲ㘵慤ㄸ㍣㘷扤㠹ㅡ昷攵挹〲晤ぢ攵㜷晡攵㈳〸っ搹摦〲〸㐳戵㍦㠱扡㐷㍥㡢ㅣ挷㌴㙦昳挸摦〱㔱㝦昷〱戰敢〲摥㈵㘰ㅤ〱捦〷〳摥㈳攰㝤〲㕥昲〱づ挱㜱㠵㐲晣攱㤵晥㠰㠰て〹㜸ㅢ㐹づ㌳愴ㄷ㍡ㄷ㐵昵㉥㤲扣㌰搶㔸ㅦ〱㌲挰昹扤攱〶㥤戰㕡〷〹㍡㘲晤㌱ㄵ扦㠷㍤晡㌷慦扦慦〷㜷挳晤㥤挱㜶散攲晡㔳㉡㌱〹昵㈱㜶㕣㑢敤㠶㝤㘳愹捦㠰搱晦㈶昰愳㘰挰攷〴晣㠷㠰㡦〱㘰㐷戲扥㐰㙡㉢户㠱㡡㜱㘸昲㑢昷㠰愶㤲㥦㔶㠵ㄴ〳昴摣ち昸㥡㑡㘱ㅥ愳㙢㐱ㄴ㠳改捡敤㔸て㥥㘳㐷㥣㐶ㅢ㙦㐷ぢ㘲㘲挷㍡㉡㘶昰㕤㠹ㅤ㉤㜰㌷㙣㐷〶改攱㠳攰㍤㉡挱㡥㝣ㄹ愹攷ㅥ㠶捦㡥つ挰㘸㍥捥㐵昵〹〶㠴〸攸㐳〰〳晢挴㡥㝤㤱摡扣搲㡥ㄵ㠳㘲㜴昷晥㠰愲扢㌳戰捦㉤摣㘷挳㐶敡づ㔳㌷㠳昰捡㙤戸㍤㜸㘲㐳捤扥㈸㕢搹挵㕦敤〰㠸搸㙢㜳㉡㘱㠰㕥㠹扤戶〰㜷挳昶摡ㄹ㘲昸攰搱㌳㔴㠲ㅤ昹づ〴㜵慢散戳搷㔶挰攸慤〹ㅣㄴっ搸㠶㠰㙤〹㘰昰㥦搸㙢㍢愴㠲晡㕤㔰捣ㅦ㙣戶〳攰戰搹慥㍥晤㍥㥢敤㐸晤㍢㔱晦户〱㄰㥢攱㍣挳㘹挱㐱慤㘲㜴㥥搳敦㜶〶㘴㔳〶㔲㉡〶㔱戱攵㐰㉡㘷㜰㕦㠹㉤〷㠳扢㘱㕢㈶㈱㠶㑦㡤摥㠵㑡㕣㕢㌲ㄲ搰戵㘵㠴〷攷㜸扢㈱挰攸愱〴㌲㑡㌰〰戰㉢〱挳〸㘰攰愰搸㜲㌸㔲㍥㈷㡢㐷㈸〴㥣戹扢〱〴ぢ㝥挷愷搵㘷挱㤱搴扡㍢戵㑥〲愰扣搷㌱戲捦戱攰户〰搹㘸て挸㔸㐰戱摥㈸㉡㘶㔰㘰㠹昵㈲攰㙥搸㝡㝢㐱っ㥦ㅡㅤ愵ㄲ搷㝡㡣㈰㜴㡤攳敢㠹㌱㘰㜴㥣挰㤹挱㠰〴〱㐹〲ㄸ㜰㈸搶㙢㐲㉡愸㈷〶挵ㄹ愲㈷愶〱㠷ㅤ攷昹昴晢散搸㑣晤㝢㔰晦〱㍥〰㈴摣昶摤㤳㠰敦㄰㜰㘰㌰㘰㌴〱摦㈵㘰愱て戰㍤捥㜶㜳戱ㅡ㐳挰㔸〲㤶昸〰扥㈲挶ㄱ㌰㥥〰㐶攳戹㔶昲〱㈶㄰㌰㤱㠰づㅦ㈰㔶㉣㘲ㄲ〱㤳〹㌸〲㠰昲摥挰挸㌶愷㌷㑣〱㘴愳㝢挳搱㄰㤳摥㌰㤵㡡㌹愴㉢改つ搳挱摤㜰㙦㔸つ㌱㝣戰㑣㑥㈵搸㤱㉦㈳攸摣攳昴昵㠶ㄹ挰攸㤹〴㌲扡㉥〰㌰㡢㠰搹〴㌰攰㑥㝡挳ㅣ愴〲㝢㐳㐰㥣ㅤ㝡挳㍣挰搱ㅢㄸ㜰攷敡㥦㐵㡥㜳㌲捦愷晥〵搴捦攰戸㜲㍢㌲㈲捥戱攳摥㠰㙣戴ㅤㄹ㐳㈷㜶摣㠷㡡㝦㡥㔴㠹ㅤ昷〳㜷挳㜶㘴搰ㅤ㍥㌵晡㝢㔴攲摡㤱㤱㜷敥㘱昸散戸㍦㌰晡〰〲ㄹ㤵ㄷ〰㌸㤰㠰㠳〸㘰愰㥥搸昱晢㐸〵搹㌱㈸㍥て㜶㍣ㄸ㜰搸昱㝣㥦㝥㥦ㅤ㌳搴㥦〵愹㘷〸㑣て㔳㐴㐴ち昸〲愵晡㐳愷㔵搸扢扤愵ㅢ戳㌷㕥㥢㈷户㜴㘳ㅣ摡户〰㠲㕤㠹㘸摡㑥㘶㜵㍥愱㤱摥㡡搱捥㤵㔹㈵㑢㐸㍢㔵收晢搷㤴㠶〴㘴㍢慢㑤扥㐵愶つ㠱㘴搵㈹愰㡥摦愴㘵㈸攵㐴戸㘰搰挷㤵愸ㅥ㥦㐰㔵戴㍢㔷ㄱ晥㡢㐵㉢戹挲搵攸㍣扢つ㈷㡣捥愵扥㥥挱㔱㍤㜷て㕦㘸㕣ㅦ㜶㌹慥㘱㌹扣㝥㈶昶㜲㕡㝢ㄷ㘶㠰㈱㤳挲晣扥扦搹㥤扤慣扢㈴㈷戳㘲㠰挹挱㡦っ㘷户㘳㔵㈶㤷改捣㝦㐳愶昴㌸㌶愷㌹㘴㜶晥㔵㔷〶愱〵㥢㙦㈲㉥㠶慥愹㘷晣搹愶㐴ㄵ㌶㐲㑢㍦㥡摡ぢ㌶㙣㘰㡡㑦攳㤲ㄶ㜰㥥搹㈲㑢戴㜳㙣慣慦攲挹㜷慤昶〰ㄱ昰㤲㌲㜵搵㠵㜱搹㉥㉣昷㜵㜳ㅤ挷散挹〹慥ぢ昳㙣㍥愴㙢戹㡤㘵ㄷ戳㌷㈷搷㡤ㄸ㕡㑦〱㝦敥晦捤㘹ㅤ㔸愴捥戴㤰㤲㌶戲㝡攸戸愵〷挱㜳攷㉢戶㈸摡慤㈰摢㍢㘳搴㌹㙢戸㕤㌱愶挶摤㌱㈷ㄱ攳ち㝢㔸㍤㠴㡦昵㠷㠰昲㉣ㅡ攰㐶㈶㍢㥥㑤㥣㔶㕦㤷挷㈵挶㝥㕣づ敥散挶㌳㌱昸っ愶㐶㥥㌶慤㔸㠳改㙥挱㙡㕡敢捡晥㠵㘹敤戹搶㘵㜹㕢㤶攲㕣㕦㉤㉢㜲摦㠸昶慡㠳㐱捣搹搴㠳㕤㡣㔱愶攱愹愱敥㌳ㄲ扥晡㥡扣戶㜹挹攳㌰ㅥ㍡㐲㝡ㄱ㔲㕣㥦扦ち㌵搹攴㜸摢㄰戴㙣㕥㡣ㄶ㤷㘷㐹挲慤㔵戰攸捦ㄸ㌴改㠵散捡ㄹ攷㠳捤攸㤸搱挱㌵㝤ㅦ㙢㙡㡢挳晡㐶戴ㄳ㡥搳㘹㈶晣挴昵慢摦つ愱㤶㜵收敥昳㍡挶㙢㌱㍤㠶昶攷㘴㤲〱戵捥愰㙤㌱摡愴户昹搱㌸㥡愹愶㠶ㄳ昱摡攲㉡扣㘲搸慤っ搴㕡㠰㔴搷㈲攵っ搴㥣㜶搵㑢挰敤㜱愰愶㕢㥤㔶㔷㡣搵挵〷㑦㠰〰㠳㑢戵晣㉡〶攷扡㘳戱捤挱㌰㘳捥㜶㘰㜴〷㠸㘲攰㙥〰㘰㈹〱㠷㠲搴㌳㝥戳摣改㔴つ㐵㠵㐰つ㥥昱㠰〵挱㠶㌶㉥㡣攲㤴戵昰㙣〷㠴摡昶挶㈸慢㑦〳㐳㔵㜵㈷㔰㡦㍤晡攸㘸㘰㙢ㄴ㘳㍤摤昲㘷ㄵ㉢搸挵昲昹㠸㕤挵㤸捣昲㐱㌱〳㌱ㅤ晢昲愶昸㐶て㡡㝦〷㌱戱昵㜲㉡㘶っ㘷挹愰㜸〵戸㍤摡㕡摡㤶戱㥥昸攰㤹㘱㔴挲㐳攰㤷〱㥦敥㘱昸〶挵㠷〳愳㡦㈰㤰挱愰〱㠰㈳〹㌸㡡㠰㐷〰㤰㐱昱搱㐸㙤㔹戹㐸挴攷㥥〵捣搸㔷〱㡤㌱昱ㄳ㍥昵㍥㌳慥愶晡㘳愸㥥戱㥣攵㘶㘴〰愷㤸戱晡㍡搱摦〰ㄱ㤳ㅤ㐷㈵捦㈱㔵㘲戲攳挱摤戰挹㥥㠷ㄸ㍥〸攵愰ㄲ搷㘴㉦㘰㉦挰㈲㈷〰愳㑦㈴昰挵㘰挰㐹〴㥣㑣挰㑢〰㠸挹㝥㡣㔴搰㍣㈲㈸㜴ㄴ昳㠸㔳〱㠷捤㕥昱改昷搹散㌴敡㍦㥤晡ㄹ敦挹戹㠴ㄹ㐷㥥㐱㌱㘷ㅣ愹㝦㡡㝤㥥改敦㈲㥢攳㐹㜷慢ㄸ〵㈹㠶㡡㜲㈴挴〳摦搰㔵㔵㌱愴㤴㔷㔶晣〸㡡戵昰㕣晢㤹愶㌸㐶㥢搲扤㍢㕢㜵〷挴戰㔳攷〴㌹ぢ㤲搶㠲㐹昳ㄷ㐴攲㔲㠵㜲晦挳搸㔴㘹攰戳〱㔴っ㔲㉤昱㍦攷㠰摢㘳〳敢㕦㤸慡㌱愰ㄵㅦ㐴愷㔰〴㍢晣㉡㐶戰扡㡤散昳㍦攷〱愳捦〷㔱晦づ〶㕣㐰挰㕡〲㍥〷㠰㍥㐸㕦㠸㤴攷㌶扥昴㠹昹摡敥㈲㡡㕤㑣㌱㠶㥦㤶昷昷㄰㜸ㅢ攸敦㡣㐸ㄵ㜳㕣㑡㈵㝤㤱㉡改敦㤷㠱摢愳㌹挴㐵㌰㠴ㄵ昵挳捦㌰愸㠴㘶攰㤷㜱慣慥㈹㝣㉥攲ち㘰昴㤵〴㠶㠳〱㔷ㄱ昰㉢〲㌶〳㐰晡晢搵㐸〵昵昷愰㘸㔷昴昷㙢〱㐷㝦摦搲愷摦㘷戳敢愸晦㝡敡摦〹〰戱㤹㙦㕤㤴㜱愹㑥㑦扡〱㤰㑤㕡ㄷㅤ〴㔱戱攵慦愹㝣㌰㔲㈵戶扣〹摣つ摢㤲攱慦㘲换㥢愹挴戵攵㔰㜰㕤㕢づ攱挱㌹㑢㈹户〰愳㙦㈵㤰昱戱〱㠰摢〸戸㥤㠰㘱〰㠸㉤敦㐰慡㡦敢㙥昹㈰挳〰㈷㝢㈷㌰㌰㈰挳㘲㕤愵㍥〳摥㐵愵㜷㔳㈹攳㔹㕤〰㈴摣㙡摤㐳挰扤〴㈴㠳〱昷ㄱ昰㕢〲搲㍥挰㈸散㥢攵扣晢〹昸ㅤ〱っ㈱㉤敦搷㡣ㅢ㜵摡攸〱㐰㌶晡㜲㌸〵㘲搲㍥て㔲㌱㐳㑥㑢摡攷㈱㜰㌷摣㍥搳㈱㈶敤昳㌰㤵攰㤸攵换昸㔴搷㄰扥扥晥〸㌰晡㔱〲㘷〴〳ㅥ㈳攰㜱〲ㄸ捥㉡敤昳〴㔲㐱㝤㍤㈸㡡ㄵ㝤晤㐹挰搱㔴㜳㝤晡㝤㑤昵ㄴ昵晦㤱晡ㄹ㝡㕡㙥㐷挶㥢㍡晥㘱ち戵㜰愳扢昴〵㑤愸㠳〰ㄱ㥢晤㤹㑡扥㡦㔴㠹捤晥ち敥㠶㙤挶昰㔵戱搹搳㔴㠲ㄲ攴㥢〱㌷挰㘶捦〰愳㥦㈵㌰ㅢっ昸ㅢ〱捦ㄱ挰㤰㔷戱搹摦㤱ち戲㔹㔰愴㉢㙣昶〲攰戰搹㈲㥦㝥㥦捤㕥愴晥㤷愸㝦㈹〰攵晥愱ㄳ㍣愷敦扤っ挸㈶昹〷㐶戲㡡㉤晦㐱攵っ㘹㉤戱攵㉢攰㙥搸㤶っ㝤ㄵ㕢扥㑡㈵慥㉤ㄹ晦敡摡㌲挲㠳㜳晣挳㙢挰攸搷〹㕣ㄱっ㜸㠳㠰㌷〹㘰戸慣搸昲㕦㐸昹敥㥢㐴㘳㐱づ攲㙤㠰㘰挱愳㝣㕡㝤ㄶ㝣㠷㕡摦愵㔶〶戴扡昵㠲㠴㕢慦㜵〴扣㐷挰㡦㠲〱敦ㄳ昰〱〱㈷昹〰㕣㘳㌷づ攲㐳〲㍥㈲㠰昱愴扥㐱换㈷攰挱㉥㕣晣搲敢戱捦㐱ぢ愳㑤慢づ㕡昴愷〶㜵㌶㔰ㅢ㍤㜰㘱搸慡㌳㜰昹っ攲挵㠱换攷㐶ㄹ㈳㕡㌹㜰㠹敥㍦昳摣敦づ㍦㙢捣摡㑦捦摣攵愸〱㔷㡦㜱㐷㐴慣ㄸ慢挶搰㔶攷ㄴ㘴㘴㈹㙢㕥㌱㘳㍡て㄰改㌶㕦㐰户㍡ㅦ㈹愷摢㌸愵㙡捥㝢㝡散㌶㥡㠱㉣㉣㡢搱戲散㌱ㅡ㜱ぢ戲挳㠴扡〸摣㠰㈶敡〵㡣挶挳ㄷㄱ㘱ㅥっ攰㐳晦戵㐵〰㠳㘹㘵挴搲ㅢ㈹㙦挴㜲㤹㑦㙣㜷ㄴ㘴扡㘴〳挵昸㐲㄰㜵ㅤ〰扥㠶敢〳㥥㍢摡散㡢㝤搶昸㝡㐰慡㌶㥣搸敦〶㈰㌶扡搱ㄸ㍥敢㌴㕡㍦搶挲ㅢ㙤㌶㥡攲ㄸ㔹扢㌱愳㑤㠶搸㍡㍥㈰っ㐹㘷戴ㄹ㐵攵㉢摢㡥㜱戸搲㜶㥢〱愸㙥㐵慡愴敤㤶愰㐵㝢㙥扢㉤㑣搵ㄸ扣㉢㙤户㈵ㄸ摥㘸㤳搱扢㙥摢昹㐶㥢㕢〱愳户㘶㠹㜷〶〳戶㈱㘰㕢〲敥〲㐰摡㙥㍢愴扣戶扢搷㈷收㍢慦户愷搸づㄴ㝢ㄸ㠰昲慢〹攳㙤ㅤ慢散〸挸㐶㕦㤵ㄹ愱㉢㈶摡㠹㡡ㄹ慡㕢攲ㄵ〷㠲摢愳㠹愴ㅢ晣〱㘲㘲㥥㐱㔴挲㡥挴敦㤳攰扡收搹慤搸〵〷〳愳㜷㈱昰愹㘰挰㄰〲㠶ㄲ挰㌰㘰昱㡡扢㈲ㄵ㌴㐹つ㠸晥㠵攳ㄹづ㌴摣㈳挳㠰摤昲㝤㘶ㅣ㐱昵扢㔱㍤〳〶愵摡㈳㤹㌲搵慥㘷搰㔷㜹㉣㔳㐵㥣㤹㤴㔰㘰挴搹晣敥㤵慤㠸昲攳㉥㘳㥢㥣㍤㉥㐶㘰戵ㅥ㍣㐴㕣㜵㜴㘲戱慥慥晣搷攵㥥㉣㝦㕤摥㘷㡢戲挷愵㡡ㄸ㜳ㄸ搰㔶晦愷㝦㔷㍥ㄲ搴㤳㘷挵㡢捦㑥愴っ㌷敢㕢愸攲ㄶ㌳㕢㜲㥤ㅤ㕤ㅤ㠵敥㠱昳ㄱ挵㍡㤰㡦㥦㉤㘰戵㙥㕣晤㔳搰ㄸ㔸㈶て慣慥ㅤ〷㔲扦㥣㡦㘳っ㉤㘹敦㌸慣㕤㙡㔳摦挵愷昰㡡扤㝡昷㘶㌱㈱㤶挳㙤ㄷㄸ㉦晣ち㉡ㅡ㐶㐲㝦ㅢ㉡晡㌵㠶ㄹ㍤㠶昳慢挶㡡㈰㍤㜴挲㜸㍣㜳㍢㥦㑡㘵搲㠹㜴㜳㌲㥦㡥㈷㥡愲昱慣㥤捥㈷㜳戹戴ㅤ㡢㐶㘳㠹㐴戳ㄵ昵愰改㔴㍡㥦捡收㤳㠹㜴戶㈹㤱㡥㌷愵攳㤱㜴㈶㤵换㐵㘲㠵愸㙤挷㈳㔶捣㠳㈶ㄳ㔱㍢㥥捣㐵㔳㑤挹㕣㈲ㄲ㡦㌵愷攲㤱㐲㈱㥡换㌴㌵攵攲㑤㤹㜸昸㌵㔳ㄳㅤ㠷㡣㑥㤰㈴㐱挲っ㕦㘳つ㜵ㄳ㔹㈹㤲㌴昹㡣㘸ㄳ㍥㔱づ㥥㤲昵っ〹摢搸㘸㌳攰㌱㠲㜲ㅥ昳㔷搷扢㜷挵つ愸㡡㈸㌵敦搱㥥㤶挵㈰戵晡晢搱㐰攵捦㕥っㄶ㉡㙤㝦ち愳㥥㜸㜹〶㉢晦㕤㤰㔰㤸搱㙡搲ㄴ㘳㤰摣㙣挲昸㠵愵㙦昳戱挶㠲摤ㄷ㙣㔹㕢㥤㠷㈷晡㕡攳挰改て㡥㉦㉡㌷捣㜰㌷㌱换㜸㘴敡挱㉣㘳㄰㐸㤸愱㙥摣挲敢摣㥤昷摣㥤昷摤ㅤ〶戳昵〶挶㥡〴搹㌰ㄴ㤷摣戴戴㈶㠳摢㙦愱ㄳ摥㈷㤵攸戲愶㔴搶挰㥡㑡㤸搴戳㜳㕣㍥摦㠹㥦摢㕢搳挰ち㌸愲改㘰㤷ㅥ搱㕥攰昴攱〳挴ㄱ㜶㐸㕢㠷ㄹ㕡挷㉡㌵㜰㉤㝢ㄸ敢㌶ㄳ㤰敦づ㍢㘰㄰㠳㈶㑤昸㜷昰㠳㌸㕦扢攳搸㝦摥戶㌶㘶㜷挵攴挹㥡〷昱㜱挹慤挳〶㉤㠸挷昴㉣攸㤰昷挳㌴㌴戰㕤㤴挴搹㘱㐷捦㐱㠶㜰挸㕤㡦戲改㘶搴戵㘸㘵㥥摣㘰攲㤵ㅤ㠰㔴㍤㘳搵搵㠰昱慣㉤㍤敢ㄸ㠲㈷㘷摤〲〸攳慣㘳戸ㅤ㍥㌵搶摥㐸㥢戳慥搰㥣㡢㌶㘵㔲搹㑣㉡㥡㐸挴㤳搹㠴㥤捦㌷㈷㤲捤㌸戵㘲㑤昹愴戵㡦〷㑤㘴㜳戱㙣摡㙥㉡㐴㥢ㄳ㠹㘴ㄴ慦摤㡡搹㠹收㜸㍥㥢㡥挶㥡搳㤱㔴㤸㠱㝣㔴慦昷㠵㡣摥て㈴捣昸㍤㘱㝤㡦慣晤挹晡㡦换㈲㐰愰㜸㠶㌴愲㐷挱㔶ㄷ攳㄰搸户愵㈷㝤㥦昹ぢ㐱㐲㘱〵〶㜹搶挱㐸〶戴㘸〶散搲ㄶ捤㠲㔳摥㐷㙢㡤ㄶ㥤㐳愶扣㉥㐷㕥㥣愳敡挰愷昵㜵〱㝣慦ㄹ㉣㜰愵ㄹ搶愰㐲㕥㌳㉣〶愴㝡㌳㥣〵㘸㘵㌳昴㠶㈶㘹㠶㐳㈰㡣㘶㘸㐰㥡㐶戱㤶㈰敤㌴㐳㉡㥦㉡㈴㌲戹㐴㉡搹ㄴ㑤㘴㔳戱㑣㍣摤ㅣ㑤ㄷち戹㙣㈱㤵㡣㈶昲㔶慢〷捤㌵㌵ㄷ㜲戹㙣っ㙦愵㈹㈴ち改㔸㍡㥢换㈷㌳㤹愶㔸㈱ㄵ捦㘶㌳戱戰㌶敡㜵ㅢ㘴㜴㍢㐸㌸攴戲㍡挸㕡㑡㔶ㅦ㤷攵愱㔴㝦戰愴ㄹ㑥昱㌷㐳㌷㐵㤶㠱㠴挲㡤〰攰㔳㘳㉤㐷㌲愰ㄹづ〳扢戴ㄹ㔶㠰㔳摥っ㘱愳㐵慦㐴愶扣㍣㐸㕥㈳愴㌶〷㕦㥡攱㐸昰扤㘶搸〲㕣㘹㠶㘳㝤捤愰㜹㌶昰㔲愵㔶〷㕡㝣㑢〸㠹挵㔷〱〷㡢㙦㠵戴㔸㝣㌵搲挶攲昱㙣戴㈹ㅥ捤摢㜶㔳㉥㔱㈸愴戳愹愶㐸㍡㥦㙥㐶㙣㝤㈴㤶㑥㌵㕢挷㜸搰㐸㉡㥦㡥搸搹㜴㍡㤶㑣㈷戲㠵㘸㌶㤲㐵㤳㌴㘵ち昹㐴㈶㤵㑣搸攱慤㡤㝡㝤㉣㘴昴㜱㈰攱㙤㕣㔶戱攳㙦敢戲㍣㤴摡〱㉣戱昸㘱㝥㡢㥦㐴㉤㈷㠳㠴挲㍢〲㠰㑦㡤㘶挷搷散收㥡㍤㍢扣㤳换㍦㡤㉣摥扤㤰㤷㈲愹㠱攰㡢つ捦〰摦戳攱㘰㜰挵㠶㙤㍥ㅢ㕡㍦〳愴㝡㔷㕥ㄲ㘸搸㕤愰㐹っ㝢㈶㠴㘱搸㈱愶ㅥ搶㔹㐸㍢㠶㡤㐵㥢㘲戱㝣㌲摡㤴㑤挶ㄳ挹㔸㈲㡢㑥㥡㙢㑡㈵㘳搱㜴㜳㈲㤶㡦㔹㘷㝢搰㐲㈲㥡换㘶昳戹㝣㈱㤲㐸㐴ぢ㤹收愶收㑣㜳挴㡥ㄶ攲戹㜴捥捥㘴慤㌵ㅥ搴戶ぢ搹㐸㜳㉣㥥㡤摢㑤㠹㙣㉣㤷挹收㔳挹㘴㌶㘹愷㜳㜱㌸愲㘴㜸愸愹㠹㍥〷㌲晡ㄷ㈴攷㠲㠴㜷㜵昹攷㤱㜵㍥挹〵攴て㜳昹㠲㈷㔴㠴搴㙥攰㑢㤳ㅣ㘴㥡㠴晤㐶㕦挲晣㑢㐱㐲攱㤱慥㘰㔹㤳散敥昲慦㈰㜶㈲愵㈶㠰愸㔱攰㑢㤳晣ち㝣慦㐹㈲攰㑡㤳捣昷㌵㐹戱㕢捦つ戴㝥ㄴ㐲㘲晤敢愰ち搶㡦㈱㉤摤晡㝡愴ㅤ敢㘷㘳戰㘵ㄶ㐳愹㑣㍣㤵戰改慦㌳㌹扣ㅢㄱ㥥㈲〱㍦㥤捦㔹㌷㜸搰㜸㉡㥢捡攳㡤つ㙣㥢㐴戴戹㈹摤㤴捦㐶攳戱㐲㍡㤲换挲摡改㜰摣愸搷扦㠶㡣扥ㄱ㈴㥣㜰㔹㌷㤱㜵㌳㔹㐹㤷攵愱㔴ㅡ㉣戱攱ㄴ㘳㐳愴戱搴㐹㤱㍢㐰㐲攱㘶㌰㠴㔷㘶挳㍤㕣晥摤挴敥㐵愹改㈰攱㍤〹收捥㜷摣㥤搱敥捥㜷摤㥤㌱搸㤱㔱挴㝤慣㔵挵㈸攲户攰㤶㡤㈲敥〷慢捣㌹㔹扦㈳慣㜴ㄴ昱〰㔸〱捥敥㐱戰㑢㥤摤敦挱㈹ㄹ㐵㡣㌵㔵㤲㔱挴ㅣ搴摦㝡ㄸ㤰晦㙡ㄴㄱ㑤改㐷愰㐳㕥攳攵㡣㈲挲攳㕣ぢ㡣㜷㜷㈶戸㍢ㄳ摤㥤㐹搸愱㜱㌴㡤愳㘹ぢ捤愳搷㍣㕣捤〳搴㍣ㅣ捤㈳〸㑦㌶㔸愹㌵㥦㥤㘸晤ㄹ散搱晦捤搸㈷愵晦㐲昵㝣昲愲ㄹ晡㑣㐵㈱㜲㔶㍣㡤っ敦慣㤸づ慥㥣ㄵ挳㝣㘷㠵昵㉣㈰搵ㅤ搵搰挰㔳㘵㉦㘸㤲㔳攵㌹〸攳㔴㤹㠱戴㥣㉡㝦㐷摡㕣〱㜲搹愶㝣愴㈹㤹㐹挴㌱扤㐸愶㥢ぢ捤㠵㝣戲㈹㔱戰搳㤱㑣戳ㅤ户㥥昷愰戸㈶搸㤹㠲ㅤ㉦㈴攲㤹㐴㉡ㅥ挵戴㈳㘵㘷㘲昹㉣㥣㤵㥤㠹挷挲㌳㡤㝡晤〲㘴昴㡢㈰攱㔹㉥敢㈵戲㕥㈶㙢戶换㈲㐰愰㙡ㅥ㔸㜲慡㙣敦㍦㔵㕥㘵晥㙢㈰愱昰㝣〰昰愹戱㕥㐷㌲愰ㅢ扥〱㜶㘹㌷㝣ㄳ㥣戲㙥ㅤ㕥㘰戴攸㝦㈱㔳㕥愰㈶慦㔲㔳晢㠰㉦捤昰づ昸㕥㌳散〷慥㌴挳㘶晥㘶㔸〷㐸昵㘶㘸っ㙣㠶敦㐱㤳㌴挳晢㄰㐶㌳散㡦戴㌴挳〷㐸㍢捤㠰㡢㈹㉥ㄷ搹㘸愶㌹㤵挵戸㌳㠹慢㉣挶㐲㠵㔸㌳慥ㅦ㜸〹㕡挶晡搰㠳愶㌰ㅦ捣攷㜱㝤㐸攴㌰㑡捡攴㥢㈳捤㤸昹攵攳㜹㑣攷昲搱㕣㈴㝣㠰㔱慦㍦㠲㡣晥ㄸ㈴㝣愰换晡㠴慣昵㘴ㅤ攴戲〸㄰愸㍡ㄸ㉣㘹㠶㝡㝦㌳㝣捥晣晦㠰㠴挲ㄹ〰昰挱捦㑦㤰っ㘸㠶㉦挱㉥㙤〶慥〴㤵㌷㐳搶㘸搱ち㤹昲㉥㌹㥤㠷搲晡㍣昸攵昳㌹摦敦〸㝤搱㥦㍣㠹挳扥搰㔰㤹ㄹ㙥㔶㌰㔱ㅤ戳ㄱ愷搴㑤搶㌷㈱扡愵捥㠹ㄶ摢攰愴㔸づ攱㠰㠳㌸㌷㉤户㐱改㥣搶ㅣ㥢扣攳攲慢㐵㤳㠵敡㍦晦㙣㐳㌳㘷户ㄴ㥥つ挵㤵ㄳ搶㡥敤ㅦ搲昵㘸㍡慣㝦搶摢㐸㙥㝣㜰ㄵ戵つ挰㑡㠹㜹㜵㌳㝦㑡㌹戲ㄵ㜱㘶ㅢ昱换㔵ぢ〵慡㐵㈸㑤㑥搴摥㐸昱っ攲㔷戵戸摣〶㘲挰㘱ㄵ搵ㄲ㔰㌹㝤㍦挱挱㝡㌳㤷㄰㈰搵㑦摦㡦〰慤㤸戹愸㔶㔷㝦㕦〸㕢搰捤㙦戸つ㕣㌹愹晢㠱慢晢㤳㌴㤲㠴㐱晡昵つ户ㅢ㈱㙢㌳愴㥤㜳扣㤰㡢搸㤸慥搸挹㐴〴㘳挰㐲㍡ㄳ㑢㘷㤲㤹㕣㍣㥦挹㘵㥢㌳㤱愶㜰㠷㕢搰收㤰〹㉦㜵㔳〳㤸㍡搴㑤㌱慦戱ㄳ㈹捥㜲㔹㤳慦㜵ぢ㜷㐱㌳㍥ㄵ㘳敤㙥㤷扦つ捡搷㑢㠸㌸〴㐴㉤〷㕦㥡㘴㝢昰戹㈳摦ㄵ攰㡡昱晦改㌷晥㡥㠰㔴㌷晥换㐱挶て慦㠴㈶㌱昳捥㄰㠶敦㍣ㅣ㘹昱㥤〳㤱㜶散ㅡ㙦捡㈷攲㜶㍥搳㥣挵㥣㍤㥦挹㘷㜳戹㐲㍥㥤挴昰㉤㤵㘹㑥攷㈲搶㈰て㡡ㄱ㘱㈱㤹㘸挲愵㉤㤷㐸攴愳㈹散挴散㘸愴㌹㤷㑤㘰ㄴ摤ㄴぢㅦ㘱搴敢挱㤰搱扢㠰㠴㡦㜴㔹㐳挸ㅡ㑡搶㔱㉥换㐳愹㔵㘰㠹敦㝣ㅡ㠷攱捤摥㐷㔰㘴㌷㤰㔰㜸㌵〰昸攰㙥ㄷ㥣愴收〵㑢昳ㅡㄵ㍥挶攵㡦㈲戶㤳〸㍥晤㑥ㅤ〷扥ㄸ㌶ち扥㘷搸攳挱ㄵ挳㍥敥㌳㙣㜱挴晣㘸愰つ㝦〴㈱戱㘱ㄲ慡㘰挳ㄳ㤰ㄶㅢ㌶㈱敤搸戰搹戶ㄳ戸㤰ㄷ戰晣㠱挵挲㍣挶换戹ㄴ㘶搸昹慣ㅤ㙢㡡愱㡢㕡㈹てㅡ㉤搸搱㐴㔳㉡ㄳ挳㜵㈷ㄱ㉦㌴㘵戲改愶㐲㉥㥥挳ㅡ㑡扡㤰㡡收挲㈷ㅡ昵㍡つㄹ摤っㄲ㍥挹㘵ㄵ㈷㠲㈷扢㉣〲〴慡㑥〵㑢㙣㜸㥦摦㠶㘳㤸㍦ㄶ㈴ㄴ㍥つ〰㝣㉡㍡攷改㉥㝦㈲戱㉢㠹攰㈳昳搴ㄹ攰昳慡ㄲ㔲户㐱㈳扤ㅥ愵㐳㝡㉡戵攱敥捤㑦㤱ㄴㅢ㑦〳挳摤搴捦挰愵㕦搳搳挱㔵㘷扡㤸扤㤰昲㝣捥搹㉥㜷〶㌱㄰㐵ㅡ㍦愳〰㤵搶昹㌵㡡昲㝣捥㉣㐰慡㜷晢敢〱慤昴㌹扦㜰昵捦㠱戰攷㜳捥〵㔷ㅡ㜲㉥戸㝡ㅥ挹㝣㤲〵㈴㝢㠳昴敢ㄳ㍥捦㐸㕡晢㈰㙤〶ㄷ㌹㍢㥡捡㈷ぢ㤹㘴㈴捡搵慤㉣㔶慦㜲戱㘸㌶㤵捥ㄶ攲㐹っ摣捥㜷㑢摢ㄷ㌲攱ぢ摣搴㝥㑣慤㜵㔳捣㙢扣㄰愹晦㡤攳戹〸㥡昱愹㌸㍦㉥㜶昹〷愱㝣㜹㤷愷扣搵㔳㕤ち扥戴摤挱攰㝢攷挷㘵攰㑡ぢ㕣攰㙢㠱攲昹㜱㕥㤰戱挳㤷㐳㐸捣㥡㠷㉡㥣ㅦ㔷㈰㉤攷㠷㡤戴㘳挲㔴扥㤰㡦㈴㔳㑤戹㕣づ㉦㐶挶㜰㌷摢㥣㡢㈵搱攷昳㠹ㅣ㝣㐹捣㉡㜸搰㜸扥㤰捣㐵搲愹㘴㈱㡢ㄹ㘵慡〹ㄳ晡㌴㤶〰戰戴㘸挷㈲㑤昹㜴昸㑡愳㕥㉦㠲㡣㕥っㄲ扥捡㘵ㄵ捦㡦㕦戹㉣〲〴慡慥〵㑢捥㡦㥦攲㌰㍣ㅦ搳捥晣づ㤰㔰昸㍡〰昰愹㌸㍦慥㜷昹㕤挴ㅥ㑦挴て搹㕦㝦つ扥搸㜰㌹昸㕥㉦扥〹㕣戱攱㠹㍥ㅢ㕡㉢〰愹摥㡢㝦ㄴ㘸搸㥢愱㐹っ㝢㌸㠴㘱㔸㐶〳攱㔳㘳ㅤ㠱戴㘳搸㐲㉣㤵㉡挴攲昱扣摤㥣㐹攴㌰㙢㑦攴㤳戸攳〱㥢挶搳改㜸㌴㘱ㅤ改㐱㌱㌷㐹挶㌰㔷㠷慦㑥㈵戰攴㤷戱㘳〹㉣搲愶㥢昳㤹㔸愱㈹ㄵ戵㡥昲愰昱㜸㈲㥡捤攷㌰㤶戶㈳〹㌴〸ㅣ㝣㈴ㄱ㡤愴㜲搱ㄸ㕤㕢㍥㝣慢愹㠹㍥ㅡ㌲晡〷㈴慢㐰挲户戹晣搵㘴ㅤ㐳㜲㉣昹户扢㝣㠱㡡㄰昱敡㑥昰愵㐹㔶㥡㈶㘱扦搱㈷㔰敥㐴㤰㔰昸㉥㔷戰㙣㤲㝦户换㍦㠵搸㔳㈸昵㘳㤰昰㍤攰㜳ぢ摦敢敥摣攷敥晣搶摤戹ㅦ㍢ㅢ㍢㡦晤㥤挱捡㍣昶っ㈸戶捥㐶㠱晦搵散㍢㤶搲㙢㔸㘹㍥㌴搰㑣㘴ㅦ㐴㈹搲㤱㝥㠱っ敦㘴㝣〸㕣改㐸㜹㕦㐷搲ㅣ〵挸慡㘵㌶戰捦㍣っ㈱改㌳ㄷ〰㠷㍥昳〸搲㜲㌲慥㐵摡改㌳㑤ㄱ㍢摤㙣愷㥢㥡㜳戹愶㐴㈲㡤㜳㌱㕥挸摢㤱㐲づ㡢挵昱㜸㜳捡扡搰㠳愲㠳挴散㔸慥㌹捦㡢㔵〴ぢ晣㔱慣昴愷ち㤱愶㕣㌴㡡昷㜵㐶挲㡦ㅡ昵晡㈲挸攸㡢㐱挲っ㜹㤲㘶扣㠴慣㑢挹㝡摣㘵ㄱ㈰㔰昵㈴㔸搲昲晢㤹㤶㐷ㅡ㑦㜸㘶晥㤵㈰愱昰㔳㘰〸慦散㠲晦㐷㤷㝦つ戱㝣㠰愰㕥〳愲晥っ扥搸昰㝡昰㍤ㅢ㌲㝥㐹㙣㌸换㙦㐳㉥〶㠸つ㘷〴摡昰㘹〸㠹つ㙦㠲㉡搸昰ㄹ愴挵㠶㌷㈳敤搸㌰㥥挸攳㔵愵愹㙣㈱㥤㑥㈴戲搹㙣㍡ㅢ挳昲㙥ち㌷㌲㜸㠹㠸愴慣㕢㍣㘸ㅥ㠳搵㑣ㄲ㜷㈶昳㜶㍡㔱挸搸㤹㝣㌲ㄶ㐹攴昰ㄲ捣㔸戶㤰㑣ㄶ挲捦ㅡ昵晡㔶挸攸摢㐰挲㝦㜳㔹挵㜹晦㜳㉥㡢〰㠱慡ㄷ挰ㄲㅢ㡥昷摢昰㙥收摦〳ㄲち扦〸〰㍥ㄵㄷ㠵㤷㕣晥晤挴㕥㐸挴㕡㄰昵て昰挵㠶て㠲敦搹昰ㄵ㜰挵㠶㘹扦つ戹昲㉢㌶㙣ち戴攱慢㄰ㄲㅢ㍥〲㔵戰攱㙢愶㐸敢㔱愴ㅤㅢ摡昰㍡㐹㕣〰㘲戸攷㥡㐸㘵愳戸晦㤳换愴㙣㍢㠲ㅤ㉣㌸挶慤挷㍣㈸敥て攱慤㜴搱㜸愲搰ㄴ㑢㘰㙥捦㘱㘸ㄶ昳㝡摣散㠸收攲捤㘹敢㜱てㅡ攷慤愴㘸慣㈹摡㥣戴ㄳㄱ慣ㅢ㌷㐵㔰㑥㉥㤹㙣㡥愷㙣㜸扤昰敢愶㈶晡〹挸攸㍦㤰㍣〹ㄲ㝥挳攵㤷㉤昲扥改昲㠹㉡ち㈹㠶㐸㠹昵㠷ㅢ敢㑢愷㝦㠶愰㘷㐱㐲攱㜷㕣挱㌲摦昵慥换㝦㥥㔸㍥攲㔰㕦〶ㄲ㕥〷㍥户昰㝢敥捥晢敥捥〷敥捥㠷搸ㄱ摦挵摢㥣㝡㌲〹敦㘳敡愹㈴扣㔵愹愷㤳散〵ㄲ晥挸㘰挵㜷㕤つ挵搶ㅢ㈸昰扦昲㕤〸ㄶ㝢㤳㤵扥〶摡㡣敦㘲㍣㤶㌳㐸摣〲㜶㈸づㄲ摦愶つ㌰㐸㕣㡦㝣改㔳敦㠰攱㙥敡搳㐰敥㘷攰捡搰昱㕤㘰搵攷㠱㤸㉦㕣敥㝢挴㐰㈱搲昸㡦〳㤶㍥摡摦搷㐷慤て〰愹㝥搱敤ㅢ搴㜱㤵㠲㈶愹敦㐷㄰昶㠶㡥戵攰攲㠳昵㈰㜰晢昵ち昷㘲〲㕢戸捥摤愹㜷㜷㉣戳搳搸ㅢ㍢晦㥢挱㕥〳㌴昳戰慤㑦㔰㥢㠰㠵愴昵㘰㤷㉥㈴㝤ち㑥昹㐲㤲㌶㕡昴㘷挸㤴搷㔷㙢㍥挴㔱昵〱摦㘹搱㕥㈵㉤晡〵㘰㙣㔱〶㙦㠹㠵㑡㠶晤晤挰㤵戶愳搱ㄴ㈳慥〴愳㤰攲㠹挱慦㤲㈰㈹散攸㕡㘲戰㈳㙤户㠵㡢敤〵㉥㍥昲つ㙦〹慥㌸㤰㍡戰㜴㍤㠹㐵搲㥢愴〱〴㠳昵慤㡣愴愵㤱㜶㥣㑡〴愳愱㐲ㅣ昷㍢攳㜱㜸㡡㘸㈶㥢㠸挴㌰㡦㐵昰〷ㄶ晥戰㔰ㅢ摥摡㉤㉤〴㤹昰㌶㙥慡て㔳摢扡㈹收㌵㙥㠷搴晦愶晤ㄸ㘷挵㐳㉦扦㈳户㠳换て愳㝣㜹つ戸收㤳㈲搵㑥㙥扤〶㠰㑦扢挹㜷㈰戸搲攷摦晡搴㌷㕤摡ㄲ㤰敡㝤晥㑤㐰㉢愶㑢攱㐱搰㈴戶摥ㅡ挲㜰搶㠳㤱㤶ぢ摥㌶㐸㍢㜶㑤㘴㥢ㄱㄷ㤳捥㌷愷㔳㌶昶敤收收㈴㐶〰㑤㠵〲㠲㘸ㄲ戸㤶㔹摢ㄶ愱愹㍣㙥搱愵㈲捤搱ㄴ挶愴㔱扢㌹㘵愷愳戹㈶慣搷挰慦ㄷ㌰㕦摡挵愸搷摢㐱㐶㙦てㄲㅥ攲戲㜶㈰㙢㐷戲㠶扡㉣て愵㠶㠳㈵㉥昷㐵ㅣ㠶㌷㠲ㅦ㐴㤱挱㈰愱昰〸〰㠲っ扢㥢换摦㤵搸㝢㘹晡㝢㐰挲㈳挱㤷〳ㅦ〱㝥扦挶㝡㐶ㄶ敤㔹晤捤ㅥ扥㘰㤵㤱昸攱㘳挹摢戱㈷攱㙤搷㡣戱慤改㠵㘷㘷㌹㑦㥣慡慢摤攳慢改攲㙡㈶㝦敥捡㙦晤㕦㜰慣晦㠵ㅥ㜶㤵攲ㄲ㈴㌵敥㡣慦ㅥ㠹〳慥㘷搰㔱攰て㉢㥤昰㥤昹㜸㘸㤸㍤㙡挲昸搴㈸晦㙢㤹㈱㔸戳㘵摢戴㉥㠴昱攰戵ㄸぢ㍡挶挹㑦㉢ㄹ㤹戶㤹ㅢ摥㌳搲㝤㘹昳搰㈲挷晤摤戲㉢㌶扢搳㤳挳㑢㤰ㄱ〸㠶㡣㤱㝣挵昳㤶挵㤴敦㠹㕤摢ㄷ戹昸愹㍡㝥㐴㙢攷㕤㡤㕤㠸㉡慤慢敤㔵昱㝥〹㔹晣㥥搸搱㠶户〵㡤攲㈳扡愸つ㉦㈴㥦㤶愷〱戶て㜸㕥搹昸㤶㙥㜹摥摦づ挸㔷㍡〲攳㔸摦挲搱昶ㅥ㍤㘴摣昴㈱搱㐴晤㔳㘸㠹昲㕦づ㔶㉤愴搴敥㉣㤲㥤㈳愴扦つ㡤㉡〱摤㌴扥搲っ㐸戳愲愶㤴扤㔰㡡㝡㥣愷㈸扥散挷㈱ㅤ㈷㍣改挱㘳㠴㈷つ㝣〶攱てㅢ㌸㌲〰㑦ㄱ摥㠴㝤㙡㈰㑢愵㑣㐲㕣㙤摡㈴㔸㤵挶搱㐸〰㉥㕦晣㜳㌷昷㤹挳㌵㘳ㅤ㑥㠳昹ㅦ㌶晦户ㄸ摢昸㕤㔷昲㈰㌵攸㡣㜱昵㉦晥愰晣㘹戲㈲昹攲て㡤挴㠹捥晦戱愷㡤㔵攳㈱㌹ㄴ戹昲㘲㑦摦㑢ㅤ㝥㠷敡㍥㡢㘷〳㔷扣㍡昸㝥㤳㔱晥敡㘰挵㌸愸愲愶㌷愸昳㔹㄰㜵㑦㌵㑤㜷㥢㡣昲㜷㠳㠶攷㐰㤳㌸㠱昱戰㐶扦㐶戵〰㘹㍡〲㜵㈷㈴㜸昶挹〹㌳㤱㤶摤ㄷ㙣愷摤昶挶㥥㌵ㄹ㍣㙢昴㤰㐹㐳ㄲ㐹㜵ㅢ㠰㌴扡搳捡㔳㠹摥捦㐳敦㐳昴㜴〷扤て搱㌷ㄹ戴搳挸㌳㠸收摡㠵摢敥㙡㝦㤳㤰㠶晡㍥ㄲ戸昶㙥㝣㐳㌵㉥㜴㈵慡㌵搰㠸〳㑦扢敦愳攱㙦㡤搹㜲㌳㙥㍦ㄹ愳㜲㤰㈸㥡戳昸扣摡敢㔰搱挰㠶戹搶㘴㤴扦㕡㌴㕣㠰㈶㌱攷㍣ㅣㄵ捣㜹〸搲㘲捥慢㈱攱㤹㜳〱て㤹㘱㐳㡥㌹㤷㘰捦摡〷扣晡搱㐳㘰㈰㜵㐵㠹㝤昶㈳㤸㐱㐸づ㤸㜱㑣搶晥づㄸ戶㔷㤷ㅡ戰㘳晡〳〹敥〰挴㌳收㔲㤳㄰㘳㜶㈳戱㘹挶㕣收㑡㔴㌳㈶㥡愶愶㘶搵戸戱㔷㕤挹㉤㌴㔶慤㠴㐴㤰㌱搷ㅡ㥢㔵昴昲ぢ㑣㐶昹扢㐹挳㐷㐲㤳ㄸ㌳㡢愳㠲㌱㔷㈱㉤挶㍣てㄲ㥥㌱昳㍣攴㘳㤱攵搸㘷㌵昶慣〲㜸攸㥢晢っ㠹㈵搵ㅡ㘳㈰愷户㉤㈶晡㌸て㝤っ搱㠷㌸攸㐹㐴晦摣愰ㅤ㜳戶㈲愷昱㈴㘰㌶捤㘸㈷扢ㄲ㍤ㅡ㙤㙣㠷㌱㕡㘴慣㍡つㄲ㐱㐶㍢摤搸愶挲㘸愷㤹㡣昲ㄷ㤸㠶ㄹ户㈴㐶敢㐴摤㘱戴㌳㤱ㄶ愳㥤〲〹捦㘸摤㌴挳㌹挸㜲㡣㜶ㄶ昶慣攵攰搱摤捦ㄸㄲ㡢愸ㄳ㡤ㅤ㤰〱捦扡㠲㜰㠶〴㌹昰戳〹㍦摣挰愷ㄳ晥㐳〳㜷捣㜶㈴攱攷㝡昰㌵㠴ㅦ㙤攰㝢ㄱ扥摡挰㥤㌶㔹㐵㌸㈷㥥㥥摦㍥摦㈴挴㙦㕦㘰ㄲ搲㠳㉦愱㉥搴㠹㕦摦戶ㄱ㝥晢㔲㔷戲挷㐶㌹晤捡戱愲㜶散戵捥晦昵搷㡦㔵㔷㐰㌲愸㜱㡥挴㔱〴扡㠷㈳㑣㐶昹㝢㔵挳㡣㘰㤲挶㌹ㅥ昵㐷攳㕣㠷戴㌴捥㑡㐸㜸㡤㜳〲敤昱㙢㘴㌹搶㘶㙣㤲㜵ㄲ㜸攸搱晢つ㠹㌶慢㘵㈵搶晢㌱搱㌷㝡㘸㠶㈷㔹愷㍡攸㘹㐴ㅦ㙡搰㑥搳㥣㑥昴㑤挰㜸づ攲㘶㤳㄰昳摥㡥挴愶昵㜵挶㈳㠹㐴㡦㘶慤㐹㤸扥晥搹ㄸ㜵㌷㈴㠲捣搹㙡慣㔶搱搷㤷㤸㡣㡡搷戲㍥㔲愲愹㜸ㄹ㕣㔴㑤㔳挱㘴㔴扣攱昴㉦㔵㌴㘵慢㘹捡㤸㡣昲㤷㠵㠶㥦㠶㈶㘹攲戵戰㌴㥡昸㌹愴愵㠹ㄷ㐲挲㙢攲㡢搸っ㉦㈰换㘹攲扦㘳捦扡挴㙤㌴㥣㈰〷〰捣ㄶ㜲ㅡ敤㤷㐴扦攸愱㥦㈷晡㜲〷扤ㅦ㑦愷㝤つ摡㌹㥤慥㈴㥡㙢㘷㕥ㄳ扦㙣ㄲ搲挴っ㡤搹戴㈶㘶ㅣ㑤㡦㑤散㍣㑤收愵㌱㘱昷㠲晡㉦㐸〴㌵昱㍣㔴㌴昰㡣㤹㙢㌲捡摦㌵ㅡ㘶㔸㡤㤸昳㍡ㅣㄵ捣挹㌰ㄸ㌱攷㙣㐸㜸收扣㠱㠷晣ㄱ戲ㅣ㜳㝥㠰㍤敢㐶挷㐰㌳㠷㈴㈲㙡㉦㘳㈰挷㥣㌷ㄳ晤戱㠷晥㤰攸㕢ㅤ昴晥㐴㑦㌱㘸挷㥣户ㄳ晤〹㌰㥥㌹搷㥢㠴㤸昳㜳㈴㌶捤㥣晦㜱㈵㝡㍥㘳㕥㉦㡥㑦ㄴち〸㌲攷㜸㘳戵㡡㌳㘶㥣挹㈸㝦㔵愹㘲散〵〷攷晡ㅥㅥㄵ㜶攴㉢〱ㄲ攴摥ぢ㉥㌷㜲挳っ㤴㄰搳摦〷慥晥㉤㐸扦晥攱〶㤷㜹㍦搳㡤㘱挶㌵〸攸㜷〴㍤㐰昲㈰挹敦㐹ㅥ㈲㜹ㄸ愴㕦㐸昵〳㔰ㅡ㉥㠹扡戱攱ㄸ㄰㠲搵㌹搵摦捤㐸㤸㡣晥捣㠰㄰户昵㕦慡㐶㌷㍦㙥昲昹㘴㈹㕦㍥㠳㈶㐴㜱捣攴㙦㕦㥡捦愰〷愷㕢㙣㠶㍤敢て搰っ㐷㍡㙥㐸㌲㕤晦㙤㐸〴扥㕤挰㑣㥣昰摣㈳㜷收㌵愹㝤㔹ㅢ慤㔲㥣㑤㜲㘰捣㉤愴㥦㠲㑡挵㐸ぢ敡㈳㑢㙤㠳挴㔰散㌸㈳晤攲换㌲㜶〳㈰戰晦㡦㌰ㄹ摢㈴敦㡤摤戹愸敦㡣㙢㥦ㅤ晦捥ㄵㄷ敡㤵㘱㠶㐶㠸㝤㥦愶ㄹㅢ搵捥㉣〶ㅤ㐸つ㠳㠴搷晦㥦㘵つㄸ㔰攰ㅣ攸㐰散㔹捦㠱㠷〱攵㝥㐳㥡搵㉥挰扡扤㌷愴㥦㈷㤸攱〹づ㜸㄰挱㉦㍡攰㘹〰敦㙣挰捥戹昲㌲挱㐳〰㜱攵ㄵ愳ㄸ㤸㤰摥㍦〲〹㝣㙡㠰昲㙦搵㉦挷㡤㡣㘸㄰㠹㥥㝢晦㤰戱㡥扥㜵㘳搴㈸挰㠷㈲㔵㍥㙤摡づ㤵〸㌴收戶㈶愳晣㕤㜸攱㈸㌴㠹㌱㕦㐷㝤㘱㑣挶㌴㠸㌱户㠶㠴㘷捣㌷㜹挸㘹㘴㌹昶㘹挲㥥昵ㄶ㜸攸㌵ㄸ㈲㈶搴〰㠰㕤〳㠴昴㍢㐴㌷㝢攸ㄴ搱敢ㅣ㌴㠶㥦〹搵㘸搰㡥㌳㜹ㅦ㌹㡤㘳㠰挱㘷ㄳ㡣㌶搶㤵攸搱㘸昷㜴ㅡ愳㑤ㅢ慢㈶㐲㘲㘸㠰搱㐲挶㌶ㄵ㉥㐳㥢㡣㡡ㄷ收㑤㠵㈶昶㝣扤㥥㐷㡡ㅤ㜱づ敥昲愷㤲㐰〷㘶㝦㡡㙣㙥㤲捤㠰〷戱昴㘷攰敡㝦㠳挰㜷㌰摥㐱㤸㥦㌳摤ㄸ㘶㝣㠲愴晦㐳搰ㄷ㈴㕦㤲㜰㤱㕦㉢㤲㕡㄰昸㡥戹〰㑡㍢晤㘷㝤愹敦㘰ㄸ㠳㘴㝣㙥㌲捡㝣〷㈳ㅣ㈴晦摦㈶扦捣㜷㌰昸㐱昲㍦㌳昹㘵扥㠳㜱ㄱ㤲晦愹挹㤷搹㜰〳㙡愵ㄸ搲攰㜴㤰㝤戰㘷㠵挰ㄳ户搲ㄴ㔱ㅦ〱散扡㠲㤰敥㑢昴㝥㔴〴ぢ㡢㠱ㄸ㡤㌰ㄴ㝢攵摥㘱ㅤ攴〲㍢昴扢㈶愳晣晤㝣攱㠳愱㐹㉣戸㌹つ搵愸昲㉣㠶摥攱㙤㝦㝤户㘰つㄸ㌰攰搴㤷㤱〹搶㔶㑥㝤㈷つ㠹㈷搴ㅢ〰ㄷ㍢昴㌶㐴㌳㜰挰㐱㌳㌸挱摡捥㐱敦㐳昴㉢〶敤㜴攸ㅤ㤰搳搸づっ㍥㥢搰愱㍢㕣㠹ㅥ㍢㜴捤昷㡡搳㑡㠶ㅦっ昵㡣㔶㥣愳扦㘸㙣㔳搱愱㕦㌰ㄹ攵㉦昱ぢ㉦㠷㈶㌱摡㘰搴ㅤ㐶㘳㠰㠱ㄸ敤敦㤰昰扣挰㄰㥡㠱㌷敢ㅤ㌳㌰敡挰摡搵㌱挳戸扤㌰敦㝥愶挴っ挳㠹晥㠱㠷㘶攰㠱戵㥢㐱捦〰晡捦〶㡤戶挱〵㘳㜷愲㔷㜹㘸挶ㅥ㔸愳っ㝡㍡搰㑦ㅡ戴攳㠲㈳㐴慦〶㠶㙤㐴〵㡡戱〵㑣戰〹ㄴ㘳っ摣搶㙢㘴昴〰㑥愱㡤㙦〹㘰戱㘱㔹敢㐴㔷戲挷ㄶ〹㕡搶㘲ㄴ挲㔰㈸㈹昷捦㡦攲㈸〲扢昳㈳㈶愳攲捤㠲㙢㑡㌴ㄵ挷昳て㔶搳昴㠰挹㈸㝦㐹㕦㤸戱〴搲挶㝢挲㜸㘸攳ぢ㤰㤶㌶扥ㅦㄲ㕥ㅢ㡦愶㘵㜹昳摥㘹攳戵搸戳挶㌸敤㌰㘹㐸㌴愹敥〱搸㌵㙤㐸㡦㈳㥡㌷昱ㅤ昴㠵㐴㑦㜰搰晢㄰晤ㅢ㠳㜶㑥㡣㐹㐴㕦〲㡣搷㔰㡣〶㜰戵㌵㕥㠱〴㍥ㅢ摦㔰㡤㡣っ㄰㠹ㅥㅢ挸扦ㄲ㜳つ攰㐳〳ㅡ收ㄶ㘳戵㡡㔳收㘶㤳㔱晥㡥扦昰昵搰㈴收摣ぢ㐷〵㜳㌲㌶㐰捣㜹㈳㈴㍣㜳捥攴㈱摦㡡㉣挷㐰㌷㘳捦㥡敤ㄸ㘸摡㤰㜸㐴㕤㘷っ攴㜴敢戹㐴摦收愱ㄹ㌳㘰捤㜷搰晢ㄱ晤㉢㠳㜶捣戹㌷㜲ㅡ敦〶〶㥦㑤㌰摡㍤慥㐴㌵愳㌹㡦慣昸换㤸〱敥搴攵㝥㐸っつ㌰摡㘵挶㌶ㄵ㐶晢愵挹㈸㝦ㄱ㘰㤸㜱〴㘲戴〳㔰㜷ㄸ㡤挱〰㘲戴㑢㈰攱ㄹ敤㈰㥡攱〹㘴㌹㐶㘳㠴㠰戵㄰㍣慥挴㘰㐹㍣愲搶㤶搸㈱㐳㌸敦摢㍢㜰㐶〹㔸㌹〳挷㍡㝤㐴㥤㙢攰㡥㤱㙤挲㥦昴攰㡦ㄳ扥挸挰戱㠲ㅥ㔱㘷ㅢ戸攳㤸㕡㤰搵昸っ㐱㥢㘲㘵㘰戱挱㠷昰搶扦㐸㔶戳戶〰㠳㤶㔸ㄸつ㌰ㄴ戹攵㍥攴愷愸㕥愰て㌹挳㘴㔴扣㝤㤰户攸㡢㥡㡡㍥攴搴㙡㥡㑥㌱ㄹㄵ㉦昵攳㑤㝣ㄹ昸昰㜱㠷摥挰攷ㅤ㜰戹愹㜷摤㙣㡦〳㙥昸㍤㜰㘹㑢扤ㅣ㐲戸㔷捥ㅢ改つ㑣ㅦ㠶戴㕥㐱戲㤲攴㜰㤲㈳㐸㡥〴改㔷慢㍥〶㔰㝡挷戱愸㡦搷㍢㡥㐶愶攲㉤敡愱搴昱㌴㐹㜱㌶㜱㜴戵㐳㍡捡㘴㔴扣㝡㡦㜷戱攵㤰㡥愳㕥㘸㜳扥㘸㌳攱晥㄰㕣㙥㑣㠴㜹昳㕡扡敦昱攰敡ㅦ㠱㘰〸㔷敢㌲㑦㘰扡㌱捣扢搶〲㍡㤱愰㤳㐸㑥㈶昹㌱挹㈹㈴愷㠲㘰〸㔷〷愰ㅣ摥愱收昰摣改ㅦ㙦㙥㑢挶㔲㤳㔱㌶㠴戳摣晣づ㤳㕦㌶㠴攳㉤㜱㤱㙦㌷昹㘵㐳㌸捥ㄴ㈵扦捤攴换㄰敥㘷愸㤵ち㈱换㌹㡤㜸ぢ摤㍡ㄳ㍣㘷㘶搸愴㕡〰㜶挷㙢㈱㝤㌶搱扣㐹敥戲㔴ㄸ㠹愰㈶挹㐳㉥戰扦收㑣㐶昹ぢ晦挲扣慢㉤ㄶ㍣㥦㠶㙡㔴扣ぢ㉤昵捤昸敢扢㤶㌵搸づ㔹㑥㝤户挱㥥㜵ㄱ㜸㌲挱㑢愸㠳㠰㜵慦㌳㈱㝤〹挱扣戳散㠰㜹㜳摡晡愵〳㥥㠶搱挵昷っ搸昱㄰㤷ㄳ扣〳㈰慥扣攲つ㘸敦㍡挵晢换攸㌴㥢攰㜲〷扢ㄲ㍤㍡㠱㔵㤳㡢㐳扢㕤㈱㔱㌴㘶㜱㘸户挰搸慣挲攵捥㌷ㄹㄵ慦ぢ攴㥤散挰〹扤㍣昸㝤㤴㍣㥥㥤㑦改戰扢㠴挱慥㔴㕦攰摤摢㍥〵㠷捤㥢捦昲ㅣ昰㔶㜹㈸㐷㕦扣搹慢㜳㠹摤㌹〳㉦戱挳晢扣收户戴㤹㘷㍢攰攵㜶㝣㉥慡晢敥㈸㉤㈹ち㕢㠵搹㥤㜸㤹㔴敦挲戴㉥㍣㠴㈱摦搰㌶㈷搳摤㙤㜷戶㝦ㄳ㝥㑦㠴㐰愱㍡㌶㍡㙥搳换ぢ〴〳㥦㔰昲〰戲〳敦昳㍡㈶㉣摡挳㝤攲㜱㉤㕦〸昶搵㝥㑤㘴㕤㠳捥攷㝦捡㔸摥昷㥡扢㍡㌵㤷ㅤㄵ㍦㈷ぢ搵慣慡㤱㤹ㄳ㙦㈳敢敢㈰㘳㕤て搲㙢㕣㔷㥢戸㉡㤰㤰扥〱ㅣ㜹攸㤱㤰㥡㝡摥攳㉦㍦㐰㍥㌷㠶㡦搷慢愹㍦慣㈵摦扤搸㕡㙣户㉣㕡摣㡤摦㥣昶攱㔱扢㕢ㅤ敦㔲昷㜴㡢㥣㈳㤲摥㙤ぢ㌳㥤㥤㤹㤵つ㙤ぢ㕢敤昶㐵摤㡢ㅢㄶ㉥㐷㐴〰㕥捦㠷㝡㌴㌴㌴攸ㅢ昱㥦㐵昱慢㜸㈳㥢㕡昵㑤㝥㉥敦㔷ぢ昷㘶㍦㜷㍣戸散挷搶㉤攰扡てㅡ㉡㌵捣搴㐰挳摣〶扣㜵㍢㐸愹㘱敥〰挷㘷ㄸ㌵ㄱ扡㘹ㅣ㜷㔳㔳㤱㤰㙡摣〹愴㔷㘵摥㤶ㄵ敥㕤㝥敥㍣㜰愵㜲㜷㠳ㅢ㕣戹戱㠱㤵扢ㄷ㜸敢㍥㤰搲捡晤ㄶㅣ㝦攵㜸㘷戴愴㜲晢戹搵昸ㅤ㤰㕥攵づ㜴戹て昸戹㔹㔳㌹㑤换搵愹㜴㘰㐵ㅥ㘲㠹戴㔲戱敢㍣㐲ㄶ㥦㤷攵㜴ㅤ㤵㉦慦挴㘲户戸挷㠰昴㉡挱㥢㠳㘲愱挷晤摣㑥㔳〹敢〹㜰慢昷敤㐸㘰攵㥥㠴㡣昵ㄴ㐸愹㤵晥〸㡥扦㠲扣㝢㔷㘲愵ㄵ㙥㔵晥っ愴㔷挱㈳㕤敥㕦晣摣㔵㉥昷慦㝥敥昱攰㑡挳㍥つ㙥㜰挳づぢ慣昲戳挰㕢㝦〳㈹慤昲㜳攰昸慢㝣〲昴㤷㔴㤹户慤挴㝡捦〳改㔵昹㜴㤷晢㠲㥦扢搶慤摣㡢攰〶㔷㙥攷挰捡扤っ扣昵て㤰搲捡晤ㄳㅣ㝦攵㉥㉡慦摣㉦摤㙡扣ち愴㔷㌹摥㔸㤱㉡扦收攷㕥攷㔶敥㜵㜰㠳㉢户㜵㘰攵摥〴摥晡ㄷ㐸㘹攵摥〲挷㕦戹ㅢ捡㉢挷摢ㄷ㔲㡤㜷㠰昴㉡挷摢ㄴ挲㝤搷挷つ摦〳慥っ㐷搷㠱㡢攱㈸ㄷ昸㌹摡攸ㄷ㔶昷㔱〰㜹慡ㄱ戵攳㠰㜳㉢昰昱㔸ㅤ挵㤵㝥挹攸㙦㌲昸挲扣㠶〶〴愸㝣愹戸敡㉦摤攴〳攸㉢扥㤷㝡㌹㘳㤸扡㙡㔵㕦昷㐰晦ㄵ摢戶攸戱㍦〲搶晡ㄸ愴ㄷㄶ搴ㄵ㙢㡣㉤愴㍦〱挷㝦愰扣㠳㈰攵昶㌶攵捡捣㑦㍤攰戲㉤挳摥㡣搲㡡㜷ㄹ〴㕤㙦搸慣㝥㐸晤摥㘵搷ㄹ㌶㉢ㅦ㔲て戹散㕥㠶㍤㕣搸扣㌷㈱㑡㙡つ㝢㠴戰㥦㈲ㅢ㕦晤㈵慡攸㔹昸㘹㜰攴搸㌹愰て㙥攸㉦㍦〹扡㘲搵〲㙦昵〲㈹㙤攸㍡㜰晣挷捦㐵晣㤲㔳㠴ぢ昵㔲つぢ㐸慦ㅡ㉦扢摣摥㝥敥敢愶㜲挶昷㝤ㄲ㔸㤱㄰㑢㉣昵㝤㝤换㉡挱挵敦㤲㑡㜰㝤㕢㉡搱摦㕦摣晢㉥户搱挷つ慦〷㔷㝡㕢ㄸ㕣昴㌶㉥〹㥢摥挶㜵㘰戱昴扢愸㤹扦户㜱㙤㔸㌲摥㌱ㄹ扥摥挶㜵㘲戱昸〰攸慢散㙤㙦戹〷㔹搲摢戶〴搶摡ち愴搸摢㌸㍥搸ㅡㅣ扦戵戹收㉣攵扥㘶捡㜵㝡ㅢ㔷愱㠵晤慡㘱㍢扤㡤敢搲挲㝥挵戰㥤摥挶㤵㙡㘱晦搳戰㥤摥挶戵㙢㘱晦挳戰㠷㑢户慡㜵搹㉦ㅢ戶搳摢ㅡ挰愶挹慦ㄸ昳挶搸愳挷㥥㌴㑥㜱挵㔸㑣扥㌳敡散戵㍢㤷㜸㘹っ搳挲㉦㐰㐷攵攰㘸㌰㡦戲戴㠵㠷㤴ㅤ㌸㔷㠳㑢㕡㤸ぢ扥㔲摣慥晥攲戸戰㉢摣㘱㝥敥㘰㔳〹㙢㌸戸搵慦㙥㝦つ慣摣㙥㤰戱㐶㠲㤴㥥〷扢㠳攳㙦㤹㈱攵ㄵㅣ敥㔶㘵ㄴ㤰㥥㍤戸㠸㉡ㄵ晣戶㥦换挵㔲攱㐶晣摣㍤挱㤵㡥ㄴ〵㌷昸搴㝤㍣戰捡㜱攰慤〴㐸㘹㤵㤳攰昸慢捣㠵挴ㄲ㥢㜲慤㔰慡㤱〲搲慢㌲搷〴㠵㥢昶㜳戹愶㈶つ换慢㕢㥤㝡㈰戰㈲㝢戲㐴㕥挹㡡挳㤶搱㘵㤵攰昲㕢㐹㈵戸挲㈶挵㡤昱ㄷ挷㤵㌴攱㡥昵㜳て〰㔷㉣㌴づ摣敡つ㝢㔷㘰攵㈶㐰挶㥡〸㔲㙡愵㐹攰昸慤挴愵慥㤲ち㜲㌱㑢慡㌲〵㐸捦㑡㕣戳ㄲ敥㔴㍦㤷㑢㔳挲㥤收攳㠶戹㌴㈳ㅥ㘷㍡戸晤㝡愹攵㐸㡢㉤改㌱㙡搵㡤㙥㜵㑢㍣挴㑣攴㘹㝡〸攷㕡㐴敦㌰㥢㉣摦㄰昰㌰㤶挶㡢攳戵搰㐰㜷攵㜸〷慥摦〸晢ㅡ挳㜶扣〳㔷㜴㠴㝤戵㘱㍢摥攱㜰㤷晤㉢挳㜶扣挳ㄱ㉥晢㉡挳ㅥ㉥摥㠱敢㐰愲攴㑡挳㜶扣〳㔷㠰㘸㌴搷㍢㠴戹㜴㈳㠷扣㉦敡っ㈷换㐵ㅢ攳㘴戹㔲㈳㉡㉥昷搵㠳㤷㜴慥摥㐸挶㘵扥㥡㤸㑢晡〹挸昳㤹散㔲㈰挴慦㤴㤸散㐰摡愷搴㘴摦㉦㌳ㄹ㔷㠰愴㡣戵愶っ挷㘴㕣ㄳㄲ昶〵㠶敤㤸㡣慢㐴挲㍥摦戰ㅤ㤳㜱摤㐸搸攷ㄹ戶㘳㌲慥㈴〹晢㕣挳㜶㑣㜶慡换晥㠵㘱㍢㈶攳攲㡥摦㘴㡡敢㌷搲㜷ち愸戳搷捦戸攰㈲㕤㝥ㄱ戸挱㑥攱㙣攸慤㜴戲㉤挰㕢㠷㠰㤴㜶昷㈵攰昸晢㄰搷㙣㑡扡㍢搷㘵愴ㅡ㙤㐰㝡搵戸摣攵戶晢戸昵㥣攵㙥昴㌴㥣敢㜵㕦昱搹ㄸㅤ㈸㔴㜱敥㉣ぢ㠰㑢㝤㔵㘸攴っ㤶摣〶㌶㘴㈳㘷慥挵ㄴ㘷慣㕥㑡㜱收挹ち敢㐳愹敤づ㤳愷㍢晤摡㌸戹昴㈴ㅡ㌹愹昴㔲㡡㤳㐳㤱敦愲㍣攷㠴捣搳摤㝥㜹捥晦㍣㠹㐶捥晢扣㤴攲㥣㑥攴㤷㔱㥥搳㌹㤱㕦敥㤷攷搴捤㤳㘸攴㤴捤㑢㈹㑥扢㐴晥㌰捡㜳戶㈵昲㉢晣昲㥣㔹㜹ㄲ㡤㥣㔱ㄵ㔳㥣㐹㜹㈹挵ㄹ㤱㘸㕢㐹㙤㥣〸㠹戶挳晤摡㌸改昱㈴ㅡ㌹搹昱㔲㡡㤳ㄶ㤱㍦㠲昲㥣慢㠸晣㤱㝥㜹捥㑢㍣㠹㐶捥㐷扣㤴攲扣㐲攴㡦愲㍣愷ㄳ㈲㝦戴㕦㥥㔳〷㑦愲㤱㔳〶㉦愵搶㈱㈵㈷摢㙡㜳㔶㡤㘱㘳慣愲㌲㡥攴㐵昵㙡愶㌸㠰ㄷ搵挷昸㔵㜳捣㕣㔴挶戱慦㐸ㅣ㑢〹づ㜹㐵攲㌸扦〴㠷户㥥㐴㈳㠷戵㕥㑡㜱挸㉡昲㍦㈴㥢愳㔵㤱㍦ㅥ㍢敥ㄹ搴挸㤱愹㈷搱挸ㄱ愹㤷㔲ㅣ㠹捡挱慣昴ㅦ捣〹挴㜰愰㈸慡㑦㘴㡡攳㐳㔱㝤ㄲ㜶㍣搵ㅣ㠱ㄵ㤵㜱㜴㈵ㄲ㈷㤳捤㠱㤵㐸晣ㄸ㍢㥥〴〷㔱㥥㐴㈳〷㑦㕥㑡敤㠶㤴挸㥦㐲㌶挷㍤㈲㝦慡搹㘱愲㤱㘳ㅣ㑦愲㤱㘳㥢㘲㡡㘳ㅡ㉦愵㌸㌶ㄱ㙤愷㤱捤㈱〹昳昴改搸昱㙡挳攱㠷㈷搱挸㘱㠷㤷㔲ㅣ㔲㠸晣㑦挸收㘸㐲攴捦挰㡥㈷捦㤱㠳㈷搱挸ㄱ㠳㤷㔲扣敡㡢晣㑦挹收挵㕥攴㝦㠶ㅤ㑦㥥ㄷ㜶㑦愲㤱ㄷ昴㘲㡡ㄷ㜲㉦愵愶㈳㈵つ戵挴摦㔰㘷ㄲ挳敢戵ㄴ㜴ㄶ㔳戳㐹㜸愰㘷㘳〷ㅦ昹慡㝤戱㈷攲㡢晣攲攷㄰换㙢㤷㠸晦㠲㈹㕥戶㐴晣㕣散㜸昵攴㠵愱㔸ㄷ㍡㜸㤱㌸㡦㙣晡㜵㤱㌸ㅦ㍢㥥〴㝤戸㈷搱㐸摦敤愵㔴㠷㉢㜱〱㜶摣㉤㑣攷㉡㉢晤㙢戱愳㉦〴改搷㕦㠹挷〴㐴㕦攴㠷搲㜳ち昴㘲㐲㉦㜱愰攲ㅣ〹扤搴て愵㤳ㄴ攸㉦〹扤捣㠱㡡ㅦ慣搰㑡㝦㈸搰㉢〸扤搲㠱ㅥ㠶㝦㜲㜴㈵ㄵ愰敢ㄳ攸慦〸扤摡㠱㡡㍦慢搰㑡扦㈶搰㙢〹扤捥㠱㡡敢㈲昴㝡愴摤㉤㑣ㄷ㈶搰ㅢ〸晤戵〳ㄵ㉦㐵攸㡤㝥㈸扤㤵㐰㙦㈲昴㘶㠱㌶慥挲扦㝤〱慤㕤愱㜲〷攷て㍥㜸㝤㘳摤挰敤敡昶ㅢ摢㜷捤㡢て扦㝣挶㥦づㅣ晤摡攷攷㥥晢愷㝦㥥昱攸攷扦挹㡥㝥昰愲㡢敥㥦㝥挱愳㉦㙦㕥㔸㕢㝢昳晡ㄹ㙢㡦㡣㉥㌹昲搰挲摥扢㑤㌹昲㝢㠷捣㡤捥搹㙣㘴慦㕥扤㝢てㅢ昰晢㙤㠶㠷㔷ㅤ㝡慢扡昷㤹慤摢㤵戸㌵搶攵ㄶ㤴挴㡤〳慤昰㌱㐸挸㠸敢㔶散攸摢㐰㜰扦㑥晣ㄹ㜲昵敤〶㑡㜸㤸㝥㑤慡㝤〷愱扦㈱戴扦ㄲ搷㐵㘸㠹㠹改挲〴㝡ㄷ愱㜷ぢ戴㤱㡥改㝦㝡㠴攲敢㔸㤷㝢㔰ㄲ㌷㌹㐲晡㍣㌹挲㝢戱愳敦〳挱ㄱ㡡㤳〳愲戴摡㜴㜶㔲敤晢〹晤ㅤ愱晤㤵昸㌳㐲ㅦ㐰摡摤挲昴㙢愲昵㐱愲㝡㈹昱㔳㐴㤵㜴ち晡㉢㔱昸㄰㜶昴挳㠴昶㔷攲㤲㉡愰㜴㑤〲㝤㤴搰挷ㅣ愸㜸ㅦ㐲ㅦ㐷摡摤挲昴㐲〲㝤㠲搰㍦〸戴㤱摥攴㝦㙡㕤㜱㔰慣换㤳㈸㠹㕢〴摦戰敢愸昴㔳慣换ㅦ㐹晥㐴昲㘷㤲扦㤰晣㤵攴㘹㤲㘷㐰ㅡ改戶晥愷昵ㄴ㑦㠸慡改㘷㔱ㄲ㌷改〵昴㠸搲㕥㝦挳㡥㝥づ〴扤㐰㕣㈰㄰晡敦〶㑡㜸㤸慥㔰捣晢㍣愱㉦㄰摡㍦散㝡㍢㐵〷㈷捥㜸愰㜱挶〲㝤〹㕣㐵户㈷㔹㍢㤹慣昱㔰㠷㈹㑡搸㍤㌷ㄴ㕤㥥㈰㜶昴ぢ晦㤳挲㜴㠴㤲戵㝤㤹戰敢ㄱㄵ㥤愰㈰戶昳ぢ扦㐶㘱扡㐶挹摡愶㔴㔸搱ㅢ㑡挶搶㝥ㄹ㈹㤰㍥㔲戲戶㉣㤳愱㕢㤴㡣㉤晣㌲㙦㠳慢攸㉣㈵㙢昳㌲ㄹ晡㐷挹搸捣㉦戳㡥㌲昴㥡㤲搵㔸㉡ㄳ㜶捦ㄴ㐵㡦㈹㠸晥㝥攱て㈸㑣㍦㉡㔹㝤换㠴㕤㠷慡攸㐳〵搱挷㉦晣㌱㠵改㔹㈵㑢㤷〹搳〳戲㌳昴慢㔳㜴㝢㠲㘹㈸挵㈸扡㐲挹攸敤搷晢ㄹ戸㘱㝡㐵戶㍡ㄶ㥡改ち〵㔵敦㐷㝤づ慥愲㠳㤴慣㕥㘵㥡改ㄳ㈵愳搶㉦㈳㙤㐲㑦㈹㔹㌵愵㌲㘱㝡㌴㔳㘳扡㌱挱㝣昹戱㌳㝤㌷扤㑣搱戵㐹挶ㄷ㈶㐳㝡㘶㉦㡤扡摣敦㘶㝤敥捦㤲㈲改攵㐴敡戳㔲㜵㘱扡㍢㜳㤴昴㜱㠲昹戴ㄴ愳攸搶㈴㘳扤㕦慦㘶㤱㜴㜶㤲昵㜱㤹っ晤㥢㘴㝣攴㤷㤱搶愶搷㤳慣て㑡㘵挲㜴㝦愶㉥昴㜹㠲㜹摦㉦㉥扤㤳㥥㔰戲搶㤵㠹搳㘳ㄹ敢搱㑤〹收㕤扦昸收慣㌱㥤㤷㘴扤㙤戲㥣㐹㍥摤㤹戰摦㌲㙣㘷㤲㑦〷㈷散㝦ㄹ戶㌳挹愷换ㄳ昶㥢㠶扤㌵㍡ち㕥㈸攲戲摦㌰散攱挲愶㕢ㄴ昴敢㠶敤㑣昲改㈸㠵晤㥡㘱扢㡥㠴㉥捤ㅣ〸晤㤸㘰㕥㉤挵㈸晡㌶挹㜸挵㘴㐸㌷搸〱㐷ㄸ愶㥢㌳㘶愴㙦ㄳ搴㍦晣愸㥤㘸〷㝡㍣挹㝡愹㑣㌳㥤ㅣ㠷㡥㈱挵㥥攳散搱晤㌸㝢㙣〲㘷㡦愷扤戳挷㔶㜵昶㜸㐲㍡㝢㍣㠵戸愷〷戲㌰㥥㉡づ㥦ㅤ㔵昸㠳挸㘷ㅦ㜲昸㙣ㅢ攱て㈶㥦挷㈱愹㕤㤸㘲㝤ㅤ㤴㈸㠳㑤昵㄰戰摣㑤㠹慡ち慥㈸㈲㜷愸挱搲愴㑡ㄴ㤶㘳挳慥扡㌰戱㡥敤晡晣ㅦ摡扤㡦㜳</t>
    <phoneticPr fontId="10" type="noConversion"/>
  </si>
  <si>
    <t>㜸〱敤㝤㜷㥣ㅣ挵戵昵搶㙡户戵㍤ち㍢㐲㈴㈱㠲㈴㈴㤰㤰㄰㤳㠳㐰㐸慢㥣㜳㐰〸㤰㈶昴㐸㡢㌶㠸摤㔵㌲㐹攴㘰㌲搸㠰挹搱㐴ㄱ攴㐷㌶㌹摡㠰㙤挰㌶昱㈱戰㐹〶ㄳ㡣㌱㘰㠳昹捥戹ㅤ戶㘶愶㐷㠱攷昷晢昸攳戵㜶慥扡㙥㥤㝢慢晡㔴㜵㔵㜷昵㥤改㉡㔵㔵㔵昵ㅤ㌶晥捦慤㠶㍢扢捥㕤搷摥㘱㌵てㅦ摢摡搴㘴攵㍡ㅡ㕢㕢摡㠷㌷戴戵㘵搶㑤㙢㙣敦攸〲㠰戱愴ㄱ昹敤戵㑢摡ㅢ㝦㘴搵㉤㔹㙤戵戵〳㔴㕢㔵㔵㔷㘷㔶㈳扦㡦昳〹扡〹㤳㔶㘶つ〵㔰㔵愶㐱搱㤵愲㡥挲愴〸㔰㜴愳攸㑥搱㠳愲㈷㐵㍤㐵㤰愲ㄷ挵㜶ㄴ扤㈹戶愷搸㠱㘲㐷㡡㥤㈸㜶愶㘰昹收㉥ㄴ㝤㈱扡敦ち㌱㙦散㤸㤹搹挳㜱㌴㜳㍢㕡摢慣㘱晤ㄶ搸㜵ㅥㄹづててて㡦㐴搳攱攱愱㘱晤挶慥㙡敡㔸搵㘶㡤㙣戱㔶㜵戴㘵㥡㠶昵㥢戵㉡摢搴㤸㥢㙡慤㥢搷扡挲㙡ㄹ㘹㘵㐳搱㙣㈶㤶ち挷攲昱㐲㍡㥤敡扥ㅢ㍣捦ㄸ㍢㘶㔶㥢㔵㘸晦㑦昹摣㥤㍥㘷㡥ㅤ㌳㝣㠶搵昱㥦昲戹〷㝣挲攵戸搶收㑣㘳换㝦挸㘹㉤摢㌴㍥捥捡㌵戲昱㉤慢慤戱㘵搹㜰㔴扢㠸㘸愴㤲挳ㅢ摡摢㔷㌵慦㘴㍦ㅡ㙢㌵㌵捤戱ち搲攸捤攳摡㍢㘶㘵摡㥡摢扢㌷㤳㍦慢捤㙡挹㔹敤㍤㥢挷慦捤㔹㑤づ戰扤慥㜹㐱愶㙤㐶愶搹慡攱㑥㝤戳摤㠶㤳昳㔶㑢㐷㘳挷扡ㅥ捤昳摢慤㌹㤹㤶㘵ㄶ㈱戵捤ㄳ㔷㌵收㔵㑤つ晥慡扡散敤㔷㌳㘹㈸搴愷㜹散昲㑣㕢㠷愴搸㠴㘱㍦慣搶㕤攴㈸㡡敡挵㉥搵慦挴㡡㙤㌶户戱㜹慡搵搶㘲㌵戱㄰戶攴搰ㄲ㤰㄰㘴户㠳挷㤴㝢㌸㙣㈵搵捤㌹昹㜸㉣㉣挵攸〷㌱㜸㐶㙢㕢㌳㍡攴㜴㉢搳㠲㉥ㅢㅡ㌶户㈳㍦捥㕡㍤㌲㌱㍣㔱戴㈵捤晥㐰㥢〳㘸户㈷㐴捦昶挶收㔵㑤ㄹ㔲㍦㈲ㄹㄹ㘱づ㘴敥㈰〸㔵昳㉡捥㝡扤㉣㥥㜹搵㑢㌲搵㑢戲搵㑢㜲搵㑢昲搵㑢慣敡㈵㠵敡㈵换慡㤷㉣慦㕥搲㔸扤攴昰敡㈵㉢㠰㜱户扡慥㕤慢㥤㙤挲愲㤷㙥㥥㝡改ぢ㘳㉦扦攰挱愳ㄶ捦㝥敤ㄱ挵ㄳ㕤挶㠹扤戱㔳㔴昷㠸㔷昵㜰㐹搵ㄳ㐹㜳㌰搰收㄰〸㘳ㅦ〸扤敥搱搸〸㜳㈸㜳㠷㐱㈸昵㈲敡捥晡扦ㅣ晢㜳昷㝤捦昸捤愴㔳晥昶捣戱㡢㍦㡣晣㔳㜱㜰㤱㠲㠷㘳㘷㤸㑥㕡㘸㜸㌸攵戲ㄶㅡㅥちㄷ搱㠶㠴戹ㅦ摤㠷㈰㡣㌰㠴㕥㜸〴㠵㐷㤸ㅢ㠵㔰敡㔹愷昰㠳昷摣敤换㌷摥扣㜵挶㝤户慣ㅣ昲搱㘱て㥣愲㌸愸㐹攱㜱散㤴ㄴㅥ㡦㙦愶昰愸㤹愰晢㈴㠴㤱㠲攸愱戵㕡㝡㠴㤹㘶收〸〸愵㥥㜰捡㥥㝦捤扥㝤㌷㍣㌷㘳挶〹㈳敥㍡㜹昷户〶扤慣㌸㤶㑡搹〷㘰愷㠸昱戸挷㜸㜴㜸戴㜸㡢㥢㈳改晡㐰〸㘳ㄴ㠴㝥搰㜱昴㤶搱捣㙤㠰㔰敡㐱愷攰㘳㘷扤㘶㤸挷ㄵ愶晦昲㡢挹晢㠶㕦㘸搸㐵昱㔴㤶㠲挷㘲㘷挸扣戶㐶㥣㡤攸㜱㙤挳愶㌷戶㡣㑣㠶㐲挳愶㌵慥戰㥡ㅡ慤昶㡥㤱㈹愴愶㘷搶㡥っ㠷㐲㈱㜳ㅣ㝤㡦㠷㌰㈶㐰搴㌴㑣ち㠷捣㠹搴㑤㠲㔰敡㙥愷扣ㅤて晥㜲改ㄳ㥢㘶㌵晣搷慢㐳㑦㥣㔴摦昸㙢挵愹㐲捡㥢㠲㥤愲〳㑤㙣敥㐰愷搲昵㌴〸㘳㍡㠴㝥愰攱攸〸㜳〶㜳㘷㐲㈸㜵扢㔳昰搳摢扦昴晣愹㙢ㅦㅥ㜷晣捦㝡摣戸㑦昳㜹㜳ㄵ愷㈷㈹㜸㌶㜶㡡ち㡥㝡㙤敢挳昰ㅣ扡㥥ぢ㘱捣㠳搰ぢ㑥愲攰昹捣㕤〰愱搴㡤㑥挱ㅢ㠷㑣晥㜵敢敢户㑤戸攷愵㑢㐷㕥㘹㜴敦慡扡㈱㕢ち㍥〸㍢晢ㄴ昷改㤸搶慢攲愰㔵摢挲收㈲㍡㍦ㄸ挲㔸っ愱ㄷㅤ㑥㡤㌰て㘱敥愱㄰㑡㕤敤ㄴ㕤㠸㙤㥣㜳搰㥥㜳挶摥㌸㝡挶㤷愷散㔴㝦㠱攲㐴㉣㐵㉦挱㑥搱㌱愷㍣戲㝤捥攳愵㐰㥢ㄹ〸㈳ぢ愱ㄷㅣつ㡦㌰㜳捣捤㐳㈸㜵㠹㔳㜰昰愹㍦昴晤敡㤱愶ㄹ户㑤㝥愸昷搱㌳ㅡ捦㔳㥣晣愵攰〲㜶晡攸挷ㅣ㑢㜴ㅥ㜲摣㕣㐶㕦换㈱㡣㐶〸扤愴㌴㑡㍡㥣戹㉢㈰㤴扡挰㈹改敥㜱敦㕦㜴昹㠳挳㘷晣晣挹〳㍥晦攲敤㡦㙥㔴扣挲㤰㤲㥡戱戳つ晤户㠵扥㕢㈱㡣㤵㄰攸扦㤱㠸㜹〴㜵㙤㄰㑡㥤改㤴户敢慥ㅦ㉣㜹㌶晣搶攸㤳晦晡慣昵摡挱敢㝡㉡㕥捣㐸㜹ㅤ搸ㄹ慡ㅦ㔹㘸戸㜶㘸㘵〳㔴搴㕣㐵敦慢㈱㡣㌵㄰晡戱挶㌱㐰慤㘵敥㍡〸愵㑥㜶捡㙥扦㘲晤㥥㑤挷晦㘲晣挵㜷散搷㝤挴敡㠶㍥戵扣㠶㡡晡捤㐷愵㔳摤〴㕣㈲攵㌲敤ㅤ捥㉣捣挱攵㍦㍢㐹㙦㜹㡥㥥搰㤶晢摦㥦愳㔱挸㝦㘴㡥㌶㡦㈴晢㐷㐱ㄸ㐷㐳㜴㥤扤㉡搳㠴换ㄳ昳ㄸ慡㡦㠵㔰㙡扤搳㈸晦㕥昶扣昵散攷昷捦戸㝥搳㕥㡤㔷摣晡搸㈰挵㙢㕡改㄰挷㘱愷攸ㅣ摢散㕣㜹㍣㕤㥦〰㘱㥣〸愱昷㠶㈸愶㡣㤳㤸㝢㌲㠴㔲敢㥣㠲ㅦ㝢收慣戶㕦㥤晡昲㤴ぢ㡦戸攸攸摦ㅣ晥㜱㑣昱㍡㕡ち㍥ㄵ㍢㐳昴㥥ㄸ摥散㥣㜱ㅡ㝤㥦づ㘱晣ㄸ㐲㉦㌹㠵㌹攳っ收㥥〹愱㔴㥢㔳昲昵扤㐶摤㝢摣㌵昷㡦扢晡戹〷㙥㥥昸昹㤷て㈹㕥扣㑢挹㘷㘳愷攴ㅣ昰挶㔲㑣搲挵戳㔵㌴㤲㌰捦愱昷㜳㈱㡣昳㈰昴戲㈳挹ㄱ收昹捣扤〰㐲愹ㄵ㑥搹攳㥦敥㜲昷敥㡢昷㤸戲扥㘱昸㠲㠶㠵摤㑥㔲扣㘷㤰戲㝦㡡㥤攱晡㔱愳挰㤰㕥㝡搹㈹㤸㌲㉦㘴〱ㄷ㐱ㄸㄷ㐳ㄴㄵ㡦ㄱ昵㘷捣扤〴㐲愹扣㔳㝣晤㠶搶㜳㑦㝦㘷攳搴扢慦㍦㈳摣㘷㔹㜷㔳昱㙥㠵愷愱㜹ㄹ挵攵㄰挶ㄵㄴ攳ぢ㠵搶戶づ昳㑡㙡慦㠲㔰敡㌰挷㐵㘱挲㑦搷㉦㍡昹攱㐹挷捦㌸㈲戸敦昱搷慤㔱㍢㈲㕢㡥攰ㅡ散散慤ㅦ㐱㈴㤶㜴〷挷ㄴ敥㘹戴㉤㘶㕥㑢捦搷㐱ㄸ搷㐳攸㔵㡦㘱ㅥ晡㌹㜳㙦㠰㔰㙡愱㔳敥昶㡦扣昱搱扦㜷㍥㘴昴㠵搷扤戰㝥攰慡㥥㉤㡡户㔷㔲敥㑤搸㈹敡愸攱㠸㕢㙣愴晣ㄲ攳㘶扡扥〵挲戸ㄵ㐲㉦㌸㠲敥戲㠱戹户㐱㈸㌵换㈹昸㠰敥愷昶㝡晤慢挴戴㡤摤户㝢攱愸㜳挶㝦愵㜶㐶戶ㄴ㝣〷㜶昶搵て㌸㌴㍣㥤㜶㡢㘶昳㤵㕣搵愵挲收㥤昴扦ㄱ挲昸〵㠴㕥㝡ちㅤ收扦㤸㝢ㄷ㠴㔲㤳㥤搲㉦ㅦ搵㝤敥㙥㥦㍤㌴收挲攷ぢ㙢ㅦ㍤㈳昴㤴敡㠳㙣㈹晤ㅥ散㤴㕣搵愵昴晥㔲㔲㜸㈲㙡摥㑢昷昷㐱ㄸ昷㐳ㄴㄵ㡥ㄱ晢〱收晥ㄲ㐲愹㌱㑥攱㘷扥㌵敤攴㝢敦㍣㙦攲〵慦捣㕥㌳㜲挷㘱㌷愹㕤㤰㉤㠵㍦㠴㥤㥤昴㐳㡦㜶㑥挰收挳挸㌴ㅦ㠱㌰ㅥ㠵搰慦ㅥㄳ㈳捣挷㤸昹㌸㠴㔲晢㍢挵扣㍥昵㠰〳㘶ㄹ㜵攳㙥晦捤㑢愷慣㌹㘷捤㡢慡㉦戲愵㤸㈷戱㔳㍣ㄴ愴扤㜲ㄲ㈵㙤㥢㡡㤹㑦搱昷搳㄰挶㌳㄰晡〱挶攲㈳捣㕦㌱昷搷㄰㑡挵㥣㤲㤳搵搳㥦㍣㈴㜲㔰挳㠹㠳昶ㅢㅦ㍦晡㡥扥摤㥦㐳昶㙣攷㡥㘷㕣㕢㘶つ敥㈱㍢㙦㑦㈳挳搱愸㕢㜳㕦㡥摢昲㐲扣㤰㉣㠴挳昹㜸㈸ㄳ捤搴昶㠷摢慤扤〱攴改搸扤戰戰戱㈵摦扡㐶敥〸㜷ㅤ㤳㘹户㍡㈷㥦愱㑥摥㤸搶㔵㉤昹昶扥晥㤹㜳㍢㌲ㅤ搶㉥愵㜹㥤㑥捡捣收攲㝥搹㙡㤷昲㜶㉦㌵㕢㤰㘹㕡㘵㌵慣㙤戴戳㜷㉢挹挶摤㜲㙢戶㜲敥㠴㌶敢〸㉦户慣㐶つ㔸捥㔹㉤扥换㡥搲捥戲敢搵㙦散昲搶㜶慢㐵慡㌷戴㜹㔶㘳㙥㠵搵㌶搷攲㘲㤰㤵㤷㐳摤㠱㔹捥㉤晢搰㤹㉤㌸㔰摣㠴攷〷攸摡挲昸戵ㅤ㔶㑢摥捡愳扥㉢慤戶㡥㜵昳㌲搹㈶㙢挷㈲㠸㕤㈶㌲晡ㄴ愹㈷戴收㔶戵㡦㙤㙤改㘸㙢㙤㉡捥㘹挸慦捥㘰㤹㈰㍦扤㌵㙦攱㉥扦㠶㕢㤵慡敡搲㐵愹慡㝤晣㉥㙤攸户㝤戸㌴㠴搶挴扢愱捤㜷㉥敥㜶挳攷攰攸㜰ㄴ㑤ㄶ晢㘴昵挰㉤㌸ㄳ扦㜴㌳愴㌲㔰㍢㈶慥㥣ㄱ㍤戸㌲㕡敡攸戵摣晦㉥戸扡扡户㜳昴攳㔷㘳㈹㘵㔲愶㈵摦㘴戵㙤㜶摤㑦戱㐶收昳㄰戵㘱㥣捤ㄵ搹慢〱㐲慤㔵敢㙡搷㌴收㍢㤶ㅢ换慤挶㘵换㜹慤㡢戵挱扡㍡㔲㕢戶㤹扦㠵捡晣ㅤ挵ぢ㄰㠱㐰㤵昱㈲㐱㐶挰㝣挹㑥搷㜲㐱㘳摢ㄷ㘹慡㘱㘵捡愲㄰㔶昰摡㙢㥢㜱㔹摢摥愵㡢摦㔱㑥捡戴㉦敦㘰昷摣㝣㈶晤晤㥥攲て㄰戵〳㈱戶戸〶挴敢晤ㅡ㉥㜵昵㘸ㅥ㘷ㄵ㌲㔸㘰㤴戳㕢㘵㙡㥢敤㌵慢㜱㔶㝢捥攴攲搶㘴㥣㉢㙢つ散攱攴敦摥捣摥㙦慤敤ㄸ㤷改挸㜴㙤挶㌲ㄹ㕡挹〴㘸愸㔸搹㝢戴散㈱㍡搷㍡攰愴攰㈱㈸扢㥡㤷㙥愲戰㍤攱挴挱昹㔲搵挵㤱㥢㍦〸搴㥤ㄷ挹㐶㘹㐷㉦㕥敥挲㉡㕣㝥愲搵㌲㙦摤㑡慢㥤昰㍡㘳戳㔴㤶㥥㕥㜴㌶㌳㤷㥤摦搱搸搴㍥ㅣ㌵㥤搸搶扡㙡攵㝦搲て㝤㤹㝦㠴㜰户摡挱攸挵㕢㝦㑣愰慢慡敢㙡戶捤㤲㈵㔵㜵昴㐶㡤昱ち㠴㍥敦㜱㤱㡤㥤ㄷ扥扦挳㝦戲㤹慦攱扦㠰㐹㘸㠵扣摡㐱挸摢㤶㤵挲㕡攰扢㌷㠳戰㜹㙤㤶慣㝤搶㐹〲攴昷㘸㕥搸摡戶㈲摢摡扡㠲摤慢愷愴摡㤷㕢㔶〷搷ㄳ扢㌹敢愷戲㑥慡㔴㤷㉥㐵ぢ㠰摡挲攳ㅥ昰㙦扣〹搱愳愱愹愹㥦敢戱摤搸〴㔵ㄷ慣㙣ㅡ㙦㘱㘷㔱晦㔹攳攷捣㕢㌲㝥㙤愶㜹㘵㤳戵慦㜳搳戳敦捣㤵ㅤ攳摢晢慤づ挵晡つ㡥挴㐳戱㐸挸㙡ㅦ昲捥㠶ㅦ扦扦晥戸㜷敥㌹昵㥤戳捦晤㘰晤㜱敦摤㜲换㥦敦㔹晦摥㘹愷扥晢㤳摢摦㍤㜳挳扢ㄷ摣晢敥愹攷攴昰㤸挱㙡ㄹ扥戶愹㝤慤摡ㅤ昴㜱㠱敦捥㐹摤㘶摦晥摣昹愳㙦摦昷て攳㠶摥扡㝣㠹摡捤挹㈸㕢㜲ㅣ㡣ち昵挷挷晣㌳㠴敡ぢㄸ㐷㈹散ㄷ㙦收扢㐸㥢敦㔱扣て㠱戱㐶㥡〴㐳捤㕦散愴ㅡ㠲晦㌹摣㤸ㅦ㔲㝣〴愱㠶㐲昰㘴㌷晦ち攱㙥㙡㍢昸㘷ㅦ㤲㝥昰〹搴㝡㍦攰㠲㘵㔹㍦昸っ愰㠰㐹㘸㠵㍣㌵っ㜹散ぢ㈶戹㌷㌷㔱㤰㘹㔵㠷㜲㝣昹攸敡㘴㤴慤㠴敥〷㌳攱攳㥦戴慦〵捣㥦㡦㙦㔸挶户ㄴ晦㠶搰昸㘰晦㐶㔲㠵愰ㄶ㍥㌸㘲㤸搵㄰㉡〲㤵昰搱〵㈹㜷㔳摦晣㕢攳愳ㄶ㌹㍡ㅦ㕣㐳㉤攳愳㉢㐰〱㤳搰ち㜹㉡ち敦㝥㝣晣つ㘵昹昲昱㤹㤳㔱戶㌸㥢㠰愷晥昸㤸㐱ㄴ愷㍥〱捣㥦㡦敤㔸㥢摥ㄴ摢㐳㘸㝣散㘸㈷㔵ㄲ㑥㠴㡦㥤〸摡ㄹ㐲愵愱ㄲ㍥晡㈰攵㙥敡㕤㥤㡦扥挸搱㉦捣㜱㡦㕥㐶挷㙥挰〴㑣㈲㉢攴愹ㄱ㜰敥㐷挷敢㤵攸㜸捤挹㈸㕢㉦ㅥ〹㑦晤昱㌱昷㐲㜱敡㤵㡡㜴っ㘶㙤㠶㔰散〳愱搱㌱捣㑥慡〳攱㐴攸搸㤷愰攱㄰㙡㌴㔴㐲挷㝥㐸戹㥢晡慤㑥㐷ㄸ㌹㝡昷攰㙡㜳ㄹㅦ㔱㠰〲㈶愱ㄵ昲㔴〳扣晢昱昱㘴㈵㍥㥥㜰㌲捡㤶戱挷挱㔳㝦㝣捣〳㔰㥣㝡慣㈲ㅦ〷戲㌶愳㈸㐶㐳㘸㝣㡣㐱搲ㄸ㑢㘱㕦㘶攲捣ㄹて㝦㐲捤㌸攲挷㐳愸㠹㔰〹㌵ㄳ㤰㜲㌷㜵慦㑥捤㈴攴㜴㘹㤸㤴㉥㍦收㈹挸〹㤸捣慦㤰愷㈶挱愵ㅦㅦ户㔵攲㘳㠳㤳㔱戶捣㍥ㄵ㥥晡攳㘳捥㐵㜱敡㤶㡡㝣捣㘷㙤ㄶ㔰㉣㠴搰昸㔸㘴㈷搵㌴㌸ㄱㄲづ㈶㘸㌱㠴㥡〱㤵㤰㜰〸㔲敥愶慥搱㐹㌸っ㌹㝡晦攰㈲㝤㔹晦㔸ち㔰挰㈴戴㐲㥥㥡〹敦㝥㝣㕣㕣㠹㡦㡢㥣㡣戲搵晦㌹昰搴ㅦㅦ戳ㄱ挵愹㥦㔶攴㘳〵㙢搳㐴搱っ愱昱搱㙡㈷搵㕣㌸ㄱ㍥㔶ㄲ㜴〴㠴㥡て㤵昰搱㠶㤴扢愹㌳㜵㍥㍡㤰愳昳挱㘷〷㘵㝣慣〶㈸㘰ㄲ㕡㈱㑦㉤㠰㜷㍦㍥㑥愸挴挷昱㑥㐶搹㐳㠹㐵昰搴ㅦㅦ昳㔸ㄴ愷搶㔷攴攳㌸搶收㜸㡡ㄳ㈰㌴㍥㑥戲㤳敡㘰㌸ㄱ㍥㑥㈶攸ㄴ〸挵㈷ㄳ挲挷愹㐸戹㥢㕡愳昳㜱㍡㜲㜴㍥昸㐰愳㡣㡦㌳〰ち㤸㠴㔶挸㔳㠷挲扢ㅦㅦ捤㤵昸㘸㜲㌲捡㥥㤴㉣㠵愷晥昸㤸㍦㐱㜱敡昰㡡㝣㕣挸摡㕣㐴㜱㌱㠴挶挷㈵㜶㔲㘵攰㐴昸戸㤴愰换㈰㔴づ㉡攱攳㜲愴摣㑤㘵㜴㍥慥㐴㡥捥〷㥦戳㤴昱㜱㌵㐰〱㤳搰ち㜹㉡て敦㝥㝣㉣慣挴挷〲㈷愳散〱捥㌲㜸敡㡦㡦㜹㌳㡡㔳昳㉡昲㜱㉢㙢戳㠱攲㌶〸㡤㡦㍢散愴㕡づ㈷挲挷㥤〴㙤㠴㔰㠷㐳㈵㝣晣〲㈹㜷㔳㔳㜵㍥敥㐲㡥捥〷㥦〶㤵昱㜱て㐰〱㤳搰ち㜹㙡〵扣晢昱搱㔰㠹㡦搱㑥㐶搹㘳愶ㄶ㜸敡㡦㡦昹〸㡡㔳〷㔶攴攳㌱搶收㜱㡡㈷㈰㌴㍥㥥戲㤳慡ㄵ㑥㠴㡦愷〹㝡〶㐲ㅤ〱㤵昰昱㉢愴摣㑤挵㜵㍥㥥㐵づ㥦戱晡捣㉡捦㈳㉢㘰ㄲ㔰捥㠲攴愹㌶昸昴㘳㘱㘸㈵ㄶ昶㜱㌲捡ㅥ㝥慤㠲愷晥昸㤸㝦㐴㜱㙡㜰㐵ㄶ㕥㘱㙤㕥愵㜸つ㐲㘳攱つ㍢愹㔶挳㠹戰昰摦〴扤〹愱昸〰㑣㔸搸㠴㤴扢愹㍤㜴ㄶ摥㐶㡥摥㉢昸摣慣慣㔷晣ㄹ愰㠰㐹㘸㠵㍣戵づ摥晤昸搸愱ㄲㅦ摢㍢ㄹ㘵て攴㡥㠴愷捤㉣㔳ㄶ㍤〳攳㠳㡢愲㘵捡敥㠵〹㡤㑤ㅤ㔶㥢慣㐴搵ㄷ昰㥦ㅤ㠹㈳改ㅥ㕣㝤㙢换攴散ㄸ㤷敤ぢ㘳戱〰㠷搰㥦㡥㜵㥤㑢㤲㘵ぢ㠰昶㠵换晦㉤㜳晥攰㤶㌹㘵㤱戳㘸愹㜳㌳换㠸攸㌴㈵ぢ㥤㥢〷㙢㥤㠸㉢㝣扥慢㄰搲愵㠶挳㜳㜱㈷㈳扥㜴〵㐵攲㥢㍣扣摥〹㠹づ㔵㕥晥㘴㘷㉦敦愴㌴慡戸搴昸㝦ぢ戵㝥〱㥡昶㐲敤㕦㌹㠰㝤㑣昱〹挵愷ㄴ㥦㐱愸㥥捥愸㝢㌳㤸ㅤ㠳㑦ㄲて㝥㔲搵搸㌱㍦㈷收敦ㄴ㕦㐰㘸愳敥㤷㐸ㅡ㕦㔱㈷愳㐷㍦㉥昲〵㤴攲昳㙥ㄹ㠴扦愶捤㍦㈱扡晦ぢ㘲挶㈴慢〹敢晤晦愹㜸挸摡㘳㔰捣收㔷㈸搱㜵戶〳㘸挷收戹敢㕡㜲换摢㕡㕢㄰㤵捡㠵搳㠶ㅣ〲ち摢㔵挶㘸㥥搶㍡㜶㔵㠷搱㍣愹ㄱ晦㜵㙦㥥㘳慤戴㌲ㅤ㘳昱㍣〷慢戲搳㄰攷㈰㙢慥㤳昳㙢晦㝦慥挹㔶搵攰㄰慡ㄴ〸㜴㤷㘵㔵改㠹㙢慦㡥㍡昴づㅦ搷㡡攰㔴㑢攲㜲㐹扢㘱㘰㝤晤〷戸攸㕡㘵㝥㠳摡㕤昱搹㑤晢て扡散戶敦㥣晦㡦挵㝡㤴㙣挶户挸昴攲㈵捡㈶㘳㉥慥〵㑣㘲捡㈷㘳挹㔳挷㠲㌴㙦㌲㌶㙡搰㤱扢愰㍢㤸㙦㤱换㝦㝥㕢㘱㤵攸㙢㈷愳㉣ㄸ攳㜸㤸昵挷挷慣㠳㈳昵㈵㘰晥慢㐴〱㘴㥢摤㈸扡㐳㘸愷㑡㑦㍢愹㑥㠰㤳〱㜴㔴㑦㄰攳愰搵㐹㐸捡〵㑡㉦愴摣㑤㝤㡣㌲扣㔵挴摥挸搱㉦㔰ㄸ捡㔱挶挹づ〰〵㑣㐲㉢攴㈹〶㝥㜸㥣㘸慢㠸㝦慥挴挷㥦㥣㡣戲ㄸㄱ挶㝡〸ㅦ扢愳㌸昵㔶㐵㍥晡戱㌶晤㈹〶㐰㘸㝣っ戴㤳敡㜴㌸ㅡ㠰㡦㌹㠸愰扤㈰搴ㄹ㐸ちㅦ㝢㈳攵㙥敡㘵㥤㡦㈱挸搱昹㘰㠰㐹ㄹㅦ㐳〱ち㤸㠴㔶挸㔳㘷挲扢ㅦㅦ捦㔷攲攳㌹㈷愳㉣㜲攵ㅣ㜸ㄲ㍥㘲㈸㑥晤扡㈲ㅦ〹搶㈶㐹挱愱㔵攳㘳㠴㥤㔴攷挲搱〰㝣捣晤〹㍡〰㐲㥤㡦愴昰㌱ㄲ㈹㜷㔳㡦敡㝣㡣㐲㡥捥〷㠳㕥捡昸㘸〰㈸㘰ㄲ㕡㈱㑦㕤〰敦㝥㝣摣㔳㠹㡦扢㥤㡣戲㘸ㅡ〶挴〸ㅦ㔳㔰㥣晡慦㡡㝣㑣㘳㙤愶㔳捣㠰搰昸㤸㘵㈷ㄵ㠳㙡〶攰㘳捥㈶㘸づ㠴晡ㄹ㤲挲挷㕣愴摣㑤摤愲昳㌱ㅦ㌹㐵㝣昸㉤〳㉣〴㈸㘰ㄲ㕡捥㠷攴愹㑢攰摤㡦㡦慢㉢昱㜱㤵㤳㔱ㄶ摥㜳ㄹ㍣昱愲摥㕣捡攲㌲ㄴ㔹㡡ㅣ㐵ㅥ㐲㕤攲㜰㌴㑤搹㕦㤳戸つ捡昷戱㕦㘵ㄶ㠸㔹㐶戱ㅣ㐲攳攸㜰㈴㡤ㄵ㄰昵㙥㕣㕥㍦㘷㡤㔱愹换㘱㌹㠰搶㑤挸㌷㥢㈱搴㤵㐸㜲捥慣㌲㕢㤰慣㌸昰戶㈲搳つ㍢㉡敢㐳㐷㈰㌳㘰ㄲ㔲捥㤹攴愹慢㔰㐰㈷㘷ㅣ㜷敤㌱昷搴㑡㥣㥤攲㘴㤴挵㌳㕤ぢ㑦搲㠷㝥〴㈷敡㈴㠷ㅦㅥ㐰搱㘶ㅥ挵㌲㡥愶㌸〶㐲攳㘷扤㥤㔴搷〱㍦〰ㅦ昳㌸㠲㡥㠷㔰㍦㐷㔲晡搰〹㐸戹㥢㍡ち㘵㜸㘳敥㐹挸搱晢㄰挳愱捡昸㌸〵愰㠰㐹㘸㠵㍣㜵〳扣㜷昲戱〹㈹㥢㡦戶㑡㝣ㅣ攱㘴㤴挵㔹昱挲㑣昸㌸〷挵愹搶㡡㝣㥣挷摡㥣㑦㜱〱㠴挶挷㑦敤愴扡〵㡥〶戰㈲ㄷㄲ㜴ㄱ㠴摡㠰愴昰㜱㌱㔲敥愶ち㍡ㅦ㤷㈰㐷攷㠳㔱㕡㘵㝣㕣〶㔰挰㈴戴㐲㥥扡つ摥晤昸㌸愴ㄲㅦ㡢㥤㡣戲昰慦㍢攱㐹昸戸ㅥ挵愹㐵ㄵ昹戸㠱戵戹㤱攲㈶〸㡤㡦㕢散愴摡〸㐷〳昰㌱㙦㈵㘸〳㠴㘲〰㤸昰挱搳搰摤搴㉣㥤㡦㍢㤰愳昳挱戸戱㌲㍥㌶〲ㄴ㌰〹慤㤰愷敥㠲㜷㍦㍥㈶㔴攲㘳扣㤳㔱ㄶ㤰㜶㉦㍣〹ㅦて愰㌸㌵戶㈲ㅦて戲㌶て㔱㍣っ愱昱昱愸㥤㔴昷挱搱〰㝣捣挷〸㝡ㅣ㐲㌱㈶㑤昸㜸〲㈹㜷㔳㈳㜴㍥㥥㐲㑥ㄱㅦ㝥㡢㈸捦〰ㄴ㌰〹㉤攷㐳昲搴㉦攱摤㡦㡦㔰㈵㍥昶㜳㌲捡㘲攴ㅥ㠶㈷攱攳〵ㄴ愷昶慤挸挷㑢慣捤敦㈹晥〰愱昱昱戲㥤㔴㡦挰搱〰㝣捣㔷〸㝡ㄵ㐲㍤㠶愴昰昱ㅡ㔲敥愶〶敡㝣扣㠱ㅣ晤挹ㅥ㐲敥捡扡挷㥢挰〴㑣㈲㉢攴愹挷攱摣㡦㡥㕤㉡搱搱挷挹㈸㡢攵㝢ち㥥㠴㡥昷㔱㥣摡愹㈲ㅤ㝦㘱㙤㍥愴昸〸㐲愳攳㘳㍢愹㥥㠶愳〱昸㤸㥦㄰昴㈹㠴㘲㐴㥦搰昱ㄹ㔲敥愶㝡敡㜴㝣㡥ㅣ扤㝢㌰㄰戰㡣㡦㉦〰ち㤸㠴㔶挸㔳扦㠶㜷㍦㍥㙡㉡昱搱挵挹㈸㡤㌰慣㝤ㅥ㥥戶㈱㌲慣ㅢ攰㘶㘱㐱愳戵㠶㜷戹㍤ぢ昸㠲搹搸㔵敤ㅤ慤ㄲ㜷搳愳㌰慥㜵㐶㙢挷戸挶昶㤵㑤㤹㜵扤ぢ捥捥挲攵㔶ぢ愲攲摡㄰ㅣ㔷愲㙢㕤戹搲捡㥢㠵戹慤慢摡㜲搶攴㜱㍦㠴愸㌹㘹㌶㠴㝥㈸㔵㔵慤戰㝤扦㐰戰㉡㔸愲搳㘰慢慡㘵昸㔶㘹㍣㡦戶っ搴戹攲ㄸ〴戰扥㤳搱㜹㡤ㅤ㑤㔶户㠲攴换㝥㕤〱㉣㈲搴㌰摦戵㌰㙦㌹〲㕢挶昵㈸㑣㙣㙢捣㌷㌵戶㔸㙣っ慣㘲昲㕢㝢搳慣㘵〸㉢㥣搵摡摥挸慦戵昵㈸捣㙢换戴戴慦㘴㠴㔴㙥摤㜶㐵㈹戹慤慦㉤㡣㘹㙣㘹㐷㌱搲㡡摣慦㉦捣㕤摥扡〶㕦㙥㕤搵摣㌲㌱戳戲晤〷搱㉡㑡摡㠵㐲㥡㐶㔵慢敡㙡㔵㔷㕤昷㝤摢挷昸㌷捥慥摥㜶挴㜰㍦昴搳㡥戶挶散㉡ㄲ㈶攵㐴㈰㙢㈸愴つ慢㙡ㄹ㝣户㤹㤵㍣慥攷㌹挱㥥っ㘴㘴㕤㡢扥て攲ㅢ㔳攷㝤㘳㤸㙢㜸收㜷愸㑥㜷〶ㄹ㑦㤹㌸㝦㜲㘷㠸敦晦攸敢户戵㉦挰㜳改㈲㐹㘹捦昳㈲㉡㜷〰戸愷摤㠵愸㘳㡦挲㤹㠹㥥挰㔴㘹户っㄴ〴挳ㅥ摡戳㜳㜷〲㠲昲扡ㄷ愶㘵戲㔶ㄳ㉥挵㥢㌳ㅤ㍤敤〴㔷㌵昱昵捣㜶㈷㙦㙣㙢㜳㜳㠶㕤㡥摤㜵㙥㉥搳㘴搵ㄵㅡ㔶㜵戴攲㉢㜱㘶〱㐲晡愵愳捡慣㠵㉡戳㔶㔴摤ぢ㜳ㄸ㘳㉣晢昴搵扡㉣搳搶搸戱扣戹㌱㔷挷〴攳㠰㝦㄰㝤ㄵ㌳㐱つ挸㜴㌷㜷㉣㈹㕤愴戳㤷慢搰摣挳㜱扢㐲敡搸晣攸搱搵捡挰㍦昵㍤㐳㔰㌱昲挸愴㘱㔶挳㕢㉤㝡㤵っ㐵㔲㤷㑦戹㈴挴敤搳㘳戱㈳㠳㤳㘲〴㈹戵㘶ㄷ挰戹挳㑦捤敦㈱㌶ㅢ㥦搸ㄵ㠰挰戴搶㑣㝥〲㥥愱戴戶㜵㜵扥㉥㕥㠷愶攵㔰搳ㄶ㘴挴攸㔸〴㈱㈳戸㜹㜵㘳摥㙡慢愳㘲㉥ㄶㅥ㙢ㄸ㙢㙡搸㙤挸㤳戹慡戶戶㕢㥤㕦㔹㤳㕤㕦〳㥤挰㍢晤敢昶㤳换晣㝦㌴㍢㌵㙡ㅦ搶㉡㈰㔳㔴つづ挷攴㔷戰搵ㅦ愰攴昱㤴〰っ〲扡㐲搴㌲敡戱戴㙤㡡㠳㌷ㄱ攲㘹〲㔴㈳㕦戴㘶㔸㘹ㅤ㐲㌰㈵ㅥ戵㔶づ愴㥢ㄶ㐷㙡搸㈱愴㜵戰挱㕥㜳扢㌱ㄷ扤摣捡〷散昱㤵换慥㤸ㄹ慡慡慢㙢搰搴㐶改挳慤戲㘲改㘲慥㈵〱愶㙡㜷㔴挱愸㐳㡤㜷攴挹〲晦昸㜹㠱愲㙦㉦㤷㕥㐷〴〲㘶〰昰慡㠰㘲㠴愵换挱っ㙡㙣㤲扡㤱㠳敥㄰敡捦㔰昲㑡㐰㥢户ㄴ㐳〱㌹㜷㔵ㄹ㍤〰搹摡戱㔲扤〷ぢ㡥㤷㘶㑦㍡㝥ㅦ㝢ㅣ㠶扣㙥ㄹ㠴㜶换摤昲㉦戴挰挷散㐵㈷㑥㐲㝤㠸ㅤ昷㌰戴戶摥づㄸ戳㌷㠱ㅦ昹〳戶㈷㘰〷〲ㄸ愱挸昶㌶㜶㐴捡㡦㐷扦挰㐴昰戸㌳攰攰昱㌳捤扦挶㘳ㅦ晡摦㠵晥晦〹㐰㈹㡦っ㈱戴㜹散ぢ挸㔶昳昸㉤捣㠴挷㕤改昸摦㐸ㄵ昱戸㍢戴㕢收㤱摣〹㡦㝢搰〹㝣挸㠷㍤搰㠷挷㝥挰㤸晤〹慣昶〷っ㈰㘰㑦〲扡〰㈰㍣づ㐴捡㡦㐷扦㠰㐶昰戸ㄷ攰攰㤱㤱㡤㙥〵㌴ㅥ昷愶晦挱昴捦㈸挴㔲ㅥㄹ㝡㘸昳㌸〴㤰慤收戱㌷捣㠴挷㝤攸㜸㝢愴㡡㜸ㅣ〶敤㤶㜹摣ㄱ㘶昸慢㌲昷愵ㄳ㤷挷㥤戰攷ㅥ㠶搶ㅦ㠷〳㘳敥㐷㈰挳ㅦ㝤〰㈱〲挲〴昴〱㐰㜸㡣㈰戵㠳捦㜹敤戳挲つㅡ㘳㐰㠳挶摤㌴昷ㅡ㡤㜱扡㑦搰㍤愳ㄷ㑢㘹ㅣっ㥤㑤㈳ㅦ㙤㙤㌵㡤っ㜲ㄴㅡ㔳㜴扣て㔲㐵㌴㡥㠰㜶换㌴づ㠳ㄹ晥戰慣㑢㈷㉥㡤っ㡤昴㘱改〰㘰捣㤱〴づ昷〷ㅣ㐸挰㈸〲ㄸ㐹㈹㌴㡥㐶捡慦㍢晡〵㔰㠲挷㌱㠰㠳挷愸收㕦攳㜱㉣晤㡦愳㝦㐶㍤ち㡦ㄸ挶㘴攲㐴昸攲㠱搰搹㍣㡥〷㘴愷捥慦昶㙦昱㜲㔲㡤㠲愹㜰㌹㠱捥㐷㈳㔵挴攵㈴㘸户捣攵ㄸ㤸攱慦捡㥣㑣㈷㉥㤷㡣愵㜴戹っ昱攰散㤱㝥ち㌰收㔴〲ㄹ㘷改〳㤸㐶挰㜴〲ㄸ㝡㈹㕣捥㐰慡扢摢㈵攵〷〸㝣㈶㤸㔹〰㠱挱㈹㥡㔷㡤挱搹昴㍡㠷㕥攷〲㔰摡ㄳㄹㅣ㘹㌳㌸ㄷ㤰慤敥㠹ぢ㘰㈶散捤愳攳㠵㐸ㄵ戱户〰摡㉤戳户〸㘶昸㐳㕣㈶㥤戸散㌱〸搳㈵㐷㍢愱て〲挶㕣㐴攰㘲㝦挰挱〴㉣㈶㠰㌱㥢挲摥㈱㐸昹昵㐴扦㔰㑤昴挴挳〰〷㡦㑢㌵晦ㅡ㡦㑢攸㝦㈹晤㌳扥戲㤴㐷〶㔵摡㍣㘶〰搹㙡ㅥ㥢㘰㈶㍣㘶改㤸昱㤸㐵㍣收愱摤㌲㡦㡣摢挴㕦㤵㘹搱㠹换㈳㠳㌷㝤㜸㉣〰㘳㉥㈳㤰㠱㥤㍥㠰攵〴㌴ㄲ挰㔸㑦攱昱㜰愴晣㜸昴ぢ昱〴㡦㑤㠰㠳挷搵㥡㝦㡤挷㘶晡㙦愱㝦㕥〱㤷昲㜸ㅣ㜴挲愳挹㠹㕡戶〸愴㜶㈳愸㡥〷㐴㌸㕢㐹㈷㡣搹㉣攲慣つ摡㉤㜳挶搸㑥晣㔵㤹敤㜴㠲ㅤ昹㌰挰搳㠷ㄲ晥愰㤴戹㡡㐰〶㝦晡〰㔶ㄳ戰㠶〰挶㠳ち㘷㙢㤱昲攳捣㉦っㄴ㥣晤〸㜰㜰㜶㠶收㕦攳散㐸晡㍦㡡晥ㄹ扢㔹捡搹㠵搰搹㥣昱㈲㔱戶㔲捥ㄸ捥㈹㥣ㅤ㐳㈷ㄷ㈳㔵挴搹㝡㘸户捣搹㈵㌰挳ㅦㅥ㕥搰〹㜶攴挳㈰㔰ㅦ㑡㡥〷挶㍣㠱挰换晣〱㈷ㄲ㜰ㄲ〱㡣ㄹㄵ捥㑥㐶捡㡦㌳扦㔰㔱㜰㜶㉡攰攰散㙡捤扦挶搹㘹昴㝦㍡晤㌳扥戳㤴㌳〶㜵摡攷敢㡦〱搹敡昳㜵〳捣㠴挷㌳攸㤸昱愰㐵㍣㥥〵敤㤶㜹㘴摣㈸晥慡捣戳改挴攵㤱挱愳㍥㍣㥥〳㡣㜹㉥㠱ㅢ晤〱攷ㄱ㜰㍥〱㡣㌵ㄵㅥ㉦㐰捡㡦㐷扦㄰㔳昰昸㔳挰挱㈳㘳㑤摤ち㘸㍣㕥㐸晦ㄷ搱晦㈳〰〸㡦摡っ捣㘰㔰㥢挷㡢〱搹愶ㄹ㤸㈱愴挲攵捦攸㥣戱愴㐵㕣㕥ち敤㤶戹㘴捣㈹晥㄰㠶㑣㈷㉥㤷っ㍣㜵て㈵挴㠳戳㘷攰换㠱㌱慦㈰㤰㐱愹㍥㠰㉢〹戸㡡〰挶愹ち㤷㔷㈳愵捤挰昸〹ㄵ㥦ㄹ昸㕡㠰挰攰昳㥡㔷㡤挱敢攸昵㝡㝡晤㈳〰愵㍤昱ㄵ攸㙣〶㝦づ挸㔶昷㐴㠶㥥ち㝢㌷搰昱㙢㐸ㄵ戱㜷ㄳ戴㕢㘶敦つ㤸攱て㈱搰㜴攲戲挷㠰㔵㤷ㅣ㙤〶扥〵ㄸ昳㔶〲摦昴〷㙣㈰攰㌶〲㌶〱㈰散摤㡥㤴㕦㑦昴ぢ㙢㐵㑦扣ㄳ㜰昰挸昸㔶户〲ㅡ㡦ㅢ改晦ㄷ㄰戵㡣ㅣ摢捣愲ㅡ愲㙢戴昸挲㥥昰㘹ㄴ收户㌴㜶㘰扤㡢搷㔲ㄳㅡ㍢㜰攷摥扤〰㠱㕤〹〴摣㐵搶挱㌴愳愱摥晡晡ㅥ攵㔹㐵ぢ敥扢㤷攷敢㉢昰〳㝤戲敤戵㜹㙤㐹㝥㑢㈰㔹愳昷愹攳て㘹搱㕥搹搱㘱戸㉦攵扡扤ㅡ㔴㌹㡣㔲攳㥤敢慥晦㠳㈵㝥㌹ㄷ昱昳ㄸ散㌶㈸ㄳ攷戹㜹㌷昶戹攲晦昱ㄶ扢㠸ㄶ㔵捡攵慡〰㔷晤㙤㕤て㈷㙣㜹㜲㑢㍢搶捤〲㑥ち慢愲㍤㥤摤㤹慢㍡㡡㜲㌲㙢㝢㍢㌹昸㉥敡捣ㄶ慣㘵攷㌲㙤昹ㅦ挸㐲㈸㡥捤㙥ㄲ㔹搳晣㥥捦㔲攰㠴㥢戶㝣〹㤶挹㌳㐳㌷户㈵㈰户ㅥ㕥㝡㤰㙡㉦㑥户㡥㈹晥㙡愰戴㠰晤慢㠱昲㔰㙢㤶㠵㈷㔲昸ㄱ挵㈶慢户ㄸ㜸㐹㔹昰㌳ぢつ搹㜶㍣㈰改攰敡户戳㈷㈷戹㔹㤸㘳昱昷〴㔷㕢㔸慣㜶昶㘶攵㍡㄰㝥敥㌹攰敦㐳晣㜰㕡〷㡣搴㌸㉤愴愴㡤㡣捤㡣㙤挵〷挱昳攷㝢戶㈸摡慤㈰摢挷愳搴捦㉥收㜶攳愸㉡㜷㠷㙤㡢挶㘵㐸敥㘶㥥戹㘰㥣搵愳愷㜹ㄶ昵㜶㠳晡敤搱㑤〶慥敥慥㡥て㘶㝡昰〱㕡㕢〷㝥㐴㠵扦摣㔵捦搳愶〹㉢搷ㅤ㡤㜸〶搱戴慥㘷㘱㜲㑢慥㘹㔵摥㤲〷ㄸ敥㜸㉤捦㌱㝥㄰敤㔵〳㐲㥣戳㘹㌳扣㌸愴㑣挶て搰扡㍦慡昱晤㥦㘲㥡昷㜰摡攳㐵〷㝣〴捣晢㥣昱㡤㠱搲摢ㅣ慡ㅥ㠰㤷敤㍡扦㘸㈱㍦㑢㡡㘱慤㑣挵昱㡣㐱挷㘳摤㘸㜷㌹攳㌴搸戴搶㘹慤㝣ち慡愹㈶㌵摡慡ㅦ㐴㍢攱㌸敤㘶㌲っ㍣挶昹㝥㘷挸改扦㍣敡捡挹搱敤ㅡ㥥㝢㙡敦愷摦㡡散搴攰㥥㉤㥣㕦㜰㜲愸捦搱〲㜲攱㈶挱扦㥣㠰慡㈲㈸戶㥡挲㠱㌰㔲㕤㉥搲ㅥ㐰慢㈹㠶慣摢ㄷ㘹㜶㝢㥡て㐲扢攵㡢戴㉦㘱㠶㍦〴捡㄰㡥ㅤ㝥搴搷㔰戹搷㐸㐸愳㐰㜹收昲㌰㌰收㈳㉣㡤挱敥㍥㠰㐷〹㜸㡣㥥ㄸ昳㕣㍡搰㔴っ摦㠶㐱㔵㙤㌳ㅦ㥤搴㌵昳ㄱㄲ㑥㔳〳㍦〰㠲昰㜴㍣㠶㌲扡搵㌱扣摢㝣ㅣ愸攷㥥㝤㜶㈴敢愳扥搳捡搷㉥攲㥥㘰昹㑦㐲攰挹㜱昹挵㜰〰㍡晢㘲昸㈹㐰戶晡㘲㤸㘱捥挲昳搳㜴摣ㅤ愹愲㡢攱㕦㐱扢㘵㥥㝢挲っ㜵挶敦㐱搱〹て㠱㥦㝡㘸㕤ㅡ戵㡢攱㘷㠱㌱㥦㈳㤰㠱搳㍥㠰攷〹昸つ〱扤〰㤰㡢攱摦㈲攵㜷㌱散ㄷ㐲㡤㉢㤹ㄷ〰挷挵昰づ㥡㝦㡤挷ㄷ改晦㈵晡㘷摣昳昳㠰㜲㝣㤰㝥㠷扥挹㘰㘷㥢挷摦〳戲搵㍣昶㠷㤹昰昸〷㍡㘶㥣㜴ㄱ㡦㉦㐳扢㘵ㅥㄹ㑦㉤㍣扥㐲㈷慣ㄷ㍦㠳愰昵愱改㔵㘰捣搷〸㘴挰戵て攰㜵〲摥㈰㘰㙦〰㠴挷晦㐶捡㡦㐷扦搰㙢昰戸〹㜰昰挸ㄸ㙣搷扦挶攳㕢昴晦㌶晤㌳㕥扡㤴㐷〶㐹摢攷㜸挵愵ㄵ㠶㔰ぢ㘷㝦愶ㄳ挶㔲ㄷ㜱昶㉥戴㕢收㡣㌱搷挲搹㝢㜴攲㜲挶挰㙢户捡㕡摦㝢ㅦㄸ昳〳〲ㄹ㤴敤〳昸ぢ〱ㅦㄲ㌰ㄲ〰攱散㈳愴晣㌸昳ぢ捦〶㘷ㅦ〳づ捥ㅡ㌴晦ㅡ㘷㥦搰晦愷昴㍦〵㠰㔲捥愶㐱㘷昷扤捦〰搹敡扥挷搰㙢攱昱㙦㜴㍣〳愹㈲ㅥ晦づ敤㤶㜹㘴慣戶昰昸〵㥤戸㍣捥㠶搶㠷愶㝦〰㘳㝥㐹㈰㠳戹㝤〰㕦ㄱ昰㌵〱㜳〱㄰ㅥ晦㠹㤴㉦㡦㍥㘱摤攰昱ㅢ挰挱㈳㘳戸㕤晦ㅡ㡦摦搲晦扦改㝦㈹〰扣愹㜵㙥㘸攴㔶捡戹愱㘱ㅣ〳愷㥢っ㈰扣愹㜱户戲㑢㜱挵㌰㙥㕥㡥昳挰摤挹慡搲愵㥤㘲戸㌷㉦敦昰㝢㈹㈸愰昳晡〲扦㔵㈶挵㌱ㄲ㥣搷ㄸ敥㌶散敤㝦㍤戶攸㡤㝥摥㉣㘸て㌵㔵㡡㈱攱昶ㄹ挲㔰㙣㈹㍢㠲晦昴㔹㜰ㄹ㌲愴㘵つ昸㔶㡣ㅣ户㕢搶㤹〵敢愰摤㙣换㥡晣㔵㝥㔲㜰㌸㑣愵捡〱㥡愰ㄴ㤹〹㥢愰㜵挹㘵つ摣〷敢挰㤸摤㈱ㄴ㐳捥㝤〰㍤〸攸㐹㐰ぢ〰㥣つ捤㝡愴扣〹散〸捤㑣㙢戴㈰捤㝡搱㡣挱攰愵㥤㥦ㄱ攰㜶攷摦づ㤰慤敥晣㐷挳㑣㈸敡㑤挷っㅥ㉦敡晣㍢㐰扢㔹㡡攴㠲㘴㍤捣㠴㥥ㅤ改〴㑣挸攷㌸㘸摤愳搷〶㤱㥤㠰㌱㜷㈶㤰㔱攸㍥㠰㍥〴散㐲〰〳搳愵昳昷㐵捡慦昳晢挵愳愳昳敦〶㌸㍡晦㈹㥡㝦㡤挷摤改㝦て晡㘷㄰㜹㈹㡦㡣ㅣ摦挲挰㝢㍥㈰挲㔹㝦㍡㘱㠰㜹ㄱ㘷㝢㐲扢㘵捥ㄸ㠸㉥㥣つ愴ㄳ㤷㌳㐶愳晢㔰㌲〸ㄸ㜳㉦〲ㄹ愹敥〳搸㥢㠰挱〴㌰㜸㕤㌸ㅢ㠲㤴ㅦ㘷㝥㌱敢攰㙣㈸攰攰散㌲捤扦挶搹㌰晡摦㤷晥ㄹ㘸㕥捡ㄹ愳换㙤捥㌸改换挶㔳㔱㝦㜶挲搸㜳攱㙣㍦㍡戹〹愹㈲捥挲搰㙥㤹戳㕢㘰㈶㥣㐵攸〴㈵挸㠷ㄱ敢㍥㤴㐴㠱㌱㘳〴㙥昰〷挴〹㐸㄰挰〰㜷攱㉣㠹㤴ㅦ㘷㝥㜱敤攰㉣つ㌸㌸摢愸昹搷㌸ㅢ㐱晦晢搳㍦㠳搱㑢㌹㘳〴扡捤ㄹ㠳ㄱ㘵㉢攵㡣昱改挲搹㐸㍡㜹ㄸ愹㈲捥㐶㐱扢㘵捥ㄸ搰㉥㥣㡤愶ㄳ㤴㈳ㅦ㐶戵晢㜰搶〰㡣㌹㠶㐰㐶扣晢〰挶ㄲ㌰㡥㠰㈷〰㄰捥挶㈳攵换㤹㑦散㍢㌸㥢〸㌸㌸㘳愰扢敢㕦攳㙣ㄲ晤㑦愶㝦〶慣㤷㜲挶㈸㜵㝢㡣㥢〲挸㔶㡦㜱㡣㙢ㄷㅥ愷搲㌱〳摣㡢㜸㥣づ敤㤶㜹㘴㈰扣昰㌸㠳㑥㕣ㅥㄹつ敦ㅥ㠶㌶挶捤〴挶㥣㐵㈰㈳攵㝤〰戳〹㤸㐳〰㠳攷㠵挷戹㐸昹〵㠱昸挴捣㠳挶昹㐰㠳㐶〶捦扢敥㌵ㅡㄷ搰晤㐲扡㘷愰㝢㈹㡤㝦㠱捥敥㝡㥣㉡㘴㉢敤㝡㡣㝤ㄷ捡ㄶ搱挹㐷㐸ㄵ㔱戶ㄸ摡㉤㔳昶㌱捣㠴戲㐳攸〴攵挸㠷ㄱ昳㙥㤵㌵捡づ〵挶㍣㡣㐰㐶搳晢〰㤶㄰戰㤴〰〶搸ぢ㘵ㄹ愴晣扡㥥㕦㕣㍤㌸换〱づ捥ㄸ㘰敦晡搷㌸换搳扦㐵晦っ挷㤵㝡ㄷ㤸㜲敡㕤㕢㡤愱慤㌴㔲戰㉣㡡㔳㑡㈸㌰㥥㜳㙥挷扡㈶挴搰㜲㤷㤱㠳昶ㅥ㙦㘰戱慡ぢㅤ攲ㄹ㕢摢戰愸㔳㔳晡〵㝥捦㤶㕦攰敦戶㝤挹敦戰㡡ㄹ㜳慡㔰㥢摡㡢晦㔵晥㕢愳㥥㍤㉢摥昹愳㡣㘲〳㡤戱ㅣ㔵摣㝥㝡㘳慥慤戵扤戵搰搱㙦㉥攲挳晢昱㜷㙤ぢ㔸搵㘹愸扤㄰ㅥ㝤换攴㠱搵戴昰㐵㌲慢昹㍢㡦㠱ㄵ㉤慤㙢㕡愴㌶戵敤晣㜹㕦攱慢㙢㔷ㄶㄳ挰㐷戶㍤㐱㕥戰ぢ㉡ㅡ㐴搲㍣ㅣ㉥㝡搴〷㙢㤰〶扦昸搲ㅥ搲㠳挶㡥ㄹ㍢㘷㐹愱㄰㑡攷愲改㐲㉡㘲挵㘲搹㝣㍡㥢㐸攴㘳愹㘸㉡ㄴ户慣㘸㌶㘶ㄹ㑤ㅥ㌴㙣㘵愳㤱㘸㌶ㅦ捤挷㠱㡤攵戲戱㔸㌴㥣捥收㌲戰㡦挷㤳改㘰慤攳摥㙣㠶㡤搹〲ㄱ㌴㕣㔵㉢㔵㉢愹敡敡慡〸㄰㘸㙤〰慡慤㡤挸㠴㔱㤵捡慡㥣捡㉢慢愶㙢搷戲㐷づ㘵㤱㥣㡣愷㤶㕦晥㌴っ〶㜲搶㥥〹㥡㑢㥦㔳昸ㅢㄵ户㈲㡤㔱捦㉡戳㠳昵㕥〵ㄱ〸㜶㠳㠲㍡㘳㌵㤲扤挶㡥㔹㔲晣ㅡ㈰㘳つ搴摤愱㤶㤵戴㌹昸挱㕦㘳㉤㌴㍤愱搱㈲搷㠳摤ㅤ㉦收㍡㘴㥡〳㔸㐶㝦〸搵ㄳ㝡㘹摢愳愰攷㡥㝣㠲搰昲㝣㔰㈷攰㐰搸ぢ㤱㔱㘵ㅣ〳㐸挵慥愵㡥〳㡣摤慢戸㝢昴㠲ㄷ改ㅥ敢㘱㡣敥戱ㅤ㍤搳搹㜱㐸摢摤㈳㙢㐵攲㤹㜸㉡ㅥ㑤㈴搳戱㘴㈸㥥㡥愷慤㔸挴㑡挷㌲昱㘴捥㡡挶㡤攳㍤㘸㉣㥤㡦㠵㌲昸戱敢㔰㈶ㅥ㡢㈴㤲㤹㝣扡㄰换㐵㜲㠹㜸㌲㥡捣㘷㐲挱摥㡥㝢昳〴搸㤸㈷㐲〴户㜷㔵㈷㔱㜵㌲㔵㍢戸㉡て愵㜶㠶㡡㕤㐴慤挱㈱戰昹戰㡦愷晣㌴昹㌱㐴㈰搸〷ち敡㡣㌳㤰昴㘹㠶㌳愱㉥㙥㠶戳愰㈹㙤㠶㕤ㅣ㉦收搹挸㤴搷晤挸㡢㝦搴慥搰㑢㌳㥣〷扤搷っ扢㐳㉢捤搰㡣ち㜹捤㜰〱㈰㤵㥢㘱〵愰攵捤戰〷㍣㐹㌳晣ㄴ挶㘸㠶㝥昴捣愳戹㄰㘹扢ㄹ㜲㔶㍡ㅦ〵改改㜰㉥ㅡ换攷㜳改㐸㌴㤹捥愴㜲愱㜴挱捡㠴㐳ㄹ攳㈲て㥡捤㘵慤㐴㈶ㄵ〹攵㐲昱㔸㈲ㅤ㑢㘷攳㔹㉢㠶㍢挳㜴㉥㥣〹攷挳挱晥㡥㝢昳㘲搸㤸㍦㠳〸づ㜰㔵㤷㔰㜵㈹㔵㝢扡㉡〲〴慡昶㠲㑡㥡㈱愳㌷挳㤵捣扦ち㈲㄰摣ㅢ〰晣㔵㤹㙣〶㤳愴㥢攴㌹㌸搸搵㕦㐷㔵㠸㠸晤㈰搴㍥搰ぢ戱㌷㐰敦ㄱ㍢っ㕡㈱㜶愱㑥散㑤㠰㔴㈶㜶扥㉦戱晢挲㤳㄰㝢ぢ㡣㐱散㜰㝡㈶戱户㈲敤っ㝦搱㔰㌸ㅡ挹挵ㄲ挹㝣㉣㤶挱㤸㤶㉣ㄴ挲愹㐸㌴ㄳ户㜲戹㜴扥㘰㙣昰愰㤱戸㤵㑣愴戲ㄱ㉢㤵㡣挷ち戱㙣㈶㤷ぢ㈷愳戹㙣㌶㔳㠸攷㌳攱㐴㜰㍦挷扤㜹ㅢ㙣捣摢㈱㠲㈱㔷㜵〷㔵㜷㔲ㄵ㜶㔵〴〸㔴挵愰ㄲ㘲愷敡挴摥挵晣扢㈱〲挱㌸〰昸㉢㈳㌶攱敡敦㈷㌶㐹㐴㠲挴愶愰ㄷ㘲ㅦ㠴摥㈳㜶〴戴㐲㙣㠳㑥散挳㠰㔴㈶㜶㤴㉦戱晢挳㤳㄰晢㈸㡣㐱散〱昴㑣㘲ㅦ㐳摡㈶㌶ㅦ㑤挶昲㔹っㄳ搹㐴㍣ㄶ㡤㈶㔲㤱㔸捣㡡㘰㥥挰㥣ㄲ戲愲〹攳㜱て㙡攵㤳攱㐴㌶ㄹ㑢㐵㌰〷㘵ㄲ愱㙣愴㠰㐱㈷㠷て㈶㤸㘸㉣ㄶ㘴㈸㉡摤㥢㑦挰挶㝣ㄲ㈲㜸愰慢㝡㡡慡愷愹ㅡ攵慡㍣㤴ㅡ〳㤵㄰ㅢ搷㠹㝤㤶㈶捦㐱〴㠲㘳〱挰㕦㤵昱㍣㤲㍥〳挷㙦愰㉥ㅥ㌸㝥ぢ㑤改挰㌱捥昱㘲晥づ㤹昲搶㉡㜹㝦㤵㥡〰扤㌴挳㑢搰㝢捤㌰〹㕡㘹㠶愱㝡㌳晣〱㤰捡捤㌰挴户ㄹㄸ㝦㉡捤昰㌲㡣搱っ㔳㥣㝡ㄸ慦㈰㙤㌷㐳㌸ㄴ㡦愷㐲㠵〸〶攴㜸㉣㥢㑥愴攲㔶㉡ㄷて挷㌲愱㘴㌴㥣㑡㠴㡤㔷㍤㘸㌶㕤㠸㈴慤㐴戶㄰㡦㐷㘳㠹㐴㈶㥤㠸㐵搲㔹㉢㥥㑦攵搳愱㐲㈲㘶扣收㐱搳㐹㉢㤹㉤㈴㐳㠵っ㉥〲慣㐸㉥㘳攵昲㠵㐴㍣㤳㑣挰㜷㈸ㄷ〹㑥㜵㙡㘲扥づㅢ昳つ㡡晦㠶〸㑥㜳昵㙦㔲戵㠹攲㉤敡愷扢㝡㠱㡡ㄱ昱㙡ㄶ昴搲㠰㝤㥤〶㤴㙥昰㉥敤摥㠳〸〴㘷㍢㠶挶晢㐸晡㌴攰〷㔰ㄷ㌷攰㕦愰㈹㙤挰㌹㙥昱ㅦ㈲㔳㕥晥㘵㡥攳㜹㌴て㝡㘹挰㡦愱昷ㅡ㜰〱戴搲㠰扤昴〶晣ㄴ㤰捡つ㔸敦摢㠰ぢ攱㐹ㅡ昰㙦㌰㐶〳ㅥ㐴捦散㡥㥦㈳㙤㌷㘰㍣㤱㑤㐵㐳㠵㕣㌴ㅣ㡢挶㔲㘹㉢ㅤ㡥㠴昰㕦㌴㥣〵捦昹㔴挱昸扢〷㑤㘴㐳改㐴㌴ㅥ〹戱改㌰㐶㘵昳攱㔸㤲㍦㜳㥤㡢㠵搱愶㠹攰㈲挷扤昹〵㙣捣㝦㐰〴て㜶㔵㕦㔲昵ㄵ㔵㡢㕤㤵㠷㔲㠷㐱㈵捤㔰敢㌴〳搲昸昹ㅣ㥡㝣ぢㄱ〸㉥㠱㠲㍡攳摦㐸晡㌴挳㜷㔰ㄷ㌷〳㔷昱㑡㥢㘱愹攳挵㔴挸㤴㤷愲㤹㔳搹っ㔹攸愵ㄹ㙡愰昷㥡㈱て慤㌴挳扦晥愹㑤挰〶㈰㤵㥢攱㙢㐰换㈷㘰ぢ㥥愴ㄹ敡㘰㡣㘶㈸搰㌳㡦㠶敦〴㜵㥡㈱㤶㉥㘴㐳愹㔸㉣㥣㑤挵㐲㘱㉢ㅤ㡡㈶ち搱㉣慥㠷㜲㘹换捡㠵㡤㠰〷㑤㈷昳㠹㔰㈲㥣㑦㈶㌲搹ㄸ㠶戶㜴㉡㥣㐸攱愴㡢㠴慤ㄸ㉥戴戳挱㘵㡥㝢戳ㅢ㙣捣敥㄰挱攵慥慡〷㔵㍤愹㘲㌰慥昴㜶〲〴慡㥡愰㤲㘶昸〴㠷攱㕤〷㙤挷晣摥㄰㠱㘰㌳〰昸挳摢戸搸㌴扣昸㌴㜹扤ㄹ㙣㜱昵㍢ㄱ㍢㤷㠸㌹㈴㜶㈵昴㐲散㉥搰㝢挴戶㐱㉢挴扥愳ㄱ㙢昲捡㠶户㈹敡㑦扥ㅣ戶挳㐸㌸摣ㅤ慥挰㘱〷㥤挰挰搸〳㘹㥢挳㕣〱愳㑥㉣ㅤ㡤挷㌳攸捡攸挱戹㈸㍡㙣㍥ㄲ㐱㥦戶挲㤱㠴搱捦㠳愶㠰㠸㠵㈲戹戸ㄵ㑦挶㜲攱㐸㍡㠲改㌸㕢㐸㐴㤲戱㜰愲㔰㐸〶㔷㌹敥捤晥戰㌱〷㐰〴㔷扢慡捥㡢㤸㌵慥㡡〰㠱慡ㅦ㐱㈵ㅣ扥愲㜳㌸㤸昹㐳㈰〲㐱㐶摤攲慦㙣慥㍤捡搵敦㑢㉣㝦ㅤ㔶摥㘳愷㡥㠱㕥㌸っ㐱敦㜱戸ㅥ㕡攱昰㌷㍡㠷挷戸ㅣ㍥攷换攱㜱㌰ㄲづ㘳㜰〵づ㡦愷ㄳ㜲ㄸ㐷摡ㅤづ愲㈹㉢ㅦ㉡攴挳㤱㙣㉣㤹㡦愴慣㘸㍥ㅤ㐷〷㡢㠵㔳㔶摡ちㄹ〹てㅡづ㈵㈳㠹㑣㈸㤲㐹愴㌲戱㔰ㄲ愴㠷㌳戹㈴㉥㙤㌲㘹摣慦愵挲挱ㄳㅣ昷㘶ㄲ㌶㘶ち㈲㜸愲慢敡扣ㅥ㍦挹㔵㜹㈸㜵㉡㔴挲攱㘳㍡㠷〷搲换㈸㠸㐰㤰㔱戸昸㉢攳昰㜴㔷㍦㤶搸っㄱ㑢㈱搴ㄹ搰ぢ㠷ㄳ愰昷㌸㍣ぢ㕡攱昰㕥㡤㐳㘳ㄲ㈰㤵㑦昰扢㝤㠹㍤ㅢ㥥㠴搸㈹㌰〶戱攷搰㌳ち㌶愶㈲㙤ㄳㅢ换攴㌳㠵㐸戴㤰㑡㘱慡挳搴㤸捡ㄷ愲㤹扣㤵戰㌲昱㜰㍥㕢〸ㄹ搳㍣㘸㈴㕢挸㘴㔲扣㍥っ攷㘲㤹㈸㙥㙤攲㠹㜴戸㤰㉥ㄴ昸〶摥㘴㈲㜸慥攳摥㥣づㅢ㜳〶㐴昰㍣㔷㌵㤳慡㔹㔴㥤敦慡〸㄰愸晡㈹㔴㐲散慤㍡戱昳㤸㍦ㅦ㈲㄰扣㄰〰晣㤵㥤攰ㄷ戹晡㐵挴昲愷㘹攵つ㠴敡㘷搰ぢ戱㠷㐰敦ㄱ㝢㈹戴㐲散㌵㍡戱㠷〱㔲㤹搸慢㝣㠹㘵晣慤㄰扢ㄴ挶㈰昶㜲愷ㅥ㐶〶㘹㥢㔸㕣㝣攰晤㐷㔶〶扤㌵ㄴ㑢㠶愳㤹㤸ㄵ㑤挵ぢ㤱㑣㌲ㄹ挹㘴挳㜱㈳敢㐱ぢ搹㝣㈸㥦㡣㠳挷㐲㉥ㄶ㑡㈷戳愹㜸㌲㥦㡤攷搳攱㐴捥㑡愶㔳㐶捥㠳愶戰ㄴ㤱㑣㐴ㄲ㠹ㅣ慥㐰㈲㤱㜸㉡㠱敢㥢㔰㈸㤷㑣㘵㤲ㄸ㔶㌲挱㉢㥣㥡㤸㜹搸㤸ㄶ㐵〱㈲㜸愵慢㕦㐶搵㜲㡡㐶敡慦㜲昵㐴搹㜸㕡慡㙢愱㤷㈶㌹摦㘹ㄲㄹ㤳昹㑡㘹戳ㄵ㈲㄰扣捥㌵攴搴㘷㜲愲㌳㌹户〵慦㜷昵敤㠲㘵㤳戴㐰愸ㅢ愰㤷㈶㔹つ扤搷㈴㌷㐱㉢㑤㜲㥡摥㈴㙢〱愹摣㈴愷昸㌶挹捤昰㈴㑤昲㈳ㄸ愳㐹㙥愱㘷ㄴ㙣ㅣ㠹戴摤㈴㘹摣㥣攷㔲㈹㕣㉡昰愲㌰㙦㘵㈳㠹㘸〸㜷㡣戸攲㡥㐶愰㌰㡥昲愰ㄸ㙡慣愸㠵㜹て攷㐰っ㡢㍤改㜸ㅥ㤷昳㤱〲㉦㈲㈳㜹㕣㔳摣敡戸㌷㡦㠶㡤㜹っ㐴㜰㠳慢㍡㤶慡昵㔴摤收慡〸㄰愸扡ㄳ㉡㈱昶㘸㠷㔸愴戱㉡挰晣㤳㈰〲挱㡤㔰㔰㘷㥣㡣愴捦㌵挵㈹㔰ㄷ㕦㔳㥣ち㑤改㌵挵㉦ㅣ㉦收㘹挸㤴户㔴捡晢㉡㙢敦㠲扥㜴ㄵ㐸晢㠶扥ㄶ慤捡㙦㕣〷戵㄰㘲㔹㑦敡㔵㜰摥㉡㌲ㄳ戱㙣ㅤ㔴晤㄰㈲愰㙡散㠸挲㉤㉥愵挹㈱㉣㍥㤴㉢㕡愵ㅣㄴ慦㠴㌹挷㈶换㘷摦㉦㥥㉡㔰摢㠱昶摤扡㔲㜸㌶㜴慥㥡扡敢㙤〱昳㑣㌴ㅤ㥦〴摦㡤㌶㤳㔳攷㉣㈸摣慤昶ㅥ㘸户㍥㉣㡦昶扤㍢扦搰捥㥦㉥ㄸ摡㠴〸挵慤昸愵㠸戳㔱慡扡捦慤挳㌹㐸昱扣攲㐷㍤攰㙡捦㈵〶㥡㍡㙡ㅦ㠴㔶㑥敡ㄶ晤愴㍥ㅦ㤰捡㈷㜵㤳敦㐹晤㄰㍣挹㐹晤ㄳㄸ㥢㍦愵戸㤰攲㈲㡡㡢㈱㝡㜴ぢ㍥っっ户攰㈳敥捥愳敥捥㘳捥㑥晤攳搸攱ㅡ愰㈱挸晦愰〸㍥〱捦㉣愵昴搲昳㐹㔷㝦ㄹ慢捡㕦㘶㤵㜷㤲慡愷愱㤷戶扣ㄲ㝡敥挸攷㔷搰ち㘳㑢㌴挶㑣敦戲改㔰㕦㜲㝥つ㈳㈱攷㕡ㄲ㔱ㅦ㝣㤶㑥攰搱戸づ㘹㘷挴戳㤲㠵㙣づㄷ㡦戸愶挴㍡㘵㍡㕢㐸㠵㜱〱㡡换㑢慣愶㐵㈲㈹攳晡㑥㈸慥㌵攳愱㔴㍥㙦愵戱㝣㤱㡡愷㌳㘱㕣ㄸ挴㌱㑡㘲戹つㄷ㑦挱攷ㅣ昷收捦㘱㘳摥〰ㄱ㝣摥㔵摤㐸搵㑤㔴晤挶㔵ㄱ㈰㔰昵〲㔴㌲攲捤挵㘱㜸㤷敦ㅢ㤸㝦ㅢ㐴㈰昸㈲〰昸㉢扢㙣㝡挹搵㙦㈴昶〴㈲㡥㈷㘳㝦㠰㕥㌸扣ぢ㝡㡦挳㤷愱ㄵづ㈷㙢ㅣㅡ昷〰㔲戹搷㑤昴㈵㤶愱㕣㐲散㝤㌰〶戱慦搲㌳㠹扤ㅦ㘹㠷搸㔴㉥ㄱ挹愵戲戸〰㑤挶㜰㐷㡡ㄹ㈲㤳㑢㠷㌲〹慢㤰挰㥤㑦捥㜸挰㠳㠶㌲戱〴㤶挹㐲扣㜶㡡愵㜰攵ㄴ攷搵㍤㔸㑥㕢挹㜸挴捡〶ㄹ㄰㐶昷收㉦㘱㘳㍥〸ㄱ㝣摤㔵㍤㐴搵挳㔴㌱㉡慣ㄸ愵㌶㐱㈵挴㡥搴㠹㝤㥣㈶㑦㐰〴㠲㙦〱㠰㍦扣㈵㡥搳㌳ㄷ㜵㑣慥攳〴摦㜶昵捦㄰㝢㍡ㄱ晣㘱㔱昵㘷攸㠵搸㘷愱昷㠸㝤ㄷ㕡㈱㌶慡ㄱ摢搹㌹挳扥ㅣ㌲戴㑢㌸晣㉤㕣㠱挳昷改〴㘵ㄸ扦㐳摡收㄰户㠶㔸㍡㡦愶挲㜸挰ㄲぢ㔹㘱㉣愳㘴攳㔱㉢㔱挰㔲㔸㉥㥡㑤ㅢ㉦㜴㐲戳㠹〸㉥㝡㔲㠵㙣㍣ㄶ挳㘵㝤㍡ㄴ挳捡㕡ㅡ㙣攷㌲愹㐲㌸ㄷ㘴㠰㤸戰昳㈲㙣捣㤷㈰㠲㝦㜱㔵㥤搷昴ㅦ扡㉡〲㑣㐲搵挷㔰〹㠷㝢敢ㅣ扥捡晣搷㈰〲挱㑦〰挰㕦㔹攷晣搴搵扦㐹散戹㐴㥣㐳づ晦〶扤㜰昸㌶摤㔳挳捦摦愱ㄵづ㜷搳㌹昴敥㉤晢晡㜲昸〵㡣㠴挳㜷攱ちㅣ晥㠳㑥攰捤㜸て㘹㥢㐳㕣㤸㈴㘲戸ㄳ㡦㠶ㄲ㔸㐳㑣㐵㌲㜹㕣愲㘰搵㈴ㄶ㉡挴ㄳ昸㘷扣敦㐱㜳㐹慣㙦㘵㌲㜸つ㙤㈸ㄱ㡢㠷愳㈹摣㌸攵㌲搱〲搶㠰愳攸挱戱攰㤷㡥㝢昳〳搸㤸㝦㠱〸㝥攵慡㍡敦㉤ㄹ㈱㈶㑣ㄳ㈰㔰昵つ㔴挲㘱㉦㥤挳㑦㤹晦ㄹ㐴㈰挸搰㉦晣㤵㜱昸㙦㔷晦〵戱晣挹㔱㜹愳慦㝣戹㠶ㄷ㉡〱㔵〷㡦㥣㐸㘹ㅤ㌰扦愶㌷㑣㠸ち㥤㔸㌸搶㈷㐴挵搰㉥㑥㡡收扦〰㔳㌵㉥收ㅢ愴㔸㘱㝥㤴攱㙡扦㈵〶ㅡ㍡㔶㜵搰㑡敢㔴愳㈸昷㤹㠶挹〹㑢敥晣慢愰㉤㕢㍤㔱㡣搳㤲㑡㈸捣㉡㥣㔸昸〹〶愰㤵㌶慢㐶搲散㐲㔱㐳㔱㑢㘱㐰㘰挶敡〶っ户㘰㜷㜷愷㠷扢搳搳搹愹慦挷捥晦捥㡣ㄵ㠴㘷ㅥ㜵改㡣搵换搵〷㔸搵换㠹戸っ㐲㐹㤰ㄶ㔳㍤愰㤷捥㑣敤づ㐰ぢ㘵㝦晢扡㤳㌲愳ㅥ㤰捡愳敤愷㠰㤶昱ㄸ摣ㄱ㥥㠴戱㕥㘴愷㍥戸ㄳ㍤愳〸㘳㍢愴㥤㤱〲㑦㜳挲㘹摣㐰㘵ぢ㜸愴㤳㠹㘵ㄳ㔶㍣㠷摢㥦㘴㍥ㅤ㑤㈶慤扣搱摢㠳㜲挱㈹㤷㑢㘲㌹㍤ㅣ㡥攵ㄲ㤸晤搰摤㔳昱㜸㍡㥤挶㔳㡥㝣㉡戸戳攳摥摣ㅥ㌶收づ㄰挱㍥慥㙡㐷慡㜶愲㙡ㄷ㔷㐵㠰㐰搵㙥㔰㐹㉦㝦ㄷ㠷攱㑤㘳㝤㤹扦㉢㐴㈰戸㍢〰㐲㙣挹㘳愰㍤㕣㝤㍦㘲慦㈳㤵搷㤲挲晥搰㑢〷摡ㄳ㝡㡦搸㍤愱ㄵ㘲㕦搷㠸敤ㅣ㙤㕦昵攵㜰㈰㡣㠴挳扤攱ちㅣづ愲ㄳ㜲㌸ㄸ㘹㥢挳ㄴ愶㝣㉢㥢挵〵㐱〴㑢慡愹㔴㉡㤱捥㘱戵ㄴ愳㘸ち㘳㘸㌲㘵っ昱愰㠹㘸㉥㤵挰ㄲ〰搶〵㜲㌱㕣㌱愴挲戱㐴〱㤷〶㔸昹攳㐳昰㔸㜰㉦挷扤戹て㙣捣愱㄰㐱〶㠳戱㐴戳㜳戴ㅤ散慡〸㄰愸ㅡち㤵㜰昸㕢㥤挳㌰昳㈳㄰㠱攰㌰〰晣㌸摣搷搵㈷㠸攵て愹㥡㌷㤳挳晤愰ㄷづ搳搰㝢ㅣ㠶愱ㄵづ㥦搴㌹攴愵㠰㥣捦㡦晢㜲ㄸ㠱㤱㜰㌸ㄲ慥挰㈱㘳戹㠴挳〳㤱戶㌹捣㠴㄰ㅦ㤰捣㐴攳搱㐲〸㠱〰㔸愲㑥㔸㔸㙣捡㠶昱㑣㤸㙢㑤挶㈸て㥡攳愳㘳㔰㠷㌵搱㘸っ㉢㔵ㄹ㍣㡦㠴㐱㈶㥦戵㔲ㄶ㤶戲㠳㌱挷扤㌹ㅡ㌶㘶〳㐴㌰敥慡㍡㘷晤㠴慢㈲㐰愰㉡つ㤵㜰㜸㥦捥攱㐴收㑦㠲〸〴㐷〰㈰ㅣ㤶捣晡晢扢晡㘹挴㙥㈴㠷㜷㤲挳㤱搰ぢ㠷㌳愱昷㌸ㅣ〵慤㜰㜸扢捥攱㜲㘸㠵挳つ扥ㅣ㡥㐶戶㜰㌸ㄷ慥挰㘱〳㥤挰挰㤸㠷戴㜳㉥攷攲㔸慡㐷搸〵㥥愵挴㤲㜸挶㠲ㄵ搰㑣愴㄰ち㈵㐳㤱㔴㌲㤷㌵收㝢㔰慣昰㘵㜲㔸㔳㡥㘶ち昹㤸㠵ㄹ㉢㤹㑤攴ㄲ㤹㜸㌴㤳ち攷昰㜶敦㈰愳挶愴搳㉤㠰㡤戹㄰㈲㌸搶㔵戵㘲挷づ扣ㄸ攷慡㍣㤴㘲㐰㤸㜰㜸慤捥攱愱昴㜲ㄸ㐴㈰㌸〹〰扦㐱㤲㘱㘲愲捦ㄲ换ㅦ㙣㤵㤷㡡慢愹搰ぢ㠷ㄶ昴ㅥ㠷搳愱ㄵづ㝦愶㜱㘸㉣〳愴昲㈰㜹㤱㉦戱㌳攰㐹㠸㙤㠴㌱㠸㥤㐹捦㈴昶㜰愴㙤㘲㐳㈰㉡㥣㡢㠴攵㔹㜹㌲㠱搳㍡㡢昵捥㈴ㄶ散㜰戹ㄴ挶敡挶ちて㥡㑦㐵㔲戸㙥挰㘳昲㐸〸愳㈲慦慢戲㤱ㅣ挲ㅢ㜲㜹㍣户捣㘶㠳戳ㅣ昷㘶ㄳ㙣捣㘶㠸攰㙣㔷搵㐲㔵㉢㔵㜳㕣ㄵ〱〲㔵昳愱ㄲ㘲捦搲㠹㙤㘷㝥〷㐴㈰戸〰〰扦ㄳ㝣愱慢㕦㑢散㈳㈴昶㘱〸戵〸㝡㈱昶㐸攸㍤㘲ㄷ㐳㉢挴㥥愸ㄱ㙢㜲昶㤱捥㜹扣㉦㠷㠷挰㐸㌸㍣ㄶ㌸㜰㜸㈸㥤挰挰㔸㡦戴捤㘱㍣ㅡ捦㠷㜳ㄹ㕣㕥攲愹㔳㉥㔹㐸㠵戰ㄶ㥡㈹㐴昹㠹㐶搳㜹攳㌸て㡡ㄹ〶ㄱ㈲戹㤰ㄵ挷㈰㠹㈵㔱昲㡣㈱㌵㥦㑢攱挹㐸㍣㤴てㅥ收戸㌷㡦㠷㡤㜹〲㐴㜰㠹慢敡㥣㘸㤶扡㉡て愵㜲㔰〹㠷㙢㜵づ㑦愳㤷搳㈱〲挱㍣〰㝥ㅣ㕡慥晥㉣㘲昹㜳戱昲㐲昸㘰〱㝡㌹昰㜳愱敦㔱㕦㝢㌸搲晢㔷晥挶戲ㄶ愲㌳ㄴ㕦敥㉢㝡㘵昸㜸扣〲㝣ㅤ㐹敢㠲㕦搵戳㝦㡢慥愶㝡挴昷昳挵搵ㄸ㝥愵㤳㥦摡ㄶㅣ敢晦挰て㝢㐶攷ㄲち㍤敥㠱㡦㜹㍥づ戸戶ㄹ㠷敢晢攵㐱㍢㘸㘹㉥㝥㑥搰ㅡ㍥㜶㑣㜲昸昸戵㌹慢㠹㕦搴㐴挴ㄲっ慢㜶㘸㥥摣㡥㕤扣㍡㘵㕥㙢㠳㝣㝤㤰㔱㜵扤摣愰愶愱敥㥢慣〷㜵㙡摣敦收扡㘶㌳摢㍣㍢扣ㄹㅡ㐱㙣挸ㄸ捡昷㕥敦搰㤹搲㝥换慦㙦愷ㄶ㕦挷挶昷ㄱ慤扣敢戱㥤㤷扤搵㕤捡摥㐱㈲㡢㜷攳㕡㥢昱㌲愹攱戳昰攳㝤昴㠶户戴㑦捥㤳㠰扥㍥扦㘴㌸愶戱㐳㝥〹㜴㔷攴㉢㜳〵挸㌱㝥㠲愳㌵㐶づ㥣㍥㌰ㄲ慦㍤ㅣつ㔱晡㐵戹㡡㘵ㄴ搳捥ㄲ搹㌷〲收㠵㜰愸㕡攰㥡摣㉢戳㠹㠵㕣㙣ㄷ㜲㌰ち㔱〵ㄴ挲㠲搸㡢昱戳攵㐴㜳扣㜶㔵㙡愵㤳愰户晡づ㈴㌸㜵〳愵㙦㥦㡥㜲㔲愳敤晦敢㥣晦㠳愳敢㔷戹ㄶ㠷慡晥攷㌵搴㙥㍡戶昴㐷昷挵㘲晤攲搱㌷摦挴㙤㤷搱㙡ㅤ㉣〶㐱㕢晡㥥摦っ㉡昹㉡㕥㡣㔲昶摥攳愵㑥㐶改㝢㡦㠳㐷挱㤳㥣㙣㔷愱扥㍤敡搵㝡愴㜹挲愹挳㘰挱㕥㉥ㅤ昳ㅡㅥ昲〹㔰摢〴ㅤ㠷㍤攳㍡攸搰ちぢ〶挶搲敡㘰〰㕤㌶〲收捦㠹㍥搱㐳㌳昶捣戸搱㐶㡦㈷㝡㠱㠳戶挹扦㤹㘸㕥㠶戹づ搴挹㑥㐲攸㍣ㅤ㠹㙤愳昳挷慥挵㘶改慣㡡㌹㜴晥㜳㤴㍡ㅢㄶ㝥㜴捥㐶㐵㝤改㥣攵㘴㤴扥㌶㌹㜸ㅥ㍣〹㥤㜷攰愸㐰攷㑦㤱ㄶ㍡㘷挰挲愳㜳㈳て昹㘲㘴搹㜴㕥㠸㍤攳扦㕣㠲愲㈱㌵愵㠸愰扢㠹㘶㝣㤷㡤扥㠸攸㝢㙤昴㠲㠱㐰㑦㜰搰㜶敦扣㥦㘸摥晦㝡㜴㕥敡㈴㠴捥㉢㤱搸㌶㍡慦㜲㉤㉡搱ㄹ昸攳㌵㉢㐷〶㥥ㅡ搵㑢戶㜳㐷愹敢㘰攱㐷㘷㠳挳㕡㔹敦ㅣ敤㘴㤴扥㜵㌹㜸〳㍣〹㥤㡦攰愸㐰攷㉤㐸ぢ㥤〷挲挲愳昳㌱ㅥ昲㙤挸戲〹扡ㄵ㝢挶ㄳ㌶㐱㤳〷㠶㐳㙡㠴㐳㤰摤摦㥥㈲晡㜶て扤㠱攸㘷㙣昴㐱㐴㈷ㅣ戴㑤攷慦㠹扥〳ㄸ㡦捥㍢㥤㠴搰㜹ㄷㄲ摢㐶攷摤慥㐵㈵㍡敤慦昹扦㌵㉡攸搲㜹㍦㉣晣攸っ㍢慣㤵搱ㄹ㜲㌲㑡摦摡ㅣ㝣㄰㥥㠴捥摦攱愸㐰㈷攳挲㠴捥攱戰昰攸㝣㤱㠷晣〴戲㙣㍡ㅦ挳㥥昱㝢㤷愰㘸㕡敤㔳㐴搰ㅦ㠹㝥搲㐳㍦㑥昴㉢㌶㝡昲㐰愰昷㜲搰㌶昹慦ㄱ捤㘰㌰㡦捥愷㥤㠴搰昹㉣ㄲ摢㐶攷㜳慥㐵㈵㍡敤搱㜶戲㜳戲〷㐶慢摦挱挲㡦捥晥づ㙢㘵㜴昶㜳㌲㑡㕦晡ㅣ㝣〹㥥㠴捥户㜰㔴愰昳㘵愴㠵捥摤㘱攱搱昹㈷ㅥ昲敢挸戲改㝣〵㝢挶㍢㌶㐱つ㔳〷愶搵㉥づ㐱㜶㝦㝢㡦攸㌷㍣㌴攳扥㡣てㅣ昴㌴愰㜷㜴搰搰㘳㉡晡㤰攸晦昶搰慦ㄱ晤㔷〷㍤〵攸敤ㅣ戴㑤晥㈷㐴扦〹っ挹愷〳戵挹㐹戰㙣昵㤶㤳㤰㤶㜸ㄷ〹挰户㝥ㄶ〳ㄶ摢昶愳敢ㄹ昱㈵㤶㥢㙤㤱㑤㈷㡤ㄶ㠳慡搳散晦㐷㥦㍤㕡㝤〸㑢扦㤶改㠱敡晡づ挳摤㥤㡣搲搷㑦〷㍦㠶㈷㘹㤹㉦㔰ㄳ戴捣摦㤰㤶㤶〹挰挲㙢㤹㉦挹挷ㄷ挸戲㕢㠶搱㕣挶搷搰挹慣ㄶ㡥㈹〳㘰户㥦〶捣㝦ㄱ晤てて晤㜷愲扦戵搱攳〷〲㕤敤愰㙤慥扦㈳晡㑢㘰㕣〷敡㉢㈷㈱昴㝥㠳挴戶㜵昴㙦㕤㡢捤搲㕡㌵愳戳愳㉢ㄴ攰㐷攷户㕦㔵愰昳ㅢ㈷愳昴敤搵挱ㅡ㜸ㄲ㍡㙢昱㤴ㄵ㜴搶㈱㉤㜴晥ㄳㄶㅥ㥤㕤㤱愹ㄸ㉣㘵搳㘹㘲捦㌰愱戳㉦搵搲敡ㅦ〰㤳つ㥢愰㙥㐴㌳㘸捡㐶〷㠸敥㘱愳㜱捤㤵㔶㝦㜳搰昶㘹㔱㑦㌴愳慥㍣㍡㝢㍡〹愱㤳挱㔵昸摢晡摥㕡摦摢戵搸㉣㥤敢ㅢ㍡改㘴㔰搶㈰㤴㔱㝡捤昵㔷㠷戵戲㜱攳㈳㈷愳昴攵搷㐱㠶㜱〹㥤㍢攰愸㐰攷敥㐸ぢ㥤㝦㠱㠵㐷攷㑥㍣攴晥挸戲〹摡〳㝢㐶ㅦ㥢愰昱〳㈳㈱昵慥㐳㤰㑤㘷㕦愲ㄹ㍦㘵愳晢ㄱ扤㥢㡤㕥㐰昴摢づ摡愶㜳て攴搴て〶〶㝦摢㐰摡㄰搷愲ㄲ㘹昶摣昵捡愸㑢㥣摦慣㔱㡣挲ㅡ攴㐳摡ㅢづ㌷㘵愴扤敥㘴㤴扥㈱㍢ㄸ㠲㈷㈱㙤㄰敡づ搲ㄸ㝣㈵愴扤ちぢ㡦戴扤㐹〳㐳愰㙣ㅡㄸ㤱㘵っ㜱㘹㠸挵搴ㅦ㡡㘸ㄸ㑡㜴捡㐳㌳㈸换搸搷㐶攳㐲㌵愶㕥㜰搰㌶挵晢㈱愷晥㐰㘰昰户つ愴㡤㜲㉤㉡㤱〶㙦搸收㜵㕥㡥㌲散㙡㄰㔴愵㍤敤㌹㠷㥢㌲搲㥥㜵㌲㑡㕦愳ㅤ㥣〰㑦㐲㕡ㅣ㜵〷㘹㔳㤰ㄶ搲㝥〵ぢ㡦戴㈴㘹㘰㄰㤴㑤ㅡ愳慤㡣戴㑤挳散㠱攱戴㝡戲㠸㠶晤㠹㥥攱愱ㄹ㜰㘵㡣㠴慥敢挸㠱つ㘳〸㝦搴㠱摢㕤㙤ㄴ攱㌳〱昲捥摣㔹㑥㐲捥㕣㐶㑤攱㙦ㅢ昸㘴㠸㤵㔸㙣㥥捦㠹愳攱ㄵ摢愶㔱㡡搱㔶㠳戰㕢捡攷㉦ㅤ摡捡昸㝣挰挹㈸㝤つ㜷㤰昱㔹挲攷㜸ㅣㄵ昸㕣㡡戴昰㜹ㅦ㉣㍣㍥㈷昲㤰昳挸戲昹捣㘰捦㤸散㌰㌴㠵っ摤攵㌰㘴昷慢愹㠴㌳昴挹㠶㌳搰捡㤸敥挰愷ㄲ㝥愷〳户〹㥤㐹㜸挱㠳㌳搸捡㤸敤挰愷ㄱ扥挱㠱㘳挲挰㈵挲㕣挲ㄹ㐵㐵晥愹㔲换㥤〴摤愹㐶㈷㈱㡤搱㐲㕦搰昲愳㙤㤵㙦㕤㙤㄰㈶晤㔶搷㜲戳㡤攲㌷改户挳㜲㄰晣㤴㌶捥㡤㌸ち摦㐹晦〶㈷愳昴敤攰㐱㐶㙡㐹攳㉣挲㈱愳㜱ㄸ㔹㈵㡤㜳㍤㉣扣挶㔹㑣㍥ㄸ〵㘵戳捤㜰㉢攳㔰攸㌰㑢㑤ㅥㄸぢ愹慢ㅤ昶散戶㔹㐲㌴愳愱㙣㌴㈳慥㡣㡣㡤㍥㠸攸换ㅤ戴摤㌴㌹愲㡦〵挶敢敢敢㥤㠴搰㝢㈲ㄲ昸摢㝡㝡敢ㄹ㘲㈵ㄶ㤵㘸挵㌲ㅦ戶㍦㜵摥㉣㥣〶昸㈰ㅦ㍡㉦㜶㔸㉢敢敢ㄷ㌹ㄹ愵㉦ㄷ㔷っ攷㤱愵捣㐶ㅥㄵ㕣昲ㄳ㜴ㅦ㘱慡戳摤散挳㤱捤㑤戲捦㠱㔶摡㘰〵戴㘶ㄳ㐴㡦㥥㐱㐶摢㠸戲㤹改㝡挵攸ㄸ㘹㤸昳㔰㌶ㅢ㠶㌱㐴㜵昸㠵ㅣ㐶捣㐸挶戹㑥㐶㑦㘶㌸扤昱慢敦ㄴ㠳㘹㈴晦ㅣ㈷㥦㍦㔸愷攵㌳捥㐶昲捦㜶昲晢ㄶ攷㌳〴㐷昲捦㜲昲㘵㜱愳ㅤ戵㔲㡣㝢ㄹ〴戴摤つ㙢搰㕥收㕢㐸慡搳㠰昴敤㠶愷㍡ㄹ愵敦㠰つ㕥〹㑦㜲戴敢散愳扤搶㉤昴㘴扤搰㈳㔹㈸㐳㔳散㡥挵ㄸㄸ攳㘸攸愴ㅢ㠶攳敡㜸㠰搹㡢散㙥㜸㉣搱㌷㜸㘸㠶挱ㄸ挷搹㘸摣戳挶搵㌱づ摡敥㠶㈷㄰㝤㈳㌰㕥㌷扣挹㐹㐸㌷摣㠰〴晥戶愱ㅢ摥收㕡㔴敡㠶昰㠶㑤㕢㔱搹〸㡢㐱㔰㤵㥥搵敢ㅣ搶捡扡攱㕡㈷愳昴ㄵ戲㐱〶捤〸㥤愷攱愸搰㜹ㄸ攴㈲㙤戸ㅡㄶ摥㔹晤㘳ㅥ㌲〳㔲㙣㍡ㄹ昹㘲㥣㘹ㄳ㜴㌰㘷昲戶㈲㠲捥㈶㥡㤱㉢㌶㥡挱㉦挶戹㌶㝡㍡搱㉤づ摡㈶晦㝣愲昹㡣换愳昳㘱㈷㈱㜴㍥㡥〴晥戶㠱㑥㐶扢㠸挵㘶改㝣㌸摢㜹敤昹っ攰㠳㝣攸㙣㜴㔸㉢愳㜳戹㤳㔱晡〶摡㈰㐳㘵㠴捥㡢㜱㔴愰昳户㐸ぢ㥤〵㔸㜸㜴㕥挲㐳㝥ㄱ㔹㌶㐱っ㠲㌱㉥戳〹ㅡ㍦㌰ㅡ㔷搹㈲㠲慥㈰㥡㌱㉡㌶㥡㜱㌰挶㔵㌶ㅡぢ㔴㜱㜵㤸㠳戶㝢攷㌵挸愹㘷挴ち晥戶㠱㌴㠶户㠸挵㘶㐹挳㜴㙦慦㥢㕣㌵㑡扤〹昸㈰ㅦ搲ㄶ㌹摣㤴㤱㜶㤰㤳㔱晡㥡摡㈰㘳㘳㠴戴ㅢ㔱㜷㤰挶〰ㄷ㈱㙤〱㉣㍣搲㙥㈶つㅦ㈰换愶㠱㔱㉦挶慤㌶つ㈰㉤慤收㌸㌴搸扤敡㌶愲ㄹ㤴㘲愳摦㈷晡づㅢつ搲搲㙡㠶㠳戶㐹摢㠸㥣晡㑦㠱挱摦㌶㤰挶㜸ㄶ戱愸㐴摡㤱摢㙦㤸昸搶㡦㍡㐶捤散晢晥㉦㡥㥢戱㜸㤴㘲㘸换㈰ㅦ搲㈶㍢摣㤴㤱㌶挹挹㈸㝢㤷㉤愳㕦㌸㈷㤸昷昲㐸戱㈳ㅦ〹㜶愱昶㍥㘸戹㔱ㅢ㘴搰㡢㄰㝣㍦戴收〳㄰㤸㌶ㄸ昳㈲捡㕦㌲㕤ㅦ㔴㤸〸㈴晤㈰㐱て㔱㍣㑣昱〸挵愳ㄴ㡦㐱昴〸㈸挶戲㐸昳ㅣ㠰扡改昳㑢ㄷ㌷㘳㝦㈷愳㘴㝥㘱攸㡢ㄸ㡥㜰昲㑢收㤷㕡㌷㍦敤攴㤷捣㉦っ㤸ㄱ晢㤴㤳㉦昳换㌳愸㤵㘲㤴㑡㈷慦㥤昳㑢ㄴ㐸摦昹㈵攲㘴㤴扥敦㌶挸戸ㄶ愱攱㌷㍣摡㝡搵换㉤㌴愴ㄷ晡㍢ㄶ捡㤸ㄱ扢㝢㌱㌸挵㜸ㄱ㍡㤹㕦㈲㌱㌵っ攰捥昹攵昷㐴敦攰愱㝢ㄳ晤㐷ㅢ㝤搰㐰愰〷㍢㘸扢㌳扥㐲㌴㥦〹㝡〳攲㑥㑥㐲〶挴扥㐸愰改戶愱㥢㌲㈰㐵㉣㉡㜵㔳㜶㤴慡㑤㉤愳㡦㕣挳慤摦㘸搵てㄶ㥤㜴㙥㐲慥㍤㕤敦改戰㔶搶㑤〷㌸ㄹ愵慦换つ敥〹㑦㐲攷㥢㌸㉡搰戹㌷搲搲㠶晤㘰攱㥤摢㙦昱㤰ㄹ㍥㘲搳挹㌸ㄵ攳㑦㌶㐱戸ㄹ㑦慢㕤ㅤ㠲散㜳晢ㅤ愲㠷㝡攸㈱㐴扦㘷愳㜱㌳㥥㔶㍢㍢㘸㥢捥て㤰㔳ㅦ〶㘶摢㐸㘳〴捡㤶㐹慢ㅡ散捣㈲搵愳㔵〲ㄶ㝥愴昵㜶戸㈹㈳㙤㍢㈷愳昴㥤扡挱㌴㍣〹㘹㥦愰敥㈰㡤㌱㈸㐲㕡㄰ㄶㅥ㘹㥦㤱㠶搱挸戲㐹㘳㘰㡡昱戹㑤挳昴㠱昱㤰敡敥搰㘰㤳昶〵搱つㅥ㥡戱㈹挶㤷㌶晡㘰愲敢ㅣ戴㑤摡搷挸愹㥦〸捣戶㤱挶㤰㤳捤㤲挶攱㜰晢つ㥦㡣㥡敦づ㠸㡣㍥昱㈳慤㡢挳㑤ㄹ㘹搵㑥㐶改㡢㜷㠳㡣㔷ㄱ搲扥㐳摤㐱摡㕣愴㠵戴㉡㔸㜸愴㈹挴愴㉢㠶㝥搸愴㌱ㄲ挵攸〲ㅤ㑥㕣㕣挹挴搵㌷㕦敡㡢㤲戵㐴㉦昴搰昳㠹敥㙡愳㜱㈵ㄳ㔷㕦㌹㘸㥢㘲ㄳ㌹昵っㅢ搹㌶搲ㄸ㘳戲㔹搲散扢㤰て㍢敦㐲ㄸ㙥攲㐷摡攷愸㡥敦㘸昷㌷㈷愳昴敤扣㐱ぢ㥥㠴戴㝡搴ㅤ愴㌵㈲㉤愴㝤ちぢ㡦戴㕥愴㠱挱ㅦ㌶㘹㡣㌲㌱㝡㐳㔷换㥢扡戸晡愸㠸㠵ㅤ〸㘶っ㠸つ㕥㐱昰㑥㌶昸㈰㠰摦㜷挰㜶㍦敢㐳㌰㘳㐸扣戱㡥戱㈴敥挸㔹摦㡥挴戶㤱挹戸㤲捤㤲㠹戱っ摢㠱愳攵扦慡㑦㐷㈹㠶㤸昸㤱昹㈷㠷戳戲ㅥ昸戶㤳㔱晡㙥摦攰㤱昰㈴㘴敥㠱愳〲㤹㡣㉣ㄱ㌲㌷挱挲㈳戳㍦て㤹昱ㅤ㌶㍦敢戱㘷散〹ㅤ㝡㈰㈶㠳戸㝡扤㠸愰㐱㐴㥦攰愱㡦㈳㝡㙦ㅢ㍤㤹攸㤷ㅤ戴摤〳㠷㈰愷晥㌴㘰戶㡤㌴〶㤲㙣㤹戴㠷㤷㡤㕥㍣㥦㕢㥦搱㡡㌱㈵㝥愴扤攸㜰㔳㐶摡ぢ㑥㐶搹ぢ㠰捦㠵愷㉤扤〰㤸扦づ㘴戵㌳ㄲ愵㥤㤷っ戵〵㐶㕥㜴㉢搸㙡〶㡥挸敦搴㌷挹㡦〱㜵挷晢㍡摢㔶㔸㙤搳昰㕡㕡扣愵㜳㙥㘳戳昳㙢㌴㜸㕤㉤㝦挳搷㝤㈳愴㈹㈹ㅡㅢ㠵㤹㙤㜸㐵㘴搷挲攴㜶晣ㅡ㝢扥慥㜹㔶愶愳挳㙡㙢昹㈱㝣㤷〹挱捦扣㤸挱㘶扦挶搳昷㤷㤱昸㤳㐷扥㐱ㅡ挲搸昰㑥㍥摣㕦攴慥收㙢㍥扦摦㌷㤹㡣晤搰挵摣摦㍤换㙢㉦慥慤㔱扦㐵ㄳ摢〱扤敢慢扥㤳㍡㈳晥挳っ戳戳㐶㈰扡㌴戴㌷换攵㈸㐴挰㡣㐲㈳扦扣㘹晦散㘷敤昹攸〶愵〷挷摦慡㥡挰愳慦㕤搳㤸敦㔸㙥㉣户ㅡ㤷㉤敦挰㙦㔲㜵㜳㝦㑢㡡愵搴㕣〸搳捤㠵戶㜰愴改摡扣㈴搳搶㤶㔹㔷搷扣愴挹㙡㔹搶戱扣㙥挹㙡㐴昲攰㠵扢㤸㉣敡敡敡捣㌸敡挳愲昸㔱㤷挰㈳扤㥡〹㕤㝢ㄵ㌴散慤㐶ㄲ㕡㝦ち㥥昶愵㈰つ扣㌱〲愲㤸㠲晤愱搱㈸㔰搷挰㌷㘹㜰㌷昵㜳㈴愴ㅡ㈳㠱昴㉡㜷戳慢㍤㔰搷摥〱慤㔴㙥ㄴ戴晥㤵㝢搸户㜲つ挰ㅢ㘳㈰㡡㉢㌷ㄶㅡ扤㜲ㅢ攱扦愸㜲㜷扢搵ㄸて愴㔷戹晢㕤敤〴㕤晢㠸㕢戹㠹搰晡㔷敥ㅥ摦捡㑤〶摥㤸〲㔱㕣戹愹搰攸㤵㝢慣戴㜲㑦戹搵㤸づ愴㔷戹㕦扢摡ㄹ扡昶㜷㙥攵㘶㐲敢㕦戹摢㝤㉢㌷ㅢ㜸㘳づ㐴㜱攵收㐲愳㔷敥挵搲捡晤搱慤挶㝣㈰扤捡扤收㙡ㄷ攸摡户摣捡㉤㠴㔶㝦挵㔰昱愹㜷㠳㙦〵ㄷ挱挶㌸ㄸ愲戸㠲㡢愱搱㉢昸愷搲ち扥攷㔶攵㔰㈰扤ち㝥攸㙡て搳戵㝣攸㉤㝤㜴㠹慥攵㜳㘱改㡤㑢愱昵攷昴ち摦㉡㘷㠱㌷㜲㄰挵㔵捥㐳愳㔷昹㑢昸㉦敡㡤晦㜲慢㔱〰搲慢㌲㥦ㄲ㑢攵㤶改㕡㍥㘵㤵捡㉤㠷搶扦㜲ㄷ晡㔶敥㜰攰㡤ㄵ㄰挵㤵㙢㠲㐶慦ㅣㅦ搴ㄶ㔵慥ㅢㄴ㔲㡤ㄶ㈰扤捡搵扢摡㔶㕤换㘷㤶慣㥣挹昳戸㐶㥤敤㕢㤱㌶㤶挸㜳戶㜳㍣敤愰㡡㙦㑡㄰㔱愵昸㜸戳愸ㄲ㝤摤攲㔶〳改㔵㘲て㔷扢㐶搷昲ㄹ愰㔴㠲㈳㕤㡤㍡挵户ㄲ㍦㘲㠹ㅣ搵㍡㉢㜱ㄴ㔵㕡㈵昸戸戰愸ㄲ㐳摤攲㡥〱搲慢挴㝥慥昶㔸㕤换㘷㙡搲㑣敢愱昵㙦愶㘳㝤㉢㜶㍣昰挶〹㄰挵捤㜴㈲㌴㝡攵昸㔸慥愸㜲晢扢搵㌸ㄹ㐸慦㜲愳㕣敤㈹扡㤶て愸愴㜲愷㐲㕢昹扣㕣攳㕢挱搳㘱㘳晣ㄸ愲戸㠲㘷㐰愳㔷㤰捦戹㡡㉡㌸搵慤捡㔹㐰㝡ㄵ㥣改㙡捦搶戵㜳㕤敤㌹扡㜶ㄱ戴㔲敤㜳愱昵攷戴挵户捡攷〳㙦㕣〰㔱㕣攵㥦㐰愳㔷㜹㌱晣ㄷ㔵㜹㠹㕢㡤ぢ㠱昴慡㥣㜳戵ㄷ㘹摡㘰㈳戴㝣㠲㘶㕥っ㙤㡦㉥㐱㍥昹攰攵㜴㡦愰㕡㠱㕤戹㤲㉥愰㜶扣㤲摥ㄱ晡㍡晣㑡㌸ㅦ㠱㐸㠶攵㘴散挴㡣㍡挴㘸㝥愷昸㌸㐴づ昶㔲昸慢㐷㤴慤㤵挳㝢㍤晡慤㘶攰㙤㝢戵捡戹〷晡㘱愴㑦攷攵捡攵挰ㅡ㔷㐰㜴挱ㅢ㕥ㄴ㙢㉣㤷㉢㔷㐲愳ㅦ㘸㍢㝣昳㐰㙦ㅣ昵挱攸㘳㐶㥦摥愰搶戹㠵㕤つ愴㍦戳㠷扡〵㔶改搷㐷搷戲挰敢㔸㘰搱昵搱昵㈵〵ㅥ改ㄴ挸ち㜱㔳挷㐲㈱㠳捡つ㐰㝡捣㥥攰㙡㙦搴戵愷戹㤵扢〹㕡晦捡捤昷慤摣㉤挰ㅢ户㐲ㄴ㔷㙥〳㌴㍡ㅢ㍦㉥慤摣搹㙥㌵㙥〷搲慢摣昹慥昶づ㕤㝢戱㔳㌹搳ㅥ㙣愶晢㔶攴ㄷ㉣戱㜸戰戹慢愴ㄲ㤷㤴㔶攲ち户戸㝢昴攲慥㜱戵昷敡摡ㅢ㥤㑡ㄸ昷㐱敢捦搰㜸摦㡡㍤〰扣昱㑢㠸㘲㠶ㅥ㠴㐶㘷攸收搲捡摤收㔶攳㘱㈰㍤㠶㌶扡摡㐷㌴㙤昰㕥㘸攵挴㜸ㄴ㕡㥣ㄸ㕣摢㜵㑥㡣晢戱㉢晤㝦㈴㙡愷㥦ㄸ㕣攴㤵㡣〳㥣っ敤挴攰㠲㉦㑦っ㤳㈷㐶戵ㅡ攱ㅥ㔸搱㠹昰ㄴ昲㑣㥥〸㥤㈷挱㌳㔴㘹挳㍢ㄷ㡡愵㡣戸㔳㠶摣搳慢㠷㕣㜵捣㔱昷㐲㝦つ㈸㉥㈶ぢ㍡敡愸㜹づ〷ㄴ㤷㤷㐵ㅤ㜱搴慣㘸㐰㜱挱㔹搴㘱㐷㍤㔸搴㡦戹敡㤰愳ㅥ㈲敡㘷愰㉥㍡ㅤ㝦〳㠵㥣晢扦㐳㥤晤摢㜳㌸㍣㤴摦慥扣〸扣昱ㄲ㐴㜱㝢晥ㅥㅡ晤搰戹晥㕢㌴搰㜱㠹㔷㑥挷㍦〲改戵攷㉢慥昶㘵㕤晢愶㔳㌹愷挷敦攵㕢㤱搷㔸㘲㜱㡦㝦愳愴ㄲ㕣㌵㉤慡〴ㄷ㐶愵ㄲ㙦敡挵㝤攰㙡㌷改摡㑦摣㑡㜰㑣愸㔱扢晢㔶攲㑦㉣㤱攷㝦攷ㅣ晦づ㔵㕡㈷攰㉡㘴㔱㈵戸搰㈸㤵㜸て㐸㡦㠹慦㕤敤晢扡昶㍢户ㄲ扣慢慣㔱㍢晡㔶攲㐳㤶挸㍢挸捥㑡晣㤵㉡慤ㄲ㕣搵㉢慡㐴㉤ㄴ㔲㠹㑦戰攳㔵挲㜴戵㥦敡摡㝡㈴愴慦㝣㠶ㅤ晦扥搲搳户㘲㥦〳㙦晣ㅤ愲戸慦㝣〱㡤㕥戹㕥㐸ㄷ㔵㙥〷㈸愴㜲㕦㘲挷慢㕣ㅦ㔷晢㤵慥摤〳〹㌹㔷搹㤱㙢㤴攱㕢㤱㝦㈱捦㘴愷敤㘴攸㕢慡㌴㠶戸敡㔴㔴㠹㐱㔰㐸㈵扥挳㡥㔷㠹㈱慥ㄶ扦摦攳㘹㙢挳搰㙥昵〲〳㥦㌸㝤捦摦ㄶ㔱㈸㔴㐵㔱ㄸ㝤㤸搵㕡ㄵ敡攳㡥戶㡥㘳㑣㍤敦换㠹㤱㤴㑡㈳挵㉡㥡㕤㘸捦摢㙡戱慦搱敤㐷敡ㄶ昵〷敡㈹挵㕢㘰戱慦愵㍤敦㝣挵摥搰敤挷敢ㄶ昵扣扢敤㉣㝦戲㙢摦㤵昶扣㌹ㄵ晢㍡摤㥥㌷愲㥥㐵㍤㙦㐰扤㤴㥡敤摡㥢戴㥦敢摡〷㜴晢昹扡㐵㍤敦ㄱ㍢敤ㄷ戹昶摤㘸捦摢㍢㈹扦扢㙥㝦愸㙥㔱㝦㔸㔱㙡㠹㥥㔲㔹愴㠴㡤ㅥ昴挶㍢㉦昱搶㔳昷挶扢㉣慦晣㝡摥㕤㜹㈹挵扢㈴戱慦愷㍤㙦㡥挴㍥愸摢昳㐶挸戳愸㙦搵㔳㡡㌷㌷㘲摦㡢昶ㅤ慥晤㜶扡㍤敦㘱㍡敤搷攸㈹昵㈳搷扥㌷敤㜹㑢㈲攵㙦慦摢ㅦ愳㕢搴ㅦ慢愷ㄴ㙦ㅦ愴晣ㅤ㘸捦扢〶戱摦㔱户攷ㅤ㐲㘷昹扣㌳昰㔲㡡㔷昷㘲扦ㄳ敤㜹㔱㉦昶㍢敢昶扣㠰昷㉣敡捦㉥㑡昱㠲摤换㔳攷㈳㈵摥晡搰摢㑦㥣㍣㜳ㄷ摤摢㠵扡㐵㍤慦愹㍢敤㉦㐶㑡收搱㜷晥㘱㕦㈰㡣攲愹戵㉢㥤㕤㡥㉣㜱扤ㅢ㔳扣挲㤵㡡敥㡥ㄴ昶攵愳㜸㜵㉡㤸㍤㠸攱㐵愹㘰晡㈱攵㡥ㄹ昵扣〰昵ち慣扦㔱㑦㈹㕥㐰㡡㝤㝦摡昳扡㔱散〷攸昶扣㐶散戴扦㐳㑦愹㕦戸昶㝢搲㥥㤷㝣㘲㍦㔰户攷攵㕤愷晤扤㝡㑡昱昲㑣捡ㅦ㐴晢〷㕤晢扤㜴晢㠷㜵㡢㝡㕥㜹㜹摥ㄴ慦戸㠴扥㔷㜴晡〶搳ㄹ㉦㤰挴昵㄰愶㥥㜱捣捣㝤㤰挲扥㑤摦㡢㉥㘶㈸㌱扦㜷㌱挳㤰昲攸攳〵㠳㔷㘰㍤㉦ㄴ扣㤴攲㐵㠰㤴戱㉦敤㌹晦㌳捦ㅣ慥摢扦愹㕢搴㙦搲㔳㡡昳户搸敦㐷㝢㑥摤㘲ㅦ搲敤㌹㑤㝢㈵搶㜳㝡昶㔲㡡㔳慦搸㠷㘹捦㔹㔷散㈳扡㍤㘷㔸捦愲㥥㌳慢㤷㔲㥦扢昶㔱摡㝦攱摡挷㜴㝢㑥㠲㥥㐵㍤㈷㍦㉦愵㌸戱㐹昹㜱摡㜳㑥㘳㥥㤹搰敤㌹㝦㜹ㄶ昵㥣户扣㤴㤲〹㠵ㄶ㐹愸摤㉤挸㠹㐵㥥搳愴戰㘳愶㈱㝡昴㔴㌲㜷㄰㍡㐲㠷㜲づㄱ攸晥㠴ㅥ㘰㐳㘵㥡㈸㠳㜲扡㄰攸㠱㠴㡥戲愱㌲㈳㄰㍡ㅡ㘹㜷ぢ㜲㘶㄰㘸〳愱㘳㙣愸っ晥㠴㡥搵愱㥣〴〴㍡㡥搰昱㌶㔴挶㜹㐲㈷攸㔰㡥昷〲㥤㐸攸㈴ㅢ㉡㠳㌸愱㤳㜵㈸〷㜳㠱㑥㈱㜴慡つ㤵昱㥡搰㈲戲㌸㙥ぢ㜴㍡愱㌳㙣愸っ捤㠴ㄶ㤱挵㈱㕡愰戳〸㥤㙤㐳㘵ㄴ㉥㠳㜲㌴ㄶ攸㕣㐲攷搹㔰ㄹ㜰换㉡挰㠱㔷愰ぢ〸㕤㘸㐳㘵㙣㈵戴攸戰㌸挶ち㜴ㄱ愱〷摢㔰ㄹ㌸〹㕤㡣戴扢〵㌹㠰ち昴㄰㐲てㄵ㘸㍤㠷挵㠵㠰㔴慦㔵戹愵昹愵㑢扦慡慦改户㑢捤㐱愳扢㕦扣改㔷㙦㥦昷搲㈱㈳摦晢收搲㑢㕦晡昳㜹捦㝥昳㐰㜶攴㔳㔷㕦晤昸㤴㉢㥥㝤㝢扢挲㤵搵㜷㝤㌵敤捡愳挲㉢㡥㍡愲㌰㝦㥦㠹㐷㉤㍡㝣㜶㜸㔶慦愱㕤扡㜴敤扡㜷敦愷㜷ㅥㅣ㕣㝦挴㍤敡㤱㔷㜶㙡㔱㌲搲愲〰昳㌰㤴挴㡤摦㑤づ㜲挴㤵扡㉣挱㡥戹㤴㈲㐳㤱愵挸㔱攴㈹㉣㡡〲㐴㡦㍡㈵挳㌱㙣㡢ㅢ㠰挳戲㌸㕡㑥㘸㈳愱㍤㤵㡣扣㠴ㄶ昵㉢㡥挰〲㕤㐱㘸㤳つ摤ㄳ晦挹〹㔶搴慣ㅣ㙣〵摡㐲㘸慢つ㤵昱戴慣〲ㅣ㔷〵㝡〴愱㙤〲慤攷㘸昹扦捡敡㄰ㄴ㈰搵㙥挷づ㌷摣摢㔶〵㌹㄰㑢㕤㍡戰㘳慥愲㔸㑤戱㠶㘲㉤挵㍡㡡ㅦ㔱ㅣ〹〱㔶㘵㤴㠶㙤㌱慢ㅣ慤挵搱搱㠴ㅥ㐳㘸㑦㈵〳㜲ㄹ㤴〳戳㐰搷ㄳ㝡㥣つ㤵戱㤷搰愲〶攰ㄸ㉣搰ㄳ〸㍤搱㠶捡㌰㑢㘸搱㈹挸攱㔶愰㈷ㄳ㝡㡡つ㤵ㄱ㤵搰㔳㤱㜶户㈰㐷㔶㠱㥥㐶攸改㌶㔴〶㑦㐲㡢㥡㤵㠳愸㐰捦㈰昴㑣㠱〶摤㜲ㄵ㠷㐶㤹昸摡㥣㠹㑦愰㘷㐳慢㌸㘰㑡搶㑡㈷㙢っ㝣㘳㌱㉥攸扡㔷ㅣ㉣〵搱慡ㅢ㥦㐷㘳づ愱㤲搵㕣㙣慣㌸㙡㑡㐶㤳㙥昳ㄳ摡㜰㉣㤵慣挳㡢㙤㠲ㅣ㔴㔹㉦慣㄰㜲㈴ㄵ㑣愳㙥㝥ㄱ捤㌹扥㑡搶戲ㄲ㜳户㍤ㄴ挷㔶㐱ㄴ㜴攳㑢㘸捣ㄱ㔷戲昲㈵挶ㅣ㝡㥤戲㌹摥ち㈶愷㥢㕦㑥㜳㡥挲㤲㤵㈹㌱㜷挷㉤挵ㄱ㔸㄰㑢㜵攳慢㘸捣㜱㔹戲づ㉢㌶㔶ㅣ㡡㈵攳㔰摤收㕡摡㜰㠰㤶慣挵㈵㌶ㅣ㤳㈵攳㘰摤㐶昸攵㐸㉤㔹〷㤵搸㜰㜰㤶㡣㠵扡㡤戴㈳㠷㙣挹㥡㕦㘲挳㔱㕡㌲收改㌶户㐲慢ㄶ扡㔹㜳㑡㙣㌸㕣㡢捤㙣摤收㜶摡ㅣ散㘶捤㉣戶〹扡愳戹攲〰㉥挶㌳㜴攳㡤㌴收戰㉥㔹搳㑡㡣て㐳㠶搳㜸ㅣ㜳〵㌳㔵㌷扦㡢收ㅣ㠹㈵㙢戲㤳㘵慦㙦㘵㕣昵㈴㐷㙤慦㙦㜱戴ㄶ昴㐴㐷㙤慦㙦攵㕣昵〴㐷㙤慦㙦攵㕤昵㜸㐷㍤ㄸ晤㌸愰㌸挶㡢㤳㜱㡥㝡㠸愸㌹敡㡢㝡慣愳㜶㑥㌹挵㠱㕥㌲挶㌸ㄹ㜲㥡㍥〴慤攲昰㉦㔹愳㑢㙣㌸攲㑢挶㈸摤收㔱摡㜰ㅥ㤰慣㤱㈵㌶ㅣ晡㈵攳〰摤㐶㝡〲㈷〴挹ㅡ㔱㘲挳㌹㐰㌲搲扡㡤昴戸㌶㌷㉢㔹㙣ㄳ攴〸敥㌴っ㠷㙤㌱㑦攸收扦㠶㔶慤㜲戳㘲㑥㤶摤㌰ㅣ摥挵㈲敡愸敤㠶攱㠰㉦敡㠸愳戶ㅢ㠶㔳㠰愸挳㡥摡㙥ㄸ㑥ち愲づ㌹㙡扢㘱㌸㑤㠸㝡㍦㐷㍤㐴ㅡ㠶ㄳ㠷愸㠷㍢㙡户㘱㌸㔷㐸挶扥㑥㠶㌴捣㑢搰㉡捥㈰㤲㌵戴挴㠶㤳㠶㘴散愳摢〸挹㥣㑡㈴㙢㜰㠹つ㘷て挹搸㕢户㤱挶攴㥣㈲㔹㠳㑡㙣㌸㡤㐸挶㐰摤㐶挶㜶㑥㉥㤲㌵愰搸㈶挸㔹挶㘹ㄸ㑥㉤㠲改慦㥢㙦㠲㔶㜱挲㤱慣㍤㡡捤ㄵ攷ㄸ挹搸㕤户ㄱ㍡㌸昳㐸搶慥㈵㌶慣㄰㉦晥〳㡡ㄴ搸㝢散㍤昶ㅥ㠷㜶㝢㡦攳戴扤挷㈱搷摥攳昸㘹敦㜱㔴戴昷㌸〶搹㝢ㅣ㔹散㍤づㄳ昶ㅥ捦㜸敥㤹敦㘰㐷昱っ戲昵愴搲摥㘳搷戳昷㔸㙦㝢㡦㐷㙤敦㠹ㄹ晡㠴昹㉥㔴摣ㄸ㔰ㄵ㘴挲愶慤摢晦〳㈹㔵捤愰</t>
    <phoneticPr fontId="10" type="noConversion"/>
  </si>
  <si>
    <t>㜸〱捤㝤〷㤸ㄴ㔵搶昶摣㘱愶㤸㙡挲戴〲㈶っ㠰愰㈲㠸㥤〳㡡っ㐹㐰㤲ㄲㄴ㌱㡣ㅤ慡㘱㘴〲㑥㈰㤸㌰㉢㉡㘶㔷㕤戳慥扡挶㌵㉢挶㌵敤ㅡ搷戰慢慢敥扡收慣㙢搶㌵晦敦㝢㉡捣敤敥㙡挲㝥摦晦㍣㕦搱㜵愸㝢捥㝢捥扤昵搶慤㕢改㑣㔵㤵慡慡慡晡ㄵㄳ晦攷㔴挳㠵㉤攷慣攸攸戴㕡㐶㑤㘸㙢㙥戶㜲㥤㑤㙤慤ㅤ愳挶戵户㘷㔶㑣㙦敡攸散〱㠰搱搸〴㝢㐷㙤㘳㐷搳愱㔶㕤攳㔲慢扤〳愰摡慡慡扡㍡戳ㅡ昶捤㥤㌹攸ㄶ㑣㝡㤹㌵ㄴ㐰㔵㤹〶㐵㑦㡡㍡ち㤳㈲㐰搱㡢愲㌷㐵ㅦ㡡扥ㄴ昵ㄴ㐱㡡㡤㈸㌶愶攸㐷搱㥦㘲〰挵㈶ㄴ㥢㔲㙣㐶挱晡捤㉤㈸〶㐲昴摥ㄲ㘲敥㠴昱戳戲〷㘳㙤收㜴戶戵㕢㈳〷敤㙤户㜹㑣㌸㍣㉡㍣㉡ㄲ㑤㠷㐷㠵㐶づ㥡搰搵摣搹搵㙥㡤㘹戵扡㍡摢㌳捤㈳〷敤搹㤵㙤㙥捡㑤戳㔶捣㙤㕢㙣戵㡥戱戲愱㘸㌶ㄳ㑢㠵㘳昱㜸㈱㥤㑥昵摥ち㤱㘷㑥ㄸ扦㘷扢㔵攸昸摦㡡戹㌵㘳捥㥡㌰㝥搴㑣慢昳㝦㉢收㌶㠸㠹㤰ㄳ摢㕡㌲㑤慤晦㑢㐱㙢戹㑤攳ㄳ慤㕣ㄳ㌷扥㘵戵㌷戵㉥ㅣ㠵㘶ㄷㄱ㡤㔲㜲搴戸㡥㡥慥㤶㈵散㐷ㄳ慣收收搹㔶㐱㌶㝡换挴㡥捥㍤㌳敤㉤ㅤ扤㕢挸㥦搵㙥戵收慣㡥扥㉤㤳㤶攷慣㘶〷搸㔱搷戲㜷愶㝤㘶愶挵慡攱㐲㝤㡢扤つ愷收慤搶捥愶捥ㄵ㝤㕡收㜵㔸戳㌳慤ぢ㉤㐲㙡㕢㈶㜷㌵攵㔵㑤つ㝥㔵㍤戶昷㙢㤹㙣㈸戴愷㘵挲愲㑣㝢愷㤴戸〹挳㝥㔸慤扢挸㕡ㄴ戵㡢㕤㙡㔰㠹ㄷ户搹㥣愶㤶㘹㔶㝢慢搵捣㑡戸㈵㐷㤴㠰㠴㈰㝢㍢㜸㑣戹慢挳慤愴㝡㌹㍢ㅦ搷㠵戵ㄸ㠳ㄸ㘵㘶㕢㝢ぢ㍡攴っ㉢搳㍡㈶㌴㉡ㄹㅦ㌹愷㌳㍦搱㕡㡡攵㔰㌸㔱㌴愵捣挱㜰㌰㠷搰㜵㕢㠸扥ㅤ㑤㉤㕤捤ㄹ戲㍦㍡㥡ㄸ㙤づ愵㜵ㄸ㠴慡㜹ㄵ㍢扥㕥ㅤ㜷扥敡挶㑣㜵㘳戶扡㌱㔷摤㤸慦㙥戴慡ㅢぢ搵㡤ぢ慢ㅢㄷ㔵㌷㌶㔵㌷ㅥ㕣摤戸ㄸㄸ㜷慡敢搹戳摡㤹戲㤳㕥㝤㜹慢㘷ㄲ搳晦㜰敤挱㘷㡦晦㜲攸〸挵㝤㕤㠶㡡敤戱㌰㕣㙦㝥㌸攲戵㍥㌵㉡㕡㍣愵捤ㅤ〰㌷㠷㐳ㄸ㍢㐲攸㡤㑦㠶㐶㥢㈳㘸ㅤ〹愱搴㕦搱㜸慥挰愴ㅦ㥦㙢㕣扥昸挸㠶㑢㈷摤搹㜳㘶搷㡥慢ㄴ〷ㄸ愹㜹ㄴㄶ㜶搶㙢㡥㑦摡㈹攴搵ㅤㅥ㔵㐴㕢㈲㤱愴搵摣㤹㌵㠴㈰㡣㌰㠴㕥㝦ㄴ昵㐷㘸㡤㐲㈸昵戴㔳晦㔳㜷㉦㍢戹昱㤲㔱㌳㙦㍤攱攴挸攰挸摥户㉢㡥㙤㔲㝦ㅣぢ㈵ㅢ㉥㔵㜹扢㈵愲㘶㠲搱㤳㄰㐶ち㐲慦㍢㠱つ㤷愶㜵㌴㠴㔲㡦㌹㜵昷戸晤㤹摦晣扡攷戴㐹攷慣㘹扡昹慢慤㝥摥㔷㜱㐸㤵扡㜷挵挲づ晡扡㐷㘳㙥搵攵㉢㙥㡥㘱攸摤㈰㡣戱㄰㝡挵㘹㔴摣㐰敢㌸〸愵ㅥ㜰㉡㕥㌴㍦㝥敦敥㡢㑦㥢㜱换㤷㥦晤戴摤攲㥢㠷㉡敥搱㔲昱〴㉣ㄴ㔵ㅣぢ慤愵攲㠹っ㍤〹挲搸ㅤ㐲慦㌸㤹ㅥ㙤㑥愶㜵ち㠴㔲㜷㌹ㄵ扦㌸戳敡戲晦〴昶ㅤ㜷搳ㄵ扤て㝢扢晦㥤㕢㈹ㅥ㍡愴攲㍤戰㔰挲㜶搲慤戹㝣㉦〱摢搳ㄸ㝤㍡㠴㌱〳愲愸敥搴㘸㜳㈶慤戳㈰㤴扡搹愹晢昵㡦敥扦㙥换㐷敦摤攳攴户㥦㍡昷搶㙢ㅡ㝢㈹ㅥ戱愴敥扤戰㔰戴搲〹㙦愵愳愵㕤㍣㙥捥㘶攸㌹㄰挶㕣〸扤攲㔴㝣戴㌹㡦搶扤㈱㤴扡搶愹昸敦㑦摦㝣昷㑦㘳搶㑣扥㌲㝤挶捤㍢㝣搱戶㔲昵㠲㔹㉡㥥㡦㠵愲㡡㈳㕥挵㍥㥢㜹㕦㠶㕥〰㘱散〷愱㔷ㅣ挳㘶摥㥦搶〳㈰㤴扡挲愹㜸昶ぢ㍢晥㝥昸攷㙢㈶摤摣㌵昰慥〷㌶摡晡昷㡡㐷㘶愹戸ㄱぢ㐵ㄵ慦㜵㡤て〲摡捣㐰ㄸ㔹〸扤攲㐴㜲戴㤹愳㌵て愱搴㠵㑥挵改㈷㘶㕦㝡挸㝢㜳挷ㅦ晦晣㐳晢㍥昵散〳㜱挵戳〱愹戸㠰㠵愲㡡扢挷㐲ㅦ慡ㄷ㌲昴㈲〸愳〹㐲慦㌸㡡㡡て愶㜵㌱㠴㔲攷㌸ㄵ㍦晡捤㥣㘱㌳㍡ぢ扢ㅦ㝦搶㜶ㄷ敦昵攷㍢攷㉡㥥㠱㐸挵㉤㔸㈸ㅡ挷㈲昱㙥慥ㄳ㈵㠳㐹捡㙣㘵散㌶〸㘳〹㠴㕥㜳ㄲ㕣ㅦ㐲㙢㍢㠴㔲慢㥤㥡㥦㘸㍤攷戸㥦摦㙤ㅢ㜷昷㕤〳㤷㍤㜶挴㤷㑦㈸㥥昶㐸捤㥤㔸㈸㕡攵敥㕤捡㘷㤵扢ㄸ㝡㈹㠴戱っ㐲慦㌸ㄱㅢ㙤㉥愷㜵〵㠴㔲㈷㌸ㄵ㑦散ㅣ㌹扡敦搲攷愶㕣晤挷㤷㝥㜹愲昹㥢扢ㄵ㑦戵愴攲挳戰㌰㔲ㅦ㐴㐲愳愲摥昸㔹扥㑦㈵愳收攱っ㝦〴㠴㜱㈴㠴㕥㜹ㄲ㕤㝢㈵慤㐷㐱㈸戵搲愹晣㙦ぢ捦ㄹ扡晢て扦㌴㕣㝥挳㝤慢户㥤昸换慢㡡愷㜸㔲昹㌱㔸搸㕣慦㍣慣昱ㅤ㌲㡦㠵搹㍣づ挲㌸ㅥ㐲慦㈹㠶㤱攳〴㕡㑦㠴㔰㙡戹㔳㤳晡攲㥢攷扥昸敡攵愹㘷摤扡敤戸搱㜳户㥥慦㜸ㅥ㈹㌵慤挲挲㑥㝡㑤愱㔱昱昸㕡搶ㄳ㘳挷挹㡣㝦ち㠴㜱㉡㠴㕥㝢ㅣ晤㙡㌵慤愷㐱㈸㜵㠸㔳晢㡦捤昷晥搸昰㘹晢㡣㑢㜶㙤捤㕤㜹搸㉤㠳ㄵ㑦㘰愵昶㌳戰㔰㐲㜲㍣扤搶㠱敢㑣㠶㍦ぢ挲㌸ㅢ㐲慦㍣㠱㔵㍦㠷搶㜳㈱㤴㍡搸愹扣昰搶つ扤㙦㜹收愳㈹㙢搲㜵慢户扢晥摡攳ㄴ㑦㥣愵昲昳戰戰愹扥敡㈹慦㑦挷捤昳ㄹ改〲〸攳户㄰㐵昵㠴㐷㥢ㄷ搲㝡ㄱ㠴㔲㌹愷㥥㔴挳昸捤〷搷慥㤸㜸晢愳昳扥㌹戵搷搵昷愹〱㌰㑢㍤㤷㘰愱㘴㜰づ慦㘵ㅤㄳ收愵㡣㝥ㄹ㠴㜱㌹㠴㕥㜷ㅡ㠷攱㉢㘸扤ㄲ㐲愹晤㥤扡㐳㉦昷慥㠹搵ㅣ㌱㜱昵昳㥦慣㍣昷㤳て㕥㔴扣㈴㤰扡慦挲㐲搱㡥ㅢ敥ㅥ㈴㝤昶㥦慢ㄹ晢ㅡ〸攳昷㄰㝡捤㜱㜴攱㙢㘹扤づ㐲愹㜹㑥捤㌷捦㝥㜰戰昹摥挱攳敦摣昵挶愶挰㘶㉤戳ㄵ慦㐳愴收ㅢ戰㌰㘲㙥㝢ㄳ㑥㔰㜱〶搶㍥㜲㐶㔳敢㤸㘸㈸ㄴㅡ㌹扤㘹戱搵摣㘴㜵㜴㡥㠹挶㔱㥣㤱㔹㍥㈶㠶〵昳㐶㐶扦〹挲昸〳㐴捤戸㈹戱㤴㜹㌳㜵户㐰㈸㌵搳愹昱㤷敢㔷昶晦攷㌶摢捥戸昲慢搵㍢晦慤㜳愵愵㌶㠳㔹㙡扣つぢ㐵㍢㑤㉣搱㑤㜳摣扣㥤戱敥㠰㌰敥㠴搰搷㉤㡤㙥㝢ㄷ慤㜷㐳㈸㌵搹愹㘹晣㑢㡦㥣昲捡昳㜷捣扡敦㥥㍢〶㕤昳攲昱晢慡捤㘱㤶㥡敥挱㐲ㄱ慢㔸ㄳ户慡㜰昹㜰㜸㉦㘳摦〷㘱摣て㔱慦㥤㤳㠶㐳搸愰て搰晣㈰㠴㔲つ㑥搵挳㐷㑥扦㈴㜱搱ㄶ戳㉥ㅡ昹㙣晦㑦㔷㥦㔳慤戶㠰㔹慡㝥〸ぢ挳㑢㘸㑤ㄶ戱㥡㜲㐸㐵散㤰昹㌰㘳㍦〲㘱㍣ち〱㔲愳㌱昳㌱敡晥〴愱㔴摡愹敦愸㝥㐳〷㥥戱改㔱㤳㔷扤㜲搰㔵㕦㕣戸捤㈲㌵㄰㘶愹敦㜱㉣ㄴ㡤扦攱㠸扢愶㤱昲愳晢ㄳっ晤㈴㠴昱ㄴ㠴捥㜱ㄸ〳晦搳戴㍥〳愱㔴挴愹㌸㌹敥㤵捣昷摢㌷㑣扢㝥攰摤㔳㜶㔹晤昵愹扤㥦㠵㜹㉦攷㉡㘰㘲㝢㘶ㄹ慥慢扡㉦搹㈲愳㌰昰慥捦戵㉡㉥㔵ぢ昱㐲戲㄰づ攷攳愱㑣㌴㔳㍢ㄸ㘱搷昷愲㠸㠷㠰摥㠵㝤㥡㕡昳㙤换攴㉡㘹换昱㤹づ慢晢愲㘹㠴㘳ㅢ摦搶搵㥡敦ㄸ攸㙦㥣搳㤹改戴戶㈸戵㜵〷㈹㜳㥢㠳㙢㐸慢㐳敡摢扡搴㙤敦㑣㜳㤷㌵㙥㜹㤳㙤摥慡挴㡣㉢挸戶㙣㘵敢敥敤搶㈱㥥戵慣㐵攳㜰㡢㘳愹挴㉥㕢㑢摢㘴户㙢搰㠴㐵㙤ㅤ㔶慢㌴㙦㐴换㥥㑤戹挵㔶晢ㅣ㡢㌷㐸慣扣慣敡〰㥡㥣换搸ㄱ戳㕡戱愲戸㌰捤て搱戵㠵㐹换㍢慤搶扣㤵㐷㝢㤷㔸敤㥤㉢收㘶戲捤搶㈶㐵㄰扢㑥ㄸ㌶㉦㔲敦摥㤶敢敡㤸搰搶摡搹摥搶㕣㙣ㄹ㤷㕦㥡挱愵㜳㝥㐶㕢摥挲㤵㙦つ愷㉡㔵搵愳㠷㔲㔵㍢晡㕤㝥㌲㙥挷㈸搹㄰摡㈶摥ち摢㝣戳攲㙥㌷㙡㌶搶づ㙢搱㙣戱㑦㔶て㕤㐷㌰㠹换㌰挳㉢〳戵㜵攲摤㈴愲㜷愸㡣㤶㌶㝡㕢敥晦㉦戸扡扡㥦戳昶㤳㤶攲昶挲㤴㑣㙢扥搹㙡㕦敢扤㌰挵ㄶ㤹捦㐱搴敥㡣扤戹㈲㝢㌵㐰愸攵㙡㐵敤戲愶㝣攷㈲㘳㤱搵戴㜰ㄱ捦敡㜰扦慣慥㡥搴㤶㑤收ぢ㔰㤹㝦愵昸ㅢ㐴㈰㔰㘵扣㐸㤰ㄱ㌰㕦戲换戵㐳昰晦㠶摦戸愸㠶㤷㈹㌷㑡㜰㔷慢愳戶㘵昷戶昶㡥ㅥ㍤晣搶㜲㑡愶㘳㔱㈷扢攷摡㡤㡣昷㜷㡡㤷㈱㙡㠷㐲慣昳扥㐸㍤㐰㌵扣晤搳愷㘵愲㔵挸攰愶㥢散摤㉡㔳摢㘲摦挷㤹㘸㜵攴㑣摥昰㤹㡡㝤㘵戹㠱㈵散晣扤㕢搸晢慤攵㥤ㄳ㌳㥤㤹㥥㉤戸㜵㠴慤㘴〲㌴㐲扣散㈵㝡昶ㄱ㥤敢ㅤ㜰㑡㠸㄰㤴㐵㉤㑡㉦㔱搸㤱戰攳㘰㝦愹敡攱挸戵慦〴摡扥㌵㔶挲㈸敤攸挵户㠰㜰㘷㉡㍦搹㙡㥤扢㘲㠹搵㐱㜸㥤戱㔶㉡㑢㜷㉦〶㥢㤵换捥敢㙣㙡敥ㄸ㠵㤶㑥㙥㙦敢㕡昲扦ㄹ㠷戱捣㔷㈰摣愹㜶㍢昴攲昵㕦㈷搰㔵搵㜳㈹户㑤㘳㘳㔵ㅤ愳㔱㘳晣〳㐲㍦敥昱慥ㄳ㍢㉦㘲晦㡡晦㘴㌲㕦挳㝦〱㤳搰ち戶摡㘱戰㙤挸摤戳㕡攰㝢户㠰戰戹敤㤶摣て慣㤳〲挸敦搳戲㑦㕢晢攲㙣㕢摢㘲㜶慦扥㔲敡㔸㘴㔹㥤扣挷搶换戹愷㈸昷づ㤵敡搱愳攸㡥㤸㜶㌳㙥ㅢ挴㌷摥㠴攸㌳慥戹㜹㤰ㅢ戱挳㜸ぢ慡ㅥ戸摢㘷扣㡤㠵㝤〷敦㌹㘹昶摣挶㐹换㌳㉤㑢㥡慤㥤昶敡捡㌴攳㍥攵㑥戳㤶㜴㑥敡ㄸ戴㌴ㄴㅢ戴〳㉥ㅢ㘳㤱㤰搵㌱晣摤㥢㑥昹攰愸愳摦扤晢愴㜷㑦㍦昳挳愳㡥㝥晦㠶ㅢ摥戹晢愸昷㔷㥤昴摥戹㌷扦户晡愶昷捥㔹昳摥㐹㘷攴㜰敢摤㙡ㅤ戵扣戹㘳戹摡ㄲ昴昱㠶搷慤㔳㝡敤㜵昳㌳㘷㌷摣扣搳㑢ㄳ㐷摣戸愸㔱つ㜴っ㘵昷攰㜶㐰㠳〶㘳㌶摦㠳㔰㥢〳挶㔱ち换挵㤳昹〱捡收㠷ㄴㅦ㐱㘰慣㤱㑤㠲愱收ㄳ扢愸㠶攳㝦づ㌷收愷ㄴ晦㠶㔰㈳㈰戸戳㥢㥦㐱戸㤳ち㈲㍥晢㤰昴㠳㉦愰搶晢〱㙦攰㤵昵㠳慦〰ち㤸㠴㔶戰愹㤱戰戱㉦㤸攴摥㈴摢㈶㤹㔶〶敡昱攵愳搶㌱㤴摤ㄹ摣ㄹ㙥挲挷㑦昴敦〱㤸㍦ㅦ扦戰づ昲㘴戲㐳㙢㝣㔴摢㐵ㄵ㠲㑤昸攸〱㠵挹㘷㈶㉡〲㤵昰㔱㡢㤲㍢愹ㅦ㝥搱昸攸〹㡢捥〷㙦㈸㤶昱㘱〲ㄴ㌰〹慤㘰㔳㔱㐴昷攳攳㜳搴攵换挷㘷㡥愱散㑥㘵〲㤱〶㘳㌶㌷㐶㜵敡㔳挰晣昹攸捦搶っ愰搸〴㐲攳㘳㌳扢愸㤲〸㈲㝣㙣㑥搰ㄶ㄰㉡つ㤵昰㌱㄰㈵㜷㔲敦攸㝣㙣〵㡢捥〷㙦㜲㤶昱戱つ㐰〱㤳搰ち㌶㌵ㅡ搱晤昸㜸戵ㄲㅦ慦㌸㠶戲扢愷㘳㄰㘹㌰㘶㜳〷㔴愷晥㕥㤱㡦ㅤ搹㥡ㄱㄴ㈳㈱㌴㍥㐶搹㐵戵ㅢ㠲〸ㅦ㍢ㄳㄴ㠲㔰つ㔰〹ㅦ㘱㤴摣㐹晤㐵攷㈳ち㡢捥〷敦扤㤶昱ㄱ〷㈸㘰ㄲ㕡挱愶挶㈱扡ㅦㅦ㡦㔶攲攳ㄱ挷㔰㜶㔳㜷㈲㈲つ挶㙣敥㠶敡搴㐳ㄵ昹㘸㘰㙢挶㔱㡣㠷搰昸㤸㘸ㄷ搵㈴〴ㄱ㍥㈶ㄱ戴㍢㠴攲扤㕤攱㘳㌲㑡敥愴敥搶昹㤸ち㡢捥〷㙦〹㤷昱㌱つ愰㠰㐹㘸〵㥢㥡㠲攸㝥㝣摣㔴㠹㡦ㅢㅤ㐳搹扤收㘹㠸㌴ㄸ戳㌹ㄷ搵愹敢㉢昲戱㌷㕢戳て挵㝣〸㡤㡦〵㜶㔱㑤㐷㄰攱㘳㍦㠲昶㠷㔰㌳愱ㄲ㍥づ㐰挹㥤搴ㄵ㍡ㅦ㡤戰ㄴ昱㠱摢搴㘵㝣㘴〰ち㤸㠴㔶戰愹㔹㠸敥挷挷昹㤵昸㌸捦㌱㤴摤晦㥥㡤㐸㠳㌱㥢〷愳㍡㜵㙥㐵㍥㥡搹㥡ㄶ㡡㔶〸㡤㡦㈵㜶㔱捤㐱㄰攱攳㄰㠲摡㈱搴㍣愸㠴㡦づ㤴摣㐹㥤慡昳搱〵㡢捥〷敦㥥㤷昱戱っ愰㠰㐹㘸〵㥢摡ㅢ搱晤昸㌸愶ㄲㅦ㐷㍢㠶戲摢昲晢㈲搲㘰捣收㔱愸㑥慤慣挸挷㌱㙣捤戱ㄴ挷㐱㘸㝣㥣㘰ㄷ搵〲〴ㄱ㍥㑥㈴攸㈴〸戵㍦㔴挲挷㉡㤴摣㐹㉤搵昹㌸〵ㄶ㥤て摥搴㉦攳㘳㌵㐰〱㤳搰ち㌶㜵〰愲晢昱搱㕣㠹㡦挵㡥愱散㘹挱㐱㠸㌴ㄸ戳昹ㅢ㔴愷㥡㉡昲㜱㍥㕢㜳〱挵㙦㈱㌴㍥㉥戲㡢㉡㠳㈰挲挷挵〴㕤〲愱㜲㔰〹ㅦ㤷愲攴㑥敡㈰㥤㡦换㘱搱昹攰戳㠶㌲㍥慥〴㈸㘰ㄲ㕡挱愶昲㠸敥挷挷摥㤵昸㤸攷ㄸ捡ㅥ㘲昰㘹挴㘰捣收つ愸㑥捤愹挸挷㑤㙣捤ㅦ㈸㙥㠶搰昸戸搵㉥慡㐵〸㈲㝣摣㐶搰敤㄰敡㘰愸㠴㡦㍢㔰㜲㈷戵㠷捥挷㕤戰攸㝣昰ㄱ㐸ㄹㅦ㙢〰ち㤸㠴㔶戰愹挵㠸敥挷㐷㐳㈵㍥挶㍡㠶戲㘷㉢慤㠸㌴ㄸ戳昹㌰慡㔳㘳㉡昲昱㈸㕢昳ㄸ挵㥦㈰㌴㍥ㅥ户㡢慡つ㐱㠴㡦㈷〸㝡ㄲ㐲ㅤ〲㤵昰昱ㄴ㑡敥愴㘲㍡ㅦ捦挰愲昳挱〷㌳㘵㝣㍣ぢ㔰挰㈴戴㠲㑤戵㈳扡ㅦㅦ㍢㔶攲㘳戸㘳㈸㝢攲搳㠵㐸㠳㌱㥢㉦愳㍡戵㝤㐵㍥㕥㘵㙢晥㐱昱㑦〸㡤㡦㝦搹㐵戵ㄴ㐱㠴㡦搷〹㝡〳㐲㉤㠷㑡昸㜸ㄳ㈵㜷㔲㕢敢㝣扣つ㡢捥〷㥦ㄷ㤵昱昱㉥㐰〱㤳搰ち㌶戵〲搱晤昸攸㕦㠹㡦㝥㡥愱散㐱搴攱㠸㌴ㄸ戳昹㙦㔴愷㌶慡挸挷攷㙣捤ㄷㄴ㕦㐲㘸㝣㝣㙤ㄷ搵ㄱ〸㈲㝣㝣㐳搰户㄰㙡㈵㔴挲挷㜷㈸戹㤳慡搳昹昸ㅥㄶ㥤て㍥挲㉡攳攳㐷㠰〲㈶愱ㄵ㙣敡㈸㐴昷攳攳㤷㥦㉢㥣慦晦散ㄸ捡㥥㡤ㅤ㡢㐸㠳㌱㥢㌵搵㔸㠳ㅦ〱昳㍦㕦㌷㘰㌶㝢㔲搴㐱㘸㝣〴散愲㍡づ㐱㠶㌰㔰㉦㠲㝡㐳㈸㍥㌱ㄳ㍥晡愰攴㑥敡㑢搴攱㕤捦搵挳愲昳挱〷㙤㘵㝣㙣〴㔰挰㈴戴㠲㑤昱戱㥣ㅦㅦㅦ㔴攲攳㝤挷㔰昶〴敦㘴㐴ㄲ㍥戶㐰㜵敡摤㡡㝣㙣挹搶㙣㐵戱㌵㠴挶挷㈰扢愸㑥㐱愰㈱㤸捤挱〴つ㠱㔰㝣㠶㈷㝣㙣㡢㤲㍢愹㝦敡㝣っ㠳㐵攷㠳㡦晥捡昸搸ㅥ愰㠰㐹㘸〵㥢㍡つ搱晤昸㜸愱ㄲㅦ捦㍢㠶戲㘷㡡㘷㈲㤲昰ㄱ㐲㜵敡搹㡡㝣㐴搸㥡㈸㐵っ㐲攳㈳㘱ㄷ搵㔹〸㌴〴戳㤹㈴㈸〵愱捥㐱㔱昸㐸愳攴㑥敡㑦㍡ㅦ扢挰愲昳挱愷㤱㘵㝣㡣〱㈸㘰ㄲ㕡挱愶捥㐵㜴㍦㍥敥慢挴挷扤㡥愱散㌱攷昹㠸㈴㝣散㡥敡搴㥡㡡㝣㑣㘱㙢愶㔲散〱愱昱㌱摤㉥慡ぢ㄰㘸〸㘶㜳〶㐱㌳㈱搴㠵㈸ちㅦ戳㔰㜲㈷㜵戳捥挷㕥戰ㄴ昱㠱愷愶㘵㝣捣〱㈸㘰ㄲ㕡挱愶㉥㐲㜴㍦㍥慥慥挴挷㔵㡥愱散㜱散愵㠸㈴㝣散㡦敡搴㤵ㄵ昹㌸㤰慤㘹愴㌸〸㐲攳㈳㙢ㄷ搵㘵〸㌴〴戳㤹㈳㈸て愱慥㐰㔱昸戰㔰㜲㈷昵㕢㥤㡦㠵戰攸㝣昰㐹㙥ㄹㅦ㑤〰〵㑣㐲㉢搸搴㤵㠸敥挷挷ㄹ㤵昸㌸摤㌱㤴㍤㈲收愳㕥攱愳ㅤ搵愹搵ㄵ昹攸㘴㙢扡㈸㤶㐲㘸㝣㉣户㡢㡡㡦㡢㠷㘰㌶㔷㄰㜴㈸㠴攲㠳㘲攱攳㌰㤴摣㐹ㅤ愷昳㜱〴㉣㍡ㅦ㝣扥㕣挶挷㑡㠰〲㈶愱ㄵ㙣敡㍡㐴昷攳攳搰㑡㝣慣㜰っ㘵て慥昹昸㔹昸㌸〹搵愹㘵ㄵ昹㌸㤹慤㌹㠵攲㔴〸㡤㡦搳散愲扡〹㠱㠶㘰㌶㑦㈷攸っ〸挵挷搸挲挷㤹㈸戹㤳㙡搵昹㌸ㅢㄶ㍥昳づ㤵慦改戹㌰〵㑣〲㉡搸搴㉤㠸改挷㐲扥ㄲぢ㌹挷㔰昶㌰㥤て挹㠵㠵㑢㔰㥤捡㔴㘴攱㌲戶收㜲㡡㉢㈰㌴ㄶ㝥㘷ㄷ搵ㅤ〸㌴〴戳㜹ㄵ㐱㔷㐳㈸㍥㘲ㄷㄶ慥㐱挹㥤搴㝣㥤㠵㙢㘱搱㝢〵㥦捣㤷昵㡡敢〱ち㤸㠴㔶戰㈹㍥挷昷攳㘳㘶㈵㍥㘶㌸㠶戲㐷晥昷㈲㤲昰㜱㍢慡㔳搳㉡昲㜱㈷㕢㜳ㄷ挵摤㄰ㅡㅦ昷搸㐵㜵ㅦ〲つ挱㙣摥㑢搰㝤㄰敡〱ㄴ㠵㡦晢㔱㜲㈷㌵㕥攷攳㐱㔸捡昲〵捡〸㜹〸愸㠰㐹㙣㌹㈱㘲㔳て㈲扣ㅦ㈱愹㑡㠴㈴ㅤ㐳㔹㈲挲挳㠸㈴㠴㍣㠹敡㔴扣㈲㈱㑦戳㌵捦㔰晣〵㐲㈳攴㌹扢愸ㅥ㐱愰㈱㤸捤攷〹㝡〱㐲㍤㠶愲㄰昲㔷㤴摣㐹㡤搴〹㜹ㄱㄶ散㈶㤱㜴昹㥡晥ㅤ愶㠰㐹㐰〵㥢㘲捥㠳ㅦぢ㐳㉡戱㌰搸㌱㤴愵㐷㌰捦㐱㔸㜸〳搵愹㙤㉡戲昰ㄶ㕢昳㌶挵㍢㄰ㅡぢ敦搹㐵昵㈴〲つ挱㙣扥㑦搰〷㄰㡡㔹ㄲ挲挲㠷㈸戹㤳摡㐴㘷攱㘳㔸昴摤㠴挹ㄵ㘵扤攲㔳㠰〲㈶愱ㄵ㙣㡡愹ㄸ㝥㝣昴慥挴㐷㉦挷㔰㥡戵㔱换愷挰ㅢ昰戴扤ㄷ攰㘶㘱敦㈶㙢ㄹㅦて昶㉤㈰㤱㝤㐲㔷㐷㘷㥢㍣换散㔳㤸搸㌶戳慤㜳㘲㔳挷㤲收捣㡡㝥〵㘷㘱㥦㐵㔶㉢㌲つ摡㤱㜰㔰愲㙢㕢戲挴捡㥢㠵㌹㙤㕤敤㌹㙢敡挴晦ぢ㤹〸戲搹昰㌸㑤愹慡㙡㠵改扦㝢戸㕥〵㑦㜴ㅡ㑣㔵戵㉦㈰㘴改㌳㔲㐹愷搷昲ㄹ㘴㌱〸㘰㝤㌷愳㜳㥢㍡㥢慤㕥〵挹㈵㤰攵扡〲㔸㐴晡㐶扥㘷㘱敥㈲㍣㉣㥣搸愷㌰戹扤㈹摦摣搴㙡㜱㘳昴户愱搳慤㠵㐸搵搸戳慤愳㠹戹昳㝤ち㜳摢㌳慤ㅤ㑢昸搴㌹户㘲攳愲㤲㍣㥥慥㉤㡣㙦㙡敤㐰㌵戲ㄵ戹㕣㕦㤸戳愸㙤ㄹ晥㠸愶慢愵㜵㜲㘶㐹挷晦㠹慤愲㘴扢㔰挸愶㔱搵慡扡㕡搵㔵搷晤户摢挷昸ㄶ㝢㔷㍦㍢㠵㜰㄰晡㘹㘷㝢㔳戶㡢㠴㐹㍤ㄱ挸ㅡち搹㠶㔵戵㑣㘸㈸㝤扥慣㙤挲㤲攴㄰戶戵攸㡦㐳㝣昳ㄴ扣扦㑣摡ち㜰昳㍢㌴愷昷㝦㈰昶㤸㍣㙦㙡㜷摡搴晦攸捦㝣㙡㤹㠲戱摥㔹㉡〳〰敥㙢㜷㈱㘶慥戰㐷㘱捦㐴㑦㘰愹戴㕢〶ち㠲㘱て敤摢扤戸㍢ㄲㅤ㝡ㄷ愶㘷戲㔶㌳昲㌳㕡㌲㥤㝤敤〲ㄳ㘵昰㘷㈰ㅤ㡥㙤㐲㕢㑢㑢㠶㕤㡥㝦捣㌲㈷㤷㘹戶敡ち攳扡㍡摢㤰㘷㘸ㄶ㈰愴㕦㍡慡捣㜲愸㌲换敤㑣㡡挲㙣收㙤挹㌲㘳戵㉤捣戴㌷㜵㉥㙡㘹捡搵戱挰摣慡晦ㄳ㝤ㄵ㐷㠲ㅡ㤰改㑥敥㔸㔲㥡㥡㘱㈷㐸㘰㜳㡦㐲㌶ㄳ愹攳收㐷㡦慥㔶〶晥愹晦㌲慤〷㈳㡦ㅣ㌴捣ㅦ㄰慤ㄶ戳っ㐵搲㤶捦㝦㜵昶愲捦㔷㘲㐱〶㈷挵慣ㅣ㙡捤ㅦ〱攵〲攷ㅡ㈶挶慣㌵攷愳㈷〰㠱改㙤㤹晣敥㤹ㅣ晥㌰慤愷昳㘷㘹㜵搸戴ㅣ㙡摡㠳捣挲㤹㠰挴㉥㈴㡣㉤㙤捡㕢敤㜵㔴捣挱㥦摤搵㌰㝦挷戰户㈱㜷收慡摡摡㕥㜵㝥㜵㑤㜵㘳つ㜵㤲ㄹ昴㍦敢㥢㕡ㄶ晦㤳扤㔲㘳㜷㘴慢〲㜲㠸晡〹慢㘳晥捣㜵㘲㝥て搷愷〴昰ぢ〱扦㐲搴扥〲㘳改戶㈹㑥㠸㐱摡㡣〹㔰㡤晣㐱ㄷ㔳㜵敡㤰搶㈲㌹㍥戵戲㈲扤戴摣ㅣ挳㑥换愹㠳て㤶㕡㍡㡣㌹攸攵㔶㍥㘰㡦慦捣〱挲㤱愱慡扡扡〶㥢摡㈸捤㙢㉣慢㤶㈱收㔸㤲戴愳㤸愸㘲㌰戵㜳ㄳ敥㉣㠸㡦㍦㘳㉣晡ㄳ愹搲昳㠸㐰挰慣〶扣㉡愰㕥㠳㜴㌹㤸㐹㡤㑤ㄲ搸挷㑤㌹〸挵㑣ぢ㥥〹㘸挷㉤挵昴ちㅥ扢慡っ晥挹摣晡㡥㤵敡㐳㜸㜰扣㌴つ〶晥〸㑢ㅣ㠶扣㙥㔹〷敤扡扢㈵㌳㌸愴㕢昲㉦㌰摤㙥愹㤸挶攱慥㠶戶慤〳挰㤸扤〸晣户㍦愰㌷〱㝤〸㘰搶〷户户搱ㄷ㈵㍦ㅥ晤㤲㍤挰㘳㄰㜰昰昸㤵ㄶ㥦捦㈳ㅤㅥ㌷㘲晣㡤ㄹ晦㈷㈸㑢㜹㘴㕡㠶捤㘳㍦㐰搶㥢㐷㈶㜲〸㡦晤ㄹ㤸㈴ㄴ昱戸〹戴敢收戱ㅡ㙥挲攳愶ㄲ挴㉥愸ㅥ㔰昹昰戸ㄹ㌰收收〴㌲㌵挴〷戰〵〱〳〹㘰戶㠸昰戸㈵㑡㝥㍣晡㈵㠹㠰挷慤〱〷㡦愶ㄶ㕦敢㡦摢㌰晥㈰挶㘷㘶㐷㈹㡦㑣攷戰㜹ㅣっ挸㝡昳㌸〰㙥挲攳㄰〶㘶㈶㐸ㄱ㡦㐳愱㕤㌷㡦捣ㄸ挱て㝦㠱挸㈰㔸㤰㜹㜳㐸ㅦ㥡戶〳挶摣㥥㐰愶㤴昸〰㜶㈰㘰㌸〱捣㌲ㄱㅥ㜷㐴挹㡦㐷扦攴ㄲ昰㌸ㄲ㜰昰戸㡤ㄶ㝦㑦㙡散晤㝡㈷挶ㅦ挵昸捣〸㈹攵㤱㘹㈰㌶㡦㍢〳戲摥㍣㡥㠰㥢昰ㄸ㘲㘰㘶㤰ㄴ昱ㄸ㠱㜶摤㍣㌲搳〴㍦摣挶㘵㄰㤷㐷愶㥢昸搰ㄴ〳挶㡣ㄳ挸㔴ㄴㅦ㐰㠲㠰㈴〱捣㑥ㄱㅥ㔳㈸昹昱攸㤷㤴〲ㅥ㐷〳づㅥ攳㕡㝣慤㍦敥挲昸扢㌲㍥㌳㐹㑡㜹㙣㠰㑥㜸㌴攵㑦㡡ㄱ愸㉡㠲㔹㍢㙦㔴攳〰ㄱ捥㜶㘳㤰昱㈸ㄵ㜱搶〰敤扡㌹㘳㌶ち㝥㐸㔵㘱㄰㉣挸捣㤴ㄴㅦ㑡挶〳㘳㑥㈰㤰改㉡㍥㠰㠹〴㑣㈲㠰ㄹ㉣挲搹敥㈸昹㜱收㤷戸〲捥愶〰づ捥愶㘹昱戵戱㜰㉡攳敦挱昸捣㌶㈹攵㡣㈹㈶㜶摦㥢〶挸㝡昷扤㝤攰㈶㍣㑥㘷㘰㘶愷ㄴ昱㌸ㄳ摡㜵昳挸㉣ㄶ晣昰攷㤱っ攲昲挸㔴ㄶㅦ㥡昶〴挶摣㡢㐰愶戹昸〰㘶ㄳ㌰㠷〰㘶扥〸㡦㜳㔱昲攵搱㈷攱〵㍣敥つ㌸㜸捣㘸昱戵扥户て攳捦㘷㝣㘶愹㤴昲挸搴㤴㜵昴㍤㈶慥〸㘷ぢㄸ㠴ㄹ㉣㐵㥣敤て敤扡㌹㘳愶ぢ㝥昸〳㑢〶㜱㌹㘳扡㡢て㈵〷〲㘳㌶ㄲ挸㔴ㄸㅦ挰㐱〴㘴〸㘰㜶㡣㜰㤶㐵挹㡦㌳扦愴ㄸ㜰㤶〷ㅣ㥣㉤搳攲㙢㝤捦㘲晣〲攳ㅦ〵㐰㈹㘷挷㐰㘷昷扤㠵㠰慣㜷摦㍢ㄶ㙥挲攳㈲〶㘶收㑢ㄱ㡦〷㐳扢㙥ㅥ㤹㈱㠳ㅦ晥㙣㤳㐱㕣ㅥ㤹㈶攳㐳㔳㌳㌰㘶ぢ㠱㑣愱昱〱戴ㄲ搰㐶〰戳㙡㠴挷㈵㈸昹昱攸㤷㑣〳ㅥ摢〱〷㡦捣慡㜱攳㙢㝤慦㠳昱昹挶っ挵っ㤸㔲ㅥ㤹昶㘲昷㍤敥挳㌲㐵㈰昵㜱敦〲㐰㠴戳愵っ挲散㤸㈲捥㤶㐳扢㙥捥㤸㐵㠳ㅦ㥥㑥㌰〸ㄶ㘴㘶㉡㡤摢㘴敤ㅣ昰㔰㘰捣挳〸㘴㥡㡤て攰㜰〲㡥㈰攰㔲〰㠴戳㈳㔱昲攳捣㉦攱〶㥣ㅤ〵㌸㌸扢㔲㡢慦㜱㜶㌴攳ㅦ挳昸捣㤲㈹攵㡣愹㌱㜶摦㍢ㄶ㤰昵敥㝢㑣愶ㄱㅥ㡦㘳㘰㘶搵ㄴ昱㜸〲戴敢收㤱搹㌷昸攱て㑢ㄹ挴攵㤱㈹㌸㍥㌴㥤〴㡣戹㡡㐰愶攷昸〰㑥㈶攰ㄴ〲㤸戱㈳㍣㥥㡡㤲ㅦ㡦㝥㠹㍡攰昱㌴挰挱攳ㅡ㉤扥挶攳改㡣㝦〶攳㌳扢愶㤴㐷愶搴搸㍣㥥〹挸㝡昳挸㈴ㅣ攱昱㉣〶㘶㌶㑥ㄱ㡦攷㐰扢㙥ㅥ㤹戵㠳ㅦ晥㑡㤵㐱㕣ㅥ㤹扡攳㐳搳㙦㠰㌱捦㈳㤰㘹㍤㍥㠰昳〹戸㠰〰㘶晡〸㡦扦㐵挹㡦㐷扦〴ㅦ昰㜸ㄱ攰攰㤱㤹㍥㙥㝣㡤挷㡢ㄹ晦ㄲ挶㘷㔶㑥㈹㡦㑣挵戱㜹扣ㄴ㤰昵收㤱挹㍢挲攳㘵っ捣㉣㥥㈲ㅥ慦㠰㜶摤㍣㌲摢〷㍦晣㈵㉣㠳戸㍣扥㡥㈵㜷㌵戴晤晡㜷挰㤸㔷ㄱ昸㠶㍦攰㙡〲慥㈱攰㑤〰㠴挷摦愳攴挷愳㕦㘲㄰㜸扣づ㜰昰挸っ㈱户〱ㅡ㡦搷㌳晥つ㡣捦㙣㥥㔲ㅥ㤹挲㈳㍣㔶㍥〷㘴㠲㡦㜰㜶ㄳ㠳㌰搳愷㠸戳㥢愱㕤㌷㘷捣〸挲て㝦㔱换㈰㉥㘷㑣ぢ㜲㥢慣㜱㜶㉢㌰收㙤〴㌲㘵挸〷㜰㍢〱㜷㄰挰㉣㈲攱散㑥㤴晣㌸昳㑢ㅥ〲㘷㜷〳づ捥㤸㐵攴挶搷㌸㕢挳昸昷㌰㝥つ㙥戰㤴㜲挶㌴ㅦ扢敦摤ぢ挸㝡昷扤㥥㜰ㄳㅥ敦㘳㘰㘶〸ㄵ昱昸〰戴敢收㤱㤹㐴㘸㌳晥㘸㤷㐱㕣ㅥ㝢㐱敢慥㠶挶攳ㅦ㠱㌱ㅦ㈲㤰愹㐶㍥㠰㠷〹㜸㠴〰㘶ㅦ〹㡦㡦愲攴挷愳㕦搲ㄱ㜸晣ㄳ攰攰㜱㈳㉤扥挶攳㥦ㄹ晦㜱挶㘷愶㔰㈹㡦㑣て戲晢ㅥ捦㘷㘴㡡㐰敡挷攱慤〰ㄱ捥㥥㘴㄰㘶ㄱㄵ㜱昶㌴戴敢收㡣搹㐶挲搹㌳っ㠲ㅡ㘴ㅥっ慤て㈵㝦〱挶㝣㤶㐰愶㈳昹〰㥥㈳攰㜹〲㤸愱㈴㥣扤㠰㤲ㅦ㘷㝥㠹㐹攰散㙦㠰㠳戳敤戵昸ㅡ㘷㉦㌲晥㑢㡣捦㙣愲㔲捥㤸㐲㘴㜳挶攳㠷㑣愵㥣㐵〱ㄱ捥㕥㘶㄰㘶ㅡㄵ㜱昶㉡戴敢收㡣ㄹ㐹挲搹㍦ㄸ〴昵挸捣戴㈴ㅦ㑡晥〹㡣昹ㅡ㠱㈹㝦挰扦〸㜸㥤〰㘶㌱〹㘷㙦愰攴挷㤹㕦昲ㄲ㌸㝢ぢ㜰㜰㌶㐶㡢慦㜱昶㌶攳扦挳昸捣㌸㉡攵㡣㘹㐶挲㤹昱㉥㈰敢扤扦㑥㠵㥢昰昸ㅥ〳㌳㐳愹㠸挷て愰㕤㌷㡦捣㘴ㄲㅥ㍦㘴㄰㤷㐷愶㌳昹昰昸ㄱ㌰收挷〴㌲搵挹〷昰〹〱㥦ㄲ挰散㈷攱昱摦㈸昹昲攸㤳昴〴ㅥ㍦〷ㅣ㍣捥搱攲㙢㍣㝥挱昸㕦㌲㍥㌳㤵㑡㜹㘴㝡㤲捤攳㔷㠰慣㌷㡦㡤㜰ㄳㅥ扦㘶攰㠳㔰㉡攲昱㕢㘸搷捤㈳㌳愰㠴挷敦ㄸ挴攵㤱㘹㔰㍥㌴晤〷ㄸ昳㝢〲昳晥㠰ㅦ〸昸㤱〰ぢ〰攱昱㈷㤴晣㜸昴㑢㤶〲㡦扦〰づㅥ㥢戴昸ㅡ㡦扦㌲㝥ㄵ㥥愱㈸㘶㌸㤵昲挸戴㈶㝢ㅦ慥㌸敥㌱改㐹㌸挳㙤昶㉡挵散愷㈲捥昰㜷收敢挱搹㜲戸〹㘷戵っ攲㜲挶㔴㈹ㅦ捥っ㘰捣㥥〴㌲㡤捡〷㔰㐷〰㕦㈵愸㤸㔹㈵㥣〵㔰昲攳捣㉦愱ち㥣昵〶ㅣ㥣慤搴攲㙢㥣昵㘱晣扥㡣捦㉣㈸攱っ昷摣㜱㐷㤰捦愰ㄵ㔳㥦散扥㔷て挸愶摤㙦愱㔸攷戳㑦㜵ち㕣㠵换㈰㠳㌳㜳慡㠸换㡤愱㕤㜷晦㘳㠶㤵㜰搹㡦㐱㕣㉥㤹㘶攵㔲ㄵ攲捡搹户㉦晢〳㘳づ㈰㤰㈹㔸㍥㠰㑤〸搸㤴〰㘶㘵〹㤷㥢愱搴摢㝤㉥㈲㉦㈰昱㜹ㅡ戲〵㐰㘰㤰㔹㔹㙥㔴㡤挱㠱㡣扡㈵愳㌲㠳慡戴搷㕤〶㥤摤敢㜶㘶摦攵ㄴ挱慣ㅦ㙤㉦〷㐴㤸摡㥡㐱㤸㕤㔵挴搴㈰㘸搷捤ㄴ戳戰㠴愹挱っ㠲ㅡ㘴扥ち㕡户挹摡ㄹ捡㄰㘰捣㙤〹㘴㥡㤶て㘰㈸〱挳〸㘰收㤶㌰戵ㅤ㑡㝥扤捥㉦㘱ぢ扤㙥〷挰挱搹昵㕡㝣㡤戳攱㡣扦㈳攳㌳换慡㤴㌳愶㔶慤㠳㌳㈶㕥〹㘷㈳ㄹ攴㙥㤴㡡㌸ㅢ〵敤扡㌹㘳愶㤶㜰戶㌳㠳戸㥣㌱㕤换㠷㤲㄰㌰㘶㤸㐰愶㜲昹〰㈲〴㐴〹㘰㜶㤷㜰ㄶ㐳㘹㔳户㜷㘹㑦摤攴㈵㌰㍥ㅤ㉤〱㍣㐸㝢㐸慢㐰㈳㉤挹ち㔲慣㠰㤹㔸愵扢㉡搳慦㙣搲戸慢捡㔴摡搱㤸㥣㈵愴㡤㘶㄰㘶㘹ㄵ㤱戶㉢戴敢㈶㡤搹㕣㐲摡ㄸ〶㐱㍤㌲㌳愵换攵㐴摢㈵㜷〳挶ㅣ㑢㈰搳扤㝣〰つ〴㡣㈳㠰ㄹ㘰㐲摡㜸㤴戴㕤ㄲ慦慦昱㘱㙡㈲㐰㘰㡡ㄹ㘰㙥㔴㡤愹㐹㡣扡㍢愳扥〱㐰㘹昷㘲㡡㤶㌰㘵㑣〶㘴扤て愸㑣敡ㄲ昶愶㌰㌰戳扢㡡搸摢〳摡㜵戳挷㉣㌰㘱㙦ㅡ㠳戸散㌱ㄵ捣㕤つ㙤㌷㥤づ㡣㌹㠳㐰愶㠹昹〰㘶ㄲ㌰㡢〰㘶㡥〹㝢㝢愲攴户㥢晡㈵㡣㘱㌷㥤つ㌸㜸㘴收㤸ㅢ㕦攳㜱づ攳捦㘵㝣收㤹㐸扢攷戱攴戴扢㤶戹〲愵㡦挰换搲ㄳ愴㠶〲ㄳㄵ收㜴慥㘸㐶㜲〸ㄷ昹㐸摣㕥攲挳晤㠰攸昰愰扥慤ㅤ㡦㄰㙢㑡㕦㉣攲昹㍥㡢㡡㝢昵㉦㜹㘹㡢戸搱挲㍣㠸摡敢㝥㉣㝦㌱㠹攷捦㠶㜷扦挱㠱㍥㥣㡣㝤搰挴晥㌳㥡㜲敤㙤ㅤ㙤㠵捥㐱㜳㤰昸㌴㠸㉦挱㈹㔴㔵㠵挶搵晥ㅥㄱ㝤敢攴㡡搵戴昲㑤慣㑢昹㔲㠸挰攲搶戶㘵慤搲㥡摡づ扥ぢ㐸昸敡搹㤳搵〴㔸て愷㙤㐱㕥㤰㌹ㄳ㐱ㄴ捣㝤ㄱ愲㑦㝤㤰㐹〷昸㔵ㄹぢ㔰ㅥ㌶㘱晣㠴搹㡤搱㜸㌲㤷㡥收挲㤱㘸㌸ㄹ换愷㜳搹㐴㈶㥡㑢㠶攲愹㐲㌲㥡捡㐴ㄳ挶㝥ㅥ㌴ㄱ㑢㐴戲搹㐸㉥㘵㈵㔲戱㜰㌶㥣㡡挶昱捡慦㜰㍥ㅤ挹挱㌵㤶っ㌲㥤㠱攱捤晤攱㘳ㅥ〰ㄱ㘴ㄶ㠳愸づ愴慡㤱㉡收㌴ㄴ愳㙡慢㜱挴㕡摦㔴〳㠴愸㔲㔹㤵㔳㜹㘵搵昴散愹㠶㤵扣攵愶㉣㐵挱㝢㑤㠸㘱㌰㐳愱昶ㄲ搰扣㝥㑥挵㕢㤱捥㍣戲㥡㌹慥㑡ㅥ㈲㄰散〱〵㜵㠶㠵攲㐶ㄳ挶㌷ㄶ扦㐷搷㈸㐰摤ㅢ㙡挹挲挰ぢ㝡㍢㡣㠵搰昴㠵㐶㑢挹ち搶㌸㔱捣㐵㌰㥡㐳㔸挷㘰〸㘵㐰㉦摢㜶㌱昴㕣㤰戹づ㕡敥て敡ㅣ慣〸㝢㈱っ㔵㐶ぢ㈰ㄵ扢㤶㍡ぢ㌰㜶慦攲敥㘱㈲㤲㜴㡦㌶㌸愳㝢〴㔰收㤶㌱㤶愰㙣㜷㡦㔰㌴㘷㠵㤲㤱㜰㈱ㄴ戳戰昹㐳愹㐴㍡㥡㐹攷ぢ昹㜸㍥㥡㡥攵ち挶㈱ㅥ㌴㤳ぢㄷ昲攱㔰㈶㥦挹㐵㘲㤱㐲㈴㤵㡤愵㐲攱㐸㉥ㅣ戶攲挹㔴㍡ㄵ散攵㠴㌷摢攱㘳㜶㐰〴㝢扢慡㑥慡扡愸敡攳慡〸㄰愸ち㔲㠵㔹㥤㠴㔵攰收挳㌲敥扡搳㝥㈸㐴㈰戸ㄱㄴ搴ㄹ㠷愱攸戳ㄹづ㠷扡㜸㌳ㅣ〱㑤改㘶搸搸㠹㘲ㅥ〹愳扣㉢㔷摥㥡慢晡㐳㉦㥢攱㘸攸扤捤戰〹戴戲ㄹ㡥㐴㠳摣捤㘰㜲て攷捥慣づ㠷戶㥣昱㑤攱㈴㡣ㅦてㅣㄸ摦っ㘵㘱晣〴㤴㙤挶㔳㜱扣〸扢㄰挹愷昲戱㜰捣ち㈵戲㤱㔴扣㄰㡥ㄶ㤲戱㔰㈲㤹㡢愶㡣ㄳ㍤㘸㌸㥡㑤㐵㔲㠵㝣扡㘰攵㘳戱㕣㉣ㄳ㡡㠴㐳搱㜸㈲㤲捡挵挲愹㝣㈶戸戹ㄳ摥㍣〹㍥收㉡㠸攰ㄶ慥慡㝢㠷ㅣ攸慡㍣㤴摡㥡㉡捣慡㕤㘷晣㜴㐶㌹〳㈲㄰摣〶㐶晣慡㑣㜶㝣㤳摤摣㘴捦づづ㜲昵攷㔰ㄵ㈲㘲㘷〸㌵㠴挱㔸㍡て㝡㡦挳愱搰ち㠷㡢㌴づ㡤ぢ〰愹摣㤵ぢ扥挴づ㐳㈴㈱昶㐲㌸㠳搸敤㔰ㄶ㘲㉦㐲搹㈶㌶㥤〹愷ち戱㔸〸㉦〴捣挴㜲挹㐴搶捡攷㘳愱㙣㍡ㄶ㡢㘴㜳㠵㐲搸戸搸㠳㘶挲昹㜰㍡㡣㌱㌰ㅡ㐵㔷㡥愵㔳搱㝣㈴㤹㉡㠴㜳昹㙣㍡㥦㡢愷㠲摢㍢攱捤㑢攰㘳㕥ちㄱ摣挱㔵㕤㐶搵攵㔴つ㜷㔵〴〸㔴㡤愴ち戳摡㕦㈷昶㉡摡慦㠶〸〴㜷㠲ㄱ扦㉡攳ㅡㄴ㝤扡昲敦愱㉥敥捡搷㐲㔳摡㤵㐷㌹㔱捣敢㘰㤴㔷ㅦ换㑢㤰㔵㠸㔵㜳㌳摣〸扤户ㄹ㈲搰捡㘶㤸慤㙦㠶㍦〰㔲㜹㌳散改扢ㄹ愲㠸㈴㥢攱ㄶ㌸㘳㌳挴㔰㤶捤㜰㉢捡昶㘶㐸愶昲搹㔸㌴㤶㉦挴搳昱㔸㈸㡦㑥ㅢ㡢愷昳㠹㝣㈱㤳戰挲戱㔴搶戸捤㠳ㄶち愱㌸づ㑥㤱㐲㈶㤳挴慥㘰愵㈲㐹㙣戶慣㤵ぢ愷㔳㘹㉢㔹〸㌲昷㠲攱捤摢攱㘳摥〱ㄱ㑣戸慡㍢愹扡㡢慡愴慢昲㔰㙡㌴㔵㤸搵敥晡㘶戸㤷㉥昷㐱〴㠲扢挰㠸ㅦ㕥慢㠸愲捦㘶㜸〰敡攲捤昰㈰㌴愵㥢㘱㔷㈷㡡昹㐷ㄸ攵㐵搰昲㑡㘸戵ㅢ慢㘶扢ㅦ㠱摥摢っつ搰捡㘶搸㔵摢っ㈶〷㜶ㄹ㔱㐶晢㌲㍥づ㑥挲昸㥦㠱〳攳攳㔱ㄶ挶ㅦ㐷搹㘶㍣ㅢ户㐲戹㔰㍣㥤㡡㔹ㄱ㡣攲挹㜴㌸㙡愵ㄳ戱㕣㈶㠱〱扡㤰〸ㄹ㑦㜸搰㜴㈴ㅡ㡡挴ㄲ改〲㑥ぢ㘲昹㍣捥〰㔲ㄹ攰昲戹㐸㉥㥢戶愲㠹攰〴㈷扣昹㈴㝣捣愷㈰㠲ㄳ㕤㔵昷ㄸ㍥挹㔵ㄱ㈰㔰㌵㠵㉡捣㉡愴㌳晥㍣敤㉦㐰〴㠲㔳㘱挴てて㐹愹攳㠸㙤㜲㤰づ敥攱敡㕦愲㙡ㄲㄱㄳ㈱搴㜴〶㘳改ㄵ攸㍤づ㘷㐲㉢ㅣ㙥愷㜱㘸晣〳㤰捡㕤㜹愸㉦戱戳㄰㐹㠸㝤つ捥㈰㜶㑦㤴㠵搸㝦愱㙣ㄳㅢ捤攳昵㤸攱㜸〶㠷扤㔴㉣㤶挹愵㔳㔶ㄸ㘷㐷愹㕣㈸㠹攳㥥㤵㌲㕥昷愰戹㐴㍥ㄴ㐹㠵㜲改㙣〲扤㍦ㅣ㑡愷㜱㥥㤵挴愸つ㔲ぢ攱㜸㌴戸㤷ㄳ摥㝣〳㍥收㥢㄰挱搹慥敡㉤慡摥愶㙡㡥慢㈲㐰愰㙡㙦慡㌰慢㉤㜴㘲摦愷晤〳㠸㐰㜰ㅦㄸ昱㉢ㅢ慡攷扢晡㑦㠸攵慢㔳攴搵摤㙡〱㠳戱昴ㄹ昴ㅥ戱晢㐳㉢挴〶㌵㘲扢㍢㘷㕦㕦づ㤹㤴㈱ㅣ㝥㠵㔰攰昰㐰㤴㠵挳慦㔱戶㌹㉣㐴㐲㠵〲㝡㘶㉣㤱㠸挶ち㤹㝣㌶㘹愵㈳昱㔴㉡ㄷ㐶㑦挵愰㘰㝣攳㐱ㄳ㜸摦㘶㍥ㅥつ㘷㤲攸扤愹㘴㍡ㅤて㔹㠵㘸㤲〷扥㐴〸㥦㡦〸㌶㍡攱捤㙦攱㘳㝥〷ㄱ㍣挸㔵㜵㜷捥㡣慢昲㔰㉡㑦ㄵ㘶㔵愳㜳昸㌳愳晣〲ㄱ〸㕡㌰攲㔷搶㌹ぢ慥扥扡ㄶ挶㌹㐴捣㠶㔰㡢ㄸ㡣愵㕡攸㍤づて㠶㔶㌸晣攱㠷敥㔳〶愳㈷㈰㤵㍢攷㝦〰㉤㍦㡦㔸㡣㐸㐲㉣㍦晢〱㘲㥢㔱ㄶ㘲〳㈸摢挴挶搲昹㜴㍣㠲㤳㠷㔴㉥ㄵ挳㐹ㄸ㜶摦㜸ㄲ㘷散搹㌴㐶㕣㡣扡㐶㉦て㥡㑦㈷搳㤱㐴㈲ㅦ㉥愴慤㔸㉡ㅤ㑤攵慣㐲挸ち㘷昱搶㑤扣攷㌴ㄲつ戶㌸攱捤摥昰㌱晢㐰〴㕢㕤㔵㕦慡敡愹㙡㜳㔵〴〸㔴戵㔳㠵㔹晤ㅢ慢攱㥤戹昵愳扤㍦㐴㈰搸〱㈳㝥㘵㥤戳搳搵㙦㐶㉣摦摢㘲敥㑢㘲㤷㌲ㄸ㑢〳愱昷㠸㕤づ慤㄰晢㡥㐶慣挹扤㕥㐶捥户㝣㌹㕣〱㈷攱㜰ㅢ㠴〲㠷㠷愲㉣ㅣづ㐲搹收㌰㤴㡤ㄵ㜲昹〸〶挵㝣㉥㤶㉤㈴㌳㤹㐸㈴㤱㑥挵ㄳ㔶㉣㥡户㈲㔱㘳戰〷㑤愴昲㤱㔰ㅡ愷捡搹㐸㤲㐳㐱㍡㙤㘵㈲㠹㐲ㅡ㐷戴愴㤵〸攵㠲㠷㌹攱捤㈱昰㌱户㠵〸ㅥ敥慡扡㜷㜰㈶㠰戰ㄱ〲㄰愸㍡㡡㉡捣敡㘵㥤挳攱㡣戲㈳㐴㈰㜸㌴㡣昸㤵㜱㜸㡣慢ㅦ㐵㙣㠶㠸㠳㈰搴㜱っ挶㔲ㄸ㝡㡦挳ㄳ愰ㄵづ晦愲㜳攸㥤捦㍥敤换攱㠹㜰ㄲづ攳〸〵づ㑦㐲㔹㌸㑣愰散昴挳㘴㍣ㅦ㡡㕢改㘴㈶㤲㡥㐵昰㕡捡㔴慡㤰ち㘷㉣㉢㥣㑦㕡㔶㈴㘴㈴㍤㈸㠶㑤ぢ愷㘲挹㔸㍡ㅣ㡡㠵ㄳ昱ㄴ㡥㍦挹㘴㌸ㄹ㡦㘶愳戹㝣捣ち慥㜲挲㥢㈹昸㤸㘹㠸攰挹慥㙡㌴㔵扢㔰㜵㡡慢㈲㐰愰敡㌴慡㌰慢㠷㜵づ挷搲摥〰ㄱ〸㥥づ㈳㝥㘵ㅣ㥥攱敡㈷ㄲ换昷挳㤸㝣摢㡣㍡㡢挱㔸㥡っ扤挷攱㌹搰ち㠷㜷㙢ㅣㅡ㔳〱愹扣㠳摦改㑢㉣㔳㌸㠴搸㘹㜰〶戱扦㐱㔹㠸㥤㡥戲㑤㉣扡㘵㍥㥤㠹愱扦攱ㅣ㌶㥢㡢愴㔳挹㕣㌲㡣㡢慦㜴㈱㘵攵ㄲ㘹㘳㠶〷㑤收昲㠵㘸㌶㤷挵愵㔸㌸㤶捦㘴㌳㤱㙣㌴ㄶ㡤㐴戳改㙣㉥㥥㠸㘶㠲攷㌹攱捤㤹昰㌱㘷㐱〴捦㜷㔵㝢㔲戵ㄷ㔵ㄷ戸㉡〲〴慡㉥愲ち戳扡㐱㈷㜶ㅥ敤㝢㐳〴㠲㑣昳挰慦捡攴㠹㤴挹搳㈶㤳㘷㑡挱㑢㕣晤〲㘲摢㠸㘸㈵戱㤷㌱ㄸ㑢〷㐰敦ㄱ㝢〵戴㐲散ㄵㅡ戱㈶㐷㑥搹挱㉦昳攵昰㑡㌸〹㠷ㄹ攰挰攱敦㔰ㄶづ戳㈸摢ㅣ挶戳㤹㜸摥捡㘲搴㡢ㄷ㘲改㕣㌴ㅢ捦㐶㈳ㄱ㔰㘹攵㜰㌰㑡挴㡣㥣〷つ㔹㘹㕣つ愴㔲㤱㔰㍣ㅦ换挶㤳㤹㔰ㅥ晤㌸㤹て攵㜲攱㜸㈲ㄴつ㕥攵㠴㌷昳昰㌱㉤㠸攰搵慥慡㐰搵㐲慡慥㜱㔵ㅥ㑡㕤㐷ㄵ㘶昵ㅢ㥤挳挵㜴㘹㠶〸〴慦㠷ㄱ扦戲捥㜹㠳慢㕦㐲㉣㕦㑥㘳㜶㐱愸㥢ㄸ㡣愵づ攸㍤づ㙦㠶㔶㌸㍣㔵攷搰㍢扤㍣搹㤷挳㕢攰㈴ㅣ㉥㐳㈸㜰㜸㉢捡挲攱㜲㤴㙤づ㜱〴㡥愴昳戸㍣㡤㔸攸㡤搹㙣〶ㄷ㑡㌸搵挱ㄱㅣ㘷㤲㤱㑣摡㔸攱㐱㌳㤹㕣㍥㥣挵敤㈵摣㘰挲〵㙢㌸ㅤ㡤攱㡢㑦搹ㅣ敥㈶攴愲昱㜴㈶㜸㥢ㄳ摥㍣ㄴ㍥收㘱㄰挱摢㕤㔵昷ㄱ㥣㤹㈱㙣㐴㌷㑡摤㑤ㄵ㘶㜵㤴捥攱搱㡣㜲っ㐴㈰戸〶㐶晣捡㡥攰昷戸晡ㄳ㠸攵ぢ㙤攴㘳ぢ敡㍥〶㘳㘹ㄵ昴ㅥ㠷て㐰㉢ㅣ㉥搵㌸㌴㑥〱愴昲づ摥改㑢散㠳㠸㈴挴慥㠶㌳㠸晤㈳捡㐲散㘹㈸摢挴㈶㜰慣づ㠵㉣㉢㤵㉣㐴㘳㤱〴扡㕥㉥ㅢ㈹愴搱㘳㜳〹っ㤴㜱攳㜴て㕡㐸收㜲搸攷昳ㄱ㘰㜱㘸捡㘴戲㔹摣戴〹愵ㄳ㠹㜰〱㈷〱㤹攰㐳㑥㜸昳っ昸㤸㘷㐲〴ㅦ㜶㔵㘷㔱㜵㌶㔵㡦戸㉡て愵晥㐴ㄵ㘶㜵戰㑥散㜹㜴㌹ㅦ㈲㄰晣㌳㡣昸㤵敤攰㡦扢晡㡢㠸㍤㡥㠸㘳㈱搴㤳搰ぢ戱㤷㐲敦ㄱ晢㌴戴㐲散㐱ㅡ戱摤㍢昸㠱扥ㅣ㍥〳㈷攱昰㑡㠴〲㠷㝦㐱㔹㌸晣ㅤ捡㌶㠷〵㉢㥣挴戸㤷捦㘲晦㡥㔹昹㜴㌶㥤㡢㐴昲愱㜴㈱㥥㠹愳㝢㠶㡣慢㍣㈸㜸换昲㍣㌲㙣㐵挰㘱㍡㤳㉥㘴〱㑡收㘲ㄱ㥣㠷收㤲昹攰戳㑥㜸昳㙡昸㤸搷㐰〴㥦㜳㔵摤㘷㐱捦扢㉡〲〴慡晥㐶ㄵ㘶㌵㔷攷昰㐶摡㙦㠲〸〴㤹ㄳ㠲㕦搹づ晥㤲慢扦㤵㔸扥㑤㐷扥㤰愱㕥㘶㌰㤶敥㠰摥攳昰㔵㘸㠵挳㍤㜴づ㜹昴㤱㐱㜲㡡㉦㠷晦㠰㤳㜰戸〶㌸㜰昸㑦㤴㠵挳㝢㔰戶㌹っ㕢㐹摣㑤㡡愶㜸〶ㄴ戳搲愹㙣㈲ㄷ㑤攲挴㌰㥡て㘳昷捥挴㡤㝢㍤㈸敥ㅦ愷挳〹㕣㐳㘲摦㡥攱㜰㡥ぢ昷戸ㄵ捦㔸愹戰㘵挵愳愹㙣㤰㔹㈴戲敢摥〷ㅦ昳㝥㠸攰扦㕣㔵昷㠱收㜵㔷㐵㠰㐹愸㝡㡢㉡捣㙡㌷㥤挳㐷㘸㝦ㄴ㈲㄰㝣ㅢ㐶晣捡晡攱㍢慥晥㜱㘲捦㈲㠲敦昳㔱敦㌱ㄸ㑢㑦㌱㍣㌵㥣㍦㠰㔶㌸㡣㘹ㅣㅡ捦〰㔲㜹〷㡦昸ㄲ晢㈱㈲〹戱捦挲ㄹ挴㝥㠴戲㄰晢ㅣ捡㌶戱戹㔴㉡ㄹ㡦ㄵ挲挹㐴㌲ㄱ换㈴戳散㝥〵㕣搲攰搳〲戸换㤴㡢ㄸ捦㝢搰㘸ㄲ挷昵㔰摡戲ㄲ㌱㥣ㅡ攵慤ㄴづ攳㐹㜴搴㜰ㄴ昷戱㈲愹㘸昰㘳㈷扣昹〲㝣捣扦㐲〴㍦㜱㔵㝦愳敡㐵慡㍥㜵㔵〴〸㔴㝤㑥ㄵ㘶戵㠳㑥散㉢戴扦ちㄱ〸㝥〱㈳㝥㘵㥤昳㑢㔷晦㉦㘲㉦㈰㠲㉦〶㔲㕦㌳ㄸ㑢㙦㐲敦ㄱ晢㉤戴㐲散搶㍡戱㙦〳㔲㤹搸㉤㝤㠹晤づ㤱㠴搸㜷攱っ㘲晦㠳戲㄰晢ㅥ捡捥㕥ㅦ㑢挴昳㈹㕣戹㠴㤲戸㡡㡣㠵㜰㐸㉡㈴㌲愱ㅣ㡥昳㤹㔸㈱㥦㌵摥昷愰搱㔴㈴㕦〸攱捣㈹ㅢ捥挶㤲㐹㕣㉢挵ぢ㌸㠸挵攳挹㜸㈶㠵慢愵攰昷㑥㜸昳〳昸㤸ㅦ㐲〴㝦㜰㔵ㅦ㔱昵㌱㔵㍦扡㉡て愵㝥愱ち戳摡㔸㈷昶㌳扡㝣づㄱ〸晥ち㈳㝥㘵㍤戶ち攷㐷愲晦㥡搸换㠸攰ㅢ㠶㔴㌵昴㐲散㜷搰㝢挴㌲㔷㐴㠸慤搳㠸敤ㅥ㌹つ㕦づ㙢攱㈴ㅣ晥㠸㔰攰搰㐰㔹㌸晣〹㘵㥢㐳㌰㄰挶㠹㜸㌶ㄹ挵挸㠹慢㐳ㅣ搷ㄳ搹㜰ㄲ㕦㜴っ攳摥㜴㈶㘱晣散㐱㈳改㑣挱ち挵㜲ㄱ〰㘲㤱㜸〱㐷ㅦ摣ㄶ㈹攰ㄸ㤵㠹挵㤲㠹㜰戰愷ㄳ摥晣〵㍥收慦㄰挱㍡㔷搵㍤㜲㥡慥㡡〰㠱㉡愶㤴〸㠷㍦㝤慦㕤㍦搶ㅡ戰ㅢ㄰㠱㘰ㅦ〰㠴慢㤲晢搰㑣㌴ㄱ㝤㠰㔸扥㐷挸扣㥡ㅣ〶愱ㄷづ晢㐰敦㜱戸㌱戴挲攱㤷愸挶扤㤷㙦搴〳㔲戹㜳㝥づ㘸昹㠵㜹㍦㐴ㄲ㘲㌷㠲㌳㠸敤敦戴挳搸ㄸ㘵㥢搸㔸㍣㘵㐵昲搹㤴ㄵ挵㜵㜸〱扤㌱㙦攱㠸㥥㡣攳攸㥥挷つ㡦扣搱捦㠳收愳挹㑣㡣户㐵㜱慡㡥敢㜹㥣㜳㈶搳搱㔰㈲㡦攱愲㄰挱㘹愸搱摦㠳攲昴㈹㠱㡢晣㔸㌶㤳㐹挷搲㐹㡣戸改㙣㍣㤷㉣攰扥ㄳ㑥㑥㔳昹攰〰愷㈵收〰昸㤸㥢㔰㙣ちㄱ摣挴搵㙦㐶搵收ㄴ㕢㔰扦愹慢㉦挶㉢收愸挸㈶㜹换搹㈴㌲㥣㙦㐳扦㐱㄰㠱攰㐰搷戱攴㐶摥㤶慥㝥㈸戱㌷㜱㤳昰挵㐸㙡㙢攸㘵㤳㙣て扤户㐹〶㐱㉢㥢攴㘵㙤㤳㤸扣㈷㉤〷戳㤷㝣搹ㅦっ戳戰㍦〲愱挰晥㄰㤴愵㕢㡦㐴搹ㄹㅡ㈲昸挸㈸㠶摣㕣〶㌷昶㤳㔶㈱㔵㠸㠷昱㕣〵㜷㌹㈳㠹㘴㈸ㅡ㌲㜶昲愰㌸㠳捤㈷昳〹摣㡤㉡㘴㘳㔶㉥㤷㉥攰戳㉦改〴ㅥ戰攴愱㑤攷㠲㑣㙣㤱戵ㅦ〵ㅦ㜳㘷㠸㈰昳㔹㐴㜵㈷ㄶ散摢捦挳㕣㤵㠷㔲㍢㔰㠵敥愹㥥㜶㌸㤴慥ㅡ㘷㤴〴㐴㈰㌸ㅣ〰搱㤵㕣㌵㌱㤳㐵昴愳㠹扤㠳ㅣ摥㑥づ㈵㌹㠵愵㌱搰㝢ㅣ㌲㌹㐵㌸㝣搸㤷挳㍦晡㜲戸㌳㥣㠴挳㜱〸〵づ㐳㈸ぢ㠷攳㔱戶㌹㡣愶㌱ㄴ㠴挲愹㄰敥挶挷㐲〵ㅣ戴㜰搸㑦㘷㈳戸〴㐸攲っ㈱㙦㑣昰愰〵㉢㔱挰㕤愴㑣愲㄰挳挸㥢挸愷㔳㤹㔰㈱㥢㠸㘲戸戵㜰慥㤵っ㌲搱㐵〸㥢〸ㅦ㜳ㄲ㐴㌰攲慡扡㌹㡣扡㉡〲㑣㐲㔵㠲㉡㜲㜸愷捥攱㌴摡愷㐳〴㠲㐹〰晣㌸㘴㘲㡢攸昷㈴㤶㉦㑦㌲昹㉡㈶㈵戹㉡㉣捤㘱㜸㙡㌸敦ち戴㜰㜸㠳捥㈱㠷〶改㠷搷昹㜲㌸〶㑥挲攱㍥挰㠱挳摤㥣㉡㡤昹㈸摢ㅣ㈶㜱㘶ㄴ㡢攱㜸㠴慢愵㔸㌴ㅡ捦攲㜱㘹づ扤㉢㠴昳捥㝣㌶㕢㌰昶敤㠶㕡昱㌴敥挸攱〶㔳㍡ㄲ换ㄳㄱ挷摤㤱㜰㉥㤷挳㜸㡢昳〴㘳㠱〷つ愷㈳ㄹ㥣㜰挵慣㙣ㄶ㘷〸昹㐴㉡㘲愵㌰㉣愴搰搷㉤摣㝤㑥〵挷扡㉢扦ㅦ㝣捣晤㈹づ㠰〸㌶戸晡㤲㔱㘰㥣慢昷愰㈶㍤ㄵ搳㘲㠴晤㡢ㅣ昶㘵ㅢ㕡㡣㔷㠰〸〴㈷戹㡥㈵愳挰敥慥晥㘰㘲ㅦ〱㡢收挳攴㜹ち昴㈴摣㙣㘱㜸㙡㌸㌳搷㐵搸㍦㑢㘳摦㘸〳愴昲挰㝣㠶敦㈶㤹㠶㐸戲㐹づ㠱㌳㌶〹㔳㕥愴㕢户愳㙣㙦㤲〴㑥ㅡ昲㠵㐲づ㑦㐰㐲戱㘴㈴㤹㐹攷㜲挸㡡㠸㔸戱㝣ㅣ㥤摢㌲㍡㍣㘸〸㐳㌵敥晢挷㈳戸㤳ㄵ挳㈹慥㍣愰㡡挷搳愰㍤㥡挷㈳昳攰っ㈷扣搹〹ㅦ戳ぢ㈲挸ㅣㅡ㘱㘹㈹㔵换愸㥡攵慡〸㄰愸㥡㑤ㄵ扢昵〹づ戱搲㔵て愳晤㜰㠸㐰㜰づ〰搴ㄹ㐷愰攸昳㘴敡㐸愸㡢㥦㑣慤㠴愶昴挹搴㕣㈷㡡㜹ㄴ㡣昲㔹㉤㤳㉦㥥ち捥㠳㕥㘸㍡ㄶ晡㍥昵戵㑣ㅣ搹愵㈴挳挲晦挵㌲㈳㑡㍦挱㌴〹㥦㔴㘲㌲㙡㔵て扣㔱挳㝥て㐵㑤昵攸晦㉥ㄶ㜳㌸昸ㅡㅡ捥戵㠷㠳㤹晦㐱ㅣ㜶慣敥摣ㅣ㐶摣〶戳㜹㍣㔶戸㜶㝦慣㙥挸慦㠹㙢晢㘸㌱ㅣ慢〶戴㑣敤㐰㝥〷㍥㝥㍤户㙤㥣昷攵攴㡤摣扣㡦ㄱ敥㤷㠱㠶㜵㙢挶㘵㍢昰ち愳㑥换㜵㥢搵敥昹攱㑢㍢挸昳㠱㘱〴扦㈳㌴愰扢愴扤挷㘳㘰户㜶㉡㍥㘶挲㤷㔷戹ㄱ㍢㤰㔸㕢㔳摤㐳昹扥㕡挷昹㐶㌲㕦摣挱㘸昸敡搵搴㍣〹ㄸ攸昳ㄶ㤳昱㑤㥤昲ㄶ愰㉤㘱㔷㈶㤳㠶㡣ㄳ戱戶挶㤸愱㝢て㡤㠷㙡㤷㘳㐳慣㜷ㅤ挵戴戳㐶昶攲㠰戹ち〱搵〱〸㑤敥㤵戹ㅦ㉢㌹挵慥㘴ㄲ㉡㔱㥤愸㠴ㄵ戱㈷〵捣搵㐴ㅦ〸っ㔵っ愰ㅡ㥤〲敤昵㑣捤挱挹㘳ㄵ㔰晡昴昹㔸愷搴㘰晦㕦攷晣ㅦ㙣愸㘷ㅥ㡦㜸ㅣ愰〶㥦㌵慥昶㡤㤵㤷㝥㜱摤㉥挳㉥晥挳慦捥晦㉢㙤㡦て挶づ搸㠸搳㤹㘳搵㈲㜸っ㠳搶㝣㤳攲㉤㡡户㈱㔴ㅢ㕡昴㉡扥㝤㔲昶ㅤ㤹㔶挷㔰晡ㅤ㤹攰㘲㐴㤲㥤敤㙣戴户㑦扤㙡㐳㤹㍢㥣㙡㠶〷㝢㌹㔹㌲捦攵㉡户㐳㙤ㄳ挴摣ㅣ攳㍣攸戰ㄵ㘶っ㡤挴搴㈲〰扢〹扡㠰攸づて捤昴ㅣ攳㐲ㅢ扤㠰攸扣㠳戶挹扦㤸㘸摥㔸昳攸散㜲ち㐲攷ちㄴ㌶㡣㑥收攳慣㥢捥㠶挶㠶敢慦攳㌴愸㐱ㅤ〹て㍦㍡ㅢ搱㔰㕦㍡て㜴っ愵㥦愱〹ㅥ㡤㐸㐲攷㤵㔸㉢搰㜹㍣捡㐲攷晥昰昰攸扣㡡慢㝣ㄲ㑣㌶㥤㈷㘰挹戸挶㈶㘸敦愱戱㤰㥡㕦㐴搰戵㐴慦昲搰㈷ㄲ㝤扤㡤㥥㐴昴㕣〷㙤昷捥ㅢ㘱愹㍦ㅤ㤸つ㈳㡤㈹㌵㙢㈵㙤愷〹㕢㝥晣㔶㈲㌰㜶敢㘳敥扦攸㤳ㄵ㕦散愶捥㠱㠷ㅦ㘹戳ㅣ㙥捡晡攰㑣挷㔰晡慤㥡攰㜹㠸㈴愴摤㠶戶㠳戴ぢ㔱ㄶ搲愶挳挳㈳敤づ搲㜰〹㑣㌶㘹ㄷ㘱挹戸换愶㘱挶搰㜰㐸㑤㈹愲㘱つ搱㤷㝡攸㡢㠹扥搷㐶㉦㈰㝡愲㠳戶晢攰晤㐴㕦〶㡣搷〷㉦㜷ち搲〷慦㐲㘱挳攸㘴㈲捤㕡改晣敤〵㥣㍥ㅣㅢ㜴㜷㘹㘶挹昸搱㌹搶㘱慤㡣捥摤ㅣ㐳改愷㙥㠲㌷㈲㤲搰昹〸搶ち㜴㌲て㐶攸摣ㄵㅥㅥ㥤㡦㜱㤵㙦㠷挹愶昳㔶㉣ㄹ㝦㠶慥攷㤸愱攳挶て㡤挴㔵慡㠸愱㈷〸扦挳㠳摦㐶昸㔳搰㘱〴搸㡢攸㤸㠳戶㍢攱㌳㐴昳搴搹攳昳㉥愷㈰㝣摥㡢挲㠶昱㜹㥦敢戱昶㈱㜲㥣戳㑦晦㌰㔶晤ㄱㅥ㝥㝣敥散搰㔶挶攷㈸挷㔰晡愹㥣㈰ㄳ㘴㠴捦扦㘲慤挰㈷戳㕣㠴捦㤱昰昰昸㝣㤱慢捣㡣ㄴ㥢捦挷戱㘴晣摤㈶㘸挶搰㘸㕡敤㔰㐴搰㉢㐴㌳㌳挵㐶㌳晢挵昸㠷㡤㕥㐰昴㔰〷㙤㜷捦搷㘰愹㘷㥥捡㠶㤱昶㠲敢戱㜶搲㈶㜶㤳昶ㄲ㍣晣㐸摢挶攱愶㡣戴慤ㅤ㐳改昷㜴㠲慦㈰㤲㤰昶㌶摡づ搲㕥㐳㔹㐸摢ㄲㅥㅥ㘹敦㤲㠶㌷㘰戲㘹昸ㄷ㤶㡣昷㙤ㅡ㐰㕡㕣㙤收搰㘰昷慡て㠹㝥搳㐳扦㑥昴挷㌶ㅡ愴挵㔵㝦〷㙤㤳昶㈹搱㝣慡敤昵㐱愶慦戰㈰㝤㤰搹㈹ㅢ㐶攷〷慥㐷㈵㍡ぢ㌲扤搷扤㑦㌳慢挵㡦捥㝡㌴挲昷戸搲搷㌱㤴㝥㡥㈷昸ㄹ㈲〹㥤㕦㘱慤㐰攷㔷㈸ぢ㥤扤攱攱搱昹つ㔷昹㕢㤸㙣㍡扦挶㤲昱㥤㑢㔰㉣慤敡〰㜶搹挰㠷つ㠸晥捥㐳㝦㐳昴㡦㌶㝡挶㔰愰㙢ㅣ戴㑤晥捦戰搴晦っ捣㠶㤱昶㡢敢㔱㠹㌴㥣㕥㘰㥡改昴挱㐰㠳㘲ㅡ㡢ㅦ㘹扦晥愷〲㘹扦㌸㠶搲㙦昶〴㤹昸㈲愴昵挰慢昸㐰㥡㠹戲㤰昶ㄳ㍣㍣搲㙡㘱㔴㑣㉡戱㐹㘳昶㡡搱ㄳ㍡㡣㙣㔳㠷㐶搲敡㍦〰扢扤㈶㘰㥡㐴昷昱搰扤㠸敥㘵愳攷ㄳ晤戵㠳戶晢㘰ㅦ愲㜹㜷搱㘵㕤搵㍢〵改㠳晤㔰挰㙦〳㑥ㄵ㤹戱㈲ㅥ㙢愷㌳搶扤㑢㌳㜹㘵ㄸ敡㈸㍤㔵晣捣㘱慤㙣㤷晥户㘳㈸晤攴㑦㜰㈰㈲〹㥤晤戰㔶愰㜳ㅢ㤴㠵捥㑦攰攱搱㌹㠰慢捣晣ㄲ㥢捥㐱㔸㌲㌶戵〹挲㘱㍡慤㍥㜰〸戲㝢搵收㐴㙦敢愱〷ㄳ㍤搰㐶攳㌰㥤㔶敦㌸㘸㥢捥慤㘰愹ㅦづっ㝥ㅢ㐰ㅡ㔳㔴挴㘳敤愴㘹㝤㜰ㄴ攰挳㝣㐸㝢摤攱愶㡣戴㝦㌹㠶搲敦〲〵㤹摦㈲愴㙤㡢戶㠳㌴㈶愹〸㘹晦㠴㠷㐷摡㌰搲挰㠴ㄲ㥢㌴㘶慥ㄸ摢摢㌴㑣ㅤㅡ㡥愹㤷ㅤㅡ㙣搲㠶ㄳ捤挴ㄲㅢ捤攴ㄵ㘳㠴㡤㥥㑦昴摦ㅣ戴㑤摡㑥㐴㡦〶挶敢㠳扢㌸〵改㠳㘳㔱挰㙦〳攸㙣㜰㍤搶㑡攷ㅦ㘷㜷敦搲ㄳ攱㌱捣㠷捥㘷ㅤ搶捡攸晣㡢㘳㈸晤慣㔰㜰㌲㈲〹㥤㔱慣ㄵ攸㥣㠶戲搰昹㌴㍣㍣㍡攳㕣攵㤹㌰搹〴㌱㕦挵㐸摡〴攱戰ㄲ㔳㡦㍢〴搹㜴愶㠹㥥攵愱㘷㄰扤㡢㡤挶㘱㈵愶ㅥ㜵搰㌶㥤㘳㠸收㘳㐲㡦㑥收愵戸〳㐴㍤搳㑥昰摢〰㍡㤹愳㈲ㅥ㙢愵戳愱捤愱㌳搴愰ㄶ〰㍥捣㠷捥〷ㅤ搶捡攸㝣挰㌱㤴㝥㤵㈸挸〴ㄷ愱㜳〲搶ち㜴㘶㔰ㄶ㍡敦㠳㠷㐷攷㈴慥㌲㜳㐵㙣㍡㤹扡㘲㑣㠶慥㜶捣搰〵㐳搳敡敥㈲㝥愶ㄲ捣捣ㄳㅢ㥣㈳㜸㥡つ㥥〱昰敤づ搸愶㝥〶挱㑣㑣昱挸㕣攸ㄴ愴㙦㉥㐶〱扦つ㈰㤳挹㉡攲戱㔶㌲慢摣㔳ㅥㅣ㙥㤶〰㍥捣㠷捣㍦㌸㥣㤵㤱㜹㤳㘳㈸晤愴㔱戰〳㤱㠴捣㌹㔸㉢㤰挹㜴ㄵ㈱昳〶㜸㜸㘴捥攳㉡ㅦち㤳捤て㜳㔸㡣㝤愰挳攱〶扤㉤愴㝥敦㄰㘴昷戶㝤㠹㍥捣㐳㌳㡤挵搸捦㐶愳㈷㠷搴敦ㅣ戴㑤攷〱戰搴ㅦつっ㝥ㅢ㐰ㅡ戳㔳挴愳ㄲ㘹昶㠹捤㑢㘳晢戹ㄷ㉢㑣㔴ㄹ收㐳摡愵づ㌷㘵愴㕤攲ㄸ㑡扦㝢ㄴ㕣㠵㐸㐲㕡づ㙤〷㘹慢㔱ㄶ搲㉥㠲㠷㐷㥡㐵ㅡ捥㠰挹㈶敤㌴㉣ㄹぢ㙤ㅡ收㜳ㄷ㍤摦愱挱㈶慤㠹㘸收㤷搸攸搳㠹㕥㙣愳愷ㄲ㝤㡥㠳戶㐹㙢㈱㥡昹㈷㕥ㅦ㍣摢㈹㐸ㅦ㘴㥡〹㝥ㅢ㐰㈷㜳㔲挴愳ㄲ㥤㠸㔶㔵昵挷㙣〳晦慢慡ㅡ摡愰㤸㥥㌲っ㡢愵挷攸搳ㅤ搶捡攸㍣捤㌱㤴㝥㌶㈹㜸㈹㈲〹㥤ㅤ㔸㉢搰㜹㈵捡㐲攷愹昰昰攸散攲㉡㌳㠳挴㈶㠸愹㉡挶㌲㤷愰㔸㕣㥤㔴㐴搰ち愲㤹㐹㘲愳㤹慤㘲ㅣ㘶愳攷て〵晡㌸〷㙤㤳㝦〴㉣昵㌷〲㠳摦〶㤰㜶㤳敢㔱㠹戴㐷扥搹㘱晦搳ㅦ㝥戳晢攴㥡昹㈸挳㝣㐸㕢改㜰㔳㐶摡㤱㡥愱昴摢㑡㐱㘶戰〸㘹挷愲敤㈰㡤㘹㈸㐲摡攱昰昰㐸㍢㥥㌴㌰て挴愶攱ㅥ㉣ㄹ㈷摡㌴攰ㅥ㔸㐸㉤㜷㘸戰㝢搵㉡愲㤹㍡㘲愳敦㈵晡ㄴㅢ㡤㝢㘰戸愵攸愰㙤搲㔶挳㔲晦〸㌰昸㙤〰㘹捣㍡ㄱ㡦㑡愴扤㜹㘸晦㥢㈶扦昹㔶㌷㘹㑣㐰ㄹ收㐳㕡㥢挳㑤ㄹ㘹慤㡥愱昴〳㑣挱愷㄰㐹㐸㍢ㅢ㙤〷㘹捦愲㉣愴㌵挳挳㈳敤㕣搲挰㜴㄰㥢㠶攷戰㘴㥣〷ㅤづㅤ戸挶㔰㡢ㅣㄶ㙣捥㉥㈰㤸㔹㈱㌶㤸㤹㈷挶㠵㌶㜸〱挰㜹〷㙣㔳㜶㌱挱捣㉡昱㜶㕢㘶㤷㜸挷㘱㈶㡦攰户〱㘴扥敡㝡㔴㈲ㄳ搱㌰捤㙤㤰晦慡晡㌷㈸㈶㥤っ㐳愹㜴户㙤㜴㌸㉢㈳昳㐰挷㔰晡昵愶攰㥢㠸㈴㘴㕥㠹戵〲㤹㑣㉢ㄱ㌲昷㠷㠷㐷收㔵㕣㘵㈶㜷搸晣㌰搷挴戸〶㍡晢㤶つ㙥㙡捤㉦㘲攸㕡挲㤹㉣㘲挳㤹㙦㘲㕣て㥤摣戲〱㝡慥㠳戶挹扦㤱㘸㈶㤳㜸㝣㝥散ㄴ㘴ㄸ晣っ〵晣㌶㠰捦捦㕤㡦㑡㝣摡户挰搶㡣㤵㠳ち敦㙡㌳搷㘴㤸て㥦戳ㅣ摡捡昸㥣改ㄸ㑡扦晥ㄴ㘴㜶㡡昰㜹ㅢ搶ち㝣晥㠸戲昰㌹ㅤㅥㅥ㥦㜷㜰㤵㤹づ㘲ㄳ挴扣ㄳ攳㉥㥢愰愹㐳㘳㌱㌵愵㠸愰㌵㐴㌳㉤挴㐶㌳昵挴戸搷㐶㘳ㄸ㡣愹㠹づ摡敥㥥昷挳㔲㕦㡢㙢㘶挰㌶㠰㌴㘶㤴㠸㐷㈵搲㄰つ搳㠱摤攷搶㑣㉥ㄹ〶㔵㘹㈷ㅣ敢㜰㔳㐶摡㙥㡥愱昴ㄳ㔱挱㍥㠸㈴愴㍤㠲戶㠳㌴愶㡦〸㘹扢挲挳㈳敤㌱搲㌰〰㈶㥢〶收㤴ㄸ㝦㠶㡥㥤㜰㍡㙦㐷愷ㅣㅥ㜰攱㡦㠷㈵㑦㄰捥㑣てㅢ摥㡦昰愷ㅣ昸㌴挲㘳づ摣愶敤ㄹ挲㌷昵攰捣㉤㌱㥥㜵攰㝢㄰ㅥ㜲攰㜶愷㝤㥥㜰㍥㉥㘶愷㘵㠵㙡㜳愷挰㜰㡡㐹㈴摥㠸挰昴㄰晣搶㝦㘳〰㡢愹㝦㐳晤㈰搷㜳慤ㅢ㘵挹㌵つ攲㌰晦㝡晢晦㜳㙥㘹㔰㑣㌳昱摢㌸㈳戰ㄶ扥㌷㠰㜶㜴っ愵㕦慥ち㙥㡦㐸戲㜱晥㡥㔵挶挶ㄹ㠱戲㙣㥣ㅤ攰攱㙤㥣㔷挸〷㜳㍣㙣戶㤹㜲㘲晣挳愱て㌷㜵㜱㕦搱愱捦㘶晢㌵挲㤹㌳㘲挳㜷㈲晣㜵攸散㥢扡㘹㌵挸㐱摢㘴扦〹㑢㝤ㅣㄸ改愰戲慥㥥㔸换搳㉤㘶㤳㠸挷㕡搹慢㥡㙣戳㔶昵挶㔸挵挴ㄲ㍦搶〶㍡攴㤴㜵改㉤ㅣ㐳改昷慤㠲㘳㄰㐹㔸㝢ㅦ㙤〷㙢捣㈷ㄱ搶㌶㠳㠷挷摡㠷愴㠱〹ㅤ㌶つ㑣㌲㌱㍥㜶㘹挰昹㘲晦㈲ㅡ㍥㈵㝡㤲㠷㥥㐰昴㘷搰搹愳㌰攰㐱〷㙥㜳晣〵㑣昵搳〰摡㌰搶㤸㍦戲㙥搶摥攸敡扥㉡㘴㉡㠹ㅦ㙢扤ㅣ㜲捡㔸ぢ㌸㠶搲㡦㘰〵攷㈰㤲戰昶ㅤ摡づ搶昶㐱㔹㔸慢㠳㠷挷摡昷攴㘱㍦㤸㙣搶㤸㔶㘲晣攸昰戰〷晢㕡㡤挳㠳摤㝢㝥㈶㥣ㄹㅣ㌶㝣㕦挲㝦㜵攰搳〹慦㜲攰昶戸愱敡〰㍦挰㠳㌳扤挴攸〱ㅤ㔹㥥㐶昸㑦摦改昷㌲㙢㘱慡户〸㐲㤷攴慣㑤㤵晢愶つ挲ㅥ捥㝣ㄱ昱㕣㙢ㅦ㝤攳昸〶摢㘳㤵晤㝦挳改つ㡡㈹㈴㝥慣㝦㠷收昹敥攱摦㍡㠶搲㡦㙥〵㕢㄰㐹㔸敦㠵㜵〱敢㑣ㄲㄱ搶扦㠶㠷挷㝡ㅦ昲挲㠴づ㥢㐶㘶㡥ㄸ昵搰㘱㤷㥤挴ㅢ㘶㥦㍢戴搸愴㙦㐴㜴㤷㠷敥㈰扡㥦㡤摥㥢攸㑦ㅣ戴摤㔵〷㄰捤捣㄰敦ㄴ㘰㤹㔳㘰戴晡挳㔰搸戰㑥捣㙣㤱㜵㜷攲慡ㅤ㥣㑥㕣摤愰㡥㠲㠷ㅦ㥤敦㍢慣㤵㜵攲昷ㅣ㐳搹㌷扢㡥㐵愴㜵㝤戳㡢敦㍤戱㍡攴扢㔲昵㔸挳摡〲摦搴搲慢㘰慢㤹敦㠱㜷戵㌴㌵㌷换㙢㑥㝡攳ㄳ㍢敤㡢慤昶改昸㤲ㄴ㍥慣㌳愷愹挵㜹捦〶扥㌰挵㉦㤶戸ㅦ㜱㌱愵㐴㘷愳㌰慢ㅤ㕦㜵改㔹㤸摡㠱㉦㠰攵敢㕡昶捣㜴㜶㕡敤慤晦ㄷ扥扦㠳ㄷ捦昰戵愳㤸散㉦敦昸扥昳㠵㉦㜳昱捤慤㄰挶㐶㜵昳㌱ㅤ摦㠶㘲ㄲ㑢㌵扦捣昳摦㝤っ捣ㄸ㠸捥攷扥㥥㈸慦㝤㙢慡㐶扤㠳㑤㙣㘷戹ㅥ㔵昵㉢㥢捣ㅣ㈶㜳㉢㜶攳慤㈱㝡㡣敢㘸㤱㑣㉤㠸㠰戹つ㌴昶户㝤昸㈲愵慡摡攳搱つ㑡㔷㡥㙦攱攱㑢ㅣ慢㙡㤷㌵攵㍢ㄷㄹ㡢慣愶㠵㡢㍡昱戶㥤㕥㕣㘳㜷慡㘱㔶挸摡㌲㔲戸搳昴㙣㘹捣戴户㘷㔶搴戵㌴㌶㕢慤ぢ㍢ㄷ搵㌵㉥㐵〲づ扥㤱㠵愱慤慥慥捥ㅣ㡣昶戰㉡捥㙡㌵㈲㌲慡㌹㐴搷㥥つつ㝢慢戱㉤戴晥ㄴ晣搳㤷㠲㘱挰ㅢ摢㐱ㄴ㔳戰㍤㌴ㅡ〵敡㕣挴㈶つ敥愴㉥㐰㐱㥡㌱ㅣ㐸慦㜱ㄷ扢摡ㅤ㜵敤㤵搰㑡攳㐶㐰敢摦戸扦昹㌶㙥㈷攰㡤㔱㄰挵㡤摢ㄹㅡ扤㜱㔷㈱㝥㔱攳慥㜵㥢ㄱ〶搲㙢摣㡤慥㌶愲㙢㙦㜳ㅢㄷ㠵搶扦㜱㑦晢㌶㉥づ扣㤱㠰㈸㙥㕣ㄲㅡ扤㜱㜷㤴㌶㙥㡤摢㡣㌴㤰㕥攳敥㜷戵愳㜵敤㈳㙥攳㜶㠱搶扦㜱㡦晡㌶㙥っ昰挶㙥㄰挵㡤ㅢぢ㡤摥戸挷㑡ㅢ昷㠴摢㡣㜱㐰㝡㡤㝢挶搵㡥搷戵㝦㜵ㅡ㘷戲捦搵愸晢㝣ㅢ㌲㠹㌵戲㝦㜵敦㕥㤳愹攲㥥㈵愲㑡扤㔸摡㠸㔷摣敡愶〲改㌵攲㌵㔷扢㠷慥㝤摢㘹㠴㌱つ㕡㝦㠶㙥昷㙤搸っ攰㡤㤹㄰挵っ捤㠲㐶㙦摣扢愵㡤晢搰㙤挶㕥㐰㝡㡤晢搴搵捥搶戵㕦㌹㡤㜳ㄸ扡挱户㈱昳㔸㘳㌱㐳晢㤴㌴攲㥢搲㐶㝣敦㔶户慦㕥摤捦慥㜶㠱慥敤㠱㔱㐴昶扥晤愰昵㘷攸㜷扥つ㍢〰㜸攳㐰㠸㘲㠶ㅡ愱搱ㄹ慡㐵晣愲扤捦㠴㐲㠶㠶っ㤰ㅥ㐳㝤㕣㙤㔶搷昶㜳ㅡ㘷㜲昳搵愸㡢㝣ㅢ㘲戱㐶㙥慡敥㍥戴㤰㉡慤てつ㈸㙤挴收㙥㜵㑤㐰㝡㡤搸捡搵ㅥ慣㙢户㜵ㅡ㘱㉣㠶搶㥦愱㜳㝣ㅢ搶〲扣搱ち㔱捣㔰ㅢ㌴㝡攳㠶㤵㌶㙥戸摢㡣㐳㠰昴ㅡ户㤳慢㙤搷戵㔱户㜱ㅤ搰晡㌷敥㔴摦挶㜵〱㙦㉣㠵㈸㙥摣㌲㘸昴挶挵㑢ㅢ㤷㜶㥢戱〲㐸慦㜱㘳㕣敤愱扡㜶㠲摢戸挳愰昵㙦摣㜱扥㡤㍢〲㜸攳㐸㠸攲挶慤㠴㐶㙦摣愴搲挶㑤㜵㥢㜱㌴㤰㕥攳㘶戸摡㘳㜴敤ㅣ愷㜱捥摥㜷戸㙦㐳㡥㘷㡤挵㝢摦㠹㈵㡤㤸㔷摡㠸㝤摤敡㔶改搵ㅤ攰㙡㑦搶戵㌹愷ㄱ挶㈹搰晡㌳搴改摢戰搵挰ㅢ愷㐱ㄴ㌳㜴㍡㌴㍡㐳㔶㘹攳㥡摣㘶㥣〹愴挷㔰㡢慢㍤㑢搷㜶㌸㡤㌳㌹㌴搴愸㘶摦㠶㥣换ㅡ㌹っ㜴敦㝤攷㔱愵敤㝤㕤愵㡤㔸攱㔶㜷〱㤰㕥㈳㡥㜰戵扦搵戵挷扡㡤㘰〷慦㔱㜹摦㐶㕣捣ㅡ搹㤹扢ㅢ㜱㈹㔵㕡㈳㡥㉦㙤挴㉡户扡换㠱昴ㅡ戱摡搵㕥愱㙢捦㜶ㅡ㘱㕣〹慤晦㘶摡摦户㘱㔷〱㙦㕣つ㔱扣㤹慥㠱㐶㙦摣戹愵㡤扢挰㙤挶戵㐰㝡㡤扢搸搵㕥愷㙢慦㜴ㅢ㜷㍤戴晥㡤㥢敢摢戸ㅢ㠱㌷㙥㠲㈸㙥摣ㅦ愰搱ㅢ㜷㔵㘹攳慥㜵㥢㜱ぢ㤰㕥攳㙥㜴戵户敡摡摢㥣挶㌹㝤㘸扡㙦㐳敥㘰㡤挵㝤攸慥㤲㐶摣㔱摡㠸㌵㙥㜵㙢昴敡敥㜷戵昷攸摡㐷㥣㐶ㄸ昷㐲慢扦㜵戹昸㉡㘰愲㙦攳敥㠷㡦昱〰㐴㌱㑢て㐲愳戳昴㔸㘹〳㥦㜰㥢昲㄰㤰ㅥ㑢捦戸摡㠷㜵㉤㙦㌲捡㌱昱ㄱ㕤换晢㜰㍣㌴㥢扢㐰㕢愳㜶昱㙤摥㥦㘰㌳㜷㠳攸敥晡㡦㔳愵㜵晤㔷㄰愷攸㄰晣㥡㕢摤㤳㐰㝡㑤攳捤㌷㘹挴㔳扡㤶户戵戴㐶㐴㝤ㅢ昱ㄷ搶㔸摣㠸攷㑡ㅡ昱㘱㘹㈳㍥㜵慢㝢㐱慦㡥昷戲愴ㄱ㝦搵戵扣㑢㈴㡤攰〶慣㔱㈳㝣ㅢ昱ㄲ㙢攴㠶敡㘶攲㘵慡㌴㈶扥㉦㙤挴捦㙥㜵慦〲改㌱愱㔰㤰㐶晣㐳搷搶扡摡㝦敡摡㕥㈸挸昹搳㙢㔸昰摦晢㠶昸㌶昷㜵攰㡤㌷㈰㡡晢搵㥢搰攸㑤敥㠳㜲搱挶摢〸ち㘹摣摢㔸昰㥡㍣挰搵扥愳㘹㙢户㐲㘱扤㉦慦昹愷ぢ晤㜰㈳愲搹捡昱ぢ捣攳昱ㅤ摦ㄱ捤戸㑣㕥㡦捦㈶扦㡢㝡搴㌶ㄴ㠸㘱扥愷㌵愱㝥戰愳慤攳戵㙣晤㄰扤愴㠶愱挴㈶㥡敦㔳扤扤㘳㌳㍦挰㠲扢㘲昵挳ㅤ慤敤扦愳㕥㔲㍢愱㈴晥ㅦ㔲扤戳㘳㌳㍦挲㠲攷ㅦ㜶戴戶㝦㐴㉦愹㌸㑡攲晦㌱搵㐹挷㘶㝥㠲〵捦㍦敤㘸㙤晦搱㝡㐹㡤㐱㐹晣㍦愵㝡慣㘳㌳晦㡤〵捦㝦㥣愳戵晤挷敢㈵㌵〹㈵昱晦㡣敡挹㡥捤晣ㅣぢ㥥晦㔴㐷㙢晢敦愱㤷搴っ㤴挴晦ぢ慡㘷㌹㌶昳㑢㉣㜸晥㝢㌹㕡摢㝦戶㕥㔲昳㔰ㄲ晦慦愸摥挷戱㤹㕦㘳挱昳摦搷搱摡晥ぢ昴㤲㍡〰㈵昱晦㠶敡㐶挷㘶㝥㡢〵捦㍦攳㘸㙤晦慣㕥㔲ㄶ㑡攲晦ㅤ搵ぢㅤ㥢昹ㅦ㉣㜸晥㑤㡥搶昶㍦㔸㉦愹ㄶ㤴挴晦㝢慡摢ㅣ㥢昹〳ㄶ㍣晦㐳ㅣ慤敤摦慥㤷㔴ㄷ㑡攲晦㈳搵换ㅣ㥢昹ㄳㄶ㍣晦ㄵ㡥搶昶㍦㔴㉦愹㈳㔰ㄲ晦㥦愹㕥改搸捣㕦戰攰昹ㅦ敤㘸㙤晦㘳昴㤲㍡ㅥ㈵昱晦㤵敡ㄳㅤ㥢㠹㡦㉥㜴晢慦搲㍤敡㑦搶㑢㙡㌵㑡攲慦攰愱㑥㜷晤慢㜵晦㌳㜵㡦晡戳昴㤲㍡搷昵敦㐱晦昳㕣晦ㅡ摤晦〲摤愳晥户㝡㐹㕤散晡搷搲晦㔲搷摦搰晤㉦搷㍤敡慦搰㑢敡㉡搷扦㈷晤慦㜱晤敢㜴晦㙢㜵㡦晡敢昴㤲扡搱昵㌷改晦〷搷㍦愰晢摦愲㝢搴摦慡㤷搴ㅤ慥㝦㉦晡摦攵晡昷搶晤搷攸ㅥ昵昷攸㈵㜵扦敢摦㠷晥て扡晥㝤㜵晦㠷㜴㡦晡㠷㡢㑡㍣摡㜳挴㤴扥愱㜸㈴㤷慤㔹捦㘸㍣㠸换㘸ㅡ搴愳㍤愹㝢搴昳㐰摤敤捦㠳戰昸㙦㐴㝦ㅥ㝦挵㝦㘳摤晦〵摤愳㥥挷搸㙥㝦ㅥ㍦挵扦ㅦ晤㜹攸ㄴ晦晥扡晦慢扡㐷㍤て㡦㥥㝦㍤て㡢㕥㐹扤㡥㤲㐴ㅢ挰㘸㙦㍡㌶㜳ㄳ㍤ㅡ㡦㘰㥥㐷㍤㡦㕣㕥㐹扤敢㝡㙣ちて㜷ち昲搰㈲㑦㌰㌶㠳搶摣ㅣ愲㑦㕦昵扥ぢ摤㐲㠷昲㈸㈲搰㠱㠴㙥㘹㐳㍦㜴愱㐵㔱㍦㜲愱㕢ㄳ扡㡤つ㤵㘳〲㉡㌶〷愱散㑥㐱ㅥㅢ㈴敡㘰㐲㠷搸搰㑦摤愸摢敡㔰ㅥ〶〴㍡㤴搰㘱㌶昴㌳ㄷ㕡搴㔶㡥昸〲摤㥥搰ㅤ㙣攸ㄷ㉥戴愸慤㕦扡搰ㅤ〹ㅤ㘱㐳㘵晣㘶㕢㡢愲㜲ㅣ㤷愸㍢ㄱ㍡捡㠶捡㔰㑤㘸㔱㔴づ搹〲つㄱㅡ戶愱㌲㉡㤷㐱㌹㍡ぢ㌴㑡㘸捣㠶捡〰㕣〶晤挱㠵㈶〸㑤摡㔰ㄹ㙢〹㉤㈲㡢㘳慥㐴㑤ㄳ㍡摡㠶晥っ㈵㝢㠴戹ぢ捡敥ㄴ攴昰㉡搰㕤〹ㅤ㘳㐳㘵〴㈵戴㠸〱㡥愴〲ㅤ㑢㘸㠳つ㤵挱㤲搰愲〶㜰搰ㄴ攸㜸㐲㈷搸搰ㅥ昸㑦ㅡ㔰㐴ㄶ挷㐷㠱㑥㈲㜴㜷ㅢ㉡㐳㘰㔹㔴づ㠵〲㥤㐲攸㔴ㅢ㉡愳ㅤ愱㝢愰散㑥㐱㡥㝡〲㥤㐶攸㜴ㅢ㉡〳ㅢ愱㌳㜴㈸〷㌸㠱捥㈴㜴㤶つ㤵㌱㡣搰愲戶㜲㉣ㄳ攸㕥㠴捥戶愱㌲㕣ㄱ㕡㐴ㄶ㠷㉤㠱捥㈵㜴㥥つ㤵戱㠸搰㈲戲㌸㈶〹㜴ㅦ㐲攷摢㔰ㄹ㜶捡愰ㅣ㝥〴扡㠰搰晤㙣愸㡣㌰㘵つ攰㐸㈳搰〳〸㍤搰㠶捡昰㐱㘸㈳捡敥ㄴ攴㌰㈲搰㠳〸捤〸㌴攸慥戸攲攰㈰捦㌵㉦昹搶㝥慥㈹搰ㅣ戴㡡㐳㠶㤸㉥㜲㑣攳ㄱ戳づㅦㄱ㜰愹㔰ㅣ㉥〴㜱愱敥㕣愰㌳〷ㄱ㌱㕤㔰散慣㌸㙥㠸攱㝣摤㐷㉡攴㘸㈲愶摦ㄴ晢〴㌹慣戰㕤㝤㠲㡡㘳㠹㘰捥搵摤㥢愱㔵ㅣ㘱挴㜴㜶㠹扢扢㍤ㄴ㐷ㄷ㐱㥣愵㍢户搱㤹㘳㡥㤸捥㈸㜶㔶ㅣ㘶挴㜰扡敥㈳敢挸挱㐷㑣慢㑢㝣㌸摥㠸攱㔴摤愷ぢ㕡挵㔱㐸㑣㈷㤷昸㜰攰ㄱ挳㉡摤㐷敡攱㜰㈴愶ㄳ㑢㝣㌸〲㠹攱〴摤攷㌰㘸ㄵ挷㈵㌱ㅤ㔷攲挳愱㐸っ挷敡㍥搲㌶づ㔰㘲㍡扡挴㠷㘳㤲ㄸ㡥搲㝤㡥㠶㔶㈵㕤搳㤱㈵㍥ㅣ㥣挴攷〸摤攷㌸晡㡣㜶㑤㠷ㄵ晢〴㌹㜶㌹摢㤹〳㤶戸ㅦ慡扢㥦㐸㜷づ㘳㘲㕡㕥散慥㌸㜲㠹㘱㤹敥㈳ㄴ㜲㍣ㄳ㔳㔷㠹て㠷㌰㌱㜴敡㍥慢愱㔵ㄳ㕣㔳㝢㠹て挷㌲昱㌹㐴昷ㄱ摡㜷㜷㑤㙤㈵㍥ㅣ搴挴愷㔵昷ㄱ㍡㌸搴㠹愹戹搸㈷挸㌱捦愱㠳〳㥤㘰ㄶ敢敥扦㠱㔶㜱昸ㄳ㔳㔳㠹㍢挷㐱挷㥤㠳㥦㘰ㄶ改敥ㄷ搰㥤㐳愲㤸ち挵敥㡡愳愰ㄸ㉣摤㐷搶㤲㘳愳㤸㜲㈵㍥ㅣづ挵㤰搵㝤㉥㠵㔶㜱㤰ㄴ搳㐱㈵㍥ㅣㄷ挵搰愸晢挸㑥挹搱㔲㑣〷㤴昸㜰㠰ㄴ挳晥㘵㍥晢戹愶晤㑡㝣㌸㔲㡡捦〲摤㐷摡挶昱㔳㑣昳㡢㝤㠲㡤㌰㜰㔲ㅣ㍢〵戱㡦敥㝣ㅤ戴㡡㈳慡㤸收ㄵ㍢㉢㡥㘹㍣慤ぢ㈸㜶㐱㝢㠹〳㤵扤挴ㄵ戴㤷戸敦搹㑢㈴搷㕥攲扥㘵㉦戱㡢搸㑢散晣昶ㄲ扢愷扤挴ㅥ㘰㉦㜱㘳摡㑢㕣㈵㝢㠹敤㤳愵㕥晦て㤵㌹㘸ㅤ</t>
    <phoneticPr fontId="10" type="noConversion"/>
  </si>
  <si>
    <t>㜸〱敤㝤㜷㥣ㄴ㔵搶昶摣㠱㈹愶㥡ㄹ扡ㄵ㜳〴〴〵〹㜶づ㉡ㄲ㐵㐰㌲㤸〳㜶㠴㤱〹㌸㌳㈴㌱〰㠶㐵㕣㘵つㄸ㌱攷㥣㌱㠷㌵〷っ慢慥慥㔹㔱㌱慣㙢㝡捤昱㝢㥥㔳户扡慢扢慢〷昴㕤㝦㥦㝦扣挵昴愱敥戹捦㍤昷摥攷挶慡㍡摤㔵愵慡慡慡㝥挵挱晦㜹㜴收挹㔶㔳ㄷ戴戵㘷㥢〶㡤㘸㘹㙣捣愶摢ㅢ㕡㥡摢〶つ㙢㙤㑤㉥ㄸ搷搰搶摥〹〰㘳㝡〳攲摢㙡愶户㌵ㅣ㥥慤㥤㍥㌷摢摡〶㔰㑤㔵㔵㙤慤㔹㡤昸捤昵挷㘷〷㑣愶㌲㍢㔳〰㔵㘵ㅡㄴ㕤㈸㙡㈹㑣ちて㐵㔷㡡㍡㡡㝡㡡㙥ㄴ㕥ちㅦ挵〶ㄴㅢ㔲㜴愷搸㠸㘲㘳㡡㑤㈸㌶愵搸㡣㠲昹㥢㕢㔰㙣〹㔱户ㄵ挴戴ㄱ挳㈷愶づ㐵㙤愶戶户戴㘶〷昴搸摢㉡昳攰㐰㘰㔰㘰㔰㌰㤴〸っ昲て攸㌱㘲㑥㘳晢㥣搶散攰收散㥣昶搶㘴攳㠰ㅥ㤳收愴ㅡㅢ搲㝢㘶ㄷ㑣㙢㤹㤵㙤ㅥ㥣㑤昹㐳愹㘴㌸ㅥ〸㐷㈲戹㐴㈲㕥户㌵㉣㑦ㄸ㌱㝣㔲㙢㌶搷昶摦戲戹つ㙤㑥ㅣ㌱㝣搰㠴㙣晢㝦换收戶戰〹㤳㈳㕢㥡㤲つ捤晦㈵愳㌵㙣搳挸挸㙣扡㠱㡤㥦捤戶㌶㌴捦ㄸ㠴㘲ㄷㄱ㡤㔰㙣搰戰戶戶㌹㑤戳搹㡦㐶㘴ㅢㅢ愷㘴㜳搲攸㑤㈳摢摡㈷㈵㕢㥢摡敡㥡挸㕦戶㌵摢㥣捥戶㜵㙢摡㝤㝥㍡摢愸㠱㙤戵㑤㝢㈷㕢㈷㈴㥢戲㥤㜹攲㙤戲摡㜰㑣㈶摢摣摥搰扥愰扥㘹慦戶散㤴㘴昳㡣㉣㈱㌵㑤㝢捣㘹挸愸捥㥤昱㔷搵㘹〷户㤲㐹㐳愱㍣㑤㈳㘶㈶㕢摢㈵挴㈶っ戸㘱ㅤ摤㐵㙡㔱㔴㉥㜶愹ㅥ㈵愹搸㘶㔳ㅢ㥡昶捣戶㌶㘷ㅢ㤹〹㕢戲㝦〹㐸〸戲摡㈱捦㤴㕤ㅤ戶㤲敡慡〷ㅦ敢挲㕣㡣ㅥ㄰〳㈶戴戴㌶愱㐳㡥捦㈶㥢〷晢〷挵㈳〳愶戶㘷㐶㘶攷攲摣ㅦ㠸ㄶㅦ㈱戳㈷㔲㤸扤㤸㜶㍢㠸㙥㙤つ㑤㜳ㅡ㤳愴㝦攷愸㝦㘷戳㌷㘳晢㐰愸捥慦㘲攴㍢昳攳攸慢㥥㥥慣㥥㥥慡㥥㥥慥㥥㥥愹㥥㥥慤㥥㥥慢㥥㍥愳㝡晡捣敡改つ搵搳て慤㥥㍥ぢㄸ晢愸敤搲愵㕡ㅦㄳ昶㜸愲㝥挹搸愳昷扣㜶㑣摤㠱㈳づ摢昷〰挵挱㉥㜳挵づ㌸改攷㉣㝦挰敦户㡢ㅦㅡㄴ㉡㍥㈲㘶㕦挰捤㝥㄰挶㡥㄰捥挲㈷挲㍢㥢晤ㄹ㍢〰㐲愹ㄷ㔰㜸㔶㘰挳㌷㘶㜶戹敢㠹㍤㠶㥥昸晥ぢ㌳扦晦搷挲㝥㌵㥣㘱㐲㙥戴㤷戶攸㈸捣〴改㘴㕢扢敥㙣㥣㡦晥扢㝤㜱摤㕤㜱㔴㙢晡㡦敦㡡挸攴扦搲ㄵ捤㐱㘴㝦㈷〸挳て㔱㍦㌲摢搶㌰愳戹挷㤴散摣㠶散㍣㌳挰挸㈰㠴㔲㑦敢愶昹收挷㡦敡ㅦ戹昱㡥㌱攷捦扡晦敥户㑥㕦戹㡢攲扣㉦㥤㈲㡣㤳挴戴搶〶㡣㕤昴捤搶〱攳ㅢ㥡〷〷挳搱挸㠰㜱つ戳戲㡤つ搹戶昶挱挱〴晡挹昸攴晣挱攸㈱攱㐱〹挷ㄱ㌱㈳捣㉢ち㘱挴㈰㍡てㅢㅤづ㥡㜱敡ㄲ㄰㑡㍤慡昳摦昸㠴㠵㤷摤昲攲㈵㘳㉦搹收愴㥢て㝣慣攷愵㡡㑤㉣ぢ搰㉥〴敦ち㘱っ㠶攸㍡愲㈵㤳戵敢戱ㅢ愳㠶㐰㈸昵㠰戶㌳昱㤱㜱㑦扣扡攲㤳㔱㉢晥昲昸挱收㠰㑦㠶㉡㑥㘰㔲㡦㘱㌸㈹ㄹ㥣愱づ〶㘷㉣㘴づ愷昹ㄱ㄰挶㐸〸㘷晦㡥〴㜶㌶㜷㘷散㈸〸愵敥搴㤹慦㥥戴搳㡣敦搳㙦㑤扣㜷攵㈳㙤慦扣扦搵㔶㡡慢愵㘴㍥ㅡ㈷晤㑡㐸㡣㠱戴〲㠷㜱㑤㈱㠶㥣摦ㅣ㐳摢㘳㈱㡣㍤㈱㐸㕡搴ㅣ㐷摤㜸〸愵㙥搶昹㕤㄰㕡ㄲ摤㙢㑥搳戸㘳㑥㔹晥挵慤て慣㌱ㄴㄷ㘶挹㙦㈲㑥㡡㐶㜲㌰㘴て㘴㝦改㐰づ〵捣㐹戴㍤ㄹ挲㤸〲攱慣㘹㍣扥戳㌹㤵戱搳㈰㤴扡㐶攷晣敢㈷ㄷ昴㝢㙤昷㔷挶摤摤㙢挳㑦㔳㍢搴晣愰㌸ㅦ㐹捥㝢攳㘴㔰㐹㑤〳愸慡戳慥㐱〴慤づㄳっ戱扡晢㌰㠳㝤㈱㡣晤㈰㔰摤愸摦摣㥦扡〳㈰㤴扡㔴㘷㝡昰捣攷ㅥ晥㜴扥㘷攴㜵ぢ户㕢㜸敢㑥㙢て㔵摣㝤㐸愶〷攱攴㌷搰㝢㌰㙤㑦㠷㌰づ㠱㐰㝥㤱愰㤹愴㉥〵愱搴㜹㍡扦㘹敡㠸挱戱ㄳ㕦ㅤ㜷㙦昷㤹㕢摤昳搱㑥㜳ㄴ㌷㍡㤲㕦〶㈷扦㈱扦㉣㙤攷㈰㡣ㄹ㄰捣㉦㙥捥愴慥〱㐲愹㌳㜴㝥㉦敥㝤㐰昵捦愷㕤㌱攱散㙢㡦晣昱戰㌵摤戶㔱摣㔳㐹㝥㥣挹晢㍡㈷收㔰㝥㕥づっ㉡㕥㔳愲㌱戳㤱愶㥢㈰㡣㘶〸㘷㙢㐶搰㥡㉤㡣㥤つ愱搴㜲㥤㜱摢戹㉦㥤搱㘷㔶晤戸㕢挶搵捦㝣攵敦攷㍥愰戸㡦㤳㡣㕢㜱昲ㅢ㉡摡㐶摢敤㄰挶ㅣ〸㔴㌴ㄸ㌶攷㔲㌷て㐲愹愵㍡扦慦㥦戸㘰搶慥晥㙦㐷ㅦ㜷捤㜶㍢㜴扡攷昹㕦ㄵ户㡣㤲摦〲㥣㤴っ搲㘸扣搰㜳㕤㔶搰挳㘹㝥㈱㠴㜱〴㠴搷戱㠲〶晣挱㥤捤㈳ㄹ㝤ㄴ㠴㔲㡢㜵敥つ㥦扦㜷晤搲㤶昷挶㕥㜹㕣晤慦㙢て昹昸㍢挵扤慡攴扥〸㈷扦愱戶㡢〱㌷㤷㐰ㄸ挷㐰愰戶愱戰㜹㉣㜵挷㐱㈸㜵戸捥敦戰㑤户㌸攵慣㥢挷て扦㘹摣ㄱ户晦㜸搶愴扦㈹㙥㡢㙢㠸晢ぢ挵㔲〸攳〴〸扤扣昷㤸㠶㈹搵㕣挶愸ㄳ㈱㤴㙡搷㜶慥敡扡搷〵㔵㉤㡢挶㥥昷晣㉢㝦扤愴㑦敤敤㡡㍢㙢㈹昷㐹㌸㈹敡ㅥ㠱㡥扡挷挹㌴扤ㅣ挲昸ㅢ㠴戳㝢㐴㐳㍢㥢愷㌰昶㔴〸愵㥡㜴挶攳㌶㜹敢挸㘱〳㌶ㅥ㜵散㍥扤㉥㍣攱改扦㙦慡戸㥢㤷ち㥣㑥昰ち〸攳っ〸敦戰㜴㍡㍢扢㍤㠹捤愱㔵㠹㌳ㄹ㝤ㄶ㠴㔲㌳戴慤㤹攷扤搷戲㑤敦㡦㐶㕦㌲敢㤱㙦㌷㕣㜴捡㕣挵㡢〲戱㜵づ挱攷㐲ㄸ㉢㈱敡愶㘴て㙢㙦戳㈷晡昳ㄸ㜷㍥㠴㔲㐹㙤攸昹敤㠳扤扥搸敦㤸ㄱ换㘶㜷晡㜲搱戶昵㥦愹㑤㄰㉤㠶㉥㈴昸㈲〸攳㘲〸摦㤸收昶散㡣㔶搹㔴㔹愵扡㠴昱㤷㐲㈸㜵㠰㌶戶敦㉤摦扥㜹收㌷㥦㡦扤攳㠷㉢㕦㙥搸晡戴捦搴愶㠸ㄶ㙡㉦挷㐹㝦攷挸昳てち㜴搰ㅦ愳收ㄵ戴㝥㈵㠴㜱ㄵ㠴㤳摤〴搸扤㥡戱搷㐰㈸㌵㑤攷晤㤷ㄵ〳㐲つ㕦㕤㍣晡㤶㌵㌵挷㕤㜳挱㈷㑦㉡㕥ㄷ㐹摥搷攱攴㝦戱昲㕥捦扣㙥㠰㌰㙥㠴㘰昷㡣㥡㌷㔱㜷㌳㠴㔲攳㜵晥敤㙢㥦扥㘹捥挴㕤㐷摦戱攲慣攰扦搶ㅥ㔵慤㜸㐹㈶昹摦㡡㤳㤲挱ㄸ攸㘰挵㡣㐶捤摢㘸㝥ㄵ㠴㜱㍢㐴㔱攵ㄳ㍢㥢㜷㌰昶㑥〸愵㐶改捣扢㥤㜹搱晤㝤慦㝤㘹攲㘹㈷扦扥昹摡捦ㅦㅥ慢㜸㈹㈸慤㜸㌷挱昷㐰ㄸ昷昲㙣慦收㠶㜶慢昹敥㘳昰㝥〸愵㠶㙡㉢㍦㙣昰挰挲ㄵㅢ㡦㥣㜰搹摣㝤㥡ㄶㅥ昹搵搶㙡㑢㐴㑢ㄵ晥㡥㤳㔲ち挳〹捣㥥㠵㠵㌷㘲慦扣㤸㐷ㄳ㐵㥢㤷㠰昹㈰昳㝡〸挲㜸ㄸ㠲ㄳ㜷搸㝣㠴扡㐷㈱㤴㑡攸晣㈷っ昸㌶㜸㜳摦换㐶㉤晦㠷㜷搴㘶㡦㡤ㅣ㕦昷㌸愲㈷敢慢㠳㤱慤挹㜹戸摥㉡㕣捡〵〷攱㔲㘰㝤慥㘱㜱〹㥢㡢攴㘲戹㐰㈰ㄳ昱㈷㐳挹㥡㥥㌰扢扥ㄷ㑢㥣㔲敢㜲晢㌴㌴㘷㕡收挹搵搳㔶挳㤳㙤搹挲づ戶扦㡥ㅢ摥㌲愷㌹搳戶愵㝢攴搴昶㘴㝢㜶㡢搲戸㠲㤱戲㘴㔳㜱㙤㤹㙤㤳晣戶㈹㑤戶㜷戲㜱㑥㜶搸晣〶㉢㝡敢㤲㘸㕣㔹戶愴㉡挷㡥㙡捤ㅥ㤶㡦㉤㉢搱㌰摣晡㤸㉢戶换㙡㘹㐵㔹攵敡㌱㘲㘶㑢㕢戶㔹㡡搷扦㘹㔲㐳㝡㔶戶㜵㙡㤶㌷㑥戲ㄹ愹敡挶㡣搲㤷户晤㈷㌶愳愲戸㘰捤昴㜲㙡㜳扢捦㙦捦㌶㘷戲ㄹ㤴㜷㜶戶戵㝤挱戴㘴慡㌱扢㐹ㄱ挴捡ㄳㄱ㥢ㄷ愹㐷戵愴攷戴㡤㘸㘹㙥㙦㙤㘹㉣㡥ㄹ㤶㤹换㔹㌳㌳ㅥ㥢㕢㕣ㄱ㜷收㔱愵慡㍡㜵㔲慡㙡㐷户敢㈳摡㙤ㅢ㈴つ攱㘸攲慤搱收㥢ㄵ㜷扢㐱㔳㔰㍢搴愲㌱换㍥㔹摤㝢ㅤ挶挴㉥捤昴慢っ㜴搴㠹㜷㤹㠸敥㕢ㄹ㉤㘵捣户摣ㅦぢ慥慥敥慥㙢扦晢㕣摣㜶ㄸ㥤㙣捥㌴㘶㕢㍢扣㐷愶㔸㈲昳〹㠸㥡㈸㐶㜳㐵昶㍡〳愱收慢〵㌵昳ㅡ㌲敤㌳㡤㤹搹㠶ㄹ㌳戹搱挱㝤戴摡㕡㔲㕢㜶㤸㑦㐱㘵慥愶㜸ㅡ挲攳愹㌲㥥㈱挸昰㤸捦㕡攱㥡㕥昸晦户摦搰愸㐶㉡㔳㙥愰攰㙥㔷㕢㑤ㄳ慥㡤摢㍡㜵㜲慢攵攸㘴摢捣㜶㜶捦㡥㈳㘹敦㌹㡡㝦㐰搴昴㠶㔸攷晤ㄲ㙥㄰㍢昳戶㔰㝤搳挸㙣㉥㠹㥢㜱㌲扡㔵戲愶挹扡扦㠳ぢ捥戴挹ㅢ㐱㘳㌰㔶收ㅢ㌸挳攰慦㙢㘲敦捦捥㙦ㅦ㤹㙣㑦㜶㘹挲㉤㈵戴㤲〹㔰㝦㐹㘵㥤㌱㘵扤攸散搴ㅥㅤ㠲〵㥦㥣㍡慣㜴ㄵ㠵㘵〹〳〷攳愵慡㤳㤶ㅤ㔷〲㘵摦〶㤵㌰㑡㍢㝡昱慤㈱摣戱捡散㤱㙤㥥戶㘰㜶戶㡤昰㕡愳㐳㉡㑢㠷ㄷ㡤㑤㑣愷昶㙡㙦㘸㙣ㅢ㠴㤲敥搱摡㌲㘷昶㝦搳づ㙤㤹捦㐳搸㐷捤㐰昴攲昵慦ㄳ攸慡敡㌲㤷㙤㌳㝤㝡㔵㉤慤㔱㘳扣〸攱㕣扤㜹㌳㡡㥤ㄷ戶㝦挵㝦㜲㤸㉦攱㍦㡦㐹㘸㠵戸㥡㍥㠸晢㉤㜷搵戸昰搷㌵㠱戰㘹慤㔹戹㑦㔸㉢〱㤰㕦摦戴㑦㑢敢慣㔴㑢换㉣㜶慦㙥ㄲ㙡㥢㤹捤戶昳摥㕢㔷㝤慦㔱敥㈹㉡搵愹㔳搱㡤㌲挷㑤扡㙤㘱摦㜸ㄵ愲㝥㔸㘳㘳て摢㘲㥢昱ㅡ㔴㥤㜰ㄷ搰㜸ㅤ㈷晢昵㥣戴晢㤴㘹搳㜷㥦㥦㙣㥡摤㤸ㅤ㌸㜹㑥戲ㄱ昷㉦〷㑥㥣摤扥㝢㕢㡦戹晥㜰㡦扥挱㠸㍦ㅣ昴㘷摢晡扤㝦晤㠹ㅦ㉥㕡晣晥ㅤ㑢摦㕦㝥捡㐷㡢ㄶ㝦㜰敤戵敦摤戱攸㠳ㄳ㤶慥㕤㜱攳摡㤳慥㕦㝢晡㥤㙢㤷晥㉤㡤㕢昲搹收㐱昳ㅢ摢收慢敤㐰ㅦ敦㠳摤㍣扡敢攴ㅢ㥦㍥㙤攸㡤〳㕦ㅡ搹晦扡㤹搳㔵㉦ㅤ㔱㜶㙢慥㉦ち挴㔵摦㝣ぢ㐲昵〰㡣戳ㄴ捥㡢て昳ㅤ㠴捤㌵ㄴ敦㐲㘰慥㤱㈶挱㔴昳扥ㄵ㔴晤昰㍦愷ㅢ㜳㉤挵〷㄰慡㍦〴〷扢昹㈱㠴㝤愸㑤㘱㥦㝤㐸晡挱挷㔰㍢晢〱敦敢㤵昵㠳㑦〰昲㤸㠴㔶㠸㔳〳㄰挷扥㘰㤲㝢㤳㙣㥢㘴㕡搵㈳ㅦ㔷㍥敡㜴㐴搹つ挳㐱㐸搶挱づ愸攸ㅥ摤㐶挰ㄶ敤㠰敡㜲愳ㅡㅡ摢戳慤戲挸㜹㜳昸捦扡㈱㉥攱㝡㉥散慤挹戴㜵慢㜹愳摣〸慣敤戸〳摦扥愰戰摢㈹摢㕢㔸㑢敦晦敤愰晥㜴㍢㈸搹㍦ㄵ敤愲㍡搸愱愰搳㤴散愱㍡〶㍢㍡ㄱ㌷て慥ㄳ㥣㜴愹㐱戰㕣摣挹㠸㉦㥤㥣攵㌱㐳ㅥ敦散㠴㐴晢㉢敦慣搸搹换㍢㈹ㄳ㔵摣挵晣摦ㅥ搰敤㌹愹戵〷晣ㅡ挴㤹摦㔰㝣㑢昱ㅤ挵昷㄰捡挰㘴挴㔹昷㜸㙡昰㤹㠳㉢换〳㘴ㄳ昶㈳㌵㍦㔱晣っ攱㤸㜵㌹㐳ㅢ㕣㑡扤昶㠳㡢ㅥ㔶ㄷ昳㈸戵ㄳ攲㘴㈶收㕥挵慣㠶愸敢〴㌱㘱㜴戶ㄱ搷ㄳ晦慤㘷㤳㌵〱㘴搳昱づ〸晤㠷㜷愲㌶㘹㥡扡愰㌹㍤戳戵愵ㄹ㑦㠸戹㌱攳㕤㥣戶㌶㤵㌴㥡挶戵㡣㤸搳㙥㌴㡤㙥挰㝦㜵㑤㔳戲戳戳挹昶ㄱ戸㕥挴慥㙦ㅣㅥ挶挸㥥㙥㑣㘶晥晦捦㍤㕦ㄵ㌷收戸ㄴ㉦㙣晢㔴改攸戵㜶㕦㥡摥㐱㈳㕢昰愰㌸㉢捦挸㐹扢㘱㘰晦晥㈷摣搴攱ㄱ㍣㑡㜷挱ㄷ㔷敦搲攷扣ㅢ㝥搵晦ㅦ㡤㕥㈸㠷改㐷愵换㔷摢㉥㐸攲改㈸㑥〵㤱㉥扦ㄲㅢ㜵愴つ摤挰㕡㡤扦晣愵挲㙡晣㠵㡥㈸㝢㐶ㄴ㠱戵㥥㉣㠹て㠶搴㘷㠰戹敦㑥㌶㐴戴搹㥤㘲㈳〸挷㌸搹挴ち慡㈸㡣挸㤸搸㤴愰捤㈰㔴ㅣ㉡搹㥤㙣㡥㤰㝤愸戵挸㈳扦㍢搹ㄲ㌱扣慤ㄵ㈹㘷㘲㙢㐴㜹㑣〲㉡挴愹〴㙣收㤹㜰散㐹㕥慦挴挲㙢㍡愲散㐹搵㉥戰挴㝤㠹戹㍤戳摢㠱愲㉦㐵㍦㡡ㅤ㈱搴㍦㌵㌳㥣㐱㥡昱㈹捣㈰〳㠸ㄹ㐸㌱〸挲挱㡣㥦㍡捥㈰㤸㌱㜶㐵ㄲ㘱㈷㐸㘵〸㐲敤〶ㄵ㐷㜸㤵ㄹ㐶戰㘲㌷ㄹ㑣㐴搹㠶㉤㐶戳㘶〷㜱㙡〸搲ㄵ挸㘱㌷戱扡挸㠳㤵挸昹扢㡥㈸㝢晣㌶ㅣ㤶㝡戲ㄴ㐳㘱㐴摤慦㠹㠰愲昸㌰㠷㌳㡦ㄱㄴ㈳㈱ㅣ㐴㡣戲㠲㙡〴ㄲ〸〹㝢㄰㌴ㅡ㐲敤づ㤵㜴㤱㌱〸搹㠷㕡㠵㍣昲㕤㘴㑦挴㌸㌷戰㝣㜰㔷挶挷㜸㠰㍣㈶愱ㄵ攲搴㈸㔸㉦昰㔱搸挰㕥㕢㠹㡦㙢㜴㐴搹ㄳ挱㌱戰搴ㄳㅦ㜳㙦㘴愷慥慡挸挷扥㉣捤㝥ㄴ晢㐳㌸昸㌸搰ち慡戱㌰㈲㝣ㅣ㐴搰挱㄰㙡ㅣ㔴挲挷㜴㠴散㐳㕤攸攴㈳㠹ㄸづ㤹㐴㜹㑤搳㠸昲㤸〴㔴㠸㔳攳㘱搳㡤㠵㌳㉡戱戰㐲㐷㤴㍤愷㥣〴㑢㍤昱㌱ㅢ㤱㥤㍡慤㈲ぢ捤㉣㑤ぢ挵㙣〸〷ぢ慤㔶㔰㑤㠶ㄱ㘱愱㡤愰㜶〸挵愷㤵挲挲ㅣ㠴散㐳㉤㜳戲㌰て㌱捥㕥挱㠷㥣㘵扤㘲〱㐰ㅥ㤳搰ち㜱㙡ㅡ慣扢昱戱愸ㄲㅦ㐷敢㠸戲愷愷晢挰㔲㑦㝣捣㈵挸㑥ㅤ㔹㤱㡦㘳㔹㥡攳㈸㡥㠷㜰昰戱搴ち慡㝤㘱㐴昸㌸㠱愰㘵㄰㙡㝦愸㠴㡦ㄳㄱ戲て搵敥攴攳㈴挴昰收戶扦扣愶换ㄱ攵㌱〹愸㄰愷づ㠰㑤㌷ㄶづ慤挴㐲㠳㡥㈸㝢㥣㝢㌰㉣昵挴挷㍣ぢ搹愹ㄹㄵ㔹㌸㠷愵㌹㤷㘲㈵㠴㠳㠵昳慤愰㥡づ㈳挲挲〵〴㕤〸愱㤲㔰〹ぢㄷ㈱㘴ㅦ敡㘰㈷ぢ㤷㈰〶㉣㠴挳攵㌵扤っ㔱ㅥ㤳㠰ち㜱㉡〵㥢㙥㉣㑣慢挴挲㔴ㅤ㔱昶㤰㌹ぢ㑢㍤昱㌱慦㐷㜶㙡㜲㐵ㄶ㙥㘴㘹㙥愲戸ㄹ挲挱挲慤㔶㔰攵㘰㐴㔸戸㡤愰㔵㄰㙡㈶㔴挲挲敤〸搹㠷ㅡ敤㘴攱㑥挴㤰〵㤷ㄹ攲㙥㐴㜹㑣〲捡㔹㤰㌸搵〰㥢㙥㉣散㔶㠹㠵挱㍡愲散搱㜷㈳㉣昵挴挷㝣ㄸ搹愹㕤㉡戲昰㈸㑢昳ㄸ挵攳㄰づㄶ㥥戴㠲慡〹㐶㠴㠵愷〸㕡つ愱㕡愰ㄲㄶ㥥㐶挸㍥㔴搰挹挲戳㠸㜱捥㄰㝣㜰㕥㌶㐳晣〳㈰摣捣㠵慣㄰愷㘶挳扡ㅢㅦ㝤㉢昱戱㠳㡥㈸㝢㈲捦㈷敢㍤昱㌱㕦㐵㜶慡㑦㐵㍥㕥㘷㘹摥愰㜸ㄳ挲挱挷摢㔶㔰戵挳㠸昰昱づ㐱㙢㈰搴㕣愸㠴㡦㜷ㄱ戲て戵㤵㠳て㜳づ搴攵㤵晣㠰㌶㍢㡡㔳昳㤰捥㡤㠰つ㉢ㄱ戰㠱㡥㈸㜳ㄱ㌸ㅣ㤶㝡戲ㄴ㥦戳挸摥㡡〴㝣㠹㘸昳㝦㈸扥㠲㜰㄰昰㡤ㄵ㔴ぢ㘱㐴〸昸㤶愰敦㈰搴㤱㔰〹〱摦㈳㘴ㅦ捡㜰㄰㘰晣㠸㤸㌲攷㠲戲ㅥ昱㌳㔰ㅥ㤳搸㜲戲㈴㑥ㅤ〵昳㙥㠴晣昴㜳㠵捤昷㡦㍡愲捣㙢㘱㌱㉣昵挴挷㌴慡㔱㠵敦〱㜳摦㝣搷㈲摡愴慦慦改㠱㜰㄰㔲㘷〵搵ㄲㄸ改㐵㐳昵㔰㤸摤㈰搴戱〸ち㈱㕥㠴散㐳㝤㡥㍣散㥤㤵㜹っ搴攵㤵散づ扣愷愳㌸㜵ㅣ搲戹ㄱ戰戶ㄲ〱敦敢㠸㌲㌷ち㝡㑦っ㘲㈹戶㘲戹户愶搸㠶㘲㕢㡡ㅥ㄰敡㉤㑤ち昷摤〸㍢昶摤扤㠸搹㡥愲㌷㠴㠳㤴敤愹搳晢敥愵㐸搲㡢ㄹ昴愵戲ㅦ㠴㕡㠶愰戵敦摥ㄱ挱㡡晢敥ㄳ㤸慡慣㜷っ㐴ㄲ㡦搹㐱㥣愲挳㐷㠱㥣挲扥㝢㜵㈵㜲㥥搲ㄱ㘵扥㈱㈷挳㤲昴㡥㈸㡢晤㠴㈶〲捡攲挳㡣㈳摡㑣㔰散捣搲ㄵ㙥ㅣ敦㙡〵搵㜲㈴攸㠵㡦㌹㤸愰摤㈰搴㈹〸㑡敦ㄸ㠲㤰㝤愸〷㤰㠷摤㍢㡣㘱㠸㜱捥㥦昴㉣㈹攳㘳〴㐰ㅥ㤳搰ち㜱敡㔴㔸㉦昰㔱搸㜷慦慡挴挷㙤㍡愲捣㘵攵㜴㔸㤲捥㌲㡥搹㡤愷㤸㐰㌱㤱㘲ㄲ㠴扡㐱㜳挴捥挲㠳ㄷ㘹㝢㈳愲捡㥣㐲捣㔴㡡㘹㄰づ㡥ㄸ㙤㜷㤶ㄵ㐰昶㈲㝡㕦㉡昷㠳㔰㘷㈲㘸㜵㤶晤ㄱ慣搸㔹捥㘰慡㌲㜲づ㐲ㄲ㡦搹㐱㥣㍡ぢ改ち攴ㄴ㍡换捡㑡攴㥣慢㈳捡㝣㜰捥㠱㈵㈱㈷挷戲捦愰㤸㐹搱㐰㜱㈸㠴㕡愱挹攱㔵㜹つ㍥㠵㉢搸㐶㘲㥡㈸㥡㈱ㅣ攴捣愶㑥㡦愴㜳㤱愴ㄷ㍥㘶㉢㤵㙤㄰敡㍣〴㉤㜲摡ㄱ慣㐸捥㑡愶㉡㈳㘷ㅥ㤲㜸捣づ攲搴昹㐸攷㐶捥㤲㑡攴㉣搶ㄱ㘵㝥㐵ㄷ挲㤲㤰戳㠸㘵㕦㑣戱㠴攲ㄸ㡡㘳㈱搴㐲㑤づ㠹㌹㄰ㅦ㤲㐳㐶戰㑢㈷收㉦ㄴ㑢㈱ㅣ攴㉣愳㑥㤳㜳ㄱ㤰扤㠸晥㉢㤵㈷㐱愸㑢㄰戴挸㌹ㄹ挱㡡攴㕣捣㔴㘵攴㥣㠲㈴ㅥ戳㠳㌸㜵㈹搲戹㤱㌳戳ㄲ㌹㌳㜴㐴㤹㥦ㄴ扤㥤㘴㥡㌹〷㤹慡慣㈶〲捡攲挳㕣㠹㘸昳㍣㡡昳㈱ㅣ㐴㕣㘸〵搵㤵㐸搰ぢㅦ昳㈲㠲㉥㠶㔰㔷㈳㈸搳捣㈵〸搹㠷㍡㄰㜹攴愷㤹换㄰攳㥣㘶攸㘲㔵挶挷ㄵ〰㜹㑣㐲㉢挴㈹㍡㘴ㄵ昸㈸㑣㌳㔳㉡昱㌱㔹㐷㤴昹㙥㕤て㑢挲挷㡤挸㑥㑤慣挸挷捤㉣捤㉤ㄴ户㐲㌸昸㔸㘵〵搵つ㌰搴ぢㅦ昳㜶㠲敥㠰㔰㌷㈱㈸㝣摣㠹㤰㝤愸㔱㑥㍥敥㐶っ㉦敦㕤㉥攴敥㐵㤴挷㈴愰㥣〵㠹㔳㌷挳愶ㅢぢ扢㔶㘲㘱ㄷㅤ㔱收㐱㜶ㅢ㉣〹ぢ㡦㈲㍢㤵愸挸挲攳㉣捤ㄳㄴ㑦㐲㌸㔸㔸㙤〵搵㉡ㄸ敡㠵㡦昹㌴㐱捦㐰愸㍢㄰ㄴㄶ㥥㐵挸㍥㤴摦挹挲㍦㄰㔳搴㉢攰㝢㔶搶㉢㕥〰挸㘳ㄲ㕡㈱㑥搱㔳捤㡤㡦敤㉢昱搱㐷㐷㤴㌹戵摤つ㑢㠳昰㌱㕦㘷㜶㙦㔰扣㐹昱ㄶ挵摢㄰㙡㕢捤ㄱㄷ㥦㘶㝣ち昳敢ㅡ㘲摥愵㜸て挲挱搱㕡敡昴ㄴ㜲て㤲昴㘲〶ㅦ㔲昹ㄱ㠴扡て㐱㙢ち昹ㄸ挱㡡㔳挸扤㑣㔵㐶捥㝦㤰挴㘳㜶㄰愷敥㐷扡〲㌹㠵挵愷慥ㄲ㌹㕤㜵㐴㤹慦摥㠳戰㈴㥤攵ㅢㄶ摢搴㐴㐰㔹㝣㤸摦㈱摡晣㥥攲〷〸〷ㄱ㍦㔹㐱昵㄰ㄲ昴挲挷晣㤹愰㕦㈰搴㈳〸㑡㘷昹ㄵ㈱晢㔰㔵挸㈳㍦㠵㈸㑣搶扣摥㜵戹㠹摣〹㔱ㅥ㤳㠰㜲㠶㈴㑥㍤ち㥢〵ㄶちㄳ挷㌷㍦㔵搸捤㝦慤㈳㑡㍤〶㙢㥥㠰愵摦攰改搵ㄵ㜰㌳户㌷扥捣㐱搷㤴㙥㌹㝣戹㙡挴㥣戶昶ㄶ昱愳愹捦㡤㙣㤹搰搲㍥戲愱㙤㜶㘳㜲㐱昷㥣㍥搹㘷㘶戶ㄹ㕥㙥慤㜰㜶㉢搱戵捣㥥㥤捤㤸戹愹㉤㜳㕡搳搹㌱㈳晦っ㕥㜰搲㔸㜰攵㔰慡慡㕡攱昸㝤㡥㕤㔵㐸㠹慥㠲愳慡收㈹㤸㉣昵捦㜱㍣㝢㉤㍣收昷〱攸㉤㌰㍡慤愱扤㌱摢㌵㈷昱㜲㕥㥢〳㡢㜰ㅤ捣㜴挹㑤㥢〹㐷㤵㤱昵戹㍤㕡ㅢ㌲㡤つ捤㔹㌶〶㕣〷昸㡤戵㜱搹ㄹ㜰ㄳ㥣搴搲搶挰慦㜳搵攷愶戵㈶㥢摢㘶搳攳㈹扤㘰挳愲㤰㍣㐶慢挹つ㙦㘸㙥㐳㌶搲㡡㍣昷收愶捥㙣㤹㠷㉦㜶捥㘹㙡摥㈳㌹扢敤㑦搱㉡㑡摡㠵㐲㥡㐶㔵慢敡㙡㔵㕢㕤晢㝢摢挷愸挳攸敡㙥昹㔷昷㐰㍦㙤㙦㙤㐸捤㈱㘱㤲て㥦㔶㜵愶㤰㌶慣慡㔹㡤戳づㅥ㥦昳㈱扡㜶摥愴㘳㈲换㕡昴㈵㌱㔷ㅦ戹晣户㘵户〶摣慣㐷㜱敡扡㐱㡣摤㘳慦㌱〵㤷摤晦搵㔷㑦㙢攸晥㔷晡㔰戲戴攷攵㍤㈴㌷〶戸㥢搵㠵愸㘳㡦挲挸㐴㑦㘰愸戴㕢㝡㜲㠲㘱て敤㔶㌸ㅤ〵㈷扢扡摣戸㘴㉡摢㠸挷捦㑤挹昶㙥㔶㠰慥〴昸㙡㘲㥢㡥ㅢ搱搲搴㤴㘴㤷㘳㜷㥤㥡㑥㌶㘶㙢㜳挳收戴户攰ぢ㕥㘶づ㐲晡愵㔶㈵攷㐳㤵㥣㉦慡扡摣ㄴ晡っ换㌹㙤戵捣㐸戶㌶戴捦㙣㙡㐸搷㌲㐰扦摥㍦㐵㕦挵晣摦ㄹ㘴摡㠷㍤㤷㤴㍥ㄴ户ㅥて愳戹〷攱ㄱ㍤愹㘳昳愳㐷㔷㉢〳晦搴敦㜴㈹挵捣㈳㡢㠶改㠳戵ㅡ慥㍥㥣㡡攴昸摣晥ち昷攷㐷㐳㈳㤳㤳㝡㤶〰㝣捣つ〰攷〹㍦㥤㥦㠳攸搰摦戰ぢ〰㥥㜱㉤挹捣㈸㌸㉥戵戴㜶搱㕦㤵慥㐵搳㜲慡㘹昵搱〳㤴摦㤸㠳戳昲摣㠶㑣戶戵㤶㡡愹㜸搰摦㤹扥愳㠶搵㠶ㅣ捣㔵㌵㌵㕤㙢摤昲ㅡ㘳摢敡慤ㅤ改㥣㕦㌵ㅦ㔳㘶晦㤳挹昱㈱㍢戲㔴ㅥ㔹愲㌶㐴㜵捣敥慣搳㍦愰㘴㝤㑡〰ㅢㄱ戰㌱㐴捤昳㠸㉣㙤㥢㘲㘷㑣戸㙣㥡〰㜵㤶㉦ㄹ搳㑤戴ㄶ㉥㤵攲㕦㕡㈳ㄵ挱㜷〳昳摥愵㠶攵ㄲ㕡㡢㌴㌸㙢㙡㌳愶愲㤷㘷㌳ㅥ㙢㝥愵㥢〳㥢愳扡扡㌳㥡摡㈸昵㈸㉢换㤶㈶愶㘶挵㘱㔴㙤㠳㈲ㄸ㥢愰挴㥢㜰戰挰㍥扥㕡㕦昴慤摤搲摤㤴挷㘳㙥〶㌸㥥攴扥〴㘹㜳㌰㤱ㅡ㡢愴捤挹挱ㄶ㄰敡㉤㈸戹ㄳ㜰慣㕢敡ㅤ〴戹㜶㔵ㄹ㕢〲戲扥㜳愵㕡㠳ㄴ㥣㉦捤慤㘸昸㕤㥣㜱ㅡ捡㜷换㙤愰㕤㜷户㝣㥦㈹昰㌱户愵ㄱㅤ㔰㙢㜱㘲㔷挳搱搶㍤㠰㌱㝢ㄲ㐸昷㐲ㄷ㐰㉦〲戶㈳攰㐳〰搸摥㐶㙦㠴摣㜸㜴㜳㌴〴㡦摢〳づㅥ㍦㜱搸㜷昰戸〳敤昷㠵愸昹ㅡ㠰づ㘶㕣戸㍣㌸㍣扥扡戱㈰㌹㝥挱〴㤳㈱摢㜴㔴㐳㍢㥡戵㉥〷㠱㔳㜱捤摡㐲㈶㐹㐷愲晥昹捤搷戶攵㔱㐵扢戱㙤捡攳㥤摢戳摥㉥搱搶挶捤戱㕦㕢ㄷ㐸㌶㜰㉥㘵晣㌳敤攸㤴攵慡㔳㘵㙤敡㔴㥦捡㡥㙤づ摥戹㈸晦㉦昶㝦㌲〵挳〹㠳摤㐶攱ㅦ扡㔰㝦㥣㜳㍢昸捤㍡扢㠸挳捦㡦㜳㤹㠷㕢㐲㑢㔷慦ㅤ㐹挷㌴户㘱㔲昵攸㄰㤶捣㙥晡㜴攲㥣昶愲㤸攴晣敥㍡〶㡥挷ㄳ㥢戱搱㐹㈷㕢㌳㝦㤲㔵ㄲ㜵戳㌶㜳戲攰晤捥㡤㌶㡣昰㜰慣㙤戸㜴ㅡ愰戹愶㐳摤㙦㜱㤳昴〲㕦㑦扡昳摥㤳戵っ昱㈷ㄵ愴ㄵ慣㕦㔴㤰慢㥥㐹㔹㕣戲攰ㄷ㈶ㅡ戳摤㈵㐱㍥㈸㉢㠲㤹ㅢ㤶㙡挳づ扡㥤摢㈳㝤㈶〳摤捣㑤挹昲㠷ㄶ收㘶戱㥢搱㘷㤳搲敤㜰ち捥ㅢ攰ㄷ㠲晥㍣㉤〴㐶㍡敢㔶㔲搲㑥㐶〷昳㕢㜱㈵㌸㠶㝥㘷慢㘲捡捦挹昱改㄰㜵捥搹㍣慥ㅡ㔲㘵㥦攸敢慡敦㘰扥㠳㑤㌹收㕡愷㑦㉢㐷㔲㜷摢搵摡㥡攱㘴昲慡戳㜵摣戹搷昳ち慢戵ㅤ摦㥡攳敦㍤㜸㌹㜴ㅡ戱戵㘹㙦挰㈶戵㜱㐱户摣㤸收㜴攳㥣㑣㔶㜶戸昶㥣㉤ㅢ摤㍦㐵㝢搱㜱㑦㡦愸づ㜸搱愴㡣挱慦昳搸摦愲晡晤㤷戹收㐰㡣㌴㤹散㘰挳㘳敥愴挷ㅤ摤㔷㝦戳〳戱〷㠹㌶㉣戸扦换㙦戶㘰㙡㉢㔳㜱㑥愳ㄷ㘸摥〷㔹㐶㥣〳㌶慥㘵㕣ぢ㉦㤳ㅤ慡搱つ㤶敡㑦搱㑥愸愷搵㑣㠶㠱㝤晥敦ㅢ㈱㤳晦戹昸晡㘹㉦っㄸ㝡攲㤴改㜳㡦昹㈴㌴搴ㅥ㉤㕣㘳戰捡愸ㅦ㤱㠷㙣摥挴㉢㔳昶㔰扣㥥慤㉥㕣搴慡㥦㄰㤶㡤㕡〰慤愶㝥㐶挸摡愸㔹敤㘹㠶愰敤㜰愳㘶㠶慤搶㔶扦㈲愹㙣搶㈲㌴愴〳㜲搵㘱敦挵愰戳昷㥣㔱㘰捣ㄸ㠱搵㠰扡〰攲〴㈴㈰㙡搸㥦㑢㈷㥢捡㍥戵挸愲愶㠹晢敢摡㈶㕥㘷㘰愸ㅡ昸搶ㄷ㝣㠶㜱慤㘲㜴慤敤〴㘳收捥㌰晢昴敡搵㠳㔹ㅥ搵挵㤱晦愰㐲〱㜷㘱晥扢㐲㈸ㅦ〰戲㈹挶收㔵㘸〵慦ㅢ㐲㘷㙤㡡〷〳戲㘹攱昷㈶搶㜹ㄳ㐱搱て㔵昸摥㡤挶㌷㐲愸㘸㘳㍣ㄴ摡づ昹㤶㜶愵攳㉡晥慡捣㘱㌴挲㙡昰戳㈹愴㑤愵扦㔰㤵攱挰㤸㈳〸愴㘷慢ぢ㘰㈴〱扢ㄳ戰㌹〰戲㌱ㅥ㠵㔰㥤㝤㠱㠱摢㤳挱戲㕢㤰搸换㡣〶〸摢攱慤ㅤ㔶ㅤ摢攱㌱戴㍡㤶㔶户〷㠰㕢㘲扤ㅤㅡ挷㘴㝡㍢㌴ㅥ攷散愸㍢〰挲㉤㤱㝤ㄴ㉦攴ㄳ㌴㡡㝥慤㕣捣㔹㕤扢慢㔷㕡ㄸㄴ晤㕦戹㌸攰㈱㉢㤲ㄷ㘶愷挹摡ㄸ㕤㘳㌹㐳戵㤹㑢攳晦㡣っㄸ㝡㝣㙥昹慤〷㙣ㅢ㉣ㅢ㐳〳㠰戳挶㤰㜴ㄸ收㕤㍡㠶〶㐲㈷㙤㍡ㄵ戶ㄵ㕤㘹㡢挶搰㕥搰㜶搸愶收摥扡㑣㝥㈴挵㕦㤵戹てつ攱㐴㍥㐱㐸扢搹愰戳挷搰扥挰㤸晢ㄱ㐸㥦㕣ㄷ挰晥〴ㅣ㐰㐰ㄸ〰㡥㈳昳㐰㠴昲㕤㍦收㐸戶㔳挱敥㐱㑣㜶㌰㤳つ〵愰昴㝡㜰㌸㜴㔶搷㥦づ挸㝡㕦て㡥㐰㌲愱攸㄰ㅡㅥ㠹㔰㔱户㑦㐱摢㈱㐵搲敤㐷㈱ㄹ晥慡捣㌴㡤攰㐴㍥㝢㐰摡戵㜷㕣て㘶㠰㌱戳〴搲㕢搷〵㤰㈳㘰〶〱㜴攰㤵㙥㍦ㄳ㈱户敢㐱㌷扦㕤っ㠰㐳〱挷〰ㄸ敦戰㍦愹挰攳㉣摡㙦愴㝤㍡摢㤶㑥㈱昴戰搵摤㡡㔶㜸戰㕢㌹敥㌷慡晤〰ㄱ捥㥡㘹㠴㡥戸㐵㥣捤㠶㜶摤㥣搱㘱ㄷ㝦㔵收㘱㌴㠲ㄳ昹ㅣ〴㘹㔳攲㠷㔲摦ち㘸〵挶㙣㈳㤰ㅥ扤㉥〰晥愸㥦挹愷㐳㡡㑥扥挲搹㕣㠴㥣㔳㐵搴㙤慡㤸て㄰㤸㑡㍢慣㍡愶㡡〵戴㝡㌸慤㌶〲㔰摡攳攸㠵㙢昵戸㠵㠰慣㜷㡦愳摦慥戰㜷〴つ捦㐶愸㠸扤愳愰㕤㌷㝢慤㐸㠶扦㉡昳㘸ㅡ戱搹愳户慦㑤㡥愳挷㉤〲挶㕣㑣㈰㙦晥扡〰㤶㄰㜰っ〱㜴づㄶ昶㡥㐵挸慤挷戹昹〴愳挷ㅤて㌸㜸㕣攰戰㍦㠱ㅡ敢㑥捥㕦㘸㝦㈹敤㉦〱愰戴挷ㅤぢ摤㍡㝡ㅣ㝤㝢㠵戳㘵㌴㜲㍣㐲㐵㥣晤ㄵ摡㜵㜳㐶㘷㘰晣挱㤷㠰㐶㙣捥攸ㄱ㙣㔳攲㉦ㄴ昹㘴㘰捣攵〴搲㕢搸〵昰㌷〲㑥㈱㠰づ挴挲搹愹〸㌹㝡ㅣ㝥慤挹攵㥥搷改〰㠱㈹㍡㄰摢㔶ㅤ㑣慤愰搵㌳㘸㤵捥扥愵㑣搱挳㜷ㅤ㑣㥤ぢ㠸㌰㜵ㄶ㡤搰ㄱ戸㠸愹㜳愰㕤㌷㔳㜴ㄸ挶ㅦ扣㠹㘹挴㘶㡡㕥挳㜶㤱ㅤ㑣慤〴挶㍣㡦挰ぢ摤〱攷ㄳ㜰〱〱ㄷ〱㈰㑣㕤㠸㤰㠳㈹晣捥㤴ぢ㔳ㄷ〳〴愶攸㘴㙣㘷㍢㤹ㅡ慢㑦㕤㐲慢㤷搲㉡ㅤ㠲㑢㤹扡ㄱ扡㜵㌰㐵ㅦ㘱㘱敡㜲ㅡ戹ㄹ愱㈲愶慥㠴㜶摤㑣摤㡡㘴昸慢㌲慦愲ㄱ㥢㈹㝡ㄶ摢㐵㜶㌰㜵㌵㌰收㌵〴搲敢搸〵㜰㉤〱搷ㄱ㐰㐷㘴㘱敡㝡㠴㥣㑣挵摤㤸扡ㄱ㈰㌰㐵㘷㘳摢慡㘳ㄶ扢㠹㔶㙦愶搵㠷〱㈸㥤挵ㅥ㠵捥㘲慡㡥㔶㜸〴昱㜱捥昷㡦〱㈲㑣摤㑡㈳㜴㈸㉥㘲㙡ㄵ戴敢㘶㡡㡥挷昸㠳攷〶㡤攰㐴㍥昴㍥戶㡢散㤸戱敥〰挶扣㤳挰搵敥㠰扢〸戸㥢〰㍡㉢ぢ㔳昷㈰攴㌶㘳戹昹㈸㘳挶扡て㜰㜰㐶㘷㘵扢〰㡥摥㜵㍦敤㍦㐰晢㜴㉣㉥敤㕤昴㈶㕥㐷敦㝡〳㄰攱散㐱ㅡ愱搳㜱ㄱ㘷て㐳扢㙥捥摥㐶㌲晣㔵㤹㡦搰㠸捤搹㍢㌸戳㡢散㘷㈵慣〱昱㈸㌰收㘳〴搲㝢搹〵昰㌸〱㑦㄰㐰㠷㘶攱散㐹㠴ㅣ扤㉢攸摡扢㔶〳〴愶㍥㜰㔸㜵昴慥愷㘹昵ㄹ㕡晤ㅣ㠰搲摥昵㈵㜴ㄶ㔳㕢搲ち㡦搲摥㐵愷㘴㘱敡㌹ㅡ昹ち愱㈲愶㥥㠷㜶摤㑣搱㡢ㄹ㝦㔵收ぢ㌴㠲ㄳ昹搰㤵搹㈶挲搱扢㕥〴挶晣㈷㠱㜴㜳㜶〱扣㐴挰换〴搰昳㔹㤸晡ㄷ㐲㥢摡ㄷㅥ㡥㈷ㅢ昲㙢㙡㉥㤳搷慢挰㠳㌴㝡㌷摢ㄹ㌸愶昹搷㤸挱敢捣挰挰㌳戰搲敥㔵ぢ摤㍡扡㤷〹㠸㤰昶㈶㡤㜸㄰㉡㈲敤㙤㘸搷㑤㕡ㅤ㤲愱㝣㔵收㍢㌴㘲㤳㔶て慤㕤㘴㍦㉢㘱㜵慦㌵挰㤸敦ㄲ搸捤ㅤ昰ㅥ〱敦ㄳ㐰敦㘸㈱㙤㉤㐲㡥敥ㄵ㜶㕤㄰㍦〴〸㑣㜵㜷㔸㜵㌰昵ㄱ慤㝥㑣慢㕢〱攰戸㕡晢㠴挹昴搵摡㝦㜰捥慢戵慤〱愹㝣戵昶愹㐶㙤〳搴㝡㕦慤搱㙢摡扡㕡晢っ挹㘵昲㤵㝢㐹㕦㘸㘳㍤㄰捦慢戵㘷昷㌸昶愹㕥ㄳ〷つ㕤晤挲挲ㄵ〷㙤㔲㝥挷㠳㥥搵㔶㥢㥥〰㌴㑢㕥㜶戵戶ㅤ㈰搲愶晦〳摢㡡づ搸㔶㥢㕡戹㥡㕦㐳摢㘱㥢㥡摦攸㌲㙤㡦愴搲慥摦搲㤰㤵㔹㤵敡ぢ慤摤慥㉣㠱㙥搷敦㠰㌱扦㈷戰㥦㍢攰〷〲㝥㈴㘰㐷〰攴㙡敤㈷㠴昲㔷㙢〳ㅤ挹〶ㄴ散晥捣㘴扦㌰㔹ㄴ㠰搲㜹㠱晥搵㐲㠷昱㉢㈰敢扤㜷愶㐷戶㔰挴㠷㈶㡡慥搹㐵摤ㅥ㡦㉤㍢愶㐸慥搶㜶㐵㌲愱愷ㄳ㡤搸昴っ㠶搶愶挷㌱㔷攰〷愷昰㡢摦〴敥收づ㌰〸攸㐲〰摤扥愵摢搷㈲攴戶ㄲ戹㜹㝢㘳㈵昲〰㡥〱㌰挲㘱摦㌱〰扡搲㝥ㅤ敤㡦〳挰㌱〰扡㌱㤹ㅥ〰㕥㥣㜳〰㡣〷愴昲〰昰㘹搴〴愰搶㝢〰搰ㄳ摣ㅡ〰ㅢ㈰㜹㘱〰㜴搷挶攸㈴捥〱搰㝢收つ慢㠳㘷晤㌰㘴㔵摢慡㥡搹摦㜷㈹扢㕤㐱㙦㜱㙢〰㥣〱㌴㑢㕥㌶〰愶〲㈲慤扢㌱㙣㉢㍡㤵ㄷつ㠰㑤愱敤㜸〰㙣愶换㐴〷㜴㘹攱捤㘹挸捡慣㑡搱〳摤㙥㘱㤶㐰て㠰㉤㠰㌱户㈴㤰摥改㉥㠰慤〸搸㥡〰晡慢换〰搸〶愱晣〰㌸挸㤱㙣㘰挱敥戶㑣搶㠳挹㜲〰㌸ㅡ慥ㄷ㜴㜶挳㙤㠷㜳㌶ㅣ㥤换㉢㌷㕣㙦㡤㥡〹搴㝡㌷㕣〳挰㔶挳昵㐱昲㐲挳敤愰㡤ㅤ㡡㜸㌶㕣㘲换挹晢搵㑤㕦㌳㘴挵㥡搳㌷昹昰慢㙦㠷搸㌷戰㔸㌰ㄶ慤ㄱ㌸慢攱攸㔸捥㤲㤷㌵㕣ㄳ㈰搲㜰晤㘰㕢㌵㈳㔴搴㜰晤愱敤戸攱〶攸㌲搱㌹㕥ㅡ㙥㈰つ㔹㤹㔵㈹㝡挷扢戴换㈰㘰捣㥤〸㙣㜳〷昸〹〸㄰㐰㕦㝡㘹戸㈰㐲昹㠶愳扢扣㙤搷搱㜰㈱㈶ぢ㌳ㄹ㕤摢ㅤつㄷ㠵捥㙥戸ㄸ捥挹捥㘲㐰㉡㌷㕣㕣愳攸ㄹ扦摥つ㜷っ挰㔶挳㈵㤰扣搰㜰扢㘸㘳㜴慥㘷挳㔹挷攷扦㌶㕣摡㌸㜰攲扣㔱㐳慥扥晡搲㤶ㄷ㕡㉥ㅤ㠲晤㠰㌴摣昱挰㔹つ㜷戱㐰㕤ㅡ㡥㍥昸搲㜰㠳㘱㕢㉤㐵愸愸攱㠶㐰摢㜱挳つ搵㘵㕡㠶愴搲㜰挳㘸〸搹挹攷慦搰摡〴戳〸㝡挴つ〷挶ㅣ㐱攰㐹敥㠰㤱〴散㑥挰挹〰㐸挳㡤㐲㈸摦㜰㜴攵户敤づ㈸搸摤㠳挹㐶㌳ㄹ摤敥㑢㤷㥣㤵搰㔹㑢捥ㄸ㐰搶㝢挹㌹て挹㠴愲戱㌴㝣㍥㐲ㄶ㐵摡㡦㘹ㅣ戴ㅤ㔲㈴㑤㐱㜷㝥愱㘷㍣㡤搸昴㕣〴慤㕤つ挷㤲㌳〱ㄸ㜳㈲㠱昴昷㜷〱㑣㈲㘰㌲〱㤷〰㈰㑢捥ㄴ㠴摣㤶ㅣ㌷捦㝦㉣㌹搳〰挷㤲挳慦〰搸昶ㅤㄷ㍦㝢搱晥摥戴㑦㜷晤搲摤㈹㝤昴慤㙥挵㘷っ㜲〴㈱㥤ㄷ㡣户〰㈲㥣敤㑢㈳㜴攵㉦攲㙣㝦㘸搷捤ㄹ㕤晥㠵戳〳㘸〴㌹挸㠷㝥晦㜶㤱晤㔰敡㉥㜵㈰㌰收㐱〴昲㍢〱㉥㠰㠳〹㤸㑥〰扦㈶㈰㥣ㅤ㠲㤰㘳㜷㡡㥦㠱㜵搹挷愷〰〲㔳昷㍡慣㍡ㄶ攷㌴慤㘶㘸昵㔱〰㑡㝢摣攳搰㔹㑣㔵扣昸㜹〲㄰㘱㉡㐷㈳㑦㈲㔴挴搴㑣㘸搷捤搴㙡㈴ㄳ愶ㅡ㘸挴㘶敡㘹㘸㙤㈲ㅣ扤敢㔰㘰捣㔹〴㍥攳づ㘸㈴愰㠹〰㝥㤵㐰㤸㙡㐶挸戵㜷戹㝣㠳〰扤㙢㌶攰攰散〵㠷㝤挷〵攳㘱戴摦㑡晢慦〳攰㤸㕥摢㤹㑣㙦㘸收攰㥣搳敢ㅢ㠰㔴㥥㕥攷㙡搴㥢㐰慤昷昴捡㙦ㄷ㔸搳敢㍣㈴㉦㑣慦ぢ戴㌱㝥昱㠰搳敢捥搷敥昷挸攰㠱扤㠶慥摣敤㥢㑤㔳晦搸愱㙣㐳挳㙦㈰㔸慤㝢㉦搰㉣㜹搹扡昸㉥㈰搲扡ぢ㘱㕢昱㡢ち㐵搳敢㤱搰㜶搸扡收㔱扡㑣㙢㤱㔴㕡昸㘸ㅡ戲㌲㠳扢ㄸ戴㜶ぢ戳〴㝡㉣㉣〲挶㕣㑣攰㐷敥㠰㈵〴ㅣ㐳挰挷〰挸昴㝡㉣㐲昹改昵㍦㡥㘴〳ち㜶㡦㘳戲攳㤹㡣㕦㐹㈸㥤ㄶ昸㍤㠴㜵㑣ぢ晣㤶㠲搰戱㤴㐶昸㜵㠵愲捥扥っ摡づ改㤰愹昴㈷㈴ㄳ㉡㑥愴ㄱ㥢㡡㥦愱戵愹昰ㄷ㡡晣㔷㘰捣㤳〸晣挵ㅤ㜰㌲〱换〹攰㔷㈱愴戳晦つ㈱挷戴㠰㥦㌶㜶㤹ㄶ㑥〵〸㕤扣ㄳ㘶㐰㍢㕢晥散㠵㙥㠱搳㘸昵㜴㕡慤攷〵㄰㈲捣ㄵっ攱㠴㥦ㅡㅦ戴愵㍥㥤㘵晥戶㤲㐳㡥㥥户㔳摢ㄷ㌴挲摢㤹愷昴昱戴捥昸ㄴㄹ㉥㔶搰挱昳戴愵ㄵ慤搸戹昴昷捤昲㘹ㅦ㐷愶㕤㌷㉡昹〵㕣㐹挶㤸㙥㈸㑤捤愱㍦㤶晦捡㙢㍥㍤ぢ㕤昸㌹㑣愶攱㘱㥣㠹㈲㙥㌴扥㈱摤摡搲搶㤲㙢敦㌱ㄵ㥥晣㍤昸㡢挲㌹戸㔷っ慢㤹〹㡢慥㜹戲㘲㥤㥢昹扡㥢戹晣㠵㑤捦慣收㤶㜹捤㔲㥡㥡㌶晥戰戲昰搵愵ぢ戳昱㌰ㅦㅥ摢㠱㌸摦〶㈸愸て〱昳㙣㤸愸昷晡㌶㐴ㄸ慤㔶㘵㥣㠳㜰㥦ㄱ挳㐷㑣㤹ㅥ㑡收㐲戹㔴㉥ㄶ换挶搳攱㔴㉣㤶㠸〶㈲戱㕣㌲ㄲ㑣挵㜳改㜸㌸㘸㥣㥢㠷挶攲晥㜸㌸㤰ぢ㘷㘳攱㐴㌸㥡捣㈶㜳搱㙣㉥㥥㡡㠷㔲搱㔸㌴㤶㡡晡扡㙢昳收㑡愴㌱捦㠳昰㙤㘴慢捥愷敡〲慡㌶戶㔵〴〸戴㘶㌳愸搶搷㜷ㄶ㠹慡㔴ちて愰㌲㉡摢戹㑢㤷㌲晦扦㌲㥦摢晣㙦慥ㅡ〶㕤㙥㙢づ〶捤愵㑥㠳敥㠹㡡㕢㤱㠹㔱捥㉡昳ㄲ㤶晢㔲〸㡦㙦㜳㈸愸㌳㉥㐳㜰㠳ㄱ挳愷ㄷ扦慣挸戸ㅣ敡㍡愸挵愵㘵ち㝥㙡搹戸〲㥡㙥搰㌸扥㘳攰摢㐲㕢㌱慦㐴愴搹㡢㜹昴㠴㔰㕢㐱㉦㙤㝢つ昴㍣㤱捦㌶搰㜲㍣愸㘹愸〸㝢㈱㈲慡㡣敢〰愹搸戵搴ㄴ挰搸扤㡡扢挷戶戴㠴挴收つ㐸㡣敥搱〳㘱改ㅥ㌷㈲㙣㜵㡦㜴㌲攴捦㠶㜳搱㕣㌴㤵〹㘷㜲㈱扣㤲㈵㥥㑥㈴㐲㔱㝦㍣㤱㠸攵㘲挶㑤㜹㘸㈴㤴ぢ㠷㜲戱㐰搴ㅦ㠹㠵㤳㠹㄰晡㐵㌲ㄸ㡤挷㐳ㄹ㜴㈶㈴昵昵搴收捤㥢㤱挶扣〵挲搷换㔶摤㑡搵㙤㔴㙤㘷慢〸㄰愸摡ㅥ㉡㜶ㄱ㌵ㅡ㔵㘰昳攱ㅣ㜷扢ㄹ㝦ㄷ㠴挷㐷㠷㕤敡㡣扢ㄱ㜴㘹㠶㝢愰㉥㙥㠶㝢愱㈹㙤㠶扥摡㡡㜹ㅦ㈲攵㝤㐴昲㘶愲㥡ㅤ愱㉦敤㌰㡥慦㕤㌸扣㑣改㐶敦㜳戸晥㑡搷摢㈰愷㝦晡㜵㈲晣捦摡愹晡㌳㜸㉤㜵戶扣〰搷㌹敡愴ち〷ㅣ挴捥㕦捡㐱昱愰搱㜵㤳㕦㌷晥㝤㍥㔰㥥㥡㈱㘸摢昵换㠵㈳愱㌰挱摡㐳搳㘳㍥㠸愶攳㌶㠸摥戹㌲㜴ㅥ㠲挲㍥搴〰㌷㙤捤㐰㘸搷摦挱㡥㔶扢ㄷ扥扢挰㙦愹昴㙦㠴慦攱㝡㝣㈹攸㘱㤴㐵搱愷慥扣㘴〱㕢晢㈸㌱挸〲攱㉡ㄵ㠲㤴愱㥥〰㌱昹愱晥㌸㈰㤵㠷㝡っ搰戲愱慥挲戶晤㈷㤱搸㠰㙤㝥㝣ㄱ㘸ㄱ慥㌲㥦㠲慣敦攴㡢㌲㔷ㅣ扥㤸㝤ㄲ户㑦ㄲ晡挴扢㌳㑥㌸㡤搰挰㝦昵昰敤〲换捣挵㔸㡤搲戸㡣攲愷愱㉥ㅥ挵捦㐰㔳㍡㡡㜷搵㔶捣㘷ㄱ㈹㙦慥㤲㜷㔸愹摤愰ㄷ摥㥦㠷㥥㈷昲ㄹち慤㌰㍣搰挹昰㡢㠰㔴㘶戸扦ㅢ挳扥㘱戴〴戳收㑢㐸㡣挹㜴戸㉥㠷昱㌲挲搶㘴ㅡ㑦㈶愲搱㜸㌲㥡㡥㐵ㄲ攱〸㘶搰㜴㉣㤵㑤㘵愳挹㜰㉥ㄱ㐸㈵㘲挶扦昲搰㐸㍡㤲㑡㠷〳挱㙣㈸㤷っ晢ㄳ改㜸㉥㤷昰〷晤挱㔰㈸ㄳ㠸㘴㐳〹攳㤵㍣㌴㥥㑥晢㈳挹㔴㈴㥥㡢愴挳㘱扦㍦㥥昳㠷㈳搱㔴㌰ㄵ挲慣ㅤ〸㠷㝣㈳㜴㐹捣㔷㤱挶㝣㡤攲㜵〸摦㐸㕢晦〶㔵㙦㔲扣㐵㍤ㅤ挸昰㠷㥦〸愲㡡㔰㐹愴㐶㐳㈹搳昰搶㈰㠰搳㌰搷ち昳㍤挶扦て攱昱搱㔱㑣ㄲ㜲ㅡ㌶㌹改㥡㥣㘷㝤㘳㙤晤㐷㔴㐵㤹㉡〲愱挶㐱捦挹搵愳㌶㠲㌵づ㝥愶昶㤸晦〱㡣㠳㜸㍣㠲搲㘴㐵㠳㜸㠲慢㤶慥㘱ㅣ挸收㘷㐸慣㈶扢㘲愶摡摡㉦㠸㐱㔶〸㔷愹扤㈰愵ぢ㜴㐳〱散㐱㘶㜲㤰㜱㔷愶敡愰㉤ㅦ㑦㝢摢愶扥〶㉥㍦㥥昶㠱㤶改捣㙦㈰㌱㥥昶㘵〶㌸㝣晢搹㈷晢摢㈷〷攸ㄳ敦㠱㌸昹㘳挶ㄳ摤扦㤸㡢挹昱㘴㜲昴㤸ㅣ㌰扥㠳㙤晤て㔴敤㑡挴㉥㄰敡㄰攸㠵敥㥦愱㤷搱㐱㙤ち㕡愱愷摡㐱㡦昱㉢㈰㤵㐷㐸㤵ㅢ㘷扥㌴㉤㌱㌷㔵㈳㈳㈴㠳戰㙣㌷慡ㄱ戶㐶㐸㌶㠷㉤㐶㉣ㅡ〹挴愳搸㝢㐶㈲挹㔸㈴㤹㐸愴〳搱㙣㉣ㄳ㑤晢晤㐶愷㍣㌴攵㑦㘶ㄳ㤹㐸㍡㤳つ㐷挲挱㜰㈶ㄹ㠹㠶戲愱㐰㌸㠹搷〸㐴㈲愹戰㡦ㅥ㘳搲㐳㍢㈳㡤挹㔷〴晡㜲戶捡愰慡ぢ㔵㜴ㅢ㉢㐶愹㐳愱㤲㝥晥捤て㡥敤㐶㔷㈶愹㠳昰昸攸て㠶扦㉡愳ㅥ㐱㤷㠹慡ㅢ搴挵ㄳ㤵ㄷ㥡搲㠹慡㔱㕢㌱㝤㠸㌴㐷㤰㤸攱㈴扣ㄹ㝡㘹㠶敥搰攷㥢㘱㌶戴搲っ㥦愰㔰昹㕥捡㠹㑡㝡改挷搰㤶昵㔲摦㘱㑣㐴挳㥢挲ㄴ收愴㔶㠴昱㔷㘵㙣㠶戰摥攰〵〲愱㘸㈲㤰㐸㈷㜳攱㜰㌴㥤㐹㈶〳挱㜸㍡ㄵ昵㐷戳挱㔸㌰㤲㌲㌶捦㐳㌳挹㘸㈶㄰㠸㘵㈳㝥㝦㌲㥣㡣㘶㔳㈹散〶㔳搹㐸㉡ㄱ㡤㘷愳愱㠰戱㐵ㅥ㥡つ昸㘳㤱㙣㈶ㅤ捣㘵㤳攱㐸㌶㤰捣㘲收㑡愴㤲晥㜰㌲ㄶつ㘷㔳扥㌶㕤ㄲ㜳㑢愴㌱户愲搸ㅡ挲搷㙥敢㑢收愴㌹戶㍥て㤵㤴㙡㍥昴搲㔶慦敢戶㤲戶散㐳㝢摢㐳㜸㝣ぢ散㠴㈵㜳搲攱戶㝥㐷㘲挷㤲愴㌱㄰敡〸攸㠵晤㠱搰昳〴攱㉡㜵ㄴ愴戰晦扣㠳㝤㘳㈷㐰㉡て㠲攷㕣㥢攴㘸㕡㘲㙥〱㈴㐶㤳㉣㐲㤸㘵㌶㠲〸㕢㑤㠲扤㜲㌲ㄳ挷搵㔶㈶ㅡ〹㠷ㄲ㤹㈴㉥扢ㄲ攱㑣搰㥦㡡〶晤挹㜸搸〸攵愱〱㕣㡢㐵攲㤹㔸㉥㤵昶㠷ㄳ挹㜰㉡ㄸ㑡〷㈳㈰㌸ㄷ㡤㠵攳戹㠰㙦戱㌶㙦㠶㤱挶㡣㐰昸㤶搸慡㈸㔵㌱慡㡥戱㔵〴〸㔴ㅤて㤵㄰晢愸㈶ㄶ㘱捣ㄳ㡣摦ㄵ挲攳愳㡢㥡攸㑡㠸㕤㙡敢㠷ㄲ换㥢愴昲㔶㐰戵っ㝡㈱㜶〴昴昹㙥晤㔷㘸㠵搸㝢ㅣ挴㥡昹㙥㝤㤷㉢㠷㈷㌱ㄱつ敦〱㔳攰昰㘴㥤愵㌱ㅡ㘱㡢挳㔴㉥ㅤ㐸挴晣昱㘸㌸㤸っ愷戳㜱㉣㠷搱ㄸ愶㤵㔸㈸ㄴ㐹挷㘳㐹㘳㑣ㅥㅡつ㘳敡挸挵戲攱ㄴ摥昳ㅢ㑢昸ㄳ㔱㉥戳攱〴搰挱㐴㉥ㅤ㌲挶ㄶ愰戹㘰㌶ㅤち攲〸愴挲昱㙣〸㤷挹〱晣挵戲㠹㘰㉣ㄵ捣愵㝣昴㝦挳㕦㤵戹㈷搲㤸攳㈸挶㐳昸晥㘶敢㑢扡昵㈹戶㕥愰㤲㠸㜸㜵㍡昴挲晥戵㥡㝤改搶㝢搱摥摥㄰ㅥ摦ち㍢㘱〹晢㘷搸晡晤㠹摤㤷㐵搹〷㐲㥤〵扤戰㝦㄰捤㔳挳捦㌹搰ち晢ㄷ扢戲㝦愱㉢晢攷㌲ㄱつ㈷㘱ち散慦搴㔹ㅡ㈹㠴㉤昶㐳挱㘴㌰㤰づ挶晣改㔰ㄸ散〷㔲㤹㘰㌴ㅤ〹挷㠲攱㜴㈲ㅤつ愴㡣㜴ㅥㅡ㡤〵㤳㠱㔸㈰㤲挳㜵㈲㌸㑦挷㠳昱㌸㘰戹㌴㐶㐰㉡㤶挹ㄹ㤹㍣ㄴ㍤㍡ㅥ㑤〷㤳㤹㑣㈴ㄴ捥晡攳昱㘴ㅣ㐶㔳ㄱ㕣㘶愶㠳搱㐰搰㐷㥦㍡晣挱㔹ㄸ㘹捣ㅣ挵っ〸摦昹戶扥㠴晤ぢ㙣扤攰〹㤵㐴敡㘲攸㠵晤㔳㥤散户㌰㝥㌶㠴挷㜷㠹㥤戰㠴晤㑢㙤㝤㍢戱搳㔹㤴㠳挹昳攵搰ぢ晢昳愰捦戳㝦㈵戴挲晥㔲㔷昶㡦㜷㘵㥦㙥㜳挲晥㐲㤸〲晢㔷敢㉣㡤㈳㄰戶搸て愴㠲改㌴晡㜲㌴ㄸち㠲ㅥ㝦㈲㤲〸挵ㄲ㘹㝦㈶㤲〸㠶㘳㤱戸㜱㘴ㅥ㥡㑣攱㤲㍤㠵㐹㍦ㅥ㑥愱敦愷ㄳ㈹㘰㜳㐸㥦㐹愶搲㘹っ㤳愳昲搰㔰㈴ㄵ捦收㐲攱ㄴㄶ摣㜰㍡㤸㡥愷㠳ㄹっ戰ㅣ㌶戰㘸〲㑣改昴搳挳ㅦ㍣㙣㤱挶㕣㐴戱ㄸ挲㜷慤慤㉦㘱晦㍡㕢㉦㜸㐲㈵㤱扡ㄱ㝡㘱㝦扥㤳晤ㄳㄸ扦っ挲攳扢挹㑥㔸挲㍥㍤昶昰㔷㘵㥥㑣㙣㡥㘷㔹戲㝦㉢㤴挲晥㈹搰攷搹㕦〵慤戰摦散㘴㥦㜷攸㘴㐱㙤㜴㘵晦㜶㈶愲攱ㄵ㌰〵昶敦㐰㔸㘶敦㌳㄰戶搸㑦㐴㌲愱㜴㈶㤳〹㜱㤳ㅦ〸㐴㤲改㄰ㄶ挸㘸㈰㤱挸㐶㘳搹㜴捥㌸戳〰挵慥㍦㥥づ㘰づ㠹收㌰㝢挷㤲愱㈸㍡㌸㕡㈹㥡挶搴ㄲ㑡昸敥搴收捤戳㤰挶㍣ㅢ挲㜷㤷慤㉡摣㔰扢摢㔶攵㔱敡㍥愸㠴挳㤴收㄰㘱摣㝥愳㤵ぢ㈱㍣扥晢愱㄰ㅤ㙦㕣㤹扣㑤㘵昲捥㤴敦〱㕢㝦㈹戱㑤㑣搵〸愱ㅥ㠴㕥㌸扣〲晡㍣㠷て㐳㉢ㅣ敥敢攴㌰㍦㝢敦敤捡㈱㕤昳㠴挳㙢㘰ちㅣ㍥慡戳㌴慥㐵搸攲㌰㡤敤㕥㈴〱ち㤲攸挱搱㤸㍦㤵㑤㐴㜳昱㑣〸㔷㐲昱㔴㍡敥㌷慥换㐳㜳㤱㈸㈶ぢ摣㘷㐲㔷づ攳づ㘶㉡㥥㐹㐷㤲戹㙣㉥㥤㑢挵㠲挱戰㜱㝤ㅥ㥡㠹㘵〰㑤愷戲㐱㍦愶㥡〴㝥搶㈲㤳㡤㘷㌲戹㜰搲㥦〸㘳愵昰搱ㄷ㄰㝦戸ㅦ㠶㌴收㡤ㄴ㌷㐱昸ㅥ户昵㈵㍤㤸慥㠱㠲㈷慡㤰㐸慤㠶㔲搸ㅦ慤搹㤷搹晢㑥㠲敥㠲昰昸㥥戶ㄳ㤶昴攰㘷㙣晤㝤挴昲ㄷ㔶㑤晥㕥慢㝡づ㝡㘱晦敦搰攷搹愷愳㥦戰扦㥢㤳㝤摥〸㤴ㅥ扣慢㉢晢㉦㌰ㄱつ㍦〲㔳㘰晦㐵㠴愵〷㍦㡡戰挵㝥㌴ㄷ〹㐶㐲戸搹㥢挹㐶挳戱㜰㌸㤵昳㈷㘲㠱㐴㌲ㄷぢ攷㐲搱㙣挸㜸㉣て捤愴㘳戱㘸㈸ㄶ〶㥦愱㜰㌲ㄴ㠸〷〲昱㘴捣㥦换㠶㘲搱〴㘶㜱摦㍦戵㜹昳㜱愴㌱㥦㠰昰扤㘴慢㙥㘵慦㤳㝢㝥㉦摢慡㍣㑡扤ち㤵㜰ㄸ搴ㅣ㈲㕣㘵㍥㑢㉢捦㐱㜸㝣慦㐱㈱扡ㄲづ㕦户昵㉦ㄲ扢㤰愹昸㤳慦敡㑤攸㠵挳㤷愱捦㜳昸㌶戴挲㘱㕦㈷㠷昹ㅥ扣扤㉢㠷敦㌰ㄱつ扦〶㔳攰㜰㡤捥搲㜸ㅤ㘱㡢挳㐸㡣慢ㅡ㌸ぢ㘶㌰戱愶戲㔸摤㘲戱㜸㈴㡡㑢昳㔸㉡ㄲ㑣ㄸ㙦攴愱㐱㕣户㠴戱㐹捥〴〰㑤㘳戲挶收ㄹ昷㕡搳㘹㉣㙢㘰㍢㘸扣㤹㠷㐶㘲搹㉣㉦改戱摦㡥㠷晤㔸昸㘲ㄹ㝦㉣ㄷ挷〲㡢敤㝢㈴ㄴ昵扤慢㑢㘲扥㠵㌴收摢ㄴ敦㐰昸摥戳昵㈵㍤㤸摥㠷昸挳㠵㝦ㄱ㕥㝤〸愵戰扦㤹㘶㕦㝡昰㐷〴㝤っ攱昱搱换㔰ㄲ㤶戰晦戱慤晦㤴搸㈵㌴扤㤸散㝦〲晤㡥昸㜸㤴ㄷㄶぢ㤷晡㕦搲ㅡ㉥昵晦㠳㌸㘹㥤愲㑢晤㑦㕤戵昴㉢ㅣ㠸㡦昹ㄵㄲ慢㉦㕣㌱晦㘳㙢扦㈱〶㈵㐰戸㑡㝤つ㈹慤㙤㍡㕢㍢㝦愹摦挵慤戵搵㌷戶愹ㅦ㘰㉡㝦愹晦㉤戴ㅣ㘹收㡦搰攲㔲晦㍢㘶㠰挳昷扤㝤昲㠳㝤昲愳㍥昱晥㠴㤳㍦收㔲㥦扥㠳捣愵昴㔲晦ㄷ㕢晦㉢㑡㈹㙦〸㤶㜷〵换㑦㈸〸摤搵愸㄰㑦攴㔳捤ㄵ〰㈹搴捦摦㍢慥㌱昳㑢攲㡦搰㤶㕦㘳㜶㘲㈲㘶㙤挰ㄴ〶㐳㘷㠴㘵㐲改㠲戰㕥ㄲ㜱㐱ㄹ捡㘵挳㠱㘴〶㝢㌸㑣搱搱㜸〶ㄷ㌲㜱敥愶挳㈱散昱㙡昳搰㜸㌲㤲昳攳晡㈷ㅤっ攳挲㌱㥥㑤昱攱㔲㉣㠲扢㘵㤱㐴㍣ㄱ换晡㙡戴㜹搳㐴ㅡ搳〳攱㌳㙣㔵㔷慡敡愸敡㘲慢昲㈸攵㠱㑡扡昴ㄷ愸㐶晥㈱㠲㡦㐹㌶㠰昰昸扡〲㈰ㅣ㤶㉣㠹㜵戶㝥㘳㘲㤷戳慡㈷㤳戱㙥搰㕢㕤晡㐳㔸㉣㜴改捤㘹つ㕤摡㡢㜸攱戸愸㑢晢㕣戵ㅢ㐰㉢㕤㝡㑢㈴㔶摤㕤㌱ㅢ摢摡慤㠹㐱〹㔸㔸戵㈹戴搲㘶㙢㥣㙤㤶敦搲㙦扢戵㤹愲摢㥦ㄴ慤㈷㑣攱㑦㍥扥捤愱挵ㅦ㥥㐰㐱㠵㉥扤〵〳㌸㝣㕢摡㈷㕢搹㈷㕢敢ㄳ敦㌶㌸昹㘳扡昴戶戰㉣捤㔱㜲昷慡㠷慤摦ㅥ愵㤴㜷㐶㥢晣㑤㕥搵ぢ㝡慢㌹㕥㉥㙡㡥ㅤ〱㘳㜳㙣㠷昸昲收攸敤慡敤〳慤㌴挷〰㈴㔶㍢戸㘲挴㜳てㄹ㥢㠳㠸挱㠹㌴㐷㝦㘰愵㌹晥攱摡ㅣ捦扡㌶挷〰㍢㠳㈰㑣攱捦㙡㡥㠱搰攲て㉦㙡㠱ち捤㌱㠸〱ㅣ扥㥤散ㄳ扦㝤ㄲ搰㈷摥㈰㑥晥㤸收〸挱戲㕢㜳㠴㙤㝤っ愵㤴搷㙥㥢晣ㄵ㘰ㄵ㠵摥㙡㡥㐷㡢㥡㘳ㄷ挰搸ㅣ㌱挴㤷㌷〷摤晦捡戵〹㘸愵㌹〶㈳戱摡挵ㄵ㌳搸搶づ㈱〶㈵㤰收ㄸ〲慤㌴挷〳慥捤㜱㥦㙢㜳っ戵㑤㡤㠰㈹晣㔹捤㐱㍦㍤晣攱扤㌲㔰愱㌹㠶㌳㠰挳㌷挲㍥ㄹ㘹㥦散慥㑦扣愳㜰昲挷㌴挷ㅥ戰散搶ㅣ愳㙤晤㘸㤴搲扣〸攵㌳㉦㠴㔰㘳愱ㄷ㘲昷㠴㥥㈷昲ㄹ〷慤搰㜳慢㠳ㅥ㘳㍣㈰㤵㙦㙢摤散挶㤹㙦㍣㉤㌱户㠹㘴挷敢㥢㠰戰慣〲㤳㄰戶㔶㠱㜰㉥ㅥ〹挶㈳晥ㄴ摥㑦㡣换搲㔰㉡㥤㠹㠶戰㔷㠷ㅢ㐱㈶㄰っ㐶㡣挹㜹㈸㔶㠹㐰挶ㅦ㑦㈵搳㜸㐳㘶ㅣ㌷㔶晣〹㝦ㄶて㌹搲㌹㍦敥て㠴㤳扥㠹摡扣㌹〵㘹捣愹㄰扥㐹戶㙡ㅡ㔵㝢㔱㌵搹㔶ㄱ㈰㔰㌵つ㉡㔹〵慥㐴㌵昲慢挰㝥㡣摦ㅦ挲攳摢ぢ〰㈱戶㘴ㄵ搸摢搶ㅦ㑣散㤵慣敡ㄵ愴㔱ㅣ昶ㄸ㑡㐲㥦㈷㜶㝦愰㠵搸昳ㅤ挴ㄶ㙥㙢慤㜴攵昰〰㈶愲愹㉣㑣㠱挳〳㜵㤶㐶づ㘱㡢㐳摣㝢㡤〷搳ㄱ㙣捣㜱㕢ぢて㝤㔲戸㍢㥥挸攱づ㉥㙦捡㠲㌰㘳㐶ㅥ㥡っ〷㠳搸㔸愶ㄳ㜸㜸て挷㡥㘴挲㥦㡢㈴攳㠱㈴㉥㐶㜱㘵㥦㡢ㅢ㌳昳㔰㈴㑣㘰㜳て捥㠳搸㠱㈶戱㑦㑤㈴㜱㐷ㄸ㤷㐷戸っ㡢㠶㔲扥㠳散捡㌷㈰㡤㜹㈸挵㉣〸摦挱戶扥㘴㕢㌹摤搶ぢ㥥㔰㐹愴㔲搰ぢ晢㈷㙢昶㘵㕢搹挶昸㜶〸㡦㉦㙤㈷㉣搹㔶㘶㙣晤㝣㘲㙦㈰㐹搷㤳晤ㅣ昴搲慤ㄷ㐲㥦㘷㝦㈶戴挲晥戱㑥昶昳ㄷ㐶㑢㕣搹愷㉢愰戰㝦㌴㑣㠱晤㐳ㄱ㤶ㅥ扣〸㘱㡢㝤散户戳㤹㈴㙥づ愶㜰慦㉡ㅤ挸㈴㜰㡦㉡〶攲㔳〱㜸捡昸晤㈱㘳㜱ㅥ㡡扢戵㘹摣昸挲㤶㠵捦攴㤲㤹㤴㍦㡢扢㠹ㄹ㝦㉡㤳挶㕤摡㙣搴㌷㑢㥢㌷㤷㈰㡤㜹っ㠴慦搱㔶ㄵ㉥㡣㥡㙣㔵ㅥ愵㘶㐳㈵ㅣ捥搷ㅣ㑡㙦㍤㠱㔶㤶㐱㜸㝣㠷〱㈰扡ㄲづ㕢㙤晤挹挴慥㈲㠷户㤱挳㜶攸慤㤹扡〵ㄶぢ晢㤸㔳㘹つ㌳昵ㅣ挴ぢ挷㐵晢㤸戹慥摡㜹搰捡㑣㝤㍡ㄲ慢〵慥㤸㠵戶昶っ㘲㔰〲ㄶ㔶ㅤ〹慤戴㔹㠳戳捤昲晢㤸ㄹ㙥㙤愶㡥戲㑤㥤〳㔳昸戳㘶敡愳愱挵ㅦ㔶㈳愸㌰㔳㉦㘲〰㠷㡦㉥㝥㜲戲挴㍥㌹㐶㥦㜸㡦挵挹ㅦ㌳㔳ㅦ〷换搲ㅣ㈵晢㤸攳㙤晤〵㈸愵挹ㅦ㕥㌶敦㠶㔰㑢愱ㄷ扡㉦㠶㍥摦愵㤷㐱㉢昴ㅣ攴愴攷㐵㘸攵㕡晦〰㌷㝡㝣㈷㌲ㄱつ㕦㑥㈲扣扥扦㈲捣愲ㄸ㔷㈰㙣㜵改㜴搴㥦挱㕤㤲㠰㍦㥤捡㠵㠳㤸㕣㈳戹㕣㈰散㡦〶愲戸愶㡦〴㠲挶㤵㜹愸㍦ㄶ挷扤扦㜴㌴㤷㐸㠶挲昱㔸㌴㡥摤㝢㉣㥥つ愶㘲愱㙣㥣㡦㝦慥捡㐳㈳搱㈸㝡扣㍦㥤ぢ愵愳攱㘸㉥㠹㉥て攷愱㉣㥥收〵㤳戱㔴㈲攳㍢㐹㤷挴扣ㅡ㘹捣㙢㈸慥㠵昰㥤㙣敢㑢㈶㤴攵戶㍥て㤵㤴敡㔴攸㘵㌰㡣〷〱昹㐷搲户搲摥㙤㄰ㅥ摦㘹㜶挲㤲挱㜰扡慤扦㤳搸㠷㐸搲㠳㄰扥ㄵ搰ぢ㘵昷㐰㕦敦慤㌹ㅢ攱㕤㉡晦挲㥣挳㡢慢㍦㝥㠸〹㍦搴㥢捤攰㈷㌲昱晥捤昶〵扢㌷户户㉥攰っ搲〹㍦㤱㘹晤戰㘴攷敡㥤㝦㥦㉤㝡攱㙣つ㔳晣搴㡣㐰㕤晦ㄷ㜶搸愷ち慥㌳戴戸㉤㍥收㝤愸㜰捤㑡㔴搷昵㠷㥥㉣扦戶愹昸㙤搰散愰ㄱ挳㘳㠳㜶㥦㥦捥㌶㡥挰㡦㙡挱愹つ〹慢㌶㙥ㅡ搳㠶㔳扣㜷㜴㕡换㌰昹愹㈷㍡㕥㙥㘰晢扤昵户㕦㌳摦愷愰戱㝦㐷捤㑥㌶戱㌵㥦づ慦㙤㠷㥦㈳㈲晡昳愵昴ㅢㄷ㐲㡥ㅦ收摣戲愰挵捦攷㠱昰㙣挶戶搸㠶ㅦ昸改㕣摤愹散〵㥥攲戴㌵戲愵〹慦㘳ㅥ挴㕦攲愴戵搶㤶挶㌱ㄹㄲ戰愵换捦㤲づ㙦㘸㤷㥦昵摤ち昱捡㍣〷攴ㄸて愰戶挶攰摥㘳㝡㐷晣㌵㐳搰㄰愵㍦㘸㔴㌱㡦㘲摡㤹㈳晢〶㍣㤶㘰㔰㥤〷搳攴㕥㤹攷㌲㤳㠷慤㑣昶㐵㈶㙡ㄷ㘴挲㡣㌸㜰㍤收愳㐴昳搶慦慤㔲ㄷ攸〰慤㜹㉦㐱〰㔷晡㌲て攲㍦晢昸㝣㠸㍥ㅢ㙡晤㕦慢晦昷つ昵㕥㙡愷㌸㐸昵㍣㜵㔸捤摢㐷㤷晥挲㝢㐸㡥㝦て昱㙤挰攳㤴㈱敡㑡愴攸〳㍢愵㉦攱㡥愲㤰慦攲慤愲㘵㉦㈵㡦攸㠸搲㤷㤲晢慥㠱㈵ㄹ㙣慢㔱慢㝡慦扡〱㘱づ㌸ㄵ㐲ち昶㜲改㤸捦戰捡㌷㐳㙤ㄱ㜴㈳捥㡣攷㉣㠲㈶昷づ㠶搵㑥〰㤲つ㡢捥攷㠹愶敢愰㠵扥㠹攸ㄷ愱敢㌲戸昷戰攱㠴昷搷㜰㡢捦㤷〸攷㝡㥢攷昳㌶ㅤ㄰㍥敦㐴攰户昱㜹㤷㥤愲ㄲ㥦㔶ぢ散㌷昴㥡慢㜹㜸㠶慡晢㤰挲㡤捦敤㔱㔰㔷㍥晢攸㠸搲㤷㥡慢〷㘱㐹㤶㡥搷㔹㉢㘴挴㡦捦㕥戶搵挳㜶㜴㕥挳攸㐷愱挵ㅦㅣ㠰㤰〸慢攵㤳〸搴㌲晣ㄶ挲收摢ㄴ敦㔰慣愱㜸㤷攲㍤㠸晡㙡昵ㄴ㠰搲㕡㕢愲㍣昹搶㕡㡢㐸昵㉣愲ち㔵慡㐳㌱慣搷㝥㙥㔲愹㑡ㅢ敢㠸搲㌷挳晡㥥㠷㈵改㈲㥦㌰㔳慦㝡挹捥戴扢㌳搳㑦㤹改慢㠸戲ㅡ晤㘵㥣ㄹ㥦㐳挷㐶ㅦ搷㍢ㄴ㔱㕥愰搹挲㠸挰㈰晡㤲昰搷昲㜰㝡㕤ㄹ㕦㘹昸㔸挲扢㙡戸搵愵扥㈱晣昵㍣晣ㄵ挲扦搳昰㍤〹敦愲攱㔶㤷晡㠱㜰慥㕦㜶㠶敡㑤ㅤ㘰扣㝡㑢〷愴㝦扤㐷㕢搰昲攳㌸㉡㡦㔷ぢ戴搱㔰敦晢㜶捡づ晢搹昰㑢㠶㑡㡡㉢㉦ㅦ㉡敦晢慤扦㝡愸愲ㄳ㔶愱㜱㕥㐳扣搵㌸搵愸㠵㙢㝦㔳㍡愲散㠵戵晦㠱㈵㜶㌱戳ち㡥慦㍣㤱捦㘷戶戶愸㥢㝤〱㉤晥昰愲㙡㘰搱捤扥㐶㐰扡㔹㈷㠴捤捥ㄴ㌵ㄴ〶㐵ㄷ㡡㕡〸㜴戳㙦〰㤴㙥昶敤㜷㡥㙥收㐱愴晡〱㔱㠵㥡ㄴ扡搹㤷㐰扡搶攴ぢㅤ㔱晡㜶㔹摦捦戰㈴摤捣挷㑣扤㑡搵攸㑣㍦㜳㘶扡㈱㌳愵㌷㤱搵捤攸戶㘴㙣〴ㅤ搶㠳㝤搹て晥つ㌰ㅢ摤敡〷㥢㄰㕤㤳㐷搳㜳挹搸捣㐲㡦㈱晡〳㡤戶㍡搹ㄶ㐴搳㉤挹㌶愰扡攸㠰㜴ㄴ㝡ㅦ攱㙦晤㍢㡡㤷慥㑡㤲愲㔲〷戱扥戶晡搲㤰敥昶挴㑥㍦愴㍥㙣愲㔷㈹ちㅤ㘳㡤㘶慤㙣㘲㝦㐷㐷㤴扥㥣搶㐷捦㈵愱戳〷㙡〵㍡㌷㐵㔸摡昰㉤愴挸㑦ㄵ扤㔸攵㉤ㄱ㘵搱㐹㥦㈴愳㌷㜴ㅣ戵ㄸ㠶〹昵㕡ㄱ㐳摢ㄳ㑥昷ㅦぢ㑥扦㈴愳慦㠶㘳㤰㈷搴换ㅡ㡥戶挴㈰摦㤱㜰晡ㄴ㔹㜰晡㈶ㄹ〳㌴ㅣ愳㌶愱㕥搰㜰慢戵〶㈱捡摢㠷愰摦挲㌲戰㌸㌰ㅣ改㙣㈴㈹㉢戱㉤挰户㡦ㅢ㉡晦㔷㥤㘰晤㍦㜴昹㔰戵㈳㔲昶㠱戶㤴昵㘷㔰㍣搷㑥晣戴㡥㈸㝤ㄹ慥㡦ㅥ㑢挲㝡ㄸ㜵〱敢昴㌰ㄲ搶㥦㐲㡡㍣敢㔱㐴㉡㝡〳㔹扣搰敤挸㠸㐳㔷㌳戸昷攴摥〹昵㤸㘶挵敡㤵㍢ㄳ㑣愷㈰ぢ㑣挷㈳㘳㔷攸搰攳戱㥡㈶搴㐳ㅡ㙤㜱戸ㅢ搱昴㉡捡昷攱㤸づ㐸ㅦ摥〵〱晣晤㠶㍥㑣㑦㈳㐹搱㈱慢㔵戱愱㝢挹昱捦㈱㙡㈸攰㝤㕣搸扣㑦㤳㔶搶㠷敦搵ㄱ愵慦搲昵搱㑤㐹搸ㅣ㠹㕡㠱捤㍤㄰ㄶ㌶敦㐶㡡㍣㥢愳㔸㘵晡敤㔸〴搱〱挹ㄸつㅤ晢昰㥥摣扥摤㕥挴搰㔸挲改敢㘳挱改㠴㘴㡣搳昰㜱㠴摦愲攱㔶ㅦ㥥㐰㌸ㅤ㠲㉣昸㔸挲㈷㘹昸㔸挲㙦搰㜰慢戵愶㈰捡㑢㈷愱摦搷㠷改㔹戴敥㍥㝣捥㜳㔶摦㕤晡㠲昵晦摣㤷㠶㉡㍡ㅢ昵㜱㘱晤㙡ㄴ捦戵て㕦愵㈳㑡㕦摤敢愳㝢㤲戰扥㉦敡〲搶㤳〸ぢ敢㔷㈰㐵㥥昵晤挹ぢ㥤㜶㉣㕥攸㜸㘴ㅣ愸㜹ㄹ搷㍢ㅣ㔶㤷㘸㕥㉣ㅡて㈶㥣敥㐰ㄶ㥣捥㐷挶㈱ㅡ㍥㤶昰ぢ㌴摣愲㌱㐵昸㡣㍣㥣づ㐸㐶㐶挳昷㈴晣㕣つ户㝡㝤づ㔱㕥㍡〷晤㍥搶改㔱戴㙥搶摤㘶づ㍡ㄹ昵㜱㘱晤っㄴ捦㤵昵ㄵ㍡愲昴㔵挱扥㜹戰㈴慣㌷愲㉥㘰㝤㈱挲挲晡㘹㐸㤱㘷扤㤹扣ㅣ㡤㈸㡢㐶㍡ㅣㄹ戳㌵㉦㘰㍤愱㤶㙢㕥㉣搶㕢〹㕦㤴㠷搳改挸攰㡦户㕡搳㍢攰㈷㙡戸挵晡㕣挲ㄷ攷攱㜴㍣㌲收㙢㌸㔸㑦愸扦㘸戸挵晡攱㠸昲搲㈹攸昷戱扥捣㑥搹攱捣攲挶㍡㥤㡢晡戸戰扥〴挵㜳㘵㝤戱㡥㈸㝤㌵戱㡦敥㐸挲晡㈲搴〵慣搳愷㐸㔸㍦ㅡ㈹昲慣㉦㈱㉦昴散戱㔸愷愳㤱㜱㉣㜴戲改〰㉤ぢ㡢㘸㌹㥥㘸㍡ち㔹攸㌳㠹㕥㙡愱挷㤰挴㜹ㅡ㙤㜱扥っ㌱摥ぢ㠰挱㥦㄰㠹晦散愳昲ㅥ搴㝢愱㥤愲㐳昲慡㜶搳搷㌸㍦っ㔱昴㈶敡〳换愵㡢㕣慢收愶㙣㕡㍥㑣㐷㤴扥扦搸㜷〵㉣〹㘹㝦㐳搹㐱ㅡ㥤㠸㠴戴ㄶ愴挸㤳㜶㉡㘹愰ㄷ㡦㐵〳㍤㡢㡣搳愱戳愶㘵㕣〵捥搲㍣㔸㥤改っ挲改敦㘳挱改㕤㘴㥣愵攱㘳㜹搱㌸㐳挳㉤摡捥㈱㥣㍥㍦ㄶ㥣ㅥ㐶挶㑡つㅦ㐷㜸㕡挳慤㠱㜰㍥愲扣昴晥昹㝤㕤㤵㉥㐳扦㙦㠲愰ㄷ㔱ㅦㄷ搶て㐶昱㕣扢敡㐱㍡愲昴愵挹扥扦挳㤲戰㝥㈹敡〲搶改㍣㈴慣ㅦ㠰ㄴ㜹搶㉦㈷㉦㜴攱戱㜸愱㐷㤱㜱愵收㘵㌸户扣晢㘸㕥㉣搶慦㈶㥣㉥㐱ㄶ晣㌱挲慦㠵づ㍤㝢㌲搱㔳㌵摡㈲晤㝡挴㜸改晦㠳扦摦搰㔷改㉣㈴㈹㉡昵搵㠷扥敥㝢攰昲〷摦㉦摣摦愰摦㔰ㅦㄷ搶㈶㘸㜲捡晡敡㜸ㅤ㔱晡㘶㘵摦换戰㈴慣摤㡡戲㠳戵搷㄰ㄶ搶昶㐴㡡㍣㙢慢㐸〳晤㙦㉣ㅡ攸㐳㘴摣〱ㅤ晢㉡昶戵㘱戵㠷收挱敡㑤㜷ㄱ晥㜶ㅥ㑥㍦㈲攳ㅥつ挷扥㌶慣㐶㘸戸㐵昲㝤㠴扦㤳㠷搳㤷挸㜸㐰挳戱挹づ慢㈱ㅡ㙥戱晣㈰愲扣昴昳昹㝤㝤㤵捥㐱扦慦慦搲㕦愸㡦ぢ敢㍢愳㜸慥㝤㌵愱㈳捡㕥攷㑣㤷㈲戹㉡㝤㥣㔵㠷㐹昹㠸慦㄰敤ㄷ㕤㤵搲㍢㠸戴㥡㑦〲㡢慢㔲扡昸挸㔵改㔳〸㥢慢㈹㥥愶㜸㠶攲㔹㡡攷㈰㜰㔵晡㈳㠰搲㤴㍢愱ㄸ昹愶㝣ㅥ㤱㡡慥㌶㝤昲㌵㈹㕣㤵敥㔸愹㈶晤㜴㐴改扢㤷㝤搵愰㔲晡捦扦㤸愹㔷ㄹ〸㑢愶㍢㌸㌳㝤㤵㤹㥡㠸戲晡て摤㙥㡣搷愱慢ㄹ摣㝢晦摥ㄱ戵ㅤ戰昶㝥摣㘳扥㐹戰㈷て愶攳㡤昱戶〵ㅥて昰戶ㅡ㙣㜵㠶㌵〴㜷〵挴㑥慦敡㜴㠰昱㕥晡捥愰慥扦㘱㌰搲搱㐶㔲㔴ㅡ㡣戰㠶愳㜷㘱攱愰捦㑤㠱捣挲㌵改ㄶ㥡戳戲挱戸戹㡥㈸㝢㜱㌳摤㜲愴㕢㝣挸㕡㈱ㄷ昹㠸扦つ〲挵摤㠲ㅥ㌶搲㉤㍥〶ㄶ摤愲㈷挲搲㉤晥㡤戰昹〹挵㝦㈸㍥愵昸㡣攲㜳〸㜴㡢㕥〰㑡ぢ㜹㔱㡣㝣户昸ㄲ㤱㙡㝢㐴ㄵ㙡㔲攸ㄶ㥥㑡㌵㌱㜵㐴搹㕢㤶㜷㠴㈵愹挹㜷戴㙢搷㘴㠰慤㉤敡攰㜴㑥㤱㥡晣挰〲㜶昲〵ㄱ㤶㥡晣㠸戰昹ㄳ挵捦ㄴ扦㔰晣㑡挱㘸搴㠴㑥㈷㔲㤳㕦扦㜵搴愴ㅡ㤱㡡㥥ㅥ㙥㌵昹〱㐸搷愱晡扤㡥㈸㝢㈵㌲㥤㐱愴㈶戵戴㙢搷㐴扣㍣捡摡㠴㝥ㅤ㔲ㄳてぢ搸挹㐷攷っ㥣㔵㤹㕤㈱捤㍡㡡㝡㡡㙥ㄴ㕥ちㅦ〴㙡㐲㝦つ愹挹㘷捥㥡㙣㠸㐸㐵㈷〹户㥡㝣㕣愹㈶ㅦ改㠸搲昷ㄷ晢昶㠴㈵ㄹ慡㥢㌱㔳慦愲ㅢ㠴㘴晡㠱㌳搳㉤㤸改ㄴ㐴㔹㐳㤵扥ㄱ挶㔶搰挹㡡ㄷ昴慢㜷〱收㔸戳㠶摦㌶㐴搳㜵挱㐲搳㍤挲攸〱ㅤㄷ〶摣捡昶慢户㌴摣㥡改㝢ㄱ㍥つ愰晣㘸愵ㄳ㠴㙤捥㑢ㅦ㠷ㅡ昰㠵晦㥣㐷〷摢㍣㍡㐴㐸㡡㑡愳搵㝡㠱换㥤㐳攴〶ㄲㅦつ搰㌷愲挰㘷㘱戴扥慡㘹㉢ㅢ慤慦攸㠸搲昷ㅦ晢㤲戰㈴㝣昶㐵慤挰㈷㕤㈲㠴捦㤷㤱㈲㍦戰㜶㘴㤵改㘳㘰㌱㤴挳㤹㌱㐰㌳㠴愵搳慦㕥搰っ戱攳㜸捣㐱㠴ㅦ㥡㠷搳㔷挲昰㙢㌸搶㐲扦㝡㔶挳㉤晥㠳㠴捦捡挳改㉦㘱㠴㌵ㅣ㉢慤㕦㍤愵攱ㄶ晦㔱㐴㜹改换㠰扦昵㘷搹㙡ぢ摣㐱㙡户㔳㔶㘲㕢㤰㙥㌷㜴改ㄳ攱挶晡愳㈸㥥敢㜸㝣㐴㐷㤴扥㙦搹㐷㉦ち㘱㝤㔷搴〵慣搳ㄵ㐲㔸㝦〸㈹昲慣敦㐶㕥㤶㈰捡㘲㝤ㄱ捥㡣愱㥡ㄷ㙣昳晣敡晥㈲㕥㠶ㄳ㑥〷〷ぢ扥㤸昰㤱搰㔹摢㍣扦扡㕢愳㉤搲㐷㈱挶㑢㙦㠶摦搶㔷㤷搹㈹㉡戱㘷㍤挶㝡愸搰㔷改〵攱挶摡㉡㑤㑥㔹㕦扤㑤㐷㤴扤㤵昹㔴㔸㤲㔹㙣ㅣ㙢㡡㘶㤲捦改戶戶㘸㍥愶捦㠳捣㘲ㄳ㠰挵㉣㐶挷〵㥣挱㙦ち搲㥣㐴㌱㤹㘲ち挵㔴㡡㘹㄰㤸挵攸换㈰㑤㜱つ㡡㤱㙦㡡扤ㄱ愹攸㐰㔰愸㐹㘱㘵戹扣㔲㑤㉥搳ㄱ愵慦㔰昶㕤っ㑢搲晥〷㌲㔳慦扡摣捥昴ㄲ㘷愶〷㌳搳慢ㄱ㘵㌵㈸㥤〹㡣㐳愰搳ㄷ昶ㄱ㜵〱搰昶扣攳㌱㔳㠴昳戹扤〵愷㐳㠱㤱搱㜰摣㌶㠸愸㜳㌵摣ㅡ愴㌹挲慦捤挳改㔴㘰捣搴㜰摣〷㠸愸㌳㌵摣ㅡ㜵㠷㈲捡㝢㉢㐱㘰㤱ㅦ挷㔱㜹㙥戳㐰ㄸ㜵昴ㄲ㤰㤴㤵晡㡤㈰㠷摦㌲㔴晥扦㜲㤵㝥㡣㜲搷㔰㐵挷㠱〲敢㠵戹敥㔴ㄴ捦㜵搴㥤愲㈳捡㕥搹㑣㔷㠳㜵扤戲㤹扦ㄲ㤴㙤㤳㔷〸㝡㔱㤴㥡ㅣㅦ慦㜷捤㔹㙡㝡〷挸换攳ㅡ攵㐷㠱敡昰㠶搵搶㔹搹搶㜱㜸㤱㌰摥慢㍡戵愱㐹晦㉡つ㕥㌰捣ㄷ敡搸敦昰㌴㈵挴挴㐶㙥㘲㉢㕥敡搹㈵㌷愶つ慦㐷换搴㌶㑤㑡戶户㘷㕢㥢晦っ㍦㔴〲㕦昵捥㥣ㅡ攰㐷㈱㉦㜱㜶晤㠵愴挷ㄱ敤晡㈴㕥ㄸㅢ㔴攰挳㝥㐵㔶㌵㕦捣晡晢㝥愶挴㤸㡤㉥㘷晦ㅡ㘲挶昱慡攱捥㙡㌹㥡搸昲㤰㕦㔴昵慢㤴ㄹて昹捤㔶攰㡤㌶㠸㑥挳摡㥡㘴㜲㠰昰㤸敤搰挸㉦㘵㠹愸慡愱〳㐶㘹攵昸㥢㔵愳㔸晢㥡㜹つ㤹昶㤹挶捣㙣挳㡣㤹昸㕥㔰搷慥㡦㕢收㐵㜶㝥㄰㐹㍢昲㕦攰㔰改搲㌴㍤搹摡㥡㕣㔰摢㌴扤㌱摢㍣愳㝤㘶敤昴戹㜰搷挰㉢㤲戱敢慢慤慤㌵攷愲㍣捣㡡ㅦ昵㈸㉣搲慡㌹捦愹㕤つつ㝢慢㌱ㅦ㕡㜷ち晥攲㑡挱攱挰ㅢぢ㈱㡡㈹㌸〲ㅡ〷〵㡡㡦晡㐹㠳㝤愸攷ㄱ㤰㘲ㅣ〵㘴扥㜰㝣㘸㉦摡愳ㅤ㕡ㅦㅦ㝡换搴扡〸摡晡㑥㡡捦戳愵戰㡢ㄱ昶挲㡦㈴㥢挶㕢挶㝡捣愵㙢㐹㕢戵㍡捡㉥攸扦㠳㥢ㄷ摡敡ㄸ㘰㡤㘳㈱㍡攱㝤㜳㡡㌹㑡㕢ㅤ〷㡤戳愰㝣㌶㉥戳昱〲㔸攱㙣㉣㤳㤱㝡摢㔶捦搷敡つ㤰摥愳摥戱搵昳戴㝡ㄳ㔱慦戱搵㜳戵㝡㔳㔱昳ㄹ扢搸㥥愳搵㝤㐵捤愷敥愲㙥搷敡㝥愲㕥ぢ㌵㈹扢㙡挸㐷㐳㡦ㅡ扡㙣㤸晡〴〱愹昶㐹㈸戳昳㠵㔶挵㕤戵ㄵ㔶捡扢敡㜲愴㌱晥〶㔱摣㑥愷㐰攳慣㍥㥦户ㄷ戵搳㤷㔰㐸㡢㥣〶㘴扥㥤昸攰㕣戴愷㍢戵㝣㍥㉥摡ㄵづ慤慦ち扤㔰㕡敦っ㘸搱㝡搵〸戳ㅡ㈶㕢慦㕡捤戴㡢㕢搴㕡㘷㈳捥㘴㙢ㄵ㕡敡㕣慡昸晢㜳㈲昰㤲㔰搸ㄱ摡搲㥡㌶慢愵㍡摢敡㤴㔶㕢㉤挵㐷搰㠲㑥㙡戵搵㔲㠶慤㍥㐴慢慤㤶攲㘳㙡㐱㑦搷敡扥搲㈴戵戶晡㘰慤戶㕡捡〳㜵㔱㑢昹愰㤰㤶扡〴㘵㜶ㅦ㑤〷挲㐲㜹㉢㕤〶扣㜱㌹㐴㜱㉢㕤〱㡤戳敡ㅢ敡っ㔱㈸㌹搴㈶㔰〸昳㔷〱㤹㙦愵㉤㙣敤搵㑥㙤て㕤㌸㤳摤愸戳㥡收㕡㤰敢㤸㈳扢㑢㘱㔶扢㠱㉡〷晦扤㑡ぢ戱扤㥤摤㑤㐰收ぢ戱愳慤扤搹愹ㅤ㘴㙢㙦㜱㙡昹㜸㔳㜸扢ㄵ㕡㜷摥昶㜴㉤敥㉡攰㡤摢㈱㡡㜹扢〳ㅡ㘷㤱愳戰㕦搴扢㜷戶㡢㜱ㄷ㤰昹㈲敦㘶㙢敦㜶㙡㐷敡挲㘹摥㐶戸ㄶ攴㍥收㔸捣摢〳㈵㠵ㄸ㔵㕡㠸戱㜶㜶て㍡戳㥢㘰㙢ㅦ㜲㙡愷搸摡㠷㥤摡㝤愱㤵㈱㘵㌵改捥慥㐵㝢㡣攵㈸㉥摡ㄳ㔴㌹㥡㜴㝦搸㈹攲攷㘰㍢扢愷㥣搹愵㙣敤㙡愷㌶㘷㙢㥦㜶㙡昹摣挹㔱戴㠰㙢搱㥥㘳㌹㡡㡢昶㍣㔵㡥愲㜱㉤㉢㉡㕡慢㥤摤㡢捥散收摡摡㝦㍡戵㠷摢摡㤷㥣摡㐵搰㑡㙦㝢ㄹ㕡昷摥搶搷戵戸慦〰㙦㜲搹㉦っ㡥搷愸㜲ㄴ㜷〹㙣ㄷㄵ昷㜸扢〸㙦〰㤹敦㘹换㙣敤㥢㑥㉤ㅦ㠰㌸㌸敢攱㕡㠸㜷㤸㘳㌱㘷敦㤶ㄴ攲搴搲㐲㥣㘱㘷昷扥㌳扢㜳㙣敤㕡愷昶㝣㕢晢㠱㔳换愷〴㔲㌴敥ㄳ㍡慢㑤㕤㡢昶㌱攲㑣敥〹ち晣㝣㐲㤵㠳㥦换㘱愷㠸㥦慢敤散㍥〵㌲捦捦昵戶昶㌳愷㤶㌷摤ㅤ晣㜸㕤ぢ昱㈵㜳㉣收攷慢㤲㐲慣㉡㉤挴㕤㜶㜶摦㌸戳扢捦搶㝥敢搴㍥㘸㙢扦㜳㘸㝤扣㌳㉤㡢摤昷搰㘲戱㝢ㄲ㘱㈹慡戵搸搵搸㐵㉤㕡散㝥〲戶㘴戱晢㠵㉡〷㕦扣㙢㉤ぢ㔲ㄵ㉣ㄴ戶㈵扣㡦㉤敡㕦扦戱搴搶㘲挷㍢摢愲晥㐵慢慤挵敥ㄹ㕢晤戳㔶㕢㡢ㅤ敦㝥ぢ晡㈷慤敥㡢㤶昳㈸摥てㄷ昵㡦㕡㙤㉤㜶捦㐳捤㤶换㙦㑢㜸ぢ㥢㔵㌴っ戳搲㌰晡ㅥㄶ捡ㄷ扢㕡攰つㄳ愲㜸搲昶㐰攳慣晡慢㍡㐳ㄴ㑡づ昵㈶ㄴ戲搸搵〱㤹敦㉡㙢㙣㙤扤㐳敢攳㉤㘱㘹㡦㙥搰愲㍤㍥㐶搸搱ㅥ㥦摢〵㉢㙡㡦つ㔸㠲攲捤㐷㜷慡ㅣ敤挱摢挵㐲捥扦㌵㌹搶收㠳㌷㤰㐵晤戱㔶㕢敤挱㕢捡愲晥㐸慢慤昶昸搴㔶㝦愸搵㔶㝢昰戶戳愰㍦搰㙡慢㍤㜸㈳㕡搴㙢戵扡ㅦ攸昰愸㉦愱㜶戶㠷㡦昷㡥愵捡㕢㕡㔵晥〱㘱㐷㤵摦㐵㙡㘹㡢愲㉡㙦㔳㕥攵ㅥ㈵㔵收㝤㘵挹晦㑤㥤扦㔵㘵摥㘹ㄶ昵ㅢ㕡㙤㔵㤹昷㥥㐵晤扡㔶㕢㔵晥挵㔶扦愶搵㔶㤵㜹㝦㕡搰慦㙡戵㔵㘵摥㐰ㄱ昵㉢㕡㙤㔵戹ㅡ敡愲㉡昳㈶戳㔴戹慦㔵㘵て挲㡥㉡扦㠴搴攵㔵敥㕦㕥攵㠱㈵㔵收つ㘸挹晦ㅦ㍡㝦慢捡㜵戶晡㌹慤戶慡㕣㙦慢㥦搵㙡慢捡扣㙤㉤㐶㥥搱㙡慢捡㕥㕢晤戴㔶昷㤵收昴搹敡搵㕡㙤㔵㜹㐳愸㥤㔵㔶㥢㐱㈱愳㉥㠲㌲扢㉦㕥㑦挲㐲昹愸㡢〱㙦挴㈱㡡㐷㕤〲ㅡ㘷〷攷つ㙤㘶㘸ㅦ㙡ㅢ㈸㘴搴敤〲㘴㝥搴昵戲戵扢㍡戵扣戵㉢晣㕢晢㤱〷㕤ぢ㌲㠴㌹ㄶ㑦搰挳㑡ち戱㘳㘹㈱㜸㥦㔷ち㌱挲㤹㕤搰搶㡥㜴㙡愳戶㜶㜷愷㤶昷㍦愵㘸搶〲㜶愷㙢搱㐶戳ㅣ挵ぢ搸㔸慡ㅣㄳ挰㙥戰㔳挴捦㜰㍢扢㜱捥散㜸搳㔳ち㍣摥愱昵昱㜶愲昴搷〹搰㘲㔶攲㉤㐳㐷㝦扤搱㉥㔴搱㄰㥤捣ㄲㄴ捦㑡㔳愹㜲ㄴ㙡㈲散㐸㔷扢〶ㄶち慢挴㈴㕢㝤戵㔶㕢晤㤵户㈳〵㝤㤵㔶㕢晤㜵㡡慤扥㔲慢慤晥㍡搵㔶㕦愱搵㝤愵扦㑥戳搵㤷㙢㜵㍦㔱敦つ㜵㔱㝦攵㝤㐷㐷㤷戸ㄴ攸昲扥㜹㄰敢㔳摣㈵愶㤷㔴昱㘰㙤㌸摦㉦㔳㔰〸挳㐹㈰昳晤㤲昷ㅡ㐵㥢㜲㙡て戵戵㘹㠷戶愶ㄵ摡昵扥挵挴㍢挰扦昳㐷㘲㌳挸㔴戵㈳㌳戹愵㥣㜵ㄴ挱㍢㔷㙢㙢㌹挱㜸㜹㘷㠶ㄸ〹㈹摥㘱㘱ㄱ捤ㅣ搳昳挶㡡愴㥦攱㑣㝦㤴㌳㠵㤷㌷㑦ち改㜹搳㐴㥡昹㉣摤㐲晣捡㠸搹㐰㘳扣㈷㈲愶て㘵㠸户㐲挴昴㉣㠴㜰㉥ㅦ戵摣挶㌴ㄲ挳晢〵㠲㘹㐲挸㘶摢换㝢〳昹っ扤愷ㄷ㠵㜸㉦㈰ㅦ愷捥㐰㐸ち㜳慡戳㌰㉤㌴捤㑢㝥㈹捣㙣㠶捥搵挹捣挳㄰挲戹㔵ㄸ㕥ㅦぢ愶㤵ㄸ㕥ㄶ㑢㘱摡㄰捡ㄷ㠶㤷挰昹っ扤㔷㍢㐳敡㍡㍢㝤㍢搳摦㘰愷㥦攳㑣捦慢搷㐲晡㥢㡢㐲扣㕡捤挷愹㔵〸㐹㘹收搲摡ㅤ㍡捥㥣攷戴挶ぢ换㝣ち敦摤捥㤰扡捦㑥㍦㥦改ㅦ戰搳㉦㜰愶㝦搰㤹挲换㙢挱㠲㌵㕥〳收㐳㡡搷㜷㔲㥡挳㘹㡤㤷㜶㡣㌳ㄷ㍡慤昱㌲㉥㥦挲换换户㐲㠸㤷㙤昹㤰㝡づ㈱戱㜶〴慤㍤慦攳捣㈳㥤搶㕥㜴愶昰昲㡡㉢㥦摥晢㤲㌳愴㜸挵㈴搶㡥愲戵搷㜴㥣㜹戴搳ㅡ㉦㡣ち改摦㜴㠶ㄴ㉦㜶㈴晤㈲愶攷㜵づ㤱收㘲㘷㝡㕥搳ㄴ搲昳㕡愶㄰攲㌵㑣㍥愴㍥㐶㐸慣㉤愱㌵㕥㥡㠸戵㘳㥣搶㜸ㄹ㤲㑦攱晤捣ㄹ㔲㕦摡改㡦㘵晡慦散昴挷㌹搳㝦攳㑣攱攵㤵㐳挱ㅡ慦ㄸ昲㈱挵㉢〵ㄹㄲ㠷㍢㠷挴㕦㘸㥡ㄷ〶㔲搰愵っ晤愲㤳㤹㈷㈰㠴㜳㙢㐸㜰ㄷ㉤㤸㘵挴㜰昳㉣㤵㌹ㄱ㈷昹㈱挱㡤㜲㍥㐳㉦㌷挸昹㤰攲挶㔸戲㙦㜷㘶㝦ㄲ㌱摣〷㡢改㤳ㄹ攲ㄶ㔸㑣㉦挷㐹㍥㝢㙥㌲㈵昹㙣㘷昲㔳㠸攵㥥㔲㤲㥦捡㄰户㤳㤲晣㌴㥣攴㤳㜳挳㈶挹ㅢ㥤挹㔷㄰换晤㤹㈴㍦㠳愱㠱ㄴ㙣昳㌳㜱㤲㑦捥捤㡣㘰捥㘲㌴昷㌰㠲㌹ㅢ㈷昹捡㜳扦㐲慤㌵户㜲㥦㤲て㈹敥㐱㈴晤㌹㔴㜳晢㈱改捦挵㐹㍥㍤户ㅡ昹ㄴ㕥㙥㌱ち㈱㙥㉤昲㈱挵㙤㠳㔸㕢㐹㌵㜷っ㘲敤㍣㥣攴慤㜱㜷㤰㑦攱ㅤ敦っ㈹敥〶㠴㡣㤴㤳㡣ぢ㠸攱攲㉦愶㉦㘴㠸敢扥㤸扥〸㈷㜹㌲戸㝡ち收㘲㐶㜳攱ㄴ捣㈵㌸挹㘷捦㐵戲㤰㍤ㄷ挷㐲㠸㡢㘲㍥愴㘴戵㈲攱㤷㐲㙤ㅦ㍥慥㕡昲ㅣ昱㌲㥣㤸㤷㐳搴㜷㔳戲㌰ㄱ㝡㠵ㄳ捡〵㑡愰㔷ㄲ㝡㤵㐰扤㕣㜶昶〱戴㝡扥㑡ㅦ㤲㌹攴㤰敦扣㥤㝢㙣搱㜹摦愱㜵㘷扦晤攴㥡㔳㕦㍣㜰昰〷㍦慤㕣昹攲㝢愷慥晥改㥥搴攰挷㉥扥昸攱戱ㄷ慣㕥戳㘱敥挲敡㔵摦㡤扢昰㠸挰慣㈳づ换敤戵攳ㅥ㐷散㜷攸攴挰愴つ晡㜷敡搴愵换づ摤ㅦ摦慣慦㙦搱㘱㜷愸扦扦戲㘹戳㤲㤵㡣㘵戹ㅡ㌹昱㠸攲攳戳㔷㌴昳ㅡ㤶攵㕡㡡敢㈸慥愷戸㠱攲㐶㡡㥢㈸㙥㠶㔰戲搸㈱㘵㜱㤵㥡㄰㈵㔵扡㤵挰摢㈰敡扢㜹戹㜸晤愱㔵㤲昵㤰㘵㔹㠵㥣㜸散㡣㡦敦㌰〴搸昴收敤㌸㌱敦愰戸㤳攲㉥㡡扢㈹敥愱戸㤷攲㍥〸㈵㑢㈶ㄳ摣㡦㤰㝤昸戸㜴㑡㤵ㅥ㈰昰敦㄰㘸㔰㔹ㅤ〹㉤㙡㔰慥㤲〲㝤㠸搰㠷㉤愸㉣㝤㠴㍥㠲戰㝤昸戸〴ち昴㔱㐲ㅦ戳愰戲捡ㄱ㕡㘴㤵慢㥤㐰㥦㈰昴㐹ぢ㉡㑢㔸ㄹ㜴愱つ㕤㑤攸搳ㄶ㔴搶愷㌲㈸搷㈹戱晡㉣愱捦㔹㔰㔹㝣〸㉤敡搲㐷摢搰攷〹㝤挱㠲捡㍡㔳㘶㜵戱つ晤㈷愱㉦㔹㔰㔹㐴捡愰挷搸搰㝦ㄱ晡㡡〵㍤ㄶ晦挹㤸㉣㘲攰㌸ㅢ晡ㅡ愱慦ぢ搴晢ㄷ晣昷㠷昶慡愵挸㐰捡昲〶㑥㜸挴昱昱搹㑢㡢昹㈶戴收㕢ㄴ㙦㔳扣㐳戱㠶攲㕤㡡昷㈸摥㠷㔰换㈸㤰搲㕣㡢ㄳ晢昰㜱昵ㄱ晡㍦挰㠹昹㈱〴〶捡㐹昸敦て慤㤲㉣㔳㉣换㐷挸㠹㠷ㅦㅦ㥦扤㕣㤹ㅦ戳㉣晦愶昸㠴攲㍦ㄴ㥦㔲㝣㐶昱㌹挵ㄷ㄰摥㔳㈰晥搰㜲捡㝡㠸愲㤹㕦㈲㈷ㅥ扤昱昱搹敢愲昹㍦㉣挹㔷ㄴ㕦㔳㝣㐳昱㉤挵㜷ㄴ摦㔳晣〰攱㕤〱昱㠷㤶昳っ㘴㈰㙤晢㈳㑥㜸散㠸㡦敦㑣〴㘴攲昹〹㈷收捦ㄴ扦㔰晣㑡挱㥦摡㌰ㄵ㐵㌵㐵㈷〸㜵ㄶ㈲挴㑣搱戰㍢ㅢ㕡改㈲㌵〴ㅡ㄰㤸㜸捥戱愱㐵〳攴㕣ㅢ㕡㑢愸㘹㐱㔷扡㐲捦戳愱㕤〹慤ㄳ愸昷〲㈸晦㔰愲㉥戴换㔲㡦っ㜹挸っ㝤ㄱ戴㐲㔴㌷㤶挵㑢攱愳搸㠰㘲㐳㡡敥ㄴㅢ㔱㙣っ愱㘴摤㐶敡攲〹昲ㄲ扢㑡㥢ㄲ戸ㄹ㐴㝤㌷㥦㑤愵攲㍡㉣㝢㠶て扥戶㉥昹㠵搳㉤㘸㡥慢戳㐴扤慦愳㠶挳㜶㉤㕥ㅥ㘵㤳慢戸㌲ぢ攲㍤㘷攲慤㤹昸㉡㍢㙡㑤㐹㘲慥慢扣㜷㔱摦㔹㜱㌱㤵攴敦㌸㤳昷㘰㜲㉥戱ㄲ昵㤶㡥戲敥㥣㕤㘷慢摦搴㙡敢㑥〴㤷㘱㐱扦愱搵搶㥤㠸ㅢ㙣昵敢㕡扤㈹昲昵㈸㉥搵㠲㝥㑤慢晢㡡㥡㡢户愸㕦搵敡㝥愲扥搹㔶扦愲搵㥡〵挵㌵㕣昰晦搲ㄱ挲㕣㍦㤶晥㌶㍢敡愵攲㌴扥㔵㠸搰㤵攷戲㉢挹晦改㑣㉥㤵扦挳㡥㝡㐱㐷㔹㤵扦搳㔶㍦慦搵㔶攵戹㘰㡢愱㝦㘸戵㔵昹扢㙤昵㜳㕡㙤㔵晥ㅥ㕢晤慣㔶㕢㤵扦搷㔶㍦愳搵晤愴昲㕣昸挵昶搳㕡㙤㜷㠱晢ㄱ挱㐳㍤㘰㈳㔶㙢㠴戰㄰㈱ぢ摣っ㐸攲㈷㡢ㄳ㉢慥晦ㄲ昱㠴㌳㡤㌰昷戰ㅤ昵㔸㜱ㅡㅦ户〷㌴㕤敦㔳摣ㄳ㐸昲㐷㥤挹㜷㘱㤶㡦搹㔱てㄷ㈷㔷摣ㅣ㐸㥡㠷㥣㘹㈴㑢㙥ㄹ㈴敡敦㈵㘹戸㑢㤰㠸〷捡搲㜰敦㈰㔱昷㤷愴攱㜶㐱㈲敥㉢㑢挳㑤㠴㐴摤㕢㤲㠶晢〶㠹戸挷㤹㐶㠶㈰㜷ㄳㄲ㜵㔷㐹ㅡ㙥㈰㈴攲㑥㘷ㅡ愹て户ㄵㄲ㜵㝢㐹ㅡ敥㈴㈴㘲㤵㌳㡤㡣㔶敥㉦㈴敡搶㤲㌴摣㔲㐸挴㉤捥㌴㤲て㌷ㅡㄲ㜵㔳㜱ㅡㅦ㌷〴扡㤳㜳ㄷ㈰㤸ㅢ㥤挹愵㤳㜳㙦㈰㔱搷敢㈸慢㤳㜳户㈰敡敢戴摡敡攴摣㍦㠸晡㕡慤戶㍡㌹㜷ㄴ愲扥㐶慢慤㑥捥㍤㠶愸慦搶㙡慢㤳㜳搷㈱敡慢戴扡ㅦ㍡㤴㐷㜱ㅦ㈲敡㉢戵摡敥攴摣㤲攸㍥挷㝤㠸㘰慥搰ㄸ改收晢戳捦㜱㜷㈲㔱㤷㤵㈴攷㉥㐲昳挰慤㠳㘰㉥㜵㈶ㄷㅥ戸愱㤰愸㡢㜵㤴挵〳户ㄸ愲扥㐸慢㉤ㅥ戸改㄰昵㠵㕡㙤昱挰㙤㠸愸㉦搰㙡㡢〷㙥㑣㐴㝤扥㔶㕢㍣㜰慢㈲敡昳戴扡㥦昰挰捤㡢愸㔷㙡戵捤〳户ㄹ扡㈲摣㕢〸收㕣㡤ㄱㅥ愴㈲摣㜱㐸搴㌹㍡捡慡〸昷㈰愲㍥㕢慢慤㡡㜰㔷㈲敡戳戴摡慡〸昷㈹愲㍥㔳慢慤㡡㜰攷㈲敡㌳戴摡慡〸昷㌲愲㕥愱搵晤愴㈲摣摤㠸晡㜴慤戶㉢挲㝤㠸慥〸㌷ㅦ㠲㌹㑤㘳ちㄵ攱㤶㐴愲㑥搵㔱㔶㐵戸㐹ㄱ昵㈹㕡㙤㔵㠴摢ㄶ㔱晦㑤慢慤㡡㔴愱㙢㠸㝡戹㔶㕢ㄵ攱搶㐶搴㈷㙢戵㔵ㄱ㙥㜶㐴㝤㤲㔶昷㤳㡡㜰晢㈳敡扦㙡戵慥㠸攲㥥㐷㈲㑥搴ㄱ㔲晡戹搰㉡敥㠴㈴敡㠴㤲㌴摣晣㐸挴㔲㘷ㅡㄹ捡愶ㅤ㜵㝣㐹ㅡ敥㠲㈴捤㜱捥㌴㌲㘵㜰㙦㈴㔱挷ㄴ愷昱㜱て愳㐹收挶㐵㌰㑢㥣挹愵户㜰㍢㈳㔱㡢㜴㤴㐵㌲㌷㌸愲㍥㕡慢㉤㤲戹攵ㄱ昵㔱㕡㙤㤱捣㑤㤰愸㡦搴㙡㡢㘴㙥㡢㐴㝤㠴㔶㕢㈴㜳愳㈴敡㠵㕡㙤㤱捣慤㤳愸て搷㙡㥢㘴敥㤷㈴㘲㠱㡥㄰㤲㠵㌰敥愲㈴㙡㕥㐹ㅡ捥摡扣㠷攲㔱㈴挹㍡㘳㝤攵扥捡㌲㥣㈸愶户昴㕣㈴慤㌳慥㕤搶ㄹ㘷ㄴ敢㡣㡤㘹㥤㐹㌲昴〷昳㐴愸㜸㤰㕤ㅦ〳㉣㔰扤慦敢晦〳㙥㜲挱敢</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</si>
</sst>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quot;$&quot;#,##0"/>
  </numFmts>
  <fonts count="13" x14ac:knownFonts="1">
    <font>
      <sz val="10"/>
      <name val="Arial"/>
      <charset val="134"/>
    </font>
    <font>
      <b/>
      <sz val="12"/>
      <name val="Arial"/>
      <family val="2"/>
    </font>
    <font>
      <b/>
      <sz val="10"/>
      <name val="Arial"/>
      <family val="2"/>
    </font>
    <font>
      <b/>
      <sz val="10"/>
      <name val="宋体"/>
      <family val="3"/>
      <charset val="134"/>
    </font>
    <font>
      <sz val="12"/>
      <name val="Arial"/>
      <family val="2"/>
    </font>
    <font>
      <b/>
      <sz val="10"/>
      <color theme="2"/>
      <name val="Arial"/>
      <family val="2"/>
    </font>
    <font>
      <sz val="10"/>
      <name val="宋体"/>
      <family val="3"/>
      <charset val="134"/>
    </font>
    <font>
      <b/>
      <sz val="12"/>
      <name val="宋体"/>
      <family val="3"/>
      <charset val="134"/>
    </font>
    <font>
      <b/>
      <sz val="8"/>
      <name val="Arial"/>
      <family val="2"/>
    </font>
    <font>
      <sz val="10"/>
      <name val="Arial"/>
      <family val="2"/>
    </font>
    <font>
      <sz val="9"/>
      <name val="Arial"/>
      <family val="2"/>
    </font>
    <font>
      <b/>
      <sz val="10"/>
      <color theme="0" tint="-0.14999847407452621"/>
      <name val="Arial"/>
      <family val="2"/>
    </font>
    <font>
      <b/>
      <sz val="10"/>
      <color rgb="FFFF0000"/>
      <name val="Arial"/>
      <family val="2"/>
    </font>
  </fonts>
  <fills count="6">
    <fill>
      <patternFill patternType="none"/>
    </fill>
    <fill>
      <patternFill patternType="gray125"/>
    </fill>
    <fill>
      <patternFill patternType="solid">
        <fgColor indexed="15"/>
        <bgColor indexed="64"/>
      </patternFill>
    </fill>
    <fill>
      <patternFill patternType="solid">
        <fgColor rgb="FFFFFF00"/>
        <bgColor indexed="64"/>
      </patternFill>
    </fill>
    <fill>
      <patternFill patternType="solid">
        <fgColor rgb="FF00FFFF"/>
        <bgColor indexed="64"/>
      </patternFill>
    </fill>
    <fill>
      <patternFill patternType="solid">
        <fgColor theme="9" tint="0.59999389629810485"/>
        <bgColor indexed="64"/>
      </patternFill>
    </fill>
  </fills>
  <borders count="53">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medium">
        <color auto="1"/>
      </top>
      <bottom style="thin">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thin">
        <color auto="1"/>
      </left>
      <right style="thin">
        <color auto="1"/>
      </right>
      <top style="dotted">
        <color auto="1"/>
      </top>
      <bottom/>
      <diagonal/>
    </border>
    <border>
      <left style="thin">
        <color auto="1"/>
      </left>
      <right style="medium">
        <color auto="1"/>
      </right>
      <top style="dotted">
        <color auto="1"/>
      </top>
      <bottom/>
      <diagonal/>
    </border>
    <border>
      <left style="thin">
        <color auto="1"/>
      </left>
      <right style="thin">
        <color auto="1"/>
      </right>
      <top style="medium">
        <color auto="1"/>
      </top>
      <bottom/>
      <diagonal/>
    </border>
    <border>
      <left style="medium">
        <color auto="1"/>
      </left>
      <right style="medium">
        <color auto="1"/>
      </right>
      <top style="medium">
        <color auto="1"/>
      </top>
      <bottom/>
      <diagonal/>
    </border>
    <border>
      <left style="thin">
        <color auto="1"/>
      </left>
      <right style="thin">
        <color auto="1"/>
      </right>
      <top/>
      <bottom/>
      <diagonal/>
    </border>
    <border>
      <left style="medium">
        <color auto="1"/>
      </left>
      <right style="medium">
        <color auto="1"/>
      </right>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s>
  <cellStyleXfs count="2">
    <xf numFmtId="0" fontId="0" fillId="0" borderId="0"/>
    <xf numFmtId="0" fontId="9" fillId="0" borderId="0"/>
  </cellStyleXfs>
  <cellXfs count="173">
    <xf numFmtId="0" fontId="0" fillId="0" borderId="0" xfId="0"/>
    <xf numFmtId="0" fontId="0" fillId="0" borderId="2" xfId="0" applyBorder="1"/>
    <xf numFmtId="0" fontId="2" fillId="0" borderId="3"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right"/>
    </xf>
    <xf numFmtId="1" fontId="2" fillId="0" borderId="6" xfId="0" applyNumberFormat="1" applyFont="1" applyBorder="1" applyAlignment="1">
      <alignment horizontal="center"/>
    </xf>
    <xf numFmtId="0" fontId="2" fillId="0" borderId="8" xfId="0" applyFont="1" applyBorder="1" applyAlignment="1">
      <alignment horizontal="right"/>
    </xf>
    <xf numFmtId="1" fontId="2" fillId="0" borderId="9" xfId="0" applyNumberFormat="1" applyFont="1" applyBorder="1" applyAlignment="1">
      <alignment horizontal="center"/>
    </xf>
    <xf numFmtId="0" fontId="2" fillId="0" borderId="8" xfId="0" applyFont="1" applyBorder="1"/>
    <xf numFmtId="0" fontId="4" fillId="0" borderId="0" xfId="0" applyFont="1" applyAlignment="1">
      <alignment vertical="center" wrapText="1"/>
    </xf>
    <xf numFmtId="0" fontId="2" fillId="0" borderId="6" xfId="0" applyFont="1" applyBorder="1" applyAlignment="1">
      <alignment horizontal="center"/>
    </xf>
    <xf numFmtId="10" fontId="2" fillId="0" borderId="9" xfId="0" applyNumberFormat="1" applyFont="1" applyBorder="1" applyAlignment="1">
      <alignment horizontal="center"/>
    </xf>
    <xf numFmtId="10" fontId="2" fillId="0" borderId="8" xfId="0" applyNumberFormat="1" applyFont="1" applyBorder="1"/>
    <xf numFmtId="0" fontId="2" fillId="0" borderId="2" xfId="0" applyFont="1" applyBorder="1" applyAlignment="1">
      <alignment horizontal="right"/>
    </xf>
    <xf numFmtId="0" fontId="2" fillId="0" borderId="0" xfId="0" applyFont="1" applyAlignment="1">
      <alignment horizontal="center"/>
    </xf>
    <xf numFmtId="0" fontId="2" fillId="0" borderId="9" xfId="0" applyFont="1" applyBorder="1" applyAlignment="1">
      <alignment horizontal="center"/>
    </xf>
    <xf numFmtId="0" fontId="2" fillId="0" borderId="8" xfId="0" applyFont="1" applyBorder="1" applyAlignment="1">
      <alignment horizontal="center"/>
    </xf>
    <xf numFmtId="10" fontId="2" fillId="0" borderId="8" xfId="0" applyNumberFormat="1" applyFont="1" applyBorder="1" applyAlignment="1">
      <alignment horizontal="center"/>
    </xf>
    <xf numFmtId="0" fontId="5" fillId="0" borderId="6" xfId="0" applyFont="1" applyBorder="1" applyAlignment="1">
      <alignment horizontal="center"/>
    </xf>
    <xf numFmtId="10" fontId="5" fillId="0" borderId="9" xfId="0" applyNumberFormat="1" applyFont="1" applyBorder="1" applyAlignment="1">
      <alignment horizontal="center"/>
    </xf>
    <xf numFmtId="0" fontId="0" fillId="0" borderId="0" xfId="0" applyAlignment="1">
      <alignment wrapText="1"/>
    </xf>
    <xf numFmtId="0" fontId="1" fillId="0" borderId="0" xfId="0" applyFont="1"/>
    <xf numFmtId="0" fontId="2" fillId="0" borderId="10" xfId="0" applyFont="1" applyBorder="1" applyAlignment="1">
      <alignment vertical="top"/>
    </xf>
    <xf numFmtId="0" fontId="0" fillId="2" borderId="12" xfId="0" applyFill="1" applyBorder="1"/>
    <xf numFmtId="0" fontId="2" fillId="0" borderId="0" xfId="0" applyFont="1" applyAlignment="1">
      <alignment vertical="top"/>
    </xf>
    <xf numFmtId="0" fontId="2" fillId="0" borderId="0" xfId="0" applyFont="1" applyAlignment="1">
      <alignment wrapText="1"/>
    </xf>
    <xf numFmtId="0" fontId="2" fillId="0" borderId="13" xfId="0" applyFont="1" applyBorder="1" applyAlignment="1">
      <alignment horizontal="center"/>
    </xf>
    <xf numFmtId="0" fontId="2" fillId="0" borderId="14" xfId="0" applyFont="1" applyBorder="1" applyAlignment="1">
      <alignment horizontal="center"/>
    </xf>
    <xf numFmtId="1" fontId="2" fillId="0" borderId="15" xfId="0" applyNumberFormat="1" applyFont="1" applyBorder="1" applyAlignment="1">
      <alignment horizontal="center"/>
    </xf>
    <xf numFmtId="1" fontId="2" fillId="0" borderId="16" xfId="0" applyNumberFormat="1"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5" fillId="0" borderId="15" xfId="0" applyFont="1" applyBorder="1" applyAlignment="1">
      <alignment horizontal="center"/>
    </xf>
    <xf numFmtId="10" fontId="5" fillId="0" borderId="16" xfId="0" applyNumberFormat="1" applyFont="1" applyBorder="1" applyAlignment="1">
      <alignment horizontal="center"/>
    </xf>
    <xf numFmtId="10" fontId="2" fillId="0" borderId="16" xfId="0" applyNumberFormat="1" applyFont="1" applyBorder="1" applyAlignment="1">
      <alignment horizontal="center"/>
    </xf>
    <xf numFmtId="0" fontId="6" fillId="0" borderId="0" xfId="0" applyFont="1"/>
    <xf numFmtId="0" fontId="2" fillId="3" borderId="0" xfId="0" applyFont="1" applyFill="1" applyAlignment="1">
      <alignment horizontal="center"/>
    </xf>
    <xf numFmtId="0" fontId="0" fillId="0" borderId="19" xfId="0" applyBorder="1"/>
    <xf numFmtId="0" fontId="0" fillId="0" borderId="5" xfId="0" applyBorder="1"/>
    <xf numFmtId="0" fontId="0" fillId="0" borderId="20" xfId="0" applyBorder="1"/>
    <xf numFmtId="0" fontId="2" fillId="0" borderId="21" xfId="0" applyFont="1" applyBorder="1" applyAlignment="1">
      <alignment horizontal="center"/>
    </xf>
    <xf numFmtId="176" fontId="0" fillId="0" borderId="0" xfId="0" applyNumberFormat="1"/>
    <xf numFmtId="0" fontId="0" fillId="0" borderId="17" xfId="0" applyBorder="1"/>
    <xf numFmtId="0" fontId="2" fillId="0" borderId="18" xfId="0" applyFont="1" applyBorder="1" applyAlignment="1">
      <alignment horizontal="right"/>
    </xf>
    <xf numFmtId="177" fontId="0" fillId="2" borderId="13" xfId="0" applyNumberFormat="1" applyFill="1" applyBorder="1"/>
    <xf numFmtId="0" fontId="0" fillId="0" borderId="22" xfId="0" applyBorder="1"/>
    <xf numFmtId="0" fontId="2" fillId="0" borderId="23" xfId="0" applyFont="1" applyBorder="1" applyAlignment="1">
      <alignment horizontal="right"/>
    </xf>
    <xf numFmtId="0" fontId="0" fillId="0" borderId="14" xfId="0" applyBorder="1"/>
    <xf numFmtId="0" fontId="0" fillId="0" borderId="24" xfId="0" applyBorder="1"/>
    <xf numFmtId="0" fontId="2" fillId="0" borderId="25" xfId="0" applyFont="1" applyBorder="1" applyAlignment="1">
      <alignment horizontal="right"/>
    </xf>
    <xf numFmtId="177" fontId="0" fillId="2" borderId="16" xfId="0" applyNumberFormat="1" applyFill="1" applyBorder="1"/>
    <xf numFmtId="0" fontId="2" fillId="0" borderId="0" xfId="0" applyFont="1"/>
    <xf numFmtId="0" fontId="0" fillId="0" borderId="26" xfId="0" applyBorder="1"/>
    <xf numFmtId="0" fontId="2" fillId="0" borderId="27" xfId="0" applyFont="1" applyBorder="1" applyAlignment="1">
      <alignment horizontal="right"/>
    </xf>
    <xf numFmtId="177" fontId="0" fillId="2" borderId="28" xfId="0" applyNumberFormat="1" applyFill="1" applyBorder="1"/>
    <xf numFmtId="0" fontId="0" fillId="4" borderId="0" xfId="0" applyFill="1"/>
    <xf numFmtId="0" fontId="2" fillId="0" borderId="31" xfId="0" applyFont="1" applyBorder="1"/>
    <xf numFmtId="0" fontId="2" fillId="0" borderId="31" xfId="0" applyFont="1" applyBorder="1" applyAlignment="1">
      <alignment horizontal="right"/>
    </xf>
    <xf numFmtId="177" fontId="0" fillId="0" borderId="19" xfId="0" applyNumberFormat="1" applyBorder="1" applyAlignment="1">
      <alignment horizontal="center"/>
    </xf>
    <xf numFmtId="177" fontId="0" fillId="0" borderId="5" xfId="0" applyNumberFormat="1" applyBorder="1" applyAlignment="1">
      <alignment horizontal="center"/>
    </xf>
    <xf numFmtId="177" fontId="0" fillId="0" borderId="14" xfId="0" applyNumberFormat="1" applyBorder="1" applyAlignment="1">
      <alignment horizontal="center"/>
    </xf>
    <xf numFmtId="177" fontId="2" fillId="0" borderId="19" xfId="0" applyNumberFormat="1" applyFont="1" applyBorder="1" applyAlignment="1">
      <alignment horizontal="center"/>
    </xf>
    <xf numFmtId="177" fontId="2" fillId="0" borderId="5" xfId="0" applyNumberFormat="1" applyFont="1" applyBorder="1" applyAlignment="1">
      <alignment horizontal="center"/>
    </xf>
    <xf numFmtId="177" fontId="2" fillId="0" borderId="14" xfId="0" applyNumberFormat="1" applyFont="1" applyBorder="1" applyAlignment="1">
      <alignment horizontal="center"/>
    </xf>
    <xf numFmtId="177" fontId="2" fillId="0" borderId="20" xfId="0" applyNumberFormat="1" applyFont="1" applyBorder="1" applyAlignment="1">
      <alignment horizontal="center"/>
    </xf>
    <xf numFmtId="177" fontId="2" fillId="0" borderId="9" xfId="0" applyNumberFormat="1" applyFont="1" applyBorder="1" applyAlignment="1">
      <alignment horizontal="center"/>
    </xf>
    <xf numFmtId="177" fontId="2" fillId="0" borderId="16" xfId="0" applyNumberFormat="1" applyFont="1" applyBorder="1" applyAlignment="1">
      <alignment horizontal="center"/>
    </xf>
    <xf numFmtId="177" fontId="2" fillId="0" borderId="0" xfId="0" applyNumberFormat="1" applyFont="1"/>
    <xf numFmtId="177" fontId="2" fillId="0" borderId="21" xfId="0" applyNumberFormat="1" applyFont="1" applyBorder="1" applyAlignment="1">
      <alignment horizontal="center"/>
    </xf>
    <xf numFmtId="177" fontId="2" fillId="0" borderId="3" xfId="0" applyNumberFormat="1" applyFont="1" applyBorder="1" applyAlignment="1">
      <alignment horizontal="center"/>
    </xf>
    <xf numFmtId="177" fontId="2" fillId="0" borderId="13" xfId="0" applyNumberFormat="1" applyFont="1" applyBorder="1" applyAlignment="1">
      <alignment horizontal="center"/>
    </xf>
    <xf numFmtId="177" fontId="0" fillId="0" borderId="0" xfId="0" applyNumberFormat="1"/>
    <xf numFmtId="177" fontId="2" fillId="0" borderId="31" xfId="0" applyNumberFormat="1" applyFont="1" applyBorder="1" applyAlignment="1">
      <alignment horizontal="center"/>
    </xf>
    <xf numFmtId="0" fontId="0" fillId="0" borderId="0" xfId="0" applyAlignment="1">
      <alignment vertical="top"/>
    </xf>
    <xf numFmtId="0" fontId="0" fillId="0" borderId="0" xfId="0" applyAlignment="1">
      <alignment vertical="top" wrapText="1"/>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28" xfId="0" applyFont="1" applyBorder="1" applyAlignment="1">
      <alignment horizontal="center" vertical="center" wrapText="1"/>
    </xf>
    <xf numFmtId="0" fontId="2" fillId="0" borderId="34" xfId="0" applyFont="1" applyBorder="1" applyAlignment="1">
      <alignment horizontal="left" vertical="top"/>
    </xf>
    <xf numFmtId="0" fontId="2" fillId="0" borderId="35" xfId="0" applyFont="1" applyBorder="1" applyAlignment="1">
      <alignment horizontal="left" vertical="top" wrapText="1"/>
    </xf>
    <xf numFmtId="0" fontId="2" fillId="0" borderId="36" xfId="0" applyFont="1" applyBorder="1" applyAlignment="1">
      <alignment horizontal="left" vertical="top"/>
    </xf>
    <xf numFmtId="0" fontId="2" fillId="0" borderId="37" xfId="0" applyFont="1" applyBorder="1" applyAlignment="1">
      <alignment horizontal="left" vertical="top" wrapText="1"/>
    </xf>
    <xf numFmtId="0" fontId="2" fillId="0" borderId="41" xfId="0" applyFont="1" applyBorder="1" applyAlignment="1">
      <alignment horizontal="left" vertical="top"/>
    </xf>
    <xf numFmtId="0" fontId="2" fillId="0" borderId="42" xfId="0" applyFont="1" applyBorder="1" applyAlignment="1">
      <alignment horizontal="left" vertical="top" wrapText="1"/>
    </xf>
    <xf numFmtId="0" fontId="2" fillId="0" borderId="43" xfId="0" applyFont="1" applyBorder="1" applyAlignment="1">
      <alignment horizontal="left" vertical="top"/>
    </xf>
    <xf numFmtId="0" fontId="2" fillId="0" borderId="44" xfId="0" applyFont="1" applyBorder="1" applyAlignment="1">
      <alignment horizontal="left" vertical="top" wrapText="1"/>
    </xf>
    <xf numFmtId="0" fontId="2" fillId="0" borderId="0" xfId="0" applyFont="1" applyAlignment="1">
      <alignment horizontal="right" vertical="top"/>
    </xf>
    <xf numFmtId="0" fontId="2" fillId="0" borderId="0" xfId="0" applyFont="1" applyAlignment="1">
      <alignment horizontal="right" vertical="top" wrapText="1"/>
    </xf>
    <xf numFmtId="0" fontId="2" fillId="0" borderId="45" xfId="0" applyFont="1" applyBorder="1" applyAlignment="1">
      <alignment horizontal="center"/>
    </xf>
    <xf numFmtId="0" fontId="2" fillId="0" borderId="46" xfId="0" applyFont="1" applyBorder="1" applyAlignment="1">
      <alignment horizontal="center"/>
    </xf>
    <xf numFmtId="0" fontId="0" fillId="0" borderId="47" xfId="0" applyBorder="1"/>
    <xf numFmtId="177" fontId="2" fillId="0" borderId="48" xfId="0" applyNumberFormat="1" applyFont="1" applyBorder="1" applyAlignment="1">
      <alignment horizontal="center"/>
    </xf>
    <xf numFmtId="0" fontId="2" fillId="0" borderId="49" xfId="0" applyFont="1" applyBorder="1" applyAlignment="1">
      <alignment horizontal="left"/>
    </xf>
    <xf numFmtId="0" fontId="2" fillId="0" borderId="5" xfId="0" applyFont="1" applyBorder="1" applyAlignment="1">
      <alignment horizontal="left"/>
    </xf>
    <xf numFmtId="0" fontId="2" fillId="0" borderId="14" xfId="0" applyFont="1" applyBorder="1" applyAlignment="1">
      <alignment horizontal="right"/>
    </xf>
    <xf numFmtId="0" fontId="2" fillId="0" borderId="50" xfId="0" applyFont="1" applyBorder="1"/>
    <xf numFmtId="0" fontId="2" fillId="0" borderId="51" xfId="0" applyFont="1" applyBorder="1" applyAlignment="1">
      <alignment horizontal="left"/>
    </xf>
    <xf numFmtId="0" fontId="2" fillId="0" borderId="9" xfId="0" applyFont="1" applyBorder="1" applyAlignment="1">
      <alignment horizontal="left"/>
    </xf>
    <xf numFmtId="0" fontId="2" fillId="0" borderId="16" xfId="0" applyFont="1" applyBorder="1" applyAlignment="1">
      <alignment horizontal="right"/>
    </xf>
    <xf numFmtId="177" fontId="2" fillId="0" borderId="46" xfId="0" applyNumberFormat="1" applyFont="1" applyBorder="1" applyAlignment="1">
      <alignment horizontal="center"/>
    </xf>
    <xf numFmtId="0" fontId="2" fillId="0" borderId="47" xfId="0" applyFont="1" applyBorder="1" applyAlignment="1">
      <alignment horizontal="right"/>
    </xf>
    <xf numFmtId="0" fontId="2" fillId="0" borderId="52" xfId="0" applyFont="1" applyBorder="1"/>
    <xf numFmtId="0" fontId="0" fillId="0" borderId="0" xfId="0" quotePrefix="1"/>
    <xf numFmtId="177" fontId="2" fillId="0" borderId="50" xfId="0" quotePrefix="1" applyNumberFormat="1" applyFont="1" applyBorder="1" applyAlignment="1">
      <alignment horizontal="center"/>
    </xf>
    <xf numFmtId="177" fontId="2" fillId="0" borderId="52" xfId="0" quotePrefix="1" applyNumberFormat="1" applyFont="1" applyBorder="1" applyAlignment="1">
      <alignment horizontal="center"/>
    </xf>
    <xf numFmtId="177" fontId="2" fillId="5" borderId="0" xfId="0" applyNumberFormat="1" applyFont="1" applyFill="1" applyAlignment="1">
      <alignment horizontal="center"/>
    </xf>
    <xf numFmtId="177" fontId="2" fillId="5" borderId="5" xfId="0" applyNumberFormat="1" applyFont="1" applyFill="1" applyBorder="1" applyAlignment="1">
      <alignment horizontal="center"/>
    </xf>
    <xf numFmtId="177" fontId="2" fillId="5" borderId="9" xfId="0" applyNumberFormat="1" applyFont="1" applyFill="1" applyBorder="1" applyAlignment="1">
      <alignment horizontal="center"/>
    </xf>
    <xf numFmtId="1" fontId="0" fillId="5" borderId="5" xfId="0" applyNumberFormat="1" applyFill="1" applyBorder="1"/>
    <xf numFmtId="1" fontId="0" fillId="5" borderId="14" xfId="0" applyNumberFormat="1" applyFill="1" applyBorder="1"/>
    <xf numFmtId="0" fontId="0" fillId="5" borderId="14" xfId="0" applyFill="1" applyBorder="1"/>
    <xf numFmtId="0" fontId="9" fillId="0" borderId="5" xfId="0" applyFont="1" applyBorder="1"/>
    <xf numFmtId="0" fontId="1" fillId="0" borderId="1" xfId="0" applyFont="1" applyBorder="1" applyAlignment="1">
      <alignment vertical="center" wrapText="1"/>
    </xf>
    <xf numFmtId="0" fontId="4" fillId="0" borderId="4" xfId="0" applyFont="1" applyBorder="1" applyAlignment="1">
      <alignment vertical="center" wrapText="1"/>
    </xf>
    <xf numFmtId="0" fontId="4" fillId="0" borderId="7" xfId="0" applyFont="1" applyBorder="1" applyAlignment="1">
      <alignment vertical="center" wrapText="1"/>
    </xf>
    <xf numFmtId="0" fontId="1" fillId="0" borderId="4" xfId="0" applyFont="1" applyBorder="1" applyAlignment="1">
      <alignment vertical="center" wrapText="1"/>
    </xf>
    <xf numFmtId="0" fontId="1" fillId="0" borderId="7" xfId="0" applyFont="1" applyBorder="1" applyAlignment="1">
      <alignment vertical="center" wrapText="1"/>
    </xf>
    <xf numFmtId="0" fontId="1" fillId="0" borderId="38" xfId="0" applyFont="1" applyBorder="1" applyAlignment="1">
      <alignment vertical="center" wrapText="1"/>
    </xf>
    <xf numFmtId="0" fontId="1" fillId="0" borderId="39" xfId="0" applyFont="1" applyBorder="1" applyAlignment="1">
      <alignment vertical="center" wrapText="1"/>
    </xf>
    <xf numFmtId="0" fontId="1" fillId="0" borderId="40" xfId="0" applyFont="1" applyBorder="1" applyAlignment="1">
      <alignment vertical="center" wrapText="1"/>
    </xf>
    <xf numFmtId="0" fontId="2" fillId="0" borderId="3" xfId="0" applyFont="1" applyBorder="1" applyAlignment="1">
      <alignment horizontal="center"/>
    </xf>
    <xf numFmtId="0" fontId="2" fillId="0" borderId="13" xfId="0" applyFont="1" applyBorder="1" applyAlignment="1">
      <alignment horizontal="center"/>
    </xf>
    <xf numFmtId="0" fontId="2" fillId="0" borderId="29" xfId="0" applyFont="1" applyBorder="1" applyAlignment="1">
      <alignment horizontal="left"/>
    </xf>
    <xf numFmtId="0" fontId="2" fillId="0" borderId="30" xfId="0" applyFont="1" applyBorder="1" applyAlignment="1">
      <alignment horizontal="left"/>
    </xf>
    <xf numFmtId="0" fontId="3" fillId="0" borderId="11" xfId="0" applyFont="1" applyBorder="1" applyAlignment="1">
      <alignment wrapText="1"/>
    </xf>
    <xf numFmtId="0" fontId="2" fillId="0" borderId="11" xfId="0" applyFont="1" applyBorder="1" applyAlignment="1">
      <alignment wrapText="1"/>
    </xf>
    <xf numFmtId="0" fontId="3" fillId="0" borderId="3" xfId="0" applyFont="1" applyBorder="1" applyAlignment="1">
      <alignment horizontal="center"/>
    </xf>
    <xf numFmtId="0" fontId="2" fillId="0" borderId="21" xfId="0" applyFont="1" applyBorder="1" applyAlignment="1">
      <alignment horizontal="center"/>
    </xf>
    <xf numFmtId="0" fontId="2" fillId="0" borderId="3" xfId="0" applyFont="1" applyBorder="1" applyAlignment="1">
      <alignment horizontal="left"/>
    </xf>
    <xf numFmtId="0" fontId="2" fillId="0" borderId="13" xfId="0" applyFont="1" applyBorder="1" applyAlignment="1">
      <alignment horizontal="left"/>
    </xf>
    <xf numFmtId="0" fontId="2" fillId="0" borderId="21" xfId="0" applyFont="1" applyBorder="1" applyAlignment="1">
      <alignment horizontal="left"/>
    </xf>
    <xf numFmtId="0" fontId="2" fillId="0" borderId="0" xfId="0" applyFont="1" applyAlignment="1">
      <alignment horizontal="center"/>
    </xf>
    <xf numFmtId="0" fontId="2" fillId="0" borderId="17" xfId="0" applyFont="1" applyBorder="1" applyAlignment="1">
      <alignment horizontal="left"/>
    </xf>
    <xf numFmtId="0" fontId="2" fillId="0" borderId="18" xfId="0" applyFont="1" applyBorder="1" applyAlignment="1">
      <alignment horizontal="left"/>
    </xf>
    <xf numFmtId="0" fontId="2" fillId="0" borderId="0" xfId="0" applyFont="1" applyAlignment="1">
      <alignment wrapText="1"/>
    </xf>
    <xf numFmtId="0" fontId="2" fillId="0" borderId="5" xfId="1" applyFont="1" applyBorder="1" applyAlignment="1">
      <alignment horizontal="center"/>
    </xf>
    <xf numFmtId="0" fontId="2" fillId="0" borderId="14" xfId="1" applyFont="1" applyBorder="1" applyAlignment="1">
      <alignment horizontal="center"/>
    </xf>
    <xf numFmtId="0" fontId="11" fillId="0" borderId="6" xfId="0" applyFont="1" applyBorder="1" applyAlignment="1">
      <alignment horizontal="center"/>
    </xf>
    <xf numFmtId="0" fontId="2" fillId="0" borderId="5" xfId="1" applyFont="1" applyBorder="1" applyAlignment="1">
      <alignment horizontal="center"/>
    </xf>
    <xf numFmtId="0" fontId="2" fillId="0" borderId="14" xfId="1" applyFont="1" applyBorder="1" applyAlignment="1">
      <alignment horizontal="center"/>
    </xf>
    <xf numFmtId="0" fontId="9" fillId="0" borderId="0" xfId="1"/>
    <xf numFmtId="0" fontId="2" fillId="0" borderId="5" xfId="1" applyFont="1" applyBorder="1" applyAlignment="1">
      <alignment horizontal="center"/>
    </xf>
    <xf numFmtId="0" fontId="2" fillId="0" borderId="14" xfId="1" applyFont="1" applyBorder="1" applyAlignment="1">
      <alignment horizontal="center"/>
    </xf>
    <xf numFmtId="0" fontId="2" fillId="0" borderId="6" xfId="1" applyFont="1" applyBorder="1" applyAlignment="1">
      <alignment horizontal="center"/>
    </xf>
    <xf numFmtId="0" fontId="2" fillId="0" borderId="9" xfId="1" applyFont="1" applyBorder="1" applyAlignment="1">
      <alignment horizontal="center"/>
    </xf>
    <xf numFmtId="0" fontId="2" fillId="0" borderId="15" xfId="1" applyFont="1" applyBorder="1" applyAlignment="1">
      <alignment horizontal="center"/>
    </xf>
    <xf numFmtId="0" fontId="2" fillId="0" borderId="16" xfId="1" applyFont="1" applyBorder="1" applyAlignment="1">
      <alignment horizontal="center"/>
    </xf>
    <xf numFmtId="0" fontId="2" fillId="0" borderId="6" xfId="1" applyFont="1" applyBorder="1" applyAlignment="1">
      <alignment horizontal="center"/>
    </xf>
    <xf numFmtId="10" fontId="2" fillId="0" borderId="9" xfId="1" applyNumberFormat="1" applyFont="1" applyBorder="1" applyAlignment="1">
      <alignment horizontal="center"/>
    </xf>
    <xf numFmtId="0" fontId="2" fillId="0" borderId="0" xfId="1" applyFont="1" applyAlignment="1">
      <alignment horizontal="center"/>
    </xf>
    <xf numFmtId="10" fontId="2" fillId="0" borderId="8" xfId="1" applyNumberFormat="1" applyFont="1" applyBorder="1" applyAlignment="1">
      <alignment horizontal="center"/>
    </xf>
    <xf numFmtId="0" fontId="12" fillId="0" borderId="6" xfId="1" applyFont="1" applyBorder="1" applyAlignment="1">
      <alignment horizontal="center"/>
    </xf>
    <xf numFmtId="10" fontId="12" fillId="0" borderId="9" xfId="1" applyNumberFormat="1" applyFont="1" applyBorder="1" applyAlignment="1">
      <alignment horizontal="center"/>
    </xf>
    <xf numFmtId="0" fontId="2" fillId="0" borderId="6" xfId="1" applyFont="1" applyBorder="1" applyAlignment="1">
      <alignment horizontal="center"/>
    </xf>
    <xf numFmtId="10" fontId="2" fillId="0" borderId="9" xfId="1" applyNumberFormat="1" applyFont="1" applyBorder="1" applyAlignment="1">
      <alignment horizontal="center"/>
    </xf>
    <xf numFmtId="0" fontId="2" fillId="0" borderId="0" xfId="1" applyFont="1" applyAlignment="1">
      <alignment horizontal="center"/>
    </xf>
    <xf numFmtId="10" fontId="2" fillId="0" borderId="8" xfId="1" applyNumberFormat="1" applyFont="1" applyBorder="1" applyAlignment="1">
      <alignment horizontal="center"/>
    </xf>
    <xf numFmtId="0" fontId="12" fillId="0" borderId="6" xfId="1" applyFont="1" applyBorder="1" applyAlignment="1">
      <alignment horizontal="center"/>
    </xf>
    <xf numFmtId="10" fontId="12" fillId="0" borderId="9" xfId="1" applyNumberFormat="1" applyFont="1" applyBorder="1" applyAlignment="1">
      <alignment horizontal="center"/>
    </xf>
    <xf numFmtId="0" fontId="12" fillId="0" borderId="15" xfId="1" applyFont="1" applyBorder="1" applyAlignment="1">
      <alignment horizontal="center"/>
    </xf>
    <xf numFmtId="10" fontId="12" fillId="0" borderId="16" xfId="1" applyNumberFormat="1" applyFont="1" applyBorder="1" applyAlignment="1">
      <alignment horizontal="center"/>
    </xf>
    <xf numFmtId="0" fontId="2" fillId="0" borderId="6" xfId="1" applyFont="1" applyBorder="1" applyAlignment="1">
      <alignment horizontal="center"/>
    </xf>
    <xf numFmtId="10" fontId="2" fillId="0" borderId="9" xfId="1" applyNumberFormat="1" applyFont="1" applyBorder="1" applyAlignment="1">
      <alignment horizontal="center"/>
    </xf>
    <xf numFmtId="0" fontId="2" fillId="0" borderId="6" xfId="1" applyFont="1" applyBorder="1" applyAlignment="1">
      <alignment horizontal="center"/>
    </xf>
    <xf numFmtId="10" fontId="2" fillId="0" borderId="9" xfId="1" applyNumberFormat="1" applyFont="1" applyBorder="1" applyAlignment="1">
      <alignment horizontal="center"/>
    </xf>
    <xf numFmtId="0" fontId="2" fillId="0" borderId="15" xfId="1" applyFont="1" applyBorder="1" applyAlignment="1">
      <alignment horizontal="center"/>
    </xf>
    <xf numFmtId="10" fontId="2" fillId="0" borderId="16" xfId="1" applyNumberFormat="1" applyFont="1" applyBorder="1" applyAlignment="1">
      <alignment horizontal="center"/>
    </xf>
    <xf numFmtId="0" fontId="12" fillId="0" borderId="6" xfId="0" applyFont="1" applyBorder="1" applyAlignment="1">
      <alignment horizontal="center"/>
    </xf>
    <xf numFmtId="10" fontId="11" fillId="0" borderId="9" xfId="0" applyNumberFormat="1" applyFont="1" applyBorder="1" applyAlignment="1">
      <alignment horizontal="center"/>
    </xf>
    <xf numFmtId="10" fontId="12" fillId="0" borderId="9" xfId="0" applyNumberFormat="1" applyFont="1" applyBorder="1" applyAlignment="1">
      <alignment horizontal="center"/>
    </xf>
    <xf numFmtId="0" fontId="11" fillId="0" borderId="9" xfId="0" applyFont="1" applyBorder="1" applyAlignment="1">
      <alignment horizontal="center"/>
    </xf>
    <xf numFmtId="1" fontId="11" fillId="0" borderId="6" xfId="0" applyNumberFormat="1" applyFont="1" applyBorder="1" applyAlignment="1">
      <alignment horizontal="center"/>
    </xf>
    <xf numFmtId="1" fontId="11" fillId="0" borderId="9" xfId="0" applyNumberFormat="1" applyFont="1" applyBorder="1" applyAlignment="1">
      <alignment horizontal="center"/>
    </xf>
  </cellXfs>
  <cellStyles count="2">
    <cellStyle name="常规" xfId="0" builtinId="0"/>
    <cellStyle name="常规 2" xfId="1" xr:uid="{512FD086-436D-49A2-8AB3-B835F4F0EE7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570865</xdr:colOff>
      <xdr:row>1</xdr:row>
      <xdr:rowOff>635</xdr:rowOff>
    </xdr:from>
    <xdr:to>
      <xdr:col>17</xdr:col>
      <xdr:colOff>751840</xdr:colOff>
      <xdr:row>50</xdr:row>
      <xdr:rowOff>49530</xdr:rowOff>
    </xdr:to>
    <xdr:sp macro="" textlink="">
      <xdr:nvSpPr>
        <xdr:cNvPr id="2188" name="Rectangle 140" descr="5d28a36c-a538-46b5-82bb-37dd028aa433">
          <a:extLst>
            <a:ext uri="{FF2B5EF4-FFF2-40B4-BE49-F238E27FC236}">
              <a16:creationId xmlns:a16="http://schemas.microsoft.com/office/drawing/2014/main" id="{00000000-0008-0000-0300-00008C080000}"/>
            </a:ext>
          </a:extLst>
        </xdr:cNvPr>
        <xdr:cNvSpPr>
          <a:spLocks noChangeArrowheads="1"/>
        </xdr:cNvSpPr>
      </xdr:nvSpPr>
      <xdr:spPr>
        <a:xfrm>
          <a:off x="570865" y="172085"/>
          <a:ext cx="11772265" cy="8421370"/>
        </a:xfrm>
        <a:prstGeom prst="rect">
          <a:avLst/>
        </a:prstGeom>
        <a:noFill/>
        <a:ln w="57150">
          <a:solidFill>
            <a:srgbClr val="FF0000"/>
          </a:solidFill>
          <a:miter lim="800000"/>
        </a:ln>
      </xdr:spPr>
    </xdr:sp>
    <xdr:clientData/>
  </xdr:twoCellAnchor>
  <xdr:twoCellAnchor>
    <xdr:from>
      <xdr:col>0</xdr:col>
      <xdr:colOff>85725</xdr:colOff>
      <xdr:row>0</xdr:row>
      <xdr:rowOff>28575</xdr:rowOff>
    </xdr:from>
    <xdr:to>
      <xdr:col>1</xdr:col>
      <xdr:colOff>1114425</xdr:colOff>
      <xdr:row>2</xdr:row>
      <xdr:rowOff>19050</xdr:rowOff>
    </xdr:to>
    <xdr:sp macro="" textlink="">
      <xdr:nvSpPr>
        <xdr:cNvPr id="2189" name="AutoShape 141" descr="ab25775f-16e5-44a2-9d2b-8384497e8c07">
          <a:extLst>
            <a:ext uri="{FF2B5EF4-FFF2-40B4-BE49-F238E27FC236}">
              <a16:creationId xmlns:a16="http://schemas.microsoft.com/office/drawing/2014/main" id="{00000000-0008-0000-0300-00008D080000}"/>
            </a:ext>
          </a:extLst>
        </xdr:cNvPr>
        <xdr:cNvSpPr>
          <a:spLocks noChangeArrowheads="1"/>
        </xdr:cNvSpPr>
      </xdr:nvSpPr>
      <xdr:spPr>
        <a:xfrm>
          <a:off x="85725" y="28575"/>
          <a:ext cx="1628775" cy="323850"/>
        </a:xfrm>
        <a:prstGeom prst="wedgeRoundRectCallout">
          <a:avLst>
            <a:gd name="adj1" fmla="val 64727"/>
            <a:gd name="adj2" fmla="val 50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1 B2:R60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18</xdr:col>
      <xdr:colOff>581025</xdr:colOff>
      <xdr:row>0</xdr:row>
      <xdr:rowOff>161925</xdr:rowOff>
    </xdr:from>
    <xdr:to>
      <xdr:col>20</xdr:col>
      <xdr:colOff>781050</xdr:colOff>
      <xdr:row>50</xdr:row>
      <xdr:rowOff>38100</xdr:rowOff>
    </xdr:to>
    <xdr:sp macro="" textlink="">
      <xdr:nvSpPr>
        <xdr:cNvPr id="2190" name="Rectangle 142" descr="cb347a33-3ff7-4827-8839-a9d5d706367a">
          <a:extLst>
            <a:ext uri="{FF2B5EF4-FFF2-40B4-BE49-F238E27FC236}">
              <a16:creationId xmlns:a16="http://schemas.microsoft.com/office/drawing/2014/main" id="{00000000-0008-0000-0300-00008E080000}"/>
            </a:ext>
          </a:extLst>
        </xdr:cNvPr>
        <xdr:cNvSpPr>
          <a:spLocks noChangeArrowheads="1"/>
        </xdr:cNvSpPr>
      </xdr:nvSpPr>
      <xdr:spPr>
        <a:xfrm>
          <a:off x="12942570" y="161925"/>
          <a:ext cx="2503805" cy="8420100"/>
        </a:xfrm>
        <a:prstGeom prst="rect">
          <a:avLst/>
        </a:prstGeom>
        <a:noFill/>
        <a:ln w="57150">
          <a:solidFill>
            <a:srgbClr val="FF0000"/>
          </a:solidFill>
          <a:miter lim="800000"/>
        </a:ln>
      </xdr:spPr>
    </xdr:sp>
    <xdr:clientData/>
  </xdr:twoCellAnchor>
  <xdr:twoCellAnchor>
    <xdr:from>
      <xdr:col>16</xdr:col>
      <xdr:colOff>238125</xdr:colOff>
      <xdr:row>0</xdr:row>
      <xdr:rowOff>47625</xdr:rowOff>
    </xdr:from>
    <xdr:to>
      <xdr:col>18</xdr:col>
      <xdr:colOff>561975</xdr:colOff>
      <xdr:row>2</xdr:row>
      <xdr:rowOff>28575</xdr:rowOff>
    </xdr:to>
    <xdr:sp macro="" textlink="">
      <xdr:nvSpPr>
        <xdr:cNvPr id="2191" name="AutoShape 143" descr="be606e54-6d60-4651-9e9d-a550f94765ef">
          <a:extLst>
            <a:ext uri="{FF2B5EF4-FFF2-40B4-BE49-F238E27FC236}">
              <a16:creationId xmlns:a16="http://schemas.microsoft.com/office/drawing/2014/main" id="{00000000-0008-0000-0300-00008F080000}"/>
            </a:ext>
          </a:extLst>
        </xdr:cNvPr>
        <xdr:cNvSpPr>
          <a:spLocks noChangeArrowheads="1"/>
        </xdr:cNvSpPr>
      </xdr:nvSpPr>
      <xdr:spPr>
        <a:xfrm>
          <a:off x="11095990" y="47625"/>
          <a:ext cx="1827530" cy="314325"/>
        </a:xfrm>
        <a:prstGeom prst="wedgeRoundRectCallout">
          <a:avLst>
            <a:gd name="adj1" fmla="val 54764"/>
            <a:gd name="adj2" fmla="val 92306"/>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2 T2:U60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21</xdr:col>
      <xdr:colOff>0</xdr:colOff>
      <xdr:row>0</xdr:row>
      <xdr:rowOff>161925</xdr:rowOff>
    </xdr:from>
    <xdr:to>
      <xdr:col>28</xdr:col>
      <xdr:colOff>590550</xdr:colOff>
      <xdr:row>50</xdr:row>
      <xdr:rowOff>38100</xdr:rowOff>
    </xdr:to>
    <xdr:sp macro="" textlink="">
      <xdr:nvSpPr>
        <xdr:cNvPr id="2192" name="Rectangle 144" descr="8fa9e567-cb7e-44ef-9aaf-96812d8de5ca">
          <a:extLst>
            <a:ext uri="{FF2B5EF4-FFF2-40B4-BE49-F238E27FC236}">
              <a16:creationId xmlns:a16="http://schemas.microsoft.com/office/drawing/2014/main" id="{00000000-0008-0000-0300-000090080000}"/>
            </a:ext>
          </a:extLst>
        </xdr:cNvPr>
        <xdr:cNvSpPr>
          <a:spLocks noChangeArrowheads="1"/>
        </xdr:cNvSpPr>
      </xdr:nvSpPr>
      <xdr:spPr>
        <a:xfrm>
          <a:off x="15465425" y="161925"/>
          <a:ext cx="4923155" cy="8420100"/>
        </a:xfrm>
        <a:prstGeom prst="rect">
          <a:avLst/>
        </a:prstGeom>
        <a:noFill/>
        <a:ln w="57150">
          <a:solidFill>
            <a:srgbClr val="FF0000"/>
          </a:solidFill>
          <a:miter lim="800000"/>
        </a:ln>
      </xdr:spPr>
    </xdr:sp>
    <xdr:clientData/>
  </xdr:twoCellAnchor>
  <xdr:twoCellAnchor>
    <xdr:from>
      <xdr:col>26</xdr:col>
      <xdr:colOff>381000</xdr:colOff>
      <xdr:row>0</xdr:row>
      <xdr:rowOff>28575</xdr:rowOff>
    </xdr:from>
    <xdr:to>
      <xdr:col>29</xdr:col>
      <xdr:colOff>276225</xdr:colOff>
      <xdr:row>2</xdr:row>
      <xdr:rowOff>9525</xdr:rowOff>
    </xdr:to>
    <xdr:sp macro="" textlink="">
      <xdr:nvSpPr>
        <xdr:cNvPr id="2193" name="AutoShape 145" descr="e66b4c11-ea45-47c6-8502-1aee74ba94bc">
          <a:extLst>
            <a:ext uri="{FF2B5EF4-FFF2-40B4-BE49-F238E27FC236}">
              <a16:creationId xmlns:a16="http://schemas.microsoft.com/office/drawing/2014/main" id="{00000000-0008-0000-0300-000091080000}"/>
            </a:ext>
          </a:extLst>
        </xdr:cNvPr>
        <xdr:cNvSpPr>
          <a:spLocks noChangeArrowheads="1"/>
        </xdr:cNvSpPr>
      </xdr:nvSpPr>
      <xdr:spPr>
        <a:xfrm>
          <a:off x="18978880" y="28575"/>
          <a:ext cx="1695450" cy="314325"/>
        </a:xfrm>
        <a:prstGeom prst="wedgeRoundRectCallout">
          <a:avLst>
            <a:gd name="adj1" fmla="val -24264"/>
            <a:gd name="adj2" fmla="val 94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3 V2:AC60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29</xdr:col>
      <xdr:colOff>571500</xdr:colOff>
      <xdr:row>0</xdr:row>
      <xdr:rowOff>142875</xdr:rowOff>
    </xdr:from>
    <xdr:to>
      <xdr:col>38</xdr:col>
      <xdr:colOff>19050</xdr:colOff>
      <xdr:row>50</xdr:row>
      <xdr:rowOff>19050</xdr:rowOff>
    </xdr:to>
    <xdr:sp macro="" textlink="">
      <xdr:nvSpPr>
        <xdr:cNvPr id="2194" name="Rectangle 146" descr="25bab48a-784d-4efa-ab31-883ccd4708a8">
          <a:extLst>
            <a:ext uri="{FF2B5EF4-FFF2-40B4-BE49-F238E27FC236}">
              <a16:creationId xmlns:a16="http://schemas.microsoft.com/office/drawing/2014/main" id="{00000000-0008-0000-0300-000092080000}"/>
            </a:ext>
          </a:extLst>
        </xdr:cNvPr>
        <xdr:cNvSpPr>
          <a:spLocks noChangeArrowheads="1"/>
        </xdr:cNvSpPr>
      </xdr:nvSpPr>
      <xdr:spPr>
        <a:xfrm>
          <a:off x="20969605" y="142875"/>
          <a:ext cx="6558280" cy="8420100"/>
        </a:xfrm>
        <a:prstGeom prst="rect">
          <a:avLst/>
        </a:prstGeom>
        <a:noFill/>
        <a:ln w="57150">
          <a:solidFill>
            <a:srgbClr val="FF0000"/>
          </a:solidFill>
          <a:miter lim="800000"/>
        </a:ln>
      </xdr:spPr>
    </xdr:sp>
    <xdr:clientData/>
  </xdr:twoCellAnchor>
  <xdr:twoCellAnchor>
    <xdr:from>
      <xdr:col>29</xdr:col>
      <xdr:colOff>523875</xdr:colOff>
      <xdr:row>0</xdr:row>
      <xdr:rowOff>28575</xdr:rowOff>
    </xdr:from>
    <xdr:to>
      <xdr:col>31</xdr:col>
      <xdr:colOff>561975</xdr:colOff>
      <xdr:row>2</xdr:row>
      <xdr:rowOff>9525</xdr:rowOff>
    </xdr:to>
    <xdr:sp macro="" textlink="">
      <xdr:nvSpPr>
        <xdr:cNvPr id="2195" name="AutoShape 147" descr="3abc5016-c2c8-4cb3-9c96-d853e96af77d">
          <a:extLst>
            <a:ext uri="{FF2B5EF4-FFF2-40B4-BE49-F238E27FC236}">
              <a16:creationId xmlns:a16="http://schemas.microsoft.com/office/drawing/2014/main" id="{00000000-0008-0000-0300-000093080000}"/>
            </a:ext>
          </a:extLst>
        </xdr:cNvPr>
        <xdr:cNvSpPr>
          <a:spLocks noChangeArrowheads="1"/>
        </xdr:cNvSpPr>
      </xdr:nvSpPr>
      <xdr:spPr>
        <a:xfrm>
          <a:off x="20921980" y="28575"/>
          <a:ext cx="1830705" cy="314325"/>
        </a:xfrm>
        <a:prstGeom prst="wedgeRoundRectCallout">
          <a:avLst>
            <a:gd name="adj1" fmla="val 19431"/>
            <a:gd name="adj2" fmla="val 83333"/>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4 AE2:AL60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0</xdr:col>
      <xdr:colOff>28575</xdr:colOff>
      <xdr:row>55</xdr:row>
      <xdr:rowOff>9525</xdr:rowOff>
    </xdr:from>
    <xdr:to>
      <xdr:col>4</xdr:col>
      <xdr:colOff>28575</xdr:colOff>
      <xdr:row>60</xdr:row>
      <xdr:rowOff>0</xdr:rowOff>
    </xdr:to>
    <xdr:sp macro="" textlink="">
      <xdr:nvSpPr>
        <xdr:cNvPr id="2196" name="Rectangle 148" descr="edf584a4-9dcc-4c81-9e1c-78645868ad89">
          <a:extLst>
            <a:ext uri="{FF2B5EF4-FFF2-40B4-BE49-F238E27FC236}">
              <a16:creationId xmlns:a16="http://schemas.microsoft.com/office/drawing/2014/main" id="{00000000-0008-0000-0300-000094080000}"/>
            </a:ext>
          </a:extLst>
        </xdr:cNvPr>
        <xdr:cNvSpPr>
          <a:spLocks noChangeArrowheads="1"/>
        </xdr:cNvSpPr>
      </xdr:nvSpPr>
      <xdr:spPr>
        <a:xfrm>
          <a:off x="28575" y="9429750"/>
          <a:ext cx="3429635" cy="1352550"/>
        </a:xfrm>
        <a:prstGeom prst="rect">
          <a:avLst/>
        </a:prstGeom>
        <a:noFill/>
        <a:ln w="57150">
          <a:solidFill>
            <a:srgbClr val="FF0000"/>
          </a:solidFill>
          <a:miter lim="800000"/>
        </a:ln>
      </xdr:spPr>
    </xdr:sp>
    <xdr:clientData/>
  </xdr:twoCellAnchor>
  <xdr:twoCellAnchor>
    <xdr:from>
      <xdr:col>18</xdr:col>
      <xdr:colOff>0</xdr:colOff>
      <xdr:row>52</xdr:row>
      <xdr:rowOff>9525</xdr:rowOff>
    </xdr:from>
    <xdr:to>
      <xdr:col>21</xdr:col>
      <xdr:colOff>0</xdr:colOff>
      <xdr:row>57</xdr:row>
      <xdr:rowOff>0</xdr:rowOff>
    </xdr:to>
    <xdr:sp macro="" textlink="">
      <xdr:nvSpPr>
        <xdr:cNvPr id="2197" name="Rectangle 149" descr="aea3c6da-8745-4b83-977d-a5e8de5f38c3">
          <a:extLst>
            <a:ext uri="{FF2B5EF4-FFF2-40B4-BE49-F238E27FC236}">
              <a16:creationId xmlns:a16="http://schemas.microsoft.com/office/drawing/2014/main" id="{00000000-0008-0000-0300-000095080000}"/>
            </a:ext>
          </a:extLst>
        </xdr:cNvPr>
        <xdr:cNvSpPr>
          <a:spLocks noChangeArrowheads="1"/>
        </xdr:cNvSpPr>
      </xdr:nvSpPr>
      <xdr:spPr>
        <a:xfrm>
          <a:off x="12361545" y="8896350"/>
          <a:ext cx="3103880" cy="1066800"/>
        </a:xfrm>
        <a:prstGeom prst="rect">
          <a:avLst/>
        </a:prstGeom>
        <a:noFill/>
        <a:ln w="57150">
          <a:solidFill>
            <a:srgbClr val="FF0000"/>
          </a:solidFill>
          <a:miter lim="800000"/>
        </a:ln>
      </xdr:spPr>
    </xdr:sp>
    <xdr:clientData/>
  </xdr:twoCellAnchor>
  <xdr:twoCellAnchor>
    <xdr:from>
      <xdr:col>1</xdr:col>
      <xdr:colOff>76200</xdr:colOff>
      <xdr:row>51</xdr:row>
      <xdr:rowOff>95250</xdr:rowOff>
    </xdr:from>
    <xdr:to>
      <xdr:col>2</xdr:col>
      <xdr:colOff>581025</xdr:colOff>
      <xdr:row>53</xdr:row>
      <xdr:rowOff>85725</xdr:rowOff>
    </xdr:to>
    <xdr:sp macro="" textlink="">
      <xdr:nvSpPr>
        <xdr:cNvPr id="2198" name="AutoShape 150" descr="edbe6b3c-481c-4077-bdfe-f71adf7def22">
          <a:extLst>
            <a:ext uri="{FF2B5EF4-FFF2-40B4-BE49-F238E27FC236}">
              <a16:creationId xmlns:a16="http://schemas.microsoft.com/office/drawing/2014/main" id="{00000000-0008-0000-0300-000096080000}"/>
            </a:ext>
          </a:extLst>
        </xdr:cNvPr>
        <xdr:cNvSpPr>
          <a:spLocks noChangeArrowheads="1"/>
        </xdr:cNvSpPr>
      </xdr:nvSpPr>
      <xdr:spPr>
        <a:xfrm>
          <a:off x="676275" y="8810625"/>
          <a:ext cx="1638300"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5 A65:D70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16</xdr:col>
      <xdr:colOff>504825</xdr:colOff>
      <xdr:row>50</xdr:row>
      <xdr:rowOff>142875</xdr:rowOff>
    </xdr:from>
    <xdr:to>
      <xdr:col>19</xdr:col>
      <xdr:colOff>257175</xdr:colOff>
      <xdr:row>52</xdr:row>
      <xdr:rowOff>123825</xdr:rowOff>
    </xdr:to>
    <xdr:sp macro="" textlink="">
      <xdr:nvSpPr>
        <xdr:cNvPr id="2199" name="AutoShape 151" descr="3aa4483a-f143-4292-829f-79b8f1df0f72">
          <a:extLst>
            <a:ext uri="{FF2B5EF4-FFF2-40B4-BE49-F238E27FC236}">
              <a16:creationId xmlns:a16="http://schemas.microsoft.com/office/drawing/2014/main" id="{00000000-0008-0000-0300-000097080000}"/>
            </a:ext>
          </a:extLst>
        </xdr:cNvPr>
        <xdr:cNvSpPr>
          <a:spLocks noChangeArrowheads="1"/>
        </xdr:cNvSpPr>
      </xdr:nvSpPr>
      <xdr:spPr>
        <a:xfrm>
          <a:off x="11362690" y="8686800"/>
          <a:ext cx="1856105"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6 S63:U67</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6"/>
  <sheetViews>
    <sheetView workbookViewId="0"/>
  </sheetViews>
  <sheetFormatPr defaultColWidth="9" defaultRowHeight="12.75" x14ac:dyDescent="0.2"/>
  <cols>
    <col min="1" max="2" width="36.7109375" customWidth="1"/>
  </cols>
  <sheetData>
    <row r="1" spans="1:16" x14ac:dyDescent="0.2">
      <c r="A1" s="51" t="s">
        <v>0</v>
      </c>
    </row>
    <row r="2" spans="1:16" x14ac:dyDescent="0.2">
      <c r="P2">
        <f ca="1">_xll.CB.RecalcCounterFN()</f>
        <v>3</v>
      </c>
    </row>
    <row r="3" spans="1:16" x14ac:dyDescent="0.2">
      <c r="A3" t="s">
        <v>1</v>
      </c>
      <c r="B3" t="s">
        <v>2</v>
      </c>
      <c r="C3">
        <v>0</v>
      </c>
    </row>
    <row r="4" spans="1:16" x14ac:dyDescent="0.2">
      <c r="A4" t="s">
        <v>3</v>
      </c>
    </row>
    <row r="5" spans="1:16" x14ac:dyDescent="0.2">
      <c r="A5" t="s">
        <v>4</v>
      </c>
    </row>
    <row r="7" spans="1:16" x14ac:dyDescent="0.2">
      <c r="A7" s="51" t="s">
        <v>5</v>
      </c>
      <c r="B7" t="s">
        <v>6</v>
      </c>
    </row>
    <row r="8" spans="1:16" x14ac:dyDescent="0.2">
      <c r="B8">
        <v>2</v>
      </c>
    </row>
    <row r="10" spans="1:16" x14ac:dyDescent="0.2">
      <c r="A10" t="s">
        <v>7</v>
      </c>
    </row>
    <row r="11" spans="1:16" x14ac:dyDescent="0.2">
      <c r="A11" t="e">
        <f>CB_DATA_!#REF!</f>
        <v>#REF!</v>
      </c>
      <c r="B11" t="e">
        <f>Model!#REF!</f>
        <v>#REF!</v>
      </c>
    </row>
    <row r="13" spans="1:16" x14ac:dyDescent="0.2">
      <c r="A13" t="s">
        <v>8</v>
      </c>
    </row>
    <row r="14" spans="1:16" x14ac:dyDescent="0.2">
      <c r="A14" t="s">
        <v>9</v>
      </c>
      <c r="B14" t="s">
        <v>10</v>
      </c>
    </row>
    <row r="16" spans="1:16" x14ac:dyDescent="0.2">
      <c r="A16" t="s">
        <v>11</v>
      </c>
    </row>
    <row r="19" spans="1:2" x14ac:dyDescent="0.2">
      <c r="A19" t="s">
        <v>12</v>
      </c>
    </row>
    <row r="20" spans="1:2" x14ac:dyDescent="0.2">
      <c r="A20">
        <v>31</v>
      </c>
      <c r="B20">
        <v>43</v>
      </c>
    </row>
    <row r="25" spans="1:2" x14ac:dyDescent="0.2">
      <c r="A25" s="51" t="s">
        <v>13</v>
      </c>
    </row>
    <row r="26" spans="1:2" x14ac:dyDescent="0.2">
      <c r="A26" s="102" t="s">
        <v>190</v>
      </c>
      <c r="B26" s="102" t="s">
        <v>190</v>
      </c>
    </row>
    <row r="27" spans="1:2" x14ac:dyDescent="0.2">
      <c r="A27" t="s">
        <v>188</v>
      </c>
      <c r="B27" t="s">
        <v>191</v>
      </c>
    </row>
    <row r="28" spans="1:2" x14ac:dyDescent="0.2">
      <c r="A28" s="102" t="s">
        <v>189</v>
      </c>
      <c r="B28" s="102" t="s">
        <v>189</v>
      </c>
    </row>
    <row r="29" spans="1:2" x14ac:dyDescent="0.2">
      <c r="A29" s="102" t="s">
        <v>14</v>
      </c>
      <c r="B29" s="102" t="s">
        <v>192</v>
      </c>
    </row>
    <row r="30" spans="1:2" x14ac:dyDescent="0.2">
      <c r="A30" t="s">
        <v>198</v>
      </c>
      <c r="B30" t="s">
        <v>199</v>
      </c>
    </row>
    <row r="31" spans="1:2" x14ac:dyDescent="0.2">
      <c r="A31" s="102" t="s">
        <v>15</v>
      </c>
      <c r="B31" s="102" t="s">
        <v>193</v>
      </c>
    </row>
    <row r="32" spans="1:2" x14ac:dyDescent="0.2">
      <c r="B32" s="102" t="s">
        <v>194</v>
      </c>
    </row>
    <row r="33" spans="2:2" x14ac:dyDescent="0.2">
      <c r="B33" t="s">
        <v>200</v>
      </c>
    </row>
    <row r="34" spans="2:2" x14ac:dyDescent="0.2">
      <c r="B34" s="102" t="s">
        <v>193</v>
      </c>
    </row>
    <row r="35" spans="2:2" x14ac:dyDescent="0.2">
      <c r="B35" s="102" t="s">
        <v>195</v>
      </c>
    </row>
    <row r="36" spans="2:2" x14ac:dyDescent="0.2">
      <c r="B36" t="s">
        <v>201</v>
      </c>
    </row>
    <row r="37" spans="2:2" x14ac:dyDescent="0.2">
      <c r="B37" s="102" t="s">
        <v>193</v>
      </c>
    </row>
    <row r="38" spans="2:2" x14ac:dyDescent="0.2">
      <c r="B38" s="102" t="s">
        <v>196</v>
      </c>
    </row>
    <row r="39" spans="2:2" x14ac:dyDescent="0.2">
      <c r="B39" t="s">
        <v>202</v>
      </c>
    </row>
    <row r="40" spans="2:2" x14ac:dyDescent="0.2">
      <c r="B40" s="102" t="s">
        <v>193</v>
      </c>
    </row>
    <row r="41" spans="2:2" x14ac:dyDescent="0.2">
      <c r="B41" s="102" t="s">
        <v>197</v>
      </c>
    </row>
    <row r="42" spans="2:2" x14ac:dyDescent="0.2">
      <c r="B42" t="s">
        <v>203</v>
      </c>
    </row>
    <row r="43" spans="2:2" x14ac:dyDescent="0.2">
      <c r="B43" s="102" t="s">
        <v>193</v>
      </c>
    </row>
    <row r="10000" spans="1:1" x14ac:dyDescent="0.2">
      <c r="A10000" t="s">
        <v>16</v>
      </c>
    </row>
    <row r="10002" spans="1:1" x14ac:dyDescent="0.2">
      <c r="A10002" t="b">
        <f>0&lt;="{0.MAX}"&lt;=0</f>
        <v>0</v>
      </c>
    </row>
    <row r="10005" spans="1:1" x14ac:dyDescent="0.2">
      <c r="A10005" t="str">
        <f>"{0.PERCENTILE(0.95)}"</f>
        <v>{0.PERCENTILE(0.95)}</v>
      </c>
    </row>
    <row r="10006" spans="1:1" x14ac:dyDescent="0.2">
      <c r="A10006" t="b">
        <f>0&lt;="{0.MAX}"&lt;=0</f>
        <v>0</v>
      </c>
    </row>
  </sheetData>
  <phoneticPr fontId="10" type="noConversion"/>
  <pageMargins left="0.75" right="0.75" top="1" bottom="1" header="0.5" footer="0.5"/>
  <pageSetup paperSize="9" orientation="portrait"/>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78"/>
  <sheetViews>
    <sheetView showGridLines="0" topLeftCell="A7" zoomScale="80" zoomScaleNormal="80" workbookViewId="0">
      <selection activeCell="K57" sqref="K57"/>
    </sheetView>
  </sheetViews>
  <sheetFormatPr defaultColWidth="9" defaultRowHeight="12.75" x14ac:dyDescent="0.2"/>
  <cols>
    <col min="2" max="2" width="17" customWidth="1"/>
    <col min="3" max="3" width="12" customWidth="1"/>
    <col min="4" max="4" width="39.5703125" customWidth="1"/>
    <col min="6" max="6" width="17.85546875" customWidth="1"/>
    <col min="7" max="7" width="13.28515625" customWidth="1"/>
    <col min="8" max="8" width="21.7109375" style="51" customWidth="1"/>
  </cols>
  <sheetData>
    <row r="1" spans="2:8" ht="13.5" customHeight="1" x14ac:dyDescent="0.2">
      <c r="D1" s="51"/>
    </row>
    <row r="2" spans="2:8" ht="12.75" customHeight="1" x14ac:dyDescent="0.2">
      <c r="B2" s="112" t="s">
        <v>17</v>
      </c>
      <c r="C2" s="1"/>
      <c r="D2" s="88" t="s">
        <v>18</v>
      </c>
      <c r="F2" s="112" t="s">
        <v>17</v>
      </c>
      <c r="G2" s="1"/>
      <c r="H2" s="89" t="s">
        <v>19</v>
      </c>
    </row>
    <row r="3" spans="2:8" ht="12.75" customHeight="1" x14ac:dyDescent="0.2">
      <c r="B3" s="113"/>
      <c r="D3" s="90"/>
      <c r="F3" s="113"/>
      <c r="H3" s="91"/>
    </row>
    <row r="4" spans="2:8" ht="12.75" customHeight="1" x14ac:dyDescent="0.2">
      <c r="B4" s="113"/>
      <c r="C4" s="92" t="s">
        <v>20</v>
      </c>
      <c r="D4" s="93" t="s">
        <v>21</v>
      </c>
      <c r="F4" s="113"/>
      <c r="G4" s="94" t="s">
        <v>20</v>
      </c>
      <c r="H4" s="95" t="s">
        <v>22</v>
      </c>
    </row>
    <row r="5" spans="2:8" ht="12.75" customHeight="1" x14ac:dyDescent="0.2">
      <c r="B5" s="113"/>
      <c r="C5" s="92" t="s">
        <v>23</v>
      </c>
      <c r="D5" s="93" t="s">
        <v>24</v>
      </c>
      <c r="F5" s="113"/>
      <c r="G5" s="94" t="s">
        <v>23</v>
      </c>
      <c r="H5" s="103" t="s">
        <v>25</v>
      </c>
    </row>
    <row r="6" spans="2:8" ht="13.5" customHeight="1" x14ac:dyDescent="0.2">
      <c r="B6" s="114"/>
      <c r="C6" s="96" t="s">
        <v>26</v>
      </c>
      <c r="D6" s="97" t="s">
        <v>27</v>
      </c>
      <c r="F6" s="114"/>
      <c r="G6" s="98" t="s">
        <v>26</v>
      </c>
      <c r="H6" s="104" t="s">
        <v>25</v>
      </c>
    </row>
    <row r="7" spans="2:8" ht="15" x14ac:dyDescent="0.2">
      <c r="B7" s="9"/>
      <c r="F7" s="9"/>
      <c r="H7" s="67"/>
    </row>
    <row r="8" spans="2:8" ht="12.75" customHeight="1" x14ac:dyDescent="0.2">
      <c r="B8" s="112" t="s">
        <v>28</v>
      </c>
      <c r="C8" s="1"/>
      <c r="D8" s="88" t="s">
        <v>18</v>
      </c>
      <c r="F8" s="112" t="s">
        <v>28</v>
      </c>
      <c r="G8" s="1"/>
      <c r="H8" s="99" t="s">
        <v>19</v>
      </c>
    </row>
    <row r="9" spans="2:8" ht="12.75" customHeight="1" x14ac:dyDescent="0.2">
      <c r="B9" s="113"/>
      <c r="C9" s="4"/>
      <c r="D9" s="100"/>
      <c r="F9" s="113"/>
      <c r="G9" s="4"/>
      <c r="H9" s="91"/>
    </row>
    <row r="10" spans="2:8" ht="12.75" customHeight="1" x14ac:dyDescent="0.2">
      <c r="B10" s="113"/>
      <c r="C10" s="92" t="s">
        <v>20</v>
      </c>
      <c r="D10" s="93" t="s">
        <v>21</v>
      </c>
      <c r="F10" s="113"/>
      <c r="G10" s="94" t="s">
        <v>20</v>
      </c>
      <c r="H10" s="95" t="s">
        <v>22</v>
      </c>
    </row>
    <row r="11" spans="2:8" ht="12.75" customHeight="1" x14ac:dyDescent="0.2">
      <c r="B11" s="113"/>
      <c r="C11" s="92" t="s">
        <v>23</v>
      </c>
      <c r="D11" s="93" t="s">
        <v>24</v>
      </c>
      <c r="F11" s="113"/>
      <c r="G11" s="94" t="s">
        <v>23</v>
      </c>
      <c r="H11" s="103" t="s">
        <v>25</v>
      </c>
    </row>
    <row r="12" spans="2:8" ht="13.5" customHeight="1" x14ac:dyDescent="0.2">
      <c r="B12" s="114"/>
      <c r="C12" s="96" t="s">
        <v>26</v>
      </c>
      <c r="D12" s="97" t="s">
        <v>29</v>
      </c>
      <c r="F12" s="114"/>
      <c r="G12" s="98" t="s">
        <v>26</v>
      </c>
      <c r="H12" s="101" t="s">
        <v>30</v>
      </c>
    </row>
    <row r="13" spans="2:8" ht="15" x14ac:dyDescent="0.2">
      <c r="B13" s="9"/>
      <c r="C13" s="4"/>
      <c r="D13" s="4"/>
      <c r="F13" s="9"/>
      <c r="G13" s="4"/>
      <c r="H13" s="67"/>
    </row>
    <row r="14" spans="2:8" ht="12.75" customHeight="1" x14ac:dyDescent="0.2">
      <c r="B14" s="112" t="s">
        <v>31</v>
      </c>
      <c r="C14" s="13"/>
      <c r="D14" s="88" t="s">
        <v>18</v>
      </c>
      <c r="F14" s="112" t="s">
        <v>31</v>
      </c>
      <c r="G14" s="13"/>
      <c r="H14" s="89" t="s">
        <v>19</v>
      </c>
    </row>
    <row r="15" spans="2:8" ht="12.75" customHeight="1" x14ac:dyDescent="0.2">
      <c r="B15" s="113"/>
      <c r="C15" s="4"/>
      <c r="D15" s="100"/>
      <c r="F15" s="113"/>
      <c r="G15" s="4"/>
      <c r="H15" s="91"/>
    </row>
    <row r="16" spans="2:8" ht="12.75" customHeight="1" x14ac:dyDescent="0.2">
      <c r="B16" s="113"/>
      <c r="C16" s="92" t="s">
        <v>20</v>
      </c>
      <c r="D16" s="93" t="s">
        <v>21</v>
      </c>
      <c r="F16" s="113"/>
      <c r="G16" s="94" t="s">
        <v>20</v>
      </c>
      <c r="H16" s="95" t="s">
        <v>22</v>
      </c>
    </row>
    <row r="17" spans="2:8" ht="12.75" customHeight="1" x14ac:dyDescent="0.2">
      <c r="B17" s="113"/>
      <c r="C17" s="92" t="s">
        <v>23</v>
      </c>
      <c r="D17" s="93" t="s">
        <v>24</v>
      </c>
      <c r="F17" s="113"/>
      <c r="G17" s="94" t="s">
        <v>23</v>
      </c>
      <c r="H17" s="103" t="s">
        <v>25</v>
      </c>
    </row>
    <row r="18" spans="2:8" ht="13.5" customHeight="1" x14ac:dyDescent="0.2">
      <c r="B18" s="114"/>
      <c r="C18" s="96" t="s">
        <v>26</v>
      </c>
      <c r="D18" s="97" t="s">
        <v>27</v>
      </c>
      <c r="F18" s="114"/>
      <c r="G18" s="98" t="s">
        <v>26</v>
      </c>
      <c r="H18" s="104" t="s">
        <v>25</v>
      </c>
    </row>
    <row r="19" spans="2:8" ht="15" x14ac:dyDescent="0.2">
      <c r="B19" s="9"/>
      <c r="C19" s="4"/>
      <c r="D19" s="4"/>
      <c r="F19" s="9"/>
      <c r="G19" s="4"/>
      <c r="H19" s="67"/>
    </row>
    <row r="20" spans="2:8" ht="12.75" customHeight="1" x14ac:dyDescent="0.2">
      <c r="B20" s="112" t="s">
        <v>32</v>
      </c>
      <c r="C20" s="13"/>
      <c r="D20" s="88" t="s">
        <v>18</v>
      </c>
      <c r="F20" s="112" t="s">
        <v>32</v>
      </c>
      <c r="G20" s="13"/>
      <c r="H20" s="99" t="s">
        <v>19</v>
      </c>
    </row>
    <row r="21" spans="2:8" ht="12.75" customHeight="1" x14ac:dyDescent="0.2">
      <c r="B21" s="113"/>
      <c r="C21" s="4"/>
      <c r="D21" s="100"/>
      <c r="F21" s="113"/>
      <c r="G21" s="4"/>
      <c r="H21" s="91"/>
    </row>
    <row r="22" spans="2:8" ht="12.75" customHeight="1" x14ac:dyDescent="0.2">
      <c r="B22" s="113"/>
      <c r="C22" s="92" t="s">
        <v>20</v>
      </c>
      <c r="D22" s="93" t="s">
        <v>21</v>
      </c>
      <c r="F22" s="113"/>
      <c r="G22" s="94" t="s">
        <v>20</v>
      </c>
      <c r="H22" s="95" t="s">
        <v>22</v>
      </c>
    </row>
    <row r="23" spans="2:8" ht="12.75" customHeight="1" x14ac:dyDescent="0.2">
      <c r="B23" s="113"/>
      <c r="C23" s="92" t="s">
        <v>23</v>
      </c>
      <c r="D23" s="93" t="s">
        <v>24</v>
      </c>
      <c r="F23" s="113"/>
      <c r="G23" s="94" t="s">
        <v>23</v>
      </c>
      <c r="H23" s="103" t="s">
        <v>25</v>
      </c>
    </row>
    <row r="24" spans="2:8" ht="13.5" customHeight="1" x14ac:dyDescent="0.2">
      <c r="B24" s="114"/>
      <c r="C24" s="96" t="s">
        <v>26</v>
      </c>
      <c r="D24" s="97" t="s">
        <v>29</v>
      </c>
      <c r="F24" s="114"/>
      <c r="G24" s="98" t="s">
        <v>26</v>
      </c>
      <c r="H24" s="101" t="s">
        <v>30</v>
      </c>
    </row>
    <row r="25" spans="2:8" ht="15" x14ac:dyDescent="0.2">
      <c r="B25" s="9"/>
      <c r="C25" s="4"/>
      <c r="D25" s="4"/>
      <c r="F25" s="9"/>
      <c r="G25" s="4"/>
      <c r="H25" s="67"/>
    </row>
    <row r="26" spans="2:8" ht="12.75" customHeight="1" x14ac:dyDescent="0.2">
      <c r="B26" s="112" t="s">
        <v>33</v>
      </c>
      <c r="C26" s="13"/>
      <c r="D26" s="88" t="s">
        <v>18</v>
      </c>
      <c r="F26" s="112" t="s">
        <v>33</v>
      </c>
      <c r="G26" s="13"/>
      <c r="H26" s="89" t="s">
        <v>19</v>
      </c>
    </row>
    <row r="27" spans="2:8" ht="12.75" customHeight="1" x14ac:dyDescent="0.2">
      <c r="B27" s="113"/>
      <c r="C27" s="4"/>
      <c r="D27" s="100"/>
      <c r="F27" s="113"/>
      <c r="G27" s="4"/>
      <c r="H27" s="91"/>
    </row>
    <row r="28" spans="2:8" ht="12.75" customHeight="1" x14ac:dyDescent="0.2">
      <c r="B28" s="113"/>
      <c r="C28" s="92" t="s">
        <v>20</v>
      </c>
      <c r="D28" s="93" t="s">
        <v>21</v>
      </c>
      <c r="F28" s="113"/>
      <c r="G28" s="94" t="s">
        <v>20</v>
      </c>
      <c r="H28" s="95" t="s">
        <v>22</v>
      </c>
    </row>
    <row r="29" spans="2:8" ht="12.75" customHeight="1" x14ac:dyDescent="0.2">
      <c r="B29" s="113"/>
      <c r="C29" s="92" t="s">
        <v>23</v>
      </c>
      <c r="D29" s="93" t="s">
        <v>24</v>
      </c>
      <c r="F29" s="113"/>
      <c r="G29" s="94" t="s">
        <v>23</v>
      </c>
      <c r="H29" s="103" t="s">
        <v>25</v>
      </c>
    </row>
    <row r="30" spans="2:8" ht="13.5" customHeight="1" x14ac:dyDescent="0.2">
      <c r="B30" s="114"/>
      <c r="C30" s="96" t="s">
        <v>26</v>
      </c>
      <c r="D30" s="97" t="s">
        <v>27</v>
      </c>
      <c r="F30" s="114"/>
      <c r="G30" s="98" t="s">
        <v>26</v>
      </c>
      <c r="H30" s="104" t="s">
        <v>25</v>
      </c>
    </row>
    <row r="31" spans="2:8" ht="15" x14ac:dyDescent="0.2">
      <c r="B31" s="9"/>
      <c r="C31" s="4"/>
      <c r="D31" s="4"/>
      <c r="F31" s="9"/>
      <c r="G31" s="4"/>
      <c r="H31" s="67"/>
    </row>
    <row r="32" spans="2:8" ht="12.75" customHeight="1" x14ac:dyDescent="0.2">
      <c r="B32" s="112" t="s">
        <v>34</v>
      </c>
      <c r="C32" s="13"/>
      <c r="D32" s="88" t="s">
        <v>18</v>
      </c>
      <c r="F32" s="112" t="s">
        <v>34</v>
      </c>
      <c r="G32" s="13"/>
      <c r="H32" s="99" t="s">
        <v>19</v>
      </c>
    </row>
    <row r="33" spans="2:8" ht="12.75" customHeight="1" x14ac:dyDescent="0.2">
      <c r="B33" s="113"/>
      <c r="C33" s="4"/>
      <c r="D33" s="100"/>
      <c r="F33" s="113"/>
      <c r="G33" s="4"/>
      <c r="H33" s="91"/>
    </row>
    <row r="34" spans="2:8" ht="12.75" customHeight="1" x14ac:dyDescent="0.2">
      <c r="B34" s="113"/>
      <c r="C34" s="92" t="s">
        <v>20</v>
      </c>
      <c r="D34" s="93" t="s">
        <v>21</v>
      </c>
      <c r="F34" s="113"/>
      <c r="G34" s="94" t="s">
        <v>20</v>
      </c>
      <c r="H34" s="95" t="s">
        <v>22</v>
      </c>
    </row>
    <row r="35" spans="2:8" ht="12.75" customHeight="1" x14ac:dyDescent="0.2">
      <c r="B35" s="113"/>
      <c r="C35" s="92" t="s">
        <v>23</v>
      </c>
      <c r="D35" s="93" t="s">
        <v>24</v>
      </c>
      <c r="F35" s="113"/>
      <c r="G35" s="94" t="s">
        <v>23</v>
      </c>
      <c r="H35" s="103" t="s">
        <v>25</v>
      </c>
    </row>
    <row r="36" spans="2:8" ht="13.5" customHeight="1" x14ac:dyDescent="0.2">
      <c r="B36" s="114"/>
      <c r="C36" s="96" t="s">
        <v>26</v>
      </c>
      <c r="D36" s="97" t="s">
        <v>29</v>
      </c>
      <c r="F36" s="114"/>
      <c r="G36" s="98" t="s">
        <v>26</v>
      </c>
      <c r="H36" s="101" t="s">
        <v>30</v>
      </c>
    </row>
    <row r="37" spans="2:8" ht="15" x14ac:dyDescent="0.2">
      <c r="B37" s="9"/>
      <c r="C37" s="4"/>
      <c r="D37" s="4"/>
      <c r="F37" s="9"/>
      <c r="G37" s="4"/>
      <c r="H37" s="67"/>
    </row>
    <row r="38" spans="2:8" ht="12.75" customHeight="1" x14ac:dyDescent="0.2">
      <c r="B38" s="112" t="s">
        <v>35</v>
      </c>
      <c r="C38" s="13"/>
      <c r="D38" s="88" t="s">
        <v>18</v>
      </c>
      <c r="F38" s="112" t="s">
        <v>35</v>
      </c>
      <c r="G38" s="13"/>
      <c r="H38" s="99" t="s">
        <v>19</v>
      </c>
    </row>
    <row r="39" spans="2:8" ht="12.75" customHeight="1" x14ac:dyDescent="0.2">
      <c r="B39" s="113"/>
      <c r="C39" s="4"/>
      <c r="D39" s="100"/>
      <c r="F39" s="113"/>
      <c r="G39" s="4"/>
      <c r="H39" s="91"/>
    </row>
    <row r="40" spans="2:8" ht="12.75" customHeight="1" x14ac:dyDescent="0.2">
      <c r="B40" s="113"/>
      <c r="C40" s="92" t="s">
        <v>20</v>
      </c>
      <c r="D40" s="93" t="s">
        <v>21</v>
      </c>
      <c r="F40" s="113"/>
      <c r="G40" s="94" t="s">
        <v>20</v>
      </c>
      <c r="H40" s="95" t="s">
        <v>22</v>
      </c>
    </row>
    <row r="41" spans="2:8" ht="12.75" customHeight="1" x14ac:dyDescent="0.2">
      <c r="B41" s="113"/>
      <c r="C41" s="92" t="s">
        <v>23</v>
      </c>
      <c r="D41" s="93" t="s">
        <v>24</v>
      </c>
      <c r="F41" s="113"/>
      <c r="G41" s="94" t="s">
        <v>23</v>
      </c>
      <c r="H41" s="103" t="s">
        <v>25</v>
      </c>
    </row>
    <row r="42" spans="2:8" ht="13.5" customHeight="1" x14ac:dyDescent="0.2">
      <c r="B42" s="114"/>
      <c r="C42" s="96" t="s">
        <v>26</v>
      </c>
      <c r="D42" s="97" t="s">
        <v>29</v>
      </c>
      <c r="F42" s="114"/>
      <c r="G42" s="98" t="s">
        <v>26</v>
      </c>
      <c r="H42" s="101" t="s">
        <v>30</v>
      </c>
    </row>
    <row r="43" spans="2:8" ht="15" x14ac:dyDescent="0.2">
      <c r="B43" s="9"/>
      <c r="C43" s="4"/>
      <c r="D43" s="4"/>
      <c r="F43" s="9"/>
      <c r="G43" s="4"/>
      <c r="H43" s="67"/>
    </row>
    <row r="44" spans="2:8" ht="12.75" customHeight="1" x14ac:dyDescent="0.2">
      <c r="B44" s="112" t="s">
        <v>36</v>
      </c>
      <c r="C44" s="13"/>
      <c r="D44" s="88" t="s">
        <v>18</v>
      </c>
      <c r="F44" s="112" t="s">
        <v>36</v>
      </c>
      <c r="G44" s="13"/>
      <c r="H44" s="99" t="s">
        <v>19</v>
      </c>
    </row>
    <row r="45" spans="2:8" ht="12.75" customHeight="1" x14ac:dyDescent="0.2">
      <c r="B45" s="113"/>
      <c r="C45" s="4"/>
      <c r="D45" s="100"/>
      <c r="F45" s="113"/>
      <c r="G45" s="4"/>
      <c r="H45" s="91"/>
    </row>
    <row r="46" spans="2:8" ht="12.75" customHeight="1" x14ac:dyDescent="0.2">
      <c r="B46" s="113"/>
      <c r="C46" s="92" t="s">
        <v>20</v>
      </c>
      <c r="D46" s="93" t="s">
        <v>21</v>
      </c>
      <c r="F46" s="113"/>
      <c r="G46" s="94" t="s">
        <v>20</v>
      </c>
      <c r="H46" s="95" t="s">
        <v>22</v>
      </c>
    </row>
    <row r="47" spans="2:8" ht="12.75" customHeight="1" x14ac:dyDescent="0.2">
      <c r="B47" s="113"/>
      <c r="C47" s="92" t="s">
        <v>23</v>
      </c>
      <c r="D47" s="93" t="s">
        <v>24</v>
      </c>
      <c r="F47" s="113"/>
      <c r="G47" s="94" t="s">
        <v>23</v>
      </c>
      <c r="H47" s="103" t="s">
        <v>25</v>
      </c>
    </row>
    <row r="48" spans="2:8" ht="13.5" customHeight="1" x14ac:dyDescent="0.2">
      <c r="B48" s="114"/>
      <c r="C48" s="96" t="s">
        <v>26</v>
      </c>
      <c r="D48" s="97" t="s">
        <v>29</v>
      </c>
      <c r="F48" s="114"/>
      <c r="G48" s="98" t="s">
        <v>26</v>
      </c>
      <c r="H48" s="101" t="s">
        <v>30</v>
      </c>
    </row>
    <row r="49" spans="2:8" ht="15" x14ac:dyDescent="0.2">
      <c r="B49" s="9"/>
      <c r="C49" s="4"/>
      <c r="D49" s="4"/>
      <c r="F49" s="9"/>
      <c r="G49" s="4"/>
      <c r="H49" s="67"/>
    </row>
    <row r="50" spans="2:8" ht="12.75" customHeight="1" x14ac:dyDescent="0.2">
      <c r="B50" s="112" t="s">
        <v>37</v>
      </c>
      <c r="C50" s="13"/>
      <c r="D50" s="88" t="s">
        <v>18</v>
      </c>
      <c r="F50" s="112" t="s">
        <v>37</v>
      </c>
      <c r="G50" s="13"/>
      <c r="H50" s="99" t="s">
        <v>19</v>
      </c>
    </row>
    <row r="51" spans="2:8" ht="12.75" customHeight="1" x14ac:dyDescent="0.2">
      <c r="B51" s="113"/>
      <c r="C51" s="4"/>
      <c r="D51" s="100"/>
      <c r="F51" s="113"/>
      <c r="G51" s="4"/>
      <c r="H51" s="91"/>
    </row>
    <row r="52" spans="2:8" ht="12.75" customHeight="1" x14ac:dyDescent="0.2">
      <c r="B52" s="113"/>
      <c r="C52" s="92" t="s">
        <v>20</v>
      </c>
      <c r="D52" s="93" t="s">
        <v>21</v>
      </c>
      <c r="F52" s="113"/>
      <c r="G52" s="94" t="s">
        <v>20</v>
      </c>
      <c r="H52" s="95" t="s">
        <v>22</v>
      </c>
    </row>
    <row r="53" spans="2:8" ht="12.75" customHeight="1" x14ac:dyDescent="0.2">
      <c r="B53" s="113"/>
      <c r="C53" s="92" t="s">
        <v>23</v>
      </c>
      <c r="D53" s="93" t="s">
        <v>24</v>
      </c>
      <c r="F53" s="113"/>
      <c r="G53" s="94" t="s">
        <v>23</v>
      </c>
      <c r="H53" s="103" t="s">
        <v>25</v>
      </c>
    </row>
    <row r="54" spans="2:8" ht="13.5" customHeight="1" x14ac:dyDescent="0.2">
      <c r="B54" s="114"/>
      <c r="C54" s="96" t="s">
        <v>26</v>
      </c>
      <c r="D54" s="97" t="s">
        <v>29</v>
      </c>
      <c r="F54" s="114"/>
      <c r="G54" s="98" t="s">
        <v>26</v>
      </c>
      <c r="H54" s="101" t="s">
        <v>30</v>
      </c>
    </row>
    <row r="55" spans="2:8" ht="15" x14ac:dyDescent="0.2">
      <c r="B55" s="9"/>
      <c r="C55" s="4"/>
      <c r="D55" s="4"/>
      <c r="F55" s="9"/>
      <c r="G55" s="4"/>
      <c r="H55" s="67"/>
    </row>
    <row r="56" spans="2:8" ht="12.75" customHeight="1" x14ac:dyDescent="0.2">
      <c r="B56" s="112" t="s">
        <v>38</v>
      </c>
      <c r="C56" s="13"/>
      <c r="D56" s="88" t="s">
        <v>18</v>
      </c>
      <c r="F56" s="112" t="s">
        <v>38</v>
      </c>
      <c r="G56" s="13"/>
      <c r="H56" s="99" t="s">
        <v>19</v>
      </c>
    </row>
    <row r="57" spans="2:8" ht="12.75" customHeight="1" x14ac:dyDescent="0.2">
      <c r="B57" s="113"/>
      <c r="C57" s="4"/>
      <c r="D57" s="100"/>
      <c r="F57" s="113"/>
      <c r="G57" s="4"/>
      <c r="H57" s="91"/>
    </row>
    <row r="58" spans="2:8" ht="12.75" customHeight="1" x14ac:dyDescent="0.2">
      <c r="B58" s="113"/>
      <c r="C58" s="92" t="s">
        <v>20</v>
      </c>
      <c r="D58" s="93" t="s">
        <v>21</v>
      </c>
      <c r="F58" s="113"/>
      <c r="G58" s="94" t="s">
        <v>20</v>
      </c>
      <c r="H58" s="95" t="s">
        <v>22</v>
      </c>
    </row>
    <row r="59" spans="2:8" ht="12.75" customHeight="1" x14ac:dyDescent="0.2">
      <c r="B59" s="113"/>
      <c r="C59" s="92" t="s">
        <v>23</v>
      </c>
      <c r="D59" s="93" t="s">
        <v>24</v>
      </c>
      <c r="F59" s="113"/>
      <c r="G59" s="94" t="s">
        <v>23</v>
      </c>
      <c r="H59" s="103" t="s">
        <v>25</v>
      </c>
    </row>
    <row r="60" spans="2:8" ht="13.5" customHeight="1" x14ac:dyDescent="0.2">
      <c r="B60" s="114"/>
      <c r="C60" s="96" t="s">
        <v>26</v>
      </c>
      <c r="D60" s="97" t="s">
        <v>29</v>
      </c>
      <c r="F60" s="114"/>
      <c r="G60" s="98" t="s">
        <v>26</v>
      </c>
      <c r="H60" s="101" t="s">
        <v>30</v>
      </c>
    </row>
    <row r="61" spans="2:8" x14ac:dyDescent="0.2">
      <c r="B61" s="20"/>
      <c r="C61" s="4"/>
      <c r="D61" s="4"/>
    </row>
    <row r="62" spans="2:8" x14ac:dyDescent="0.2">
      <c r="B62" s="20"/>
      <c r="C62" s="4"/>
      <c r="D62" s="4"/>
      <c r="F62" s="56" t="s">
        <v>39</v>
      </c>
      <c r="G62" s="57" t="s">
        <v>26</v>
      </c>
      <c r="H62" s="56" t="s">
        <v>30</v>
      </c>
    </row>
    <row r="63" spans="2:8" x14ac:dyDescent="0.2">
      <c r="B63" s="20"/>
      <c r="C63" s="4"/>
      <c r="D63" s="4"/>
    </row>
    <row r="64" spans="2:8" x14ac:dyDescent="0.2">
      <c r="B64" s="20"/>
      <c r="C64" s="4"/>
      <c r="D64" s="4"/>
    </row>
    <row r="65" spans="2:4" x14ac:dyDescent="0.2">
      <c r="B65" s="20"/>
      <c r="C65" s="4"/>
      <c r="D65" s="4"/>
    </row>
    <row r="66" spans="2:4" x14ac:dyDescent="0.2">
      <c r="B66" s="20"/>
      <c r="C66" s="4"/>
      <c r="D66" s="4"/>
    </row>
    <row r="67" spans="2:4" x14ac:dyDescent="0.2">
      <c r="B67" s="20"/>
      <c r="C67" s="4"/>
      <c r="D67" s="4"/>
    </row>
    <row r="68" spans="2:4" x14ac:dyDescent="0.2">
      <c r="B68" s="20"/>
      <c r="C68" s="4"/>
      <c r="D68" s="4"/>
    </row>
    <row r="69" spans="2:4" x14ac:dyDescent="0.2">
      <c r="B69" s="20"/>
      <c r="C69" s="4"/>
      <c r="D69" s="4"/>
    </row>
    <row r="70" spans="2:4" x14ac:dyDescent="0.2">
      <c r="B70" s="20"/>
      <c r="C70" s="4"/>
      <c r="D70" s="4"/>
    </row>
    <row r="71" spans="2:4" x14ac:dyDescent="0.2">
      <c r="B71" s="20"/>
      <c r="C71" s="4"/>
      <c r="D71" s="4"/>
    </row>
    <row r="72" spans="2:4" x14ac:dyDescent="0.2">
      <c r="B72" s="20"/>
      <c r="C72" s="4"/>
      <c r="D72" s="4"/>
    </row>
    <row r="73" spans="2:4" x14ac:dyDescent="0.2">
      <c r="B73" s="20"/>
      <c r="C73" s="4"/>
      <c r="D73" s="4"/>
    </row>
    <row r="74" spans="2:4" x14ac:dyDescent="0.2">
      <c r="B74" s="20"/>
      <c r="C74" s="4"/>
      <c r="D74" s="4"/>
    </row>
    <row r="75" spans="2:4" x14ac:dyDescent="0.2">
      <c r="B75" s="20"/>
      <c r="C75" s="4"/>
      <c r="D75" s="4"/>
    </row>
    <row r="76" spans="2:4" x14ac:dyDescent="0.2">
      <c r="B76" s="20"/>
      <c r="C76" s="4"/>
      <c r="D76" s="4"/>
    </row>
    <row r="77" spans="2:4" x14ac:dyDescent="0.2">
      <c r="B77" s="20"/>
      <c r="C77" s="4"/>
      <c r="D77" s="4"/>
    </row>
    <row r="78" spans="2:4" x14ac:dyDescent="0.2">
      <c r="C78" s="4"/>
      <c r="D78" s="4"/>
    </row>
  </sheetData>
  <mergeCells count="20">
    <mergeCell ref="B2:B6"/>
    <mergeCell ref="B8:B12"/>
    <mergeCell ref="B14:B18"/>
    <mergeCell ref="B20:B24"/>
    <mergeCell ref="B26:B30"/>
    <mergeCell ref="B32:B36"/>
    <mergeCell ref="B38:B42"/>
    <mergeCell ref="B44:B48"/>
    <mergeCell ref="B50:B54"/>
    <mergeCell ref="B56:B60"/>
    <mergeCell ref="F2:F6"/>
    <mergeCell ref="F8:F12"/>
    <mergeCell ref="F14:F18"/>
    <mergeCell ref="F20:F24"/>
    <mergeCell ref="F26:F30"/>
    <mergeCell ref="F32:F36"/>
    <mergeCell ref="F38:F42"/>
    <mergeCell ref="F44:F48"/>
    <mergeCell ref="F50:F54"/>
    <mergeCell ref="F56:F60"/>
  </mergeCells>
  <phoneticPr fontId="10" type="noConversion"/>
  <pageMargins left="0.75" right="0.75" top="1" bottom="1" header="0.5" footer="0.5"/>
  <pageSetup scale="65" orientation="portrait"/>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D55"/>
  <sheetViews>
    <sheetView showGridLines="0" zoomScale="80" zoomScaleNormal="80" workbookViewId="0">
      <pane ySplit="795" activePane="bottomLeft"/>
      <selection pane="bottomLeft" activeCell="D10" sqref="D10"/>
    </sheetView>
  </sheetViews>
  <sheetFormatPr defaultColWidth="9" defaultRowHeight="12.75" x14ac:dyDescent="0.2"/>
  <cols>
    <col min="2" max="2" width="17" customWidth="1"/>
    <col min="3" max="3" width="30.7109375" style="73" customWidth="1"/>
    <col min="4" max="4" width="80.28515625" style="74" customWidth="1"/>
  </cols>
  <sheetData>
    <row r="2" spans="2:4" ht="22.5" customHeight="1" x14ac:dyDescent="0.2">
      <c r="B2" s="75" t="s">
        <v>40</v>
      </c>
      <c r="C2" s="76"/>
      <c r="D2" s="77" t="s">
        <v>41</v>
      </c>
    </row>
    <row r="3" spans="2:4" ht="12.75" customHeight="1" x14ac:dyDescent="0.2">
      <c r="B3" s="115" t="s">
        <v>17</v>
      </c>
      <c r="C3" s="78" t="s">
        <v>42</v>
      </c>
      <c r="D3" s="79" t="s">
        <v>43</v>
      </c>
    </row>
    <row r="4" spans="2:4" ht="12.75" customHeight="1" x14ac:dyDescent="0.2">
      <c r="B4" s="115"/>
      <c r="C4" s="80" t="s">
        <v>44</v>
      </c>
      <c r="D4" s="81" t="s">
        <v>45</v>
      </c>
    </row>
    <row r="5" spans="2:4" ht="12.75" customHeight="1" x14ac:dyDescent="0.2">
      <c r="B5" s="115"/>
      <c r="C5" s="80" t="s">
        <v>46</v>
      </c>
      <c r="D5" s="81" t="s">
        <v>47</v>
      </c>
    </row>
    <row r="6" spans="2:4" ht="27.75" customHeight="1" x14ac:dyDescent="0.2">
      <c r="B6" s="117" t="s">
        <v>28</v>
      </c>
      <c r="C6" s="78" t="s">
        <v>48</v>
      </c>
      <c r="D6" s="79" t="s">
        <v>49</v>
      </c>
    </row>
    <row r="7" spans="2:4" ht="12.75" customHeight="1" x14ac:dyDescent="0.2">
      <c r="B7" s="118"/>
      <c r="C7" s="80" t="s">
        <v>50</v>
      </c>
      <c r="D7" s="81" t="s">
        <v>51</v>
      </c>
    </row>
    <row r="8" spans="2:4" ht="12.75" customHeight="1" x14ac:dyDescent="0.2">
      <c r="B8" s="118"/>
      <c r="C8" s="80" t="s">
        <v>52</v>
      </c>
      <c r="D8" s="81" t="s">
        <v>53</v>
      </c>
    </row>
    <row r="9" spans="2:4" ht="13.5" customHeight="1" x14ac:dyDescent="0.2">
      <c r="B9" s="119"/>
      <c r="C9" s="82" t="s">
        <v>54</v>
      </c>
      <c r="D9" s="83" t="s">
        <v>55</v>
      </c>
    </row>
    <row r="10" spans="2:4" ht="12.75" customHeight="1" x14ac:dyDescent="0.2">
      <c r="B10" s="115" t="s">
        <v>31</v>
      </c>
      <c r="C10" s="78" t="s">
        <v>56</v>
      </c>
      <c r="D10" s="79" t="s">
        <v>57</v>
      </c>
    </row>
    <row r="11" spans="2:4" ht="12.75" customHeight="1" x14ac:dyDescent="0.2">
      <c r="B11" s="115"/>
      <c r="C11" s="80" t="s">
        <v>58</v>
      </c>
      <c r="D11" s="81" t="s">
        <v>59</v>
      </c>
    </row>
    <row r="12" spans="2:4" ht="25.5" customHeight="1" x14ac:dyDescent="0.2">
      <c r="B12" s="115" t="s">
        <v>32</v>
      </c>
      <c r="C12" s="80" t="s">
        <v>48</v>
      </c>
      <c r="D12" s="81" t="s">
        <v>60</v>
      </c>
    </row>
    <row r="13" spans="2:4" ht="12.75" customHeight="1" x14ac:dyDescent="0.2">
      <c r="B13" s="115"/>
      <c r="C13" s="80" t="s">
        <v>50</v>
      </c>
      <c r="D13" s="81" t="s">
        <v>61</v>
      </c>
    </row>
    <row r="14" spans="2:4" ht="12.75" customHeight="1" x14ac:dyDescent="0.2">
      <c r="B14" s="115"/>
      <c r="C14" s="80" t="s">
        <v>52</v>
      </c>
      <c r="D14" s="81" t="s">
        <v>62</v>
      </c>
    </row>
    <row r="15" spans="2:4" ht="13.5" customHeight="1" x14ac:dyDescent="0.2">
      <c r="B15" s="116"/>
      <c r="C15" s="82" t="s">
        <v>54</v>
      </c>
      <c r="D15" s="83" t="s">
        <v>63</v>
      </c>
    </row>
    <row r="16" spans="2:4" ht="12.75" customHeight="1" x14ac:dyDescent="0.2">
      <c r="B16" s="115" t="s">
        <v>33</v>
      </c>
      <c r="C16" s="78" t="s">
        <v>64</v>
      </c>
      <c r="D16" s="79" t="s">
        <v>65</v>
      </c>
    </row>
    <row r="17" spans="2:4" ht="12.75" customHeight="1" x14ac:dyDescent="0.2">
      <c r="B17" s="115"/>
      <c r="C17" s="80" t="s">
        <v>66</v>
      </c>
      <c r="D17" s="81" t="s">
        <v>67</v>
      </c>
    </row>
    <row r="18" spans="2:4" ht="12.75" customHeight="1" x14ac:dyDescent="0.2">
      <c r="B18" s="115"/>
      <c r="C18" s="80" t="s">
        <v>68</v>
      </c>
      <c r="D18" s="81" t="s">
        <v>69</v>
      </c>
    </row>
    <row r="19" spans="2:4" ht="13.5" customHeight="1" x14ac:dyDescent="0.2">
      <c r="B19" s="116"/>
      <c r="C19" s="82" t="s">
        <v>70</v>
      </c>
      <c r="D19" s="83" t="s">
        <v>71</v>
      </c>
    </row>
    <row r="20" spans="2:4" ht="17.25" customHeight="1" x14ac:dyDescent="0.2">
      <c r="B20" s="115" t="s">
        <v>34</v>
      </c>
      <c r="C20" s="78" t="s">
        <v>48</v>
      </c>
      <c r="D20" s="79" t="s">
        <v>72</v>
      </c>
    </row>
    <row r="21" spans="2:4" ht="12.75" customHeight="1" x14ac:dyDescent="0.2">
      <c r="B21" s="115"/>
      <c r="C21" s="80" t="s">
        <v>50</v>
      </c>
      <c r="D21" s="81" t="s">
        <v>73</v>
      </c>
    </row>
    <row r="22" spans="2:4" ht="12.75" customHeight="1" x14ac:dyDescent="0.2">
      <c r="B22" s="115"/>
      <c r="C22" s="80" t="s">
        <v>52</v>
      </c>
      <c r="D22" s="81" t="s">
        <v>74</v>
      </c>
    </row>
    <row r="23" spans="2:4" ht="13.5" customHeight="1" x14ac:dyDescent="0.2">
      <c r="B23" s="116"/>
      <c r="C23" s="82" t="s">
        <v>54</v>
      </c>
      <c r="D23" s="83" t="s">
        <v>75</v>
      </c>
    </row>
    <row r="24" spans="2:4" ht="12.75" customHeight="1" x14ac:dyDescent="0.2">
      <c r="B24" s="115" t="s">
        <v>35</v>
      </c>
      <c r="C24" s="78" t="s">
        <v>76</v>
      </c>
      <c r="D24" s="79" t="s">
        <v>77</v>
      </c>
    </row>
    <row r="25" spans="2:4" ht="12.75" customHeight="1" x14ac:dyDescent="0.2">
      <c r="B25" s="115"/>
      <c r="C25" s="80" t="s">
        <v>78</v>
      </c>
      <c r="D25" s="81" t="s">
        <v>79</v>
      </c>
    </row>
    <row r="26" spans="2:4" ht="12.75" customHeight="1" x14ac:dyDescent="0.2">
      <c r="B26" s="115"/>
      <c r="C26" s="80" t="s">
        <v>80</v>
      </c>
      <c r="D26" s="81" t="s">
        <v>81</v>
      </c>
    </row>
    <row r="27" spans="2:4" ht="13.5" customHeight="1" x14ac:dyDescent="0.2">
      <c r="B27" s="116"/>
      <c r="C27" s="82" t="s">
        <v>82</v>
      </c>
      <c r="D27" s="83" t="s">
        <v>83</v>
      </c>
    </row>
    <row r="28" spans="2:4" ht="12.75" customHeight="1" x14ac:dyDescent="0.2">
      <c r="B28" s="115" t="s">
        <v>36</v>
      </c>
      <c r="C28" s="78" t="s">
        <v>84</v>
      </c>
      <c r="D28" s="79" t="s">
        <v>85</v>
      </c>
    </row>
    <row r="29" spans="2:4" ht="12.75" customHeight="1" x14ac:dyDescent="0.2">
      <c r="B29" s="115"/>
      <c r="C29" s="80" t="s">
        <v>86</v>
      </c>
      <c r="D29" s="81" t="s">
        <v>87</v>
      </c>
    </row>
    <row r="30" spans="2:4" ht="12.75" customHeight="1" x14ac:dyDescent="0.2">
      <c r="B30" s="115"/>
      <c r="C30" s="84" t="s">
        <v>88</v>
      </c>
      <c r="D30" s="85" t="s">
        <v>89</v>
      </c>
    </row>
    <row r="31" spans="2:4" ht="28.5" customHeight="1" x14ac:dyDescent="0.2">
      <c r="B31" s="112" t="s">
        <v>37</v>
      </c>
      <c r="C31" s="78" t="s">
        <v>90</v>
      </c>
      <c r="D31" s="79" t="s">
        <v>91</v>
      </c>
    </row>
    <row r="32" spans="2:4" ht="27" customHeight="1" x14ac:dyDescent="0.2">
      <c r="B32" s="115"/>
      <c r="C32" s="80" t="s">
        <v>92</v>
      </c>
      <c r="D32" s="81" t="s">
        <v>93</v>
      </c>
    </row>
    <row r="33" spans="2:4" ht="12.75" customHeight="1" x14ac:dyDescent="0.2">
      <c r="B33" s="115"/>
      <c r="C33" s="82" t="s">
        <v>94</v>
      </c>
      <c r="D33" s="83" t="s">
        <v>95</v>
      </c>
    </row>
    <row r="34" spans="2:4" ht="12.75" customHeight="1" x14ac:dyDescent="0.2">
      <c r="B34" s="112" t="s">
        <v>38</v>
      </c>
      <c r="C34" s="78" t="s">
        <v>96</v>
      </c>
      <c r="D34" s="79" t="s">
        <v>97</v>
      </c>
    </row>
    <row r="35" spans="2:4" ht="12.75" customHeight="1" x14ac:dyDescent="0.2">
      <c r="B35" s="115"/>
      <c r="C35" s="80" t="s">
        <v>98</v>
      </c>
      <c r="D35" s="81" t="s">
        <v>99</v>
      </c>
    </row>
    <row r="36" spans="2:4" ht="12.75" customHeight="1" x14ac:dyDescent="0.2">
      <c r="B36" s="116"/>
      <c r="C36" s="82" t="s">
        <v>100</v>
      </c>
      <c r="D36" s="83" t="s">
        <v>101</v>
      </c>
    </row>
    <row r="37" spans="2:4" x14ac:dyDescent="0.2">
      <c r="B37" s="20"/>
      <c r="C37" s="86"/>
      <c r="D37" s="87"/>
    </row>
    <row r="38" spans="2:4" x14ac:dyDescent="0.2">
      <c r="B38" s="20"/>
      <c r="C38" s="86"/>
      <c r="D38" s="87"/>
    </row>
    <row r="39" spans="2:4" x14ac:dyDescent="0.2">
      <c r="B39" s="20"/>
      <c r="C39" s="86"/>
      <c r="D39" s="87"/>
    </row>
    <row r="40" spans="2:4" x14ac:dyDescent="0.2">
      <c r="B40" s="20"/>
      <c r="C40" s="86"/>
      <c r="D40" s="87"/>
    </row>
    <row r="41" spans="2:4" x14ac:dyDescent="0.2">
      <c r="B41" s="20"/>
      <c r="C41" s="86"/>
      <c r="D41" s="87"/>
    </row>
    <row r="42" spans="2:4" x14ac:dyDescent="0.2">
      <c r="B42" s="20"/>
      <c r="C42" s="86"/>
      <c r="D42" s="87"/>
    </row>
    <row r="43" spans="2:4" x14ac:dyDescent="0.2">
      <c r="B43" s="20"/>
      <c r="C43" s="86"/>
      <c r="D43" s="87"/>
    </row>
    <row r="44" spans="2:4" x14ac:dyDescent="0.2">
      <c r="B44" s="20"/>
      <c r="C44" s="86"/>
      <c r="D44" s="87"/>
    </row>
    <row r="45" spans="2:4" x14ac:dyDescent="0.2">
      <c r="B45" s="20"/>
      <c r="C45" s="86"/>
      <c r="D45" s="87"/>
    </row>
    <row r="46" spans="2:4" x14ac:dyDescent="0.2">
      <c r="B46" s="20"/>
      <c r="C46" s="86"/>
      <c r="D46" s="87"/>
    </row>
    <row r="47" spans="2:4" x14ac:dyDescent="0.2">
      <c r="B47" s="20"/>
      <c r="C47" s="86"/>
      <c r="D47" s="87"/>
    </row>
    <row r="48" spans="2:4" x14ac:dyDescent="0.2">
      <c r="B48" s="20"/>
      <c r="C48" s="86"/>
      <c r="D48" s="87"/>
    </row>
    <row r="49" spans="2:4" x14ac:dyDescent="0.2">
      <c r="B49" s="20"/>
      <c r="C49" s="86"/>
      <c r="D49" s="87"/>
    </row>
    <row r="50" spans="2:4" x14ac:dyDescent="0.2">
      <c r="B50" s="20"/>
      <c r="C50" s="86"/>
      <c r="D50" s="87"/>
    </row>
    <row r="51" spans="2:4" x14ac:dyDescent="0.2">
      <c r="B51" s="20"/>
      <c r="C51" s="86"/>
      <c r="D51" s="87"/>
    </row>
    <row r="52" spans="2:4" x14ac:dyDescent="0.2">
      <c r="B52" s="20"/>
      <c r="C52" s="86"/>
      <c r="D52" s="87"/>
    </row>
    <row r="53" spans="2:4" x14ac:dyDescent="0.2">
      <c r="B53" s="20"/>
      <c r="C53" s="86"/>
      <c r="D53" s="87"/>
    </row>
    <row r="54" spans="2:4" x14ac:dyDescent="0.2">
      <c r="B54" s="20"/>
      <c r="C54" s="86"/>
      <c r="D54" s="87"/>
    </row>
    <row r="55" spans="2:4" x14ac:dyDescent="0.2">
      <c r="C55" s="86"/>
      <c r="D55" s="87"/>
    </row>
  </sheetData>
  <mergeCells count="10">
    <mergeCell ref="B3:B5"/>
    <mergeCell ref="B6:B9"/>
    <mergeCell ref="B10:B11"/>
    <mergeCell ref="B12:B15"/>
    <mergeCell ref="B16:B19"/>
    <mergeCell ref="B20:B23"/>
    <mergeCell ref="B24:B27"/>
    <mergeCell ref="B28:B30"/>
    <mergeCell ref="B31:B33"/>
    <mergeCell ref="B34:B36"/>
  </mergeCells>
  <phoneticPr fontId="10" type="noConversion"/>
  <pageMargins left="0.75" right="0.75" top="1" bottom="1" header="0.5" footer="0.5"/>
  <pageSetup scale="65" orientation="portrait"/>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74"/>
  <sheetViews>
    <sheetView showGridLines="0" tabSelected="1" zoomScale="130" zoomScaleNormal="130" workbookViewId="0">
      <selection activeCell="D4" sqref="D4:N5"/>
    </sheetView>
  </sheetViews>
  <sheetFormatPr defaultColWidth="9" defaultRowHeight="12.75" x14ac:dyDescent="0.2"/>
  <cols>
    <col min="2" max="2" width="17" customWidth="1"/>
    <col min="3" max="3" width="13.85546875" customWidth="1"/>
    <col min="4" max="4" width="11.5703125" customWidth="1"/>
    <col min="5" max="5" width="11" customWidth="1"/>
    <col min="6" max="6" width="11.5703125" customWidth="1"/>
    <col min="7" max="7" width="2.140625" customWidth="1"/>
    <col min="8" max="10" width="11.5703125" customWidth="1"/>
    <col min="11" max="11" width="2.85546875" customWidth="1"/>
    <col min="12" max="14" width="11.5703125" customWidth="1"/>
    <col min="15" max="15" width="3" customWidth="1"/>
    <col min="16" max="16" width="11.5703125" customWidth="1"/>
    <col min="17" max="17" width="11" customWidth="1"/>
    <col min="18" max="18" width="11.5703125" customWidth="1"/>
    <col min="20" max="20" width="25.5703125" customWidth="1"/>
    <col min="21" max="21" width="12" customWidth="1"/>
    <col min="22" max="24" width="9.42578125" customWidth="1"/>
    <col min="25" max="26" width="9.28515625" customWidth="1"/>
    <col min="31" max="31" width="17.85546875" customWidth="1"/>
    <col min="32" max="32" width="13.28515625" customWidth="1"/>
    <col min="33" max="33" width="13" customWidth="1"/>
    <col min="34" max="34" width="12.140625" customWidth="1"/>
    <col min="35" max="35" width="2.28515625" customWidth="1"/>
    <col min="36" max="36" width="12.85546875" customWidth="1"/>
    <col min="37" max="37" width="14" customWidth="1"/>
    <col min="38" max="38" width="12.140625" customWidth="1"/>
  </cols>
  <sheetData>
    <row r="1" spans="2:38" x14ac:dyDescent="0.2">
      <c r="T1" s="14" t="s">
        <v>102</v>
      </c>
      <c r="U1" s="134" t="s">
        <v>103</v>
      </c>
    </row>
    <row r="2" spans="2:38" x14ac:dyDescent="0.2">
      <c r="B2" s="112" t="s">
        <v>104</v>
      </c>
      <c r="C2" s="1"/>
      <c r="D2" s="126" t="s">
        <v>186</v>
      </c>
      <c r="E2" s="120"/>
      <c r="F2" s="120"/>
      <c r="G2" s="1"/>
      <c r="H2" s="126" t="s">
        <v>186</v>
      </c>
      <c r="I2" s="120"/>
      <c r="J2" s="120"/>
      <c r="K2" s="1"/>
      <c r="L2" s="126" t="s">
        <v>183</v>
      </c>
      <c r="M2" s="120"/>
      <c r="N2" s="121"/>
      <c r="T2" s="36">
        <v>3</v>
      </c>
      <c r="U2" s="134"/>
      <c r="V2" s="132" t="s">
        <v>105</v>
      </c>
      <c r="W2" s="133"/>
      <c r="X2" s="120" t="s">
        <v>106</v>
      </c>
      <c r="Y2" s="120"/>
      <c r="Z2" s="120" t="s">
        <v>107</v>
      </c>
      <c r="AA2" s="121"/>
      <c r="AE2" s="112" t="s">
        <v>17</v>
      </c>
      <c r="AF2" s="1"/>
      <c r="AG2" s="40" t="s">
        <v>108</v>
      </c>
      <c r="AH2" s="2" t="s">
        <v>19</v>
      </c>
      <c r="AI2" s="2"/>
      <c r="AJ2" s="2" t="s">
        <v>109</v>
      </c>
      <c r="AK2" s="2" t="s">
        <v>110</v>
      </c>
      <c r="AL2" s="26" t="s">
        <v>111</v>
      </c>
    </row>
    <row r="3" spans="2:38" x14ac:dyDescent="0.2">
      <c r="B3" s="113"/>
      <c r="D3" s="3" t="s">
        <v>112</v>
      </c>
      <c r="E3" s="3" t="s">
        <v>113</v>
      </c>
      <c r="F3" s="3" t="s">
        <v>114</v>
      </c>
      <c r="H3" s="3" t="s">
        <v>112</v>
      </c>
      <c r="I3" s="3" t="s">
        <v>113</v>
      </c>
      <c r="J3" s="3" t="s">
        <v>114</v>
      </c>
      <c r="L3" s="135" t="s">
        <v>112</v>
      </c>
      <c r="M3" s="135" t="s">
        <v>113</v>
      </c>
      <c r="N3" s="136" t="s">
        <v>114</v>
      </c>
      <c r="V3" s="37" t="s">
        <v>115</v>
      </c>
      <c r="W3" s="111" t="s">
        <v>187</v>
      </c>
      <c r="X3" s="38" t="s">
        <v>115</v>
      </c>
      <c r="Y3" s="38" t="s">
        <v>116</v>
      </c>
      <c r="Z3" s="38" t="s">
        <v>115</v>
      </c>
      <c r="AA3" s="47" t="s">
        <v>116</v>
      </c>
      <c r="AE3" s="113"/>
      <c r="AG3" s="58"/>
      <c r="AH3" s="59"/>
      <c r="AI3" s="59"/>
      <c r="AJ3" s="59"/>
      <c r="AK3" s="59"/>
      <c r="AL3" s="60"/>
    </row>
    <row r="4" spans="2:38" x14ac:dyDescent="0.2">
      <c r="B4" s="113"/>
      <c r="C4" s="4" t="s">
        <v>117</v>
      </c>
      <c r="D4" s="171">
        <v>25</v>
      </c>
      <c r="E4" s="171">
        <v>35</v>
      </c>
      <c r="F4" s="171">
        <v>45</v>
      </c>
      <c r="H4" s="171">
        <v>35</v>
      </c>
      <c r="I4" s="171">
        <v>45</v>
      </c>
      <c r="J4" s="171">
        <v>55</v>
      </c>
      <c r="L4" s="5">
        <v>65</v>
      </c>
      <c r="M4" s="5">
        <v>80</v>
      </c>
      <c r="N4" s="28">
        <v>95</v>
      </c>
      <c r="U4">
        <f>IF(T$2=1,W4,IF(T$2=2,Y4,AA4))</f>
        <v>80</v>
      </c>
      <c r="V4" s="38">
        <f>((F4-D4)/6)^2</f>
        <v>11.111111111111112</v>
      </c>
      <c r="W4" s="108">
        <f>(D4+4*E4+F4)/6</f>
        <v>35</v>
      </c>
      <c r="X4" s="38">
        <f>((J4-H4)/6)^2</f>
        <v>11.111111111111112</v>
      </c>
      <c r="Y4" s="108">
        <f>(H4+4*I4+J4)/6</f>
        <v>45</v>
      </c>
      <c r="Z4" s="38">
        <f>((N4-L4)/6)^2</f>
        <v>25</v>
      </c>
      <c r="AA4" s="109">
        <f>(L4+4*M4+N4)/6</f>
        <v>80</v>
      </c>
      <c r="AE4" s="113"/>
      <c r="AF4" s="4" t="s">
        <v>20</v>
      </c>
      <c r="AG4" s="61">
        <f>AH4*U4</f>
        <v>64000</v>
      </c>
      <c r="AH4" s="105">
        <f>AK4</f>
        <v>800</v>
      </c>
      <c r="AI4" s="62"/>
      <c r="AJ4" s="62">
        <v>700</v>
      </c>
      <c r="AK4" s="62">
        <v>800</v>
      </c>
      <c r="AL4" s="63">
        <v>1000</v>
      </c>
    </row>
    <row r="5" spans="2:38" ht="13.5" thickBot="1" x14ac:dyDescent="0.25">
      <c r="B5" s="114"/>
      <c r="C5" s="6" t="s">
        <v>118</v>
      </c>
      <c r="D5" s="172">
        <v>35</v>
      </c>
      <c r="E5" s="172">
        <v>45</v>
      </c>
      <c r="F5" s="172">
        <v>55</v>
      </c>
      <c r="G5" s="8"/>
      <c r="H5" s="172">
        <v>27</v>
      </c>
      <c r="I5" s="172">
        <v>30</v>
      </c>
      <c r="J5" s="172">
        <v>33</v>
      </c>
      <c r="K5" s="8"/>
      <c r="L5" s="7">
        <v>8</v>
      </c>
      <c r="M5" s="7">
        <v>13</v>
      </c>
      <c r="N5" s="29">
        <v>18</v>
      </c>
      <c r="S5">
        <f>IF(T$2=1,V5,IF(T$2=2,X5,Z5))</f>
        <v>2.7777777777777781</v>
      </c>
      <c r="U5">
        <f>IF(T$2=1,W5,IF(T$2=2,Y5,AA5))</f>
        <v>13</v>
      </c>
      <c r="V5" s="39">
        <f>((F5-D5)/6)^2</f>
        <v>11.111111111111112</v>
      </c>
      <c r="W5" s="108">
        <f>(D5+4*E5+F5)/6</f>
        <v>45</v>
      </c>
      <c r="X5" s="38">
        <f>((J5-H5)/6)^2</f>
        <v>1</v>
      </c>
      <c r="Y5" s="108">
        <f>(H5+4*I5+J5)/6</f>
        <v>30</v>
      </c>
      <c r="Z5" s="38">
        <f>((N5-L5)/6)^2</f>
        <v>2.7777777777777781</v>
      </c>
      <c r="AA5" s="109">
        <f>(L5+4*M5+N5)/6</f>
        <v>13</v>
      </c>
      <c r="AE5" s="114"/>
      <c r="AF5" s="6">
        <f>(S$5*(1-S$10)+S$15)*S5*AH5</f>
        <v>0</v>
      </c>
      <c r="AG5" s="64"/>
      <c r="AH5" s="65"/>
      <c r="AI5" s="65"/>
      <c r="AJ5" s="65"/>
      <c r="AK5" s="65"/>
      <c r="AL5" s="66"/>
    </row>
    <row r="6" spans="2:38" ht="15.75" thickBot="1" x14ac:dyDescent="0.25">
      <c r="B6" s="9"/>
      <c r="T6" s="14" t="s">
        <v>119</v>
      </c>
      <c r="AE6" s="9"/>
      <c r="AG6" s="67"/>
      <c r="AH6" s="67"/>
      <c r="AI6" s="67"/>
      <c r="AJ6" s="67"/>
      <c r="AK6" s="67"/>
      <c r="AL6" s="67"/>
    </row>
    <row r="7" spans="2:38" x14ac:dyDescent="0.2">
      <c r="B7" s="112" t="s">
        <v>120</v>
      </c>
      <c r="C7" s="1"/>
      <c r="D7" s="126" t="s">
        <v>186</v>
      </c>
      <c r="E7" s="120"/>
      <c r="F7" s="120"/>
      <c r="G7" s="1"/>
      <c r="H7" s="126" t="s">
        <v>186</v>
      </c>
      <c r="I7" s="120"/>
      <c r="J7" s="120"/>
      <c r="K7" s="1"/>
      <c r="L7" s="120" t="s">
        <v>181</v>
      </c>
      <c r="M7" s="120"/>
      <c r="N7" s="120"/>
      <c r="O7" s="1"/>
      <c r="P7" s="126" t="s">
        <v>182</v>
      </c>
      <c r="Q7" s="120"/>
      <c r="R7" s="121"/>
      <c r="T7" s="36">
        <v>4</v>
      </c>
      <c r="V7" s="127" t="s">
        <v>121</v>
      </c>
      <c r="W7" s="120"/>
      <c r="X7" s="120" t="s">
        <v>122</v>
      </c>
      <c r="Y7" s="120"/>
      <c r="Z7" s="120" t="s">
        <v>123</v>
      </c>
      <c r="AA7" s="120"/>
      <c r="AB7" s="122" t="s">
        <v>124</v>
      </c>
      <c r="AC7" s="123"/>
      <c r="AE7" s="112" t="s">
        <v>28</v>
      </c>
      <c r="AF7" s="1"/>
      <c r="AG7" s="68" t="s">
        <v>108</v>
      </c>
      <c r="AH7" s="69" t="s">
        <v>19</v>
      </c>
      <c r="AI7" s="69"/>
      <c r="AJ7" s="69" t="s">
        <v>109</v>
      </c>
      <c r="AK7" s="69" t="s">
        <v>110</v>
      </c>
      <c r="AL7" s="70" t="s">
        <v>111</v>
      </c>
    </row>
    <row r="8" spans="2:38" x14ac:dyDescent="0.2">
      <c r="B8" s="113"/>
      <c r="C8" s="4"/>
      <c r="D8" s="3" t="s">
        <v>112</v>
      </c>
      <c r="E8" s="3" t="s">
        <v>113</v>
      </c>
      <c r="F8" s="3" t="s">
        <v>114</v>
      </c>
      <c r="H8" s="3" t="s">
        <v>112</v>
      </c>
      <c r="I8" s="3" t="s">
        <v>113</v>
      </c>
      <c r="J8" s="3" t="s">
        <v>114</v>
      </c>
      <c r="L8" s="3" t="s">
        <v>112</v>
      </c>
      <c r="M8" s="3" t="s">
        <v>113</v>
      </c>
      <c r="N8" s="3" t="s">
        <v>114</v>
      </c>
      <c r="P8" s="3" t="s">
        <v>112</v>
      </c>
      <c r="Q8" s="3" t="s">
        <v>113</v>
      </c>
      <c r="R8" s="27" t="s">
        <v>114</v>
      </c>
      <c r="V8" s="37" t="s">
        <v>115</v>
      </c>
      <c r="W8" s="38" t="s">
        <v>116</v>
      </c>
      <c r="X8" s="38" t="s">
        <v>115</v>
      </c>
      <c r="Y8" s="38" t="s">
        <v>116</v>
      </c>
      <c r="Z8" s="38" t="s">
        <v>115</v>
      </c>
      <c r="AA8" s="38" t="s">
        <v>116</v>
      </c>
      <c r="AB8" s="38" t="s">
        <v>115</v>
      </c>
      <c r="AC8" s="47" t="s">
        <v>116</v>
      </c>
      <c r="AE8" s="113"/>
      <c r="AF8" s="4"/>
      <c r="AG8" s="61"/>
      <c r="AH8" s="62"/>
      <c r="AI8" s="62"/>
      <c r="AJ8" s="62"/>
      <c r="AK8" s="62"/>
      <c r="AL8" s="63"/>
    </row>
    <row r="9" spans="2:38" x14ac:dyDescent="0.2">
      <c r="B9" s="113"/>
      <c r="C9" s="4" t="s">
        <v>117</v>
      </c>
      <c r="D9" s="137">
        <v>1</v>
      </c>
      <c r="E9" s="137">
        <v>4</v>
      </c>
      <c r="F9" s="137">
        <v>7</v>
      </c>
      <c r="H9" s="137">
        <v>7</v>
      </c>
      <c r="I9" s="137">
        <v>10</v>
      </c>
      <c r="J9" s="137">
        <v>13</v>
      </c>
      <c r="L9" s="167">
        <v>38</v>
      </c>
      <c r="M9" s="167">
        <v>40</v>
      </c>
      <c r="N9" s="167">
        <v>42</v>
      </c>
      <c r="P9" s="10">
        <v>22</v>
      </c>
      <c r="Q9" s="10">
        <v>23</v>
      </c>
      <c r="R9" s="30">
        <v>24</v>
      </c>
      <c r="U9">
        <f>IF(T$7=1,W9,IF(T$7=2,Y9,IF(T$7=3,AA9,AC9)))</f>
        <v>23</v>
      </c>
      <c r="V9" s="38">
        <f>((F9-D9)/6)^2</f>
        <v>1</v>
      </c>
      <c r="W9" s="108">
        <f>(D9+4*E9+F9)/6</f>
        <v>4</v>
      </c>
      <c r="X9" s="38">
        <f>((J9-H9)/6)^2</f>
        <v>1</v>
      </c>
      <c r="Y9" s="108">
        <f>(H9+4*I9+J9)/6</f>
        <v>10</v>
      </c>
      <c r="Z9" s="38">
        <f>((N9-L9)/6)^2</f>
        <v>0.44444444444444442</v>
      </c>
      <c r="AA9" s="109">
        <f>(L9+4*M9+N9)/6</f>
        <v>40</v>
      </c>
      <c r="AB9" s="38">
        <f>((R9-P9)/6)^2</f>
        <v>0.1111111111111111</v>
      </c>
      <c r="AC9" s="110">
        <f>(P9+4*Q9+R9)/6</f>
        <v>23</v>
      </c>
      <c r="AE9" s="113"/>
      <c r="AF9" s="4" t="s">
        <v>20</v>
      </c>
      <c r="AG9" s="61">
        <f>AH9*U9</f>
        <v>18400</v>
      </c>
      <c r="AH9" s="106">
        <f>AK9</f>
        <v>800</v>
      </c>
      <c r="AI9" s="62"/>
      <c r="AJ9" s="62">
        <v>700</v>
      </c>
      <c r="AK9" s="62">
        <v>800</v>
      </c>
      <c r="AL9" s="63">
        <v>1000</v>
      </c>
    </row>
    <row r="10" spans="2:38" ht="13.5" thickBot="1" x14ac:dyDescent="0.25">
      <c r="B10" s="114"/>
      <c r="C10" s="6" t="s">
        <v>118</v>
      </c>
      <c r="D10" s="168">
        <v>0.25</v>
      </c>
      <c r="E10" s="168">
        <v>0.4</v>
      </c>
      <c r="F10" s="168">
        <v>0.55000000000000004</v>
      </c>
      <c r="G10" s="12"/>
      <c r="H10" s="168">
        <v>0.5</v>
      </c>
      <c r="I10" s="168">
        <v>0.55000000000000004</v>
      </c>
      <c r="J10" s="168">
        <v>0.6</v>
      </c>
      <c r="K10" s="12"/>
      <c r="L10" s="169">
        <v>0.75</v>
      </c>
      <c r="M10" s="169">
        <v>0.8</v>
      </c>
      <c r="N10" s="169">
        <v>0.85</v>
      </c>
      <c r="O10" s="12"/>
      <c r="P10" s="11">
        <v>2.5999999999999999E-2</v>
      </c>
      <c r="Q10" s="11">
        <v>7.5999999999999998E-2</v>
      </c>
      <c r="R10" s="34">
        <v>0.126</v>
      </c>
      <c r="S10">
        <f>IF(T$2=1,V10,IF(T$2=2,X10,Z10))</f>
        <v>2.7777777777777767E-4</v>
      </c>
      <c r="U10" s="41">
        <f>IF(T$7=1,W10,IF(T$7=2,Y10,IF(T$7=3,AA10,AC10)))</f>
        <v>7.5999999999999998E-2</v>
      </c>
      <c r="V10" s="38">
        <f>((F10-D10)/6)^2</f>
        <v>2.5000000000000009E-3</v>
      </c>
      <c r="W10" s="108">
        <f>(D10+4*E10+F10)/6</f>
        <v>0.40000000000000008</v>
      </c>
      <c r="X10" s="38">
        <f>((J10-H10)/6)^2</f>
        <v>2.7777777777777767E-4</v>
      </c>
      <c r="Y10" s="108">
        <f>(H10+4*I10+J10)/6</f>
        <v>0.55000000000000004</v>
      </c>
      <c r="Z10" s="38">
        <f>((N10-L10)/6)^2</f>
        <v>2.7777777777777767E-4</v>
      </c>
      <c r="AA10" s="109">
        <f>(L10+4*M10+N10)/6</f>
        <v>0.79999999999999993</v>
      </c>
      <c r="AB10" s="38">
        <f>((R10-P10)/6)^2</f>
        <v>2.7777777777777778E-4</v>
      </c>
      <c r="AC10" s="110">
        <f>(P10+4*Q10+R10)/6</f>
        <v>7.5999999999999998E-2</v>
      </c>
      <c r="AE10" s="114"/>
      <c r="AF10" s="6">
        <f>(S$5*(1-S$10)+S$15)*S10*AH10</f>
        <v>3.0855624142661169</v>
      </c>
      <c r="AG10" s="64">
        <f>U5*U10*AH10</f>
        <v>3952</v>
      </c>
      <c r="AH10" s="107">
        <f>AK10</f>
        <v>4000</v>
      </c>
      <c r="AI10" s="65"/>
      <c r="AJ10" s="65">
        <f>0.85*AK10</f>
        <v>3400</v>
      </c>
      <c r="AK10" s="65">
        <v>4000</v>
      </c>
      <c r="AL10" s="66">
        <f>1.15*AK10</f>
        <v>4600</v>
      </c>
    </row>
    <row r="11" spans="2:38" ht="15.75" thickBot="1" x14ac:dyDescent="0.25">
      <c r="B11" s="9"/>
      <c r="C11" s="4"/>
      <c r="T11" s="14" t="s">
        <v>125</v>
      </c>
      <c r="AE11" s="9"/>
      <c r="AF11" s="4"/>
      <c r="AG11" s="71"/>
      <c r="AH11" s="71"/>
      <c r="AI11" s="71"/>
      <c r="AJ11" s="71"/>
      <c r="AK11" s="71"/>
      <c r="AL11" s="71"/>
    </row>
    <row r="12" spans="2:38" x14ac:dyDescent="0.2">
      <c r="B12" s="112" t="s">
        <v>126</v>
      </c>
      <c r="C12" s="13"/>
      <c r="D12" s="126" t="s">
        <v>186</v>
      </c>
      <c r="E12" s="120"/>
      <c r="F12" s="120"/>
      <c r="G12" s="1"/>
      <c r="H12" s="126" t="s">
        <v>183</v>
      </c>
      <c r="I12" s="120"/>
      <c r="J12" s="121"/>
      <c r="L12" s="131"/>
      <c r="M12" s="131"/>
      <c r="N12" s="131"/>
      <c r="T12" s="36">
        <v>2</v>
      </c>
      <c r="V12" s="127" t="s">
        <v>127</v>
      </c>
      <c r="W12" s="120"/>
      <c r="X12" s="120" t="s">
        <v>128</v>
      </c>
      <c r="Y12" s="121"/>
      <c r="AE12" s="112" t="s">
        <v>31</v>
      </c>
      <c r="AF12" s="13"/>
      <c r="AG12" s="68" t="s">
        <v>108</v>
      </c>
      <c r="AH12" s="69" t="s">
        <v>19</v>
      </c>
      <c r="AI12" s="69"/>
      <c r="AJ12" s="69" t="s">
        <v>109</v>
      </c>
      <c r="AK12" s="69" t="s">
        <v>110</v>
      </c>
      <c r="AL12" s="70" t="s">
        <v>111</v>
      </c>
    </row>
    <row r="13" spans="2:38" x14ac:dyDescent="0.2">
      <c r="B13" s="113"/>
      <c r="C13" s="4"/>
      <c r="D13" s="3" t="s">
        <v>112</v>
      </c>
      <c r="E13" s="3" t="s">
        <v>113</v>
      </c>
      <c r="F13" s="3" t="s">
        <v>114</v>
      </c>
      <c r="H13" s="138" t="s">
        <v>112</v>
      </c>
      <c r="I13" s="138" t="s">
        <v>113</v>
      </c>
      <c r="J13" s="139" t="s">
        <v>114</v>
      </c>
      <c r="L13" s="14"/>
      <c r="M13" s="14"/>
      <c r="N13" s="14"/>
      <c r="V13" s="37" t="s">
        <v>115</v>
      </c>
      <c r="W13" s="38" t="s">
        <v>116</v>
      </c>
      <c r="X13" s="38" t="s">
        <v>115</v>
      </c>
      <c r="Y13" s="47" t="s">
        <v>116</v>
      </c>
      <c r="AE13" s="113"/>
      <c r="AF13" s="4"/>
      <c r="AG13" s="61"/>
      <c r="AH13" s="62"/>
      <c r="AI13" s="62"/>
      <c r="AJ13" s="62"/>
      <c r="AK13" s="62"/>
      <c r="AL13" s="63"/>
    </row>
    <row r="14" spans="2:38" x14ac:dyDescent="0.2">
      <c r="B14" s="113"/>
      <c r="C14" s="4" t="s">
        <v>117</v>
      </c>
      <c r="D14" s="137">
        <v>50</v>
      </c>
      <c r="E14" s="137">
        <v>60</v>
      </c>
      <c r="F14" s="137">
        <v>70</v>
      </c>
      <c r="G14" s="14"/>
      <c r="H14" s="10">
        <v>65</v>
      </c>
      <c r="I14" s="10">
        <v>75</v>
      </c>
      <c r="J14" s="30">
        <v>85</v>
      </c>
      <c r="L14" s="14"/>
      <c r="M14" s="14"/>
      <c r="N14" s="14"/>
      <c r="U14">
        <f>IF(T$12=1,W14,Y14)</f>
        <v>75</v>
      </c>
      <c r="V14" s="38">
        <f>((F14-D14)/6)^2</f>
        <v>11.111111111111112</v>
      </c>
      <c r="W14" s="108">
        <f>(D14+4*E14+F14)/6</f>
        <v>60</v>
      </c>
      <c r="X14" s="38">
        <f>((J14-H14)/6)^2</f>
        <v>11.111111111111112</v>
      </c>
      <c r="Y14" s="108">
        <f>(H14+4*I14+J14)/6</f>
        <v>75</v>
      </c>
      <c r="AE14" s="113"/>
      <c r="AF14" s="4" t="s">
        <v>20</v>
      </c>
      <c r="AG14" s="61">
        <f>AH14*U14</f>
        <v>60000</v>
      </c>
      <c r="AH14" s="106">
        <f>AK14</f>
        <v>800</v>
      </c>
      <c r="AI14" s="62"/>
      <c r="AJ14" s="62">
        <v>700</v>
      </c>
      <c r="AK14" s="62">
        <v>800</v>
      </c>
      <c r="AL14" s="63">
        <v>1000</v>
      </c>
    </row>
    <row r="15" spans="2:38" ht="13.5" thickBot="1" x14ac:dyDescent="0.25">
      <c r="B15" s="114"/>
      <c r="C15" s="6" t="s">
        <v>118</v>
      </c>
      <c r="D15" s="170">
        <v>25</v>
      </c>
      <c r="E15" s="170">
        <v>35</v>
      </c>
      <c r="F15" s="170">
        <v>45</v>
      </c>
      <c r="G15" s="16"/>
      <c r="H15" s="15">
        <v>11</v>
      </c>
      <c r="I15" s="15">
        <v>16</v>
      </c>
      <c r="J15" s="31">
        <v>21</v>
      </c>
      <c r="S15">
        <f>IF(T$2=1,V15,IF(T$2=2,X15,Z15))</f>
        <v>0</v>
      </c>
      <c r="U15">
        <f>IF(T$12=1,W15,Y15)</f>
        <v>16</v>
      </c>
      <c r="V15" s="38">
        <f>((F15-D15)/6)^2</f>
        <v>11.111111111111112</v>
      </c>
      <c r="W15" s="108">
        <f>(D15+4*E15+F15)/6</f>
        <v>35</v>
      </c>
      <c r="X15" s="38">
        <f>((J15-H15)/6)^2</f>
        <v>2.7777777777777781</v>
      </c>
      <c r="Y15" s="108">
        <f>(H15+4*I15+J15)/6</f>
        <v>16</v>
      </c>
      <c r="AE15" s="114"/>
      <c r="AF15" s="6">
        <f>(S$5*(1-S$10)+S$15)*S15*AH15</f>
        <v>0</v>
      </c>
      <c r="AG15" s="64"/>
      <c r="AH15" s="65"/>
      <c r="AI15" s="65"/>
      <c r="AJ15" s="65"/>
      <c r="AK15" s="65"/>
      <c r="AL15" s="66"/>
    </row>
    <row r="16" spans="2:38" ht="15.75" thickBot="1" x14ac:dyDescent="0.25">
      <c r="B16" s="9"/>
      <c r="C16" s="4"/>
      <c r="T16" s="14" t="s">
        <v>129</v>
      </c>
      <c r="AE16" s="9"/>
      <c r="AF16" s="4"/>
      <c r="AG16" s="71"/>
      <c r="AH16" s="71"/>
      <c r="AI16" s="71"/>
      <c r="AJ16" s="71"/>
      <c r="AK16" s="71"/>
      <c r="AL16" s="71"/>
    </row>
    <row r="17" spans="1:38" x14ac:dyDescent="0.2">
      <c r="B17" s="112" t="s">
        <v>130</v>
      </c>
      <c r="C17" s="13"/>
      <c r="D17" s="126" t="s">
        <v>186</v>
      </c>
      <c r="E17" s="120"/>
      <c r="F17" s="120"/>
      <c r="G17" s="1"/>
      <c r="H17" s="126" t="s">
        <v>186</v>
      </c>
      <c r="I17" s="120"/>
      <c r="J17" s="120"/>
      <c r="K17" s="1"/>
      <c r="L17" s="120" t="s">
        <v>181</v>
      </c>
      <c r="M17" s="120"/>
      <c r="N17" s="120"/>
      <c r="O17" s="1"/>
      <c r="P17" s="126" t="s">
        <v>182</v>
      </c>
      <c r="Q17" s="120"/>
      <c r="R17" s="121"/>
      <c r="T17" s="36">
        <v>4</v>
      </c>
      <c r="V17" s="127" t="s">
        <v>121</v>
      </c>
      <c r="W17" s="120"/>
      <c r="X17" s="120" t="s">
        <v>122</v>
      </c>
      <c r="Y17" s="120"/>
      <c r="Z17" s="120" t="s">
        <v>123</v>
      </c>
      <c r="AA17" s="120"/>
      <c r="AB17" s="122" t="s">
        <v>124</v>
      </c>
      <c r="AC17" s="123"/>
      <c r="AE17" s="112" t="s">
        <v>32</v>
      </c>
      <c r="AF17" s="13"/>
      <c r="AG17" s="68" t="s">
        <v>108</v>
      </c>
      <c r="AH17" s="69" t="s">
        <v>19</v>
      </c>
      <c r="AI17" s="69"/>
      <c r="AJ17" s="69" t="s">
        <v>109</v>
      </c>
      <c r="AK17" s="69" t="s">
        <v>110</v>
      </c>
      <c r="AL17" s="70" t="s">
        <v>111</v>
      </c>
    </row>
    <row r="18" spans="1:38" x14ac:dyDescent="0.2">
      <c r="B18" s="113"/>
      <c r="C18" s="4"/>
      <c r="D18" s="3" t="s">
        <v>112</v>
      </c>
      <c r="E18" s="3" t="s">
        <v>113</v>
      </c>
      <c r="F18" s="3" t="s">
        <v>114</v>
      </c>
      <c r="H18" s="3" t="s">
        <v>112</v>
      </c>
      <c r="I18" s="3" t="s">
        <v>113</v>
      </c>
      <c r="J18" s="3" t="s">
        <v>114</v>
      </c>
      <c r="L18" s="141" t="s">
        <v>112</v>
      </c>
      <c r="M18" s="141" t="s">
        <v>113</v>
      </c>
      <c r="N18" s="141" t="s">
        <v>114</v>
      </c>
      <c r="O18" s="140"/>
      <c r="P18" s="141" t="s">
        <v>112</v>
      </c>
      <c r="Q18" s="141" t="s">
        <v>113</v>
      </c>
      <c r="R18" s="142" t="s">
        <v>114</v>
      </c>
      <c r="V18" s="37" t="s">
        <v>115</v>
      </c>
      <c r="W18" s="38" t="s">
        <v>116</v>
      </c>
      <c r="X18" s="38" t="s">
        <v>115</v>
      </c>
      <c r="Y18" s="38" t="s">
        <v>116</v>
      </c>
      <c r="Z18" s="38" t="s">
        <v>115</v>
      </c>
      <c r="AA18" s="38" t="s">
        <v>116</v>
      </c>
      <c r="AB18" s="38" t="s">
        <v>115</v>
      </c>
      <c r="AC18" s="47" t="s">
        <v>116</v>
      </c>
      <c r="AE18" s="113"/>
      <c r="AF18" s="4"/>
      <c r="AG18" s="61"/>
      <c r="AH18" s="62"/>
      <c r="AI18" s="62"/>
      <c r="AJ18" s="62"/>
      <c r="AK18" s="62"/>
      <c r="AL18" s="63"/>
    </row>
    <row r="19" spans="1:38" x14ac:dyDescent="0.2">
      <c r="B19" s="113"/>
      <c r="C19" s="4" t="s">
        <v>117</v>
      </c>
      <c r="D19" s="137">
        <v>5</v>
      </c>
      <c r="E19" s="137">
        <v>12</v>
      </c>
      <c r="F19" s="137">
        <v>19</v>
      </c>
      <c r="G19" s="14"/>
      <c r="H19" s="137">
        <v>15</v>
      </c>
      <c r="I19" s="137">
        <v>20</v>
      </c>
      <c r="J19" s="137">
        <v>25</v>
      </c>
      <c r="K19" s="14"/>
      <c r="L19" s="167">
        <v>55</v>
      </c>
      <c r="M19" s="167">
        <v>65</v>
      </c>
      <c r="N19" s="167">
        <v>75</v>
      </c>
      <c r="O19" s="14"/>
      <c r="P19" s="10">
        <v>45</v>
      </c>
      <c r="Q19" s="10">
        <v>46</v>
      </c>
      <c r="R19" s="30">
        <v>48</v>
      </c>
      <c r="U19">
        <f>IF(T$17=1,W19,IF(T$17=2,Y19,IF(T$17=3,AA19,AC19)))</f>
        <v>46.166666666666664</v>
      </c>
      <c r="V19" s="38">
        <f>((F19-D19)/6)^2</f>
        <v>5.4444444444444455</v>
      </c>
      <c r="W19" s="108">
        <f>(D19+4*E19+F19)/6</f>
        <v>12</v>
      </c>
      <c r="X19" s="38">
        <f>((J19-H19)/6)^2</f>
        <v>2.7777777777777781</v>
      </c>
      <c r="Y19" s="108">
        <f>(H19+4*I19+J19)/6</f>
        <v>20</v>
      </c>
      <c r="Z19" s="38">
        <f>((N19-L19)/6)^2</f>
        <v>11.111111111111112</v>
      </c>
      <c r="AA19" s="109">
        <f>(L19+4*M19+N19)/6</f>
        <v>65</v>
      </c>
      <c r="AB19" s="38">
        <f>((R19-P19)/6)^2</f>
        <v>0.25</v>
      </c>
      <c r="AC19" s="110">
        <f>(P19+4*Q19+R19)/6</f>
        <v>46.166666666666664</v>
      </c>
      <c r="AE19" s="113"/>
      <c r="AF19" s="4" t="s">
        <v>20</v>
      </c>
      <c r="AG19" s="61">
        <f>AH19*U19</f>
        <v>36933.333333333328</v>
      </c>
      <c r="AH19" s="106">
        <f>AK19</f>
        <v>800</v>
      </c>
      <c r="AI19" s="62"/>
      <c r="AJ19" s="62">
        <v>700</v>
      </c>
      <c r="AK19" s="62">
        <v>800</v>
      </c>
      <c r="AL19" s="63">
        <v>1000</v>
      </c>
    </row>
    <row r="20" spans="1:38" ht="13.5" thickBot="1" x14ac:dyDescent="0.25">
      <c r="B20" s="114"/>
      <c r="C20" s="6" t="s">
        <v>118</v>
      </c>
      <c r="D20" s="168">
        <v>0.25</v>
      </c>
      <c r="E20" s="168">
        <v>0.4</v>
      </c>
      <c r="F20" s="168">
        <v>0.55000000000000004</v>
      </c>
      <c r="G20" s="17"/>
      <c r="H20" s="168">
        <v>0.5</v>
      </c>
      <c r="I20" s="168">
        <v>0.55000000000000004</v>
      </c>
      <c r="J20" s="168">
        <v>0.6</v>
      </c>
      <c r="K20" s="17"/>
      <c r="L20" s="169">
        <v>0.54</v>
      </c>
      <c r="M20" s="169">
        <v>0.59</v>
      </c>
      <c r="N20" s="169">
        <v>0.64</v>
      </c>
      <c r="O20" s="17"/>
      <c r="P20" s="11">
        <v>5.7000000000000002E-2</v>
      </c>
      <c r="Q20" s="11">
        <v>0.107</v>
      </c>
      <c r="R20" s="34">
        <v>0.157</v>
      </c>
      <c r="S20">
        <f>IF(T$2=1,V20,IF(T$2=2,X20,Z20))</f>
        <v>2.7777777777777767E-4</v>
      </c>
      <c r="U20" s="41">
        <f>IF(T$17=1,W20,IF(T$17=2,Y20,IF(T$17=3,AA20,AC20)))</f>
        <v>0.107</v>
      </c>
      <c r="V20" s="38">
        <f>((F20-D20)/6)^2</f>
        <v>2.5000000000000009E-3</v>
      </c>
      <c r="W20" s="108">
        <f>(D20+4*E20+F20)/6</f>
        <v>0.40000000000000008</v>
      </c>
      <c r="X20" s="38">
        <f>((J20-H20)/6)^2</f>
        <v>2.7777777777777767E-4</v>
      </c>
      <c r="Y20" s="108">
        <f>(H20+4*I20+J20)/6</f>
        <v>0.55000000000000004</v>
      </c>
      <c r="Z20" s="38">
        <f>((N20-L20)/6)^2</f>
        <v>2.7777777777777767E-4</v>
      </c>
      <c r="AA20" s="109">
        <f>(L20+4*M20+N20)/6</f>
        <v>0.59</v>
      </c>
      <c r="AB20" s="38">
        <f>((R20-P20)/6)^2</f>
        <v>2.7777777777777778E-4</v>
      </c>
      <c r="AC20" s="110">
        <f>(P20+4*Q20+R20)/6</f>
        <v>0.107</v>
      </c>
      <c r="AE20" s="114"/>
      <c r="AF20" s="6">
        <f>(S$5*(1-S$10)+S$15)*S20*AH20</f>
        <v>3.0855624142661169</v>
      </c>
      <c r="AG20" s="64">
        <f>(U$5*(1-U$10)+U$15)*U20*AH20</f>
        <v>11989.136</v>
      </c>
      <c r="AH20" s="106">
        <f>AK20</f>
        <v>4000</v>
      </c>
      <c r="AI20" s="65"/>
      <c r="AJ20" s="65">
        <f>0.85*AK20</f>
        <v>3400</v>
      </c>
      <c r="AK20" s="65">
        <v>4000</v>
      </c>
      <c r="AL20" s="66">
        <f>1.15*AK20</f>
        <v>4600</v>
      </c>
    </row>
    <row r="21" spans="1:38" ht="15.75" thickBot="1" x14ac:dyDescent="0.25">
      <c r="B21" s="9"/>
      <c r="C21" s="4"/>
      <c r="T21" s="14" t="s">
        <v>131</v>
      </c>
      <c r="AE21" s="9"/>
      <c r="AF21" s="4"/>
      <c r="AG21" s="71"/>
      <c r="AH21" s="71"/>
      <c r="AI21" s="71"/>
      <c r="AJ21" s="71"/>
      <c r="AK21" s="71"/>
      <c r="AL21" s="71"/>
    </row>
    <row r="22" spans="1:38" x14ac:dyDescent="0.2">
      <c r="B22" s="112" t="s">
        <v>132</v>
      </c>
      <c r="C22" s="13"/>
      <c r="D22" s="126" t="s">
        <v>186</v>
      </c>
      <c r="E22" s="120"/>
      <c r="F22" s="120"/>
      <c r="G22" s="1"/>
      <c r="H22" s="126" t="s">
        <v>186</v>
      </c>
      <c r="I22" s="120"/>
      <c r="J22" s="120"/>
      <c r="K22" s="1"/>
      <c r="L22" s="126" t="s">
        <v>186</v>
      </c>
      <c r="M22" s="120"/>
      <c r="N22" s="120"/>
      <c r="O22" s="1"/>
      <c r="P22" s="120" t="s">
        <v>182</v>
      </c>
      <c r="Q22" s="120"/>
      <c r="R22" s="121"/>
      <c r="T22" s="36">
        <v>4</v>
      </c>
      <c r="V22" s="130" t="s">
        <v>133</v>
      </c>
      <c r="W22" s="128"/>
      <c r="X22" s="128" t="s">
        <v>134</v>
      </c>
      <c r="Y22" s="128"/>
      <c r="Z22" s="128" t="s">
        <v>135</v>
      </c>
      <c r="AA22" s="128"/>
      <c r="AB22" s="128" t="s">
        <v>136</v>
      </c>
      <c r="AC22" s="129"/>
      <c r="AE22" s="112" t="s">
        <v>33</v>
      </c>
      <c r="AF22" s="13"/>
      <c r="AG22" s="68" t="s">
        <v>108</v>
      </c>
      <c r="AH22" s="69" t="s">
        <v>19</v>
      </c>
      <c r="AI22" s="69"/>
      <c r="AJ22" s="69" t="s">
        <v>109</v>
      </c>
      <c r="AK22" s="69" t="s">
        <v>110</v>
      </c>
      <c r="AL22" s="70" t="s">
        <v>111</v>
      </c>
    </row>
    <row r="23" spans="1:38" x14ac:dyDescent="0.2">
      <c r="B23" s="113"/>
      <c r="C23" s="4"/>
      <c r="D23" s="3" t="s">
        <v>112</v>
      </c>
      <c r="E23" s="3" t="s">
        <v>113</v>
      </c>
      <c r="F23" s="3" t="s">
        <v>114</v>
      </c>
      <c r="H23" s="3" t="s">
        <v>112</v>
      </c>
      <c r="I23" s="3" t="s">
        <v>113</v>
      </c>
      <c r="J23" s="3" t="s">
        <v>114</v>
      </c>
      <c r="L23" s="3" t="s">
        <v>112</v>
      </c>
      <c r="M23" s="3" t="s">
        <v>113</v>
      </c>
      <c r="N23" s="3" t="s">
        <v>114</v>
      </c>
      <c r="P23" s="3" t="s">
        <v>112</v>
      </c>
      <c r="Q23" s="3" t="s">
        <v>113</v>
      </c>
      <c r="R23" s="27" t="s">
        <v>114</v>
      </c>
      <c r="V23" s="37" t="s">
        <v>115</v>
      </c>
      <c r="W23" s="38" t="s">
        <v>116</v>
      </c>
      <c r="X23" s="38" t="s">
        <v>115</v>
      </c>
      <c r="Y23" s="38" t="s">
        <v>116</v>
      </c>
      <c r="Z23" s="38" t="s">
        <v>115</v>
      </c>
      <c r="AA23" s="38" t="s">
        <v>116</v>
      </c>
      <c r="AB23" s="38" t="s">
        <v>115</v>
      </c>
      <c r="AC23" s="47" t="s">
        <v>116</v>
      </c>
      <c r="AE23" s="113"/>
      <c r="AF23" s="4"/>
      <c r="AG23" s="61"/>
      <c r="AH23" s="62"/>
      <c r="AI23" s="62"/>
      <c r="AJ23" s="62"/>
      <c r="AK23" s="62"/>
      <c r="AL23" s="63"/>
    </row>
    <row r="24" spans="1:38" x14ac:dyDescent="0.2">
      <c r="A24">
        <v>2</v>
      </c>
      <c r="B24" s="113"/>
      <c r="C24" s="4" t="s">
        <v>117</v>
      </c>
      <c r="D24" s="137">
        <v>150</v>
      </c>
      <c r="E24" s="137">
        <v>300</v>
      </c>
      <c r="F24" s="137">
        <v>450</v>
      </c>
      <c r="G24" s="14"/>
      <c r="H24" s="137">
        <f>0.9*I24</f>
        <v>222.3</v>
      </c>
      <c r="I24" s="137">
        <f>1.3*FP</f>
        <v>247</v>
      </c>
      <c r="J24" s="137">
        <f>1.1*I24</f>
        <v>271.70000000000005</v>
      </c>
      <c r="K24" s="14"/>
      <c r="L24" s="137">
        <v>100</v>
      </c>
      <c r="M24" s="137">
        <v>125</v>
      </c>
      <c r="N24" s="137">
        <v>150</v>
      </c>
      <c r="O24" s="14"/>
      <c r="P24" s="143">
        <v>90</v>
      </c>
      <c r="Q24" s="143">
        <v>100</v>
      </c>
      <c r="R24" s="145">
        <v>110</v>
      </c>
      <c r="U24">
        <f>IF(T$22=1,W24,IF(T$22=2,Y24,IF(T$22=3,AA24,AC24)))</f>
        <v>100</v>
      </c>
      <c r="V24" s="38">
        <f>((F24-D24)/6)^2</f>
        <v>2500</v>
      </c>
      <c r="W24" s="108">
        <f>(D24+4*E24+F24)/6</f>
        <v>300</v>
      </c>
      <c r="X24" s="38">
        <f>((J24-H24)/6)^2</f>
        <v>67.787777777777876</v>
      </c>
      <c r="Y24" s="108">
        <f>(H24+4*I24+J24)/6</f>
        <v>247</v>
      </c>
      <c r="Z24" s="38">
        <f>((N24-L24)/6)^2</f>
        <v>69.444444444444457</v>
      </c>
      <c r="AA24" s="109">
        <f>(L24+4*M24+N24)/6</f>
        <v>125</v>
      </c>
      <c r="AB24" s="38">
        <f>((R24-P24)/6)^2</f>
        <v>11.111111111111112</v>
      </c>
      <c r="AC24" s="110">
        <f>(P24+4*Q24+R24)/6</f>
        <v>100</v>
      </c>
      <c r="AE24" s="113"/>
      <c r="AF24" s="4" t="s">
        <v>20</v>
      </c>
      <c r="AG24" s="61">
        <f>AH24*U24</f>
        <v>80000</v>
      </c>
      <c r="AH24" s="106">
        <f>AK24</f>
        <v>800</v>
      </c>
      <c r="AI24" s="62"/>
      <c r="AJ24" s="62">
        <v>700</v>
      </c>
      <c r="AK24" s="62">
        <v>800</v>
      </c>
      <c r="AL24" s="63">
        <v>1000</v>
      </c>
    </row>
    <row r="25" spans="1:38" ht="13.5" thickBot="1" x14ac:dyDescent="0.25">
      <c r="B25" s="114"/>
      <c r="C25" s="6" t="s">
        <v>118</v>
      </c>
      <c r="D25" s="137">
        <v>200</v>
      </c>
      <c r="E25" s="137">
        <v>250</v>
      </c>
      <c r="F25" s="137">
        <v>300</v>
      </c>
      <c r="G25" s="16"/>
      <c r="H25" s="137">
        <f>0.9*I25</f>
        <v>171</v>
      </c>
      <c r="I25" s="137">
        <f>1*FP</f>
        <v>190</v>
      </c>
      <c r="J25" s="137">
        <f>1.1*I25</f>
        <v>209.00000000000003</v>
      </c>
      <c r="K25" s="16"/>
      <c r="L25" s="137">
        <v>90</v>
      </c>
      <c r="M25" s="137">
        <v>110</v>
      </c>
      <c r="N25" s="137">
        <v>130</v>
      </c>
      <c r="O25" s="16"/>
      <c r="P25" s="144">
        <v>20</v>
      </c>
      <c r="Q25" s="144">
        <v>25</v>
      </c>
      <c r="R25" s="146">
        <v>30</v>
      </c>
      <c r="S25">
        <f>IF(T$2=1,V25,IF(T$2=2,X25,Z25))</f>
        <v>44.44444444444445</v>
      </c>
      <c r="U25">
        <f>IF(T$22=1,W25,IF(T$22=2,Y25,IF(T$22=3,AA25,AC25)))</f>
        <v>25</v>
      </c>
      <c r="V25" s="38">
        <f>((F25-D25)/6)^2</f>
        <v>277.77777777777783</v>
      </c>
      <c r="W25" s="108">
        <f>(D25+4*E25+F25)/6</f>
        <v>250</v>
      </c>
      <c r="X25" s="38">
        <f>((J25-H25)/6)^2</f>
        <v>40.111111111111178</v>
      </c>
      <c r="Y25" s="108">
        <f>(H25+4*I25+J25)/6</f>
        <v>190</v>
      </c>
      <c r="Z25" s="38">
        <f>((N25-L25)/6)^2</f>
        <v>44.44444444444445</v>
      </c>
      <c r="AA25" s="109">
        <f>(L25+4*M25+N25)/6</f>
        <v>110</v>
      </c>
      <c r="AB25" s="38">
        <f>((R25-P25)/6)^2</f>
        <v>2.7777777777777781</v>
      </c>
      <c r="AC25" s="110">
        <f>(P25+4*Q25+R25)/6</f>
        <v>25</v>
      </c>
      <c r="AE25" s="114"/>
      <c r="AF25" s="6">
        <f>(S$5*(1-S$10)+S$15)*S25*AH25</f>
        <v>0</v>
      </c>
      <c r="AG25" s="64"/>
      <c r="AH25" s="65"/>
      <c r="AI25" s="65"/>
      <c r="AJ25" s="65"/>
      <c r="AK25" s="65"/>
      <c r="AL25" s="66"/>
    </row>
    <row r="26" spans="1:38" ht="15.75" thickBot="1" x14ac:dyDescent="0.25">
      <c r="B26" s="9"/>
      <c r="C26" s="4"/>
      <c r="T26" s="14" t="s">
        <v>137</v>
      </c>
      <c r="AE26" s="9"/>
      <c r="AF26" s="4"/>
      <c r="AG26" s="71"/>
      <c r="AH26" s="71"/>
      <c r="AI26" s="71"/>
      <c r="AJ26" s="71"/>
      <c r="AK26" s="71"/>
      <c r="AL26" s="71"/>
    </row>
    <row r="27" spans="1:38" x14ac:dyDescent="0.2">
      <c r="B27" s="112" t="s">
        <v>138</v>
      </c>
      <c r="C27" s="13"/>
      <c r="D27" s="120" t="s">
        <v>184</v>
      </c>
      <c r="E27" s="120"/>
      <c r="F27" s="120"/>
      <c r="G27" s="1"/>
      <c r="H27" s="120" t="s">
        <v>185</v>
      </c>
      <c r="I27" s="120"/>
      <c r="J27" s="120"/>
      <c r="K27" s="1"/>
      <c r="L27" s="126" t="s">
        <v>186</v>
      </c>
      <c r="M27" s="120"/>
      <c r="N27" s="120"/>
      <c r="O27" s="1"/>
      <c r="P27" s="126" t="s">
        <v>186</v>
      </c>
      <c r="Q27" s="120"/>
      <c r="R27" s="120"/>
      <c r="T27" s="36">
        <v>1</v>
      </c>
      <c r="V27" s="127" t="s">
        <v>121</v>
      </c>
      <c r="W27" s="120"/>
      <c r="X27" s="120" t="s">
        <v>122</v>
      </c>
      <c r="Y27" s="120"/>
      <c r="Z27" s="120" t="s">
        <v>123</v>
      </c>
      <c r="AA27" s="120"/>
      <c r="AB27" s="128" t="s">
        <v>124</v>
      </c>
      <c r="AC27" s="129"/>
      <c r="AE27" s="112" t="s">
        <v>34</v>
      </c>
      <c r="AF27" s="13"/>
      <c r="AG27" s="68" t="s">
        <v>108</v>
      </c>
      <c r="AH27" s="69" t="s">
        <v>19</v>
      </c>
      <c r="AI27" s="69"/>
      <c r="AJ27" s="69" t="s">
        <v>109</v>
      </c>
      <c r="AK27" s="69" t="s">
        <v>110</v>
      </c>
      <c r="AL27" s="70" t="s">
        <v>111</v>
      </c>
    </row>
    <row r="28" spans="1:38" x14ac:dyDescent="0.2">
      <c r="B28" s="113"/>
      <c r="C28" s="4"/>
      <c r="D28" s="3" t="s">
        <v>112</v>
      </c>
      <c r="E28" s="3" t="s">
        <v>113</v>
      </c>
      <c r="F28" s="3" t="s">
        <v>114</v>
      </c>
      <c r="H28" s="3" t="s">
        <v>112</v>
      </c>
      <c r="I28" s="3" t="s">
        <v>113</v>
      </c>
      <c r="J28" s="3" t="s">
        <v>114</v>
      </c>
      <c r="L28" s="3" t="s">
        <v>112</v>
      </c>
      <c r="M28" s="3" t="s">
        <v>113</v>
      </c>
      <c r="N28" s="3" t="s">
        <v>114</v>
      </c>
      <c r="P28" s="3" t="s">
        <v>112</v>
      </c>
      <c r="Q28" s="3" t="s">
        <v>113</v>
      </c>
      <c r="R28" s="27" t="s">
        <v>114</v>
      </c>
      <c r="V28" s="37" t="s">
        <v>115</v>
      </c>
      <c r="W28" s="38" t="s">
        <v>116</v>
      </c>
      <c r="X28" s="38" t="s">
        <v>115</v>
      </c>
      <c r="Y28" s="38" t="s">
        <v>116</v>
      </c>
      <c r="Z28" s="38" t="s">
        <v>115</v>
      </c>
      <c r="AA28" s="38" t="s">
        <v>116</v>
      </c>
      <c r="AB28" s="38" t="s">
        <v>115</v>
      </c>
      <c r="AC28" s="47" t="s">
        <v>116</v>
      </c>
      <c r="AE28" s="113"/>
      <c r="AF28" s="4"/>
      <c r="AG28" s="61"/>
      <c r="AH28" s="62"/>
      <c r="AI28" s="62"/>
      <c r="AJ28" s="62"/>
      <c r="AK28" s="62"/>
      <c r="AL28" s="63"/>
    </row>
    <row r="29" spans="1:38" x14ac:dyDescent="0.2">
      <c r="B29" s="113"/>
      <c r="C29" s="4" t="s">
        <v>117</v>
      </c>
      <c r="D29" s="147">
        <v>5</v>
      </c>
      <c r="E29" s="147">
        <v>12</v>
      </c>
      <c r="F29" s="147">
        <v>19</v>
      </c>
      <c r="G29" s="149"/>
      <c r="H29" s="151">
        <v>25</v>
      </c>
      <c r="I29" s="151">
        <v>35</v>
      </c>
      <c r="J29" s="151">
        <v>45</v>
      </c>
      <c r="K29" s="14"/>
      <c r="L29" s="137">
        <v>25</v>
      </c>
      <c r="M29" s="137">
        <v>35</v>
      </c>
      <c r="N29" s="137">
        <v>45</v>
      </c>
      <c r="O29" s="14"/>
      <c r="P29" s="137">
        <v>45</v>
      </c>
      <c r="Q29" s="137">
        <v>46</v>
      </c>
      <c r="R29" s="137">
        <v>48</v>
      </c>
      <c r="U29">
        <f>IF(T$27=1,W29,IF(T$27=2,Y29,IF(T$27=3,AA29,AC29)))</f>
        <v>12</v>
      </c>
      <c r="V29" s="38">
        <f>((F29-D29)/6)^2</f>
        <v>5.4444444444444455</v>
      </c>
      <c r="W29" s="108">
        <f>(D29+4*E29+F29)/6</f>
        <v>12</v>
      </c>
      <c r="X29" s="38">
        <f>((J29-H29)/6)^2</f>
        <v>11.111111111111112</v>
      </c>
      <c r="Y29" s="108">
        <f>(H29+4*I29+J29)/6</f>
        <v>35</v>
      </c>
      <c r="Z29" s="38">
        <f>((N29-L29)/6)^2</f>
        <v>11.111111111111112</v>
      </c>
      <c r="AA29" s="109">
        <f>(L29+4*M29+N29)/6</f>
        <v>35</v>
      </c>
      <c r="AB29" s="38">
        <f>((R29-P29)/6)^2</f>
        <v>0.25</v>
      </c>
      <c r="AC29" s="110">
        <f>(P29+4*Q29+R29)/6</f>
        <v>46.166666666666664</v>
      </c>
      <c r="AE29" s="113"/>
      <c r="AF29" s="4" t="s">
        <v>20</v>
      </c>
      <c r="AG29" s="61">
        <f>AH29*U29</f>
        <v>9600</v>
      </c>
      <c r="AH29" s="106">
        <f>AK29</f>
        <v>800</v>
      </c>
      <c r="AI29" s="62"/>
      <c r="AJ29" s="62">
        <v>700</v>
      </c>
      <c r="AK29" s="62">
        <v>800</v>
      </c>
      <c r="AL29" s="63">
        <v>1000</v>
      </c>
    </row>
    <row r="30" spans="1:38" ht="13.5" thickBot="1" x14ac:dyDescent="0.25">
      <c r="B30" s="114"/>
      <c r="C30" s="6" t="s">
        <v>118</v>
      </c>
      <c r="D30" s="148">
        <v>0.17</v>
      </c>
      <c r="E30" s="148">
        <v>0.22</v>
      </c>
      <c r="F30" s="148">
        <v>0.27</v>
      </c>
      <c r="G30" s="150"/>
      <c r="H30" s="152">
        <v>0.3</v>
      </c>
      <c r="I30" s="152">
        <v>0.35</v>
      </c>
      <c r="J30" s="152">
        <v>0.4</v>
      </c>
      <c r="K30" s="17"/>
      <c r="L30" s="137">
        <v>0.3</v>
      </c>
      <c r="M30" s="137">
        <v>0.35</v>
      </c>
      <c r="N30" s="137">
        <v>0.4</v>
      </c>
      <c r="O30" s="17"/>
      <c r="P30" s="137">
        <v>0.1</v>
      </c>
      <c r="Q30" s="137">
        <v>0.15</v>
      </c>
      <c r="R30" s="137">
        <v>0.2</v>
      </c>
      <c r="S30">
        <f>IF(T$2=1,V30,IF(T$2=2,X30,Z30))</f>
        <v>2.7777777777777799E-4</v>
      </c>
      <c r="U30" s="41">
        <f>IF(T$27=1,W30,IF(T$27=2,Y30,IF(T$27=3,AA30,AC30)))</f>
        <v>0.22</v>
      </c>
      <c r="V30" s="38">
        <f>((F30-D30)/6)^2</f>
        <v>2.7777777777777778E-4</v>
      </c>
      <c r="W30" s="108">
        <f>(D30+4*E30+F30)/6</f>
        <v>0.22</v>
      </c>
      <c r="X30" s="38">
        <f>((J30-H30)/6)^2</f>
        <v>2.7777777777777799E-4</v>
      </c>
      <c r="Y30" s="108">
        <f>(H30+4*I30+J30)/6</f>
        <v>0.35000000000000003</v>
      </c>
      <c r="Z30" s="38">
        <f>((N30-L30)/6)^2</f>
        <v>2.7777777777777799E-4</v>
      </c>
      <c r="AA30" s="109">
        <f>(L30+4*M30+N30)/6</f>
        <v>0.35000000000000003</v>
      </c>
      <c r="AB30" s="38">
        <f>((R30-P30)/6)^2</f>
        <v>2.7777777777777778E-4</v>
      </c>
      <c r="AC30" s="110">
        <f>(P30+4*Q30+R30)/6</f>
        <v>0.15</v>
      </c>
      <c r="AE30" s="114"/>
      <c r="AF30" s="6">
        <f>(S$5*(1-S$10)+S$15)*S30*AH30</f>
        <v>2.2370327503429372</v>
      </c>
      <c r="AG30" s="64">
        <f>((U$5*(1-U$10)+U$15)*(1-U$20)+U$25)*U30*AH30</f>
        <v>31909.388808000003</v>
      </c>
      <c r="AH30" s="106">
        <f>AK30</f>
        <v>2900</v>
      </c>
      <c r="AI30" s="65"/>
      <c r="AJ30" s="65">
        <f>0.85*AK30</f>
        <v>2465</v>
      </c>
      <c r="AK30" s="65">
        <v>2900</v>
      </c>
      <c r="AL30" s="66">
        <f>1.15*AK30</f>
        <v>3334.9999999999995</v>
      </c>
    </row>
    <row r="31" spans="1:38" ht="15.75" thickBot="1" x14ac:dyDescent="0.25">
      <c r="B31" s="9"/>
      <c r="C31" s="4"/>
      <c r="T31" s="14" t="s">
        <v>139</v>
      </c>
      <c r="AE31" s="9"/>
      <c r="AF31" s="4"/>
      <c r="AG31" s="71"/>
      <c r="AH31" s="71"/>
      <c r="AI31" s="71"/>
      <c r="AJ31" s="71"/>
      <c r="AK31" s="71"/>
      <c r="AL31" s="71"/>
    </row>
    <row r="32" spans="1:38" x14ac:dyDescent="0.2">
      <c r="B32" s="112" t="s">
        <v>140</v>
      </c>
      <c r="C32" s="13"/>
      <c r="D32" s="126" t="s">
        <v>186</v>
      </c>
      <c r="E32" s="120"/>
      <c r="F32" s="120"/>
      <c r="G32" s="1"/>
      <c r="H32" s="126" t="s">
        <v>186</v>
      </c>
      <c r="I32" s="120"/>
      <c r="J32" s="120"/>
      <c r="K32" s="1"/>
      <c r="L32" s="126" t="s">
        <v>186</v>
      </c>
      <c r="M32" s="120"/>
      <c r="N32" s="120"/>
      <c r="O32" s="1"/>
      <c r="P32" s="126" t="s">
        <v>186</v>
      </c>
      <c r="Q32" s="120"/>
      <c r="R32" s="120"/>
      <c r="T32" s="36">
        <v>2</v>
      </c>
      <c r="V32" s="127" t="s">
        <v>141</v>
      </c>
      <c r="W32" s="120"/>
      <c r="X32" s="120" t="s">
        <v>142</v>
      </c>
      <c r="Y32" s="120"/>
      <c r="Z32" s="128" t="s">
        <v>143</v>
      </c>
      <c r="AA32" s="128"/>
      <c r="AB32" s="128" t="s">
        <v>144</v>
      </c>
      <c r="AC32" s="129"/>
      <c r="AE32" s="112" t="s">
        <v>35</v>
      </c>
      <c r="AF32" s="13"/>
      <c r="AG32" s="68" t="s">
        <v>108</v>
      </c>
      <c r="AH32" s="69" t="s">
        <v>19</v>
      </c>
      <c r="AI32" s="69"/>
      <c r="AJ32" s="69" t="s">
        <v>109</v>
      </c>
      <c r="AK32" s="69" t="s">
        <v>110</v>
      </c>
      <c r="AL32" s="70" t="s">
        <v>111</v>
      </c>
    </row>
    <row r="33" spans="2:38" x14ac:dyDescent="0.2">
      <c r="B33" s="113"/>
      <c r="C33" s="4"/>
      <c r="D33" s="3" t="s">
        <v>112</v>
      </c>
      <c r="E33" s="3" t="s">
        <v>113</v>
      </c>
      <c r="F33" s="3" t="s">
        <v>114</v>
      </c>
      <c r="H33" s="3" t="s">
        <v>112</v>
      </c>
      <c r="I33" s="3" t="s">
        <v>113</v>
      </c>
      <c r="J33" s="3" t="s">
        <v>114</v>
      </c>
      <c r="L33" s="3" t="s">
        <v>112</v>
      </c>
      <c r="M33" s="3" t="s">
        <v>113</v>
      </c>
      <c r="N33" s="3" t="s">
        <v>114</v>
      </c>
      <c r="P33" s="3" t="s">
        <v>112</v>
      </c>
      <c r="Q33" s="3" t="s">
        <v>113</v>
      </c>
      <c r="R33" s="27" t="s">
        <v>114</v>
      </c>
      <c r="V33" s="37" t="s">
        <v>115</v>
      </c>
      <c r="W33" s="38" t="s">
        <v>116</v>
      </c>
      <c r="X33" s="38" t="s">
        <v>115</v>
      </c>
      <c r="Y33" s="38" t="s">
        <v>116</v>
      </c>
      <c r="Z33" s="38" t="s">
        <v>115</v>
      </c>
      <c r="AA33" s="38" t="s">
        <v>116</v>
      </c>
      <c r="AB33" s="38" t="s">
        <v>115</v>
      </c>
      <c r="AC33" s="47" t="s">
        <v>116</v>
      </c>
      <c r="AE33" s="113"/>
      <c r="AF33" s="4"/>
      <c r="AG33" s="61"/>
      <c r="AH33" s="62"/>
      <c r="AI33" s="62"/>
      <c r="AJ33" s="62"/>
      <c r="AK33" s="62"/>
      <c r="AL33" s="63"/>
    </row>
    <row r="34" spans="2:38" x14ac:dyDescent="0.2">
      <c r="B34" s="113"/>
      <c r="C34" s="4" t="s">
        <v>117</v>
      </c>
      <c r="D34" s="137">
        <v>90</v>
      </c>
      <c r="E34" s="137">
        <v>100</v>
      </c>
      <c r="F34" s="137">
        <v>110</v>
      </c>
      <c r="G34" s="14"/>
      <c r="H34" s="153">
        <v>120</v>
      </c>
      <c r="I34" s="153">
        <v>150</v>
      </c>
      <c r="J34" s="153">
        <v>180</v>
      </c>
      <c r="K34" s="155"/>
      <c r="L34" s="157">
        <v>300</v>
      </c>
      <c r="M34" s="157">
        <v>350</v>
      </c>
      <c r="N34" s="159">
        <v>400</v>
      </c>
      <c r="O34" s="14"/>
      <c r="P34" s="137">
        <v>300</v>
      </c>
      <c r="Q34" s="137">
        <v>350</v>
      </c>
      <c r="R34" s="137">
        <v>400</v>
      </c>
      <c r="U34">
        <f>IF(T$32=1,W34,IF(T$32=2,Y34,IF(T$32=3,AA34,AC34)))</f>
        <v>150</v>
      </c>
      <c r="V34" s="38">
        <f>((F34-D34)/6)^2</f>
        <v>11.111111111111112</v>
      </c>
      <c r="W34" s="108">
        <f>(D34+4*E34+F34)/6</f>
        <v>100</v>
      </c>
      <c r="X34" s="38">
        <f>((J34-H34)/6)^2</f>
        <v>100</v>
      </c>
      <c r="Y34" s="108">
        <f>(H34+4*I34+J34)/6</f>
        <v>150</v>
      </c>
      <c r="Z34" s="38">
        <f>((N34-L34)/6)^2</f>
        <v>277.77777777777783</v>
      </c>
      <c r="AA34" s="109">
        <f>(L34+4*M34+N34)/6</f>
        <v>350</v>
      </c>
      <c r="AB34" s="38">
        <f>((R34-P34)/6)^2</f>
        <v>277.77777777777783</v>
      </c>
      <c r="AC34" s="110">
        <f>(P34+4*Q34+R34)/6</f>
        <v>350</v>
      </c>
      <c r="AE34" s="113"/>
      <c r="AF34" s="4" t="s">
        <v>20</v>
      </c>
      <c r="AG34" s="61">
        <f>AH34*U34</f>
        <v>120000</v>
      </c>
      <c r="AH34" s="106">
        <f>AK34</f>
        <v>800</v>
      </c>
      <c r="AI34" s="62"/>
      <c r="AJ34" s="62">
        <v>700</v>
      </c>
      <c r="AK34" s="62">
        <v>800</v>
      </c>
      <c r="AL34" s="63">
        <v>1000</v>
      </c>
    </row>
    <row r="35" spans="2:38" ht="13.5" thickBot="1" x14ac:dyDescent="0.25">
      <c r="B35" s="114"/>
      <c r="C35" s="6" t="s">
        <v>118</v>
      </c>
      <c r="D35" s="137">
        <v>0.4</v>
      </c>
      <c r="E35" s="137">
        <v>0.5</v>
      </c>
      <c r="F35" s="137">
        <v>0.6</v>
      </c>
      <c r="G35" s="17"/>
      <c r="H35" s="154">
        <v>0.38500000000000001</v>
      </c>
      <c r="I35" s="154">
        <v>0.435</v>
      </c>
      <c r="J35" s="154">
        <v>0.48499999999999999</v>
      </c>
      <c r="K35" s="156"/>
      <c r="L35" s="158">
        <v>0.63</v>
      </c>
      <c r="M35" s="158">
        <v>0.68</v>
      </c>
      <c r="N35" s="160">
        <v>0.73</v>
      </c>
      <c r="O35" s="17"/>
      <c r="P35" s="137">
        <v>0.63</v>
      </c>
      <c r="Q35" s="137">
        <v>0.68</v>
      </c>
      <c r="R35" s="137">
        <v>0.73</v>
      </c>
      <c r="S35">
        <f>IF(T$2=1,V35,IF(T$2=2,X35,Z35))</f>
        <v>2.7777777777777767E-4</v>
      </c>
      <c r="U35" s="41">
        <f>IF(T$32=1,W35,IF(T$32=2,Y35,IF(T$32=3,AA35,AC35)))</f>
        <v>0.435</v>
      </c>
      <c r="V35" s="38">
        <f>((F35-D35)/6)^2</f>
        <v>1.1111111111111107E-3</v>
      </c>
      <c r="W35" s="108">
        <f>(D35+4*E35+F35)/6</f>
        <v>0.5</v>
      </c>
      <c r="X35" s="38">
        <f>((J35-H35)/6)^2</f>
        <v>2.7777777777777767E-4</v>
      </c>
      <c r="Y35" s="108">
        <f>(H35+4*I35+J35)/6</f>
        <v>0.435</v>
      </c>
      <c r="Z35" s="38">
        <f>((N35-L35)/6)^2</f>
        <v>2.7777777777777767E-4</v>
      </c>
      <c r="AA35" s="109">
        <f>(L35+4*M35+N35)/6</f>
        <v>0.68</v>
      </c>
      <c r="AB35" s="38">
        <f>((R35-P35)/6)^2</f>
        <v>2.7777777777777767E-4</v>
      </c>
      <c r="AC35" s="110">
        <f>(P35+4*Q35+R35)/6</f>
        <v>0.68</v>
      </c>
      <c r="AE35" s="114"/>
      <c r="AF35" s="6">
        <f>(S$5*(1-S$10)+S$15)*S35*AH35</f>
        <v>2.237032750342935</v>
      </c>
      <c r="AG35" s="64">
        <f>((U$5*(1-U$10)+U$15)*(1-U$20)+U$25)*(1-U$30)*U35*AH35</f>
        <v>49212.980102519999</v>
      </c>
      <c r="AH35" s="106">
        <f>AK35</f>
        <v>2900</v>
      </c>
      <c r="AI35" s="65"/>
      <c r="AJ35" s="65">
        <f>0.85*AK35</f>
        <v>2465</v>
      </c>
      <c r="AK35" s="65">
        <v>2900</v>
      </c>
      <c r="AL35" s="66">
        <f>1.15*AK35</f>
        <v>3334.9999999999995</v>
      </c>
    </row>
    <row r="36" spans="2:38" ht="15.75" thickBot="1" x14ac:dyDescent="0.25">
      <c r="B36" s="9"/>
      <c r="C36" s="4"/>
      <c r="T36" s="14" t="s">
        <v>145</v>
      </c>
      <c r="AE36" s="9"/>
      <c r="AF36" s="4"/>
      <c r="AG36" s="71"/>
      <c r="AH36" s="71"/>
      <c r="AI36" s="71"/>
      <c r="AJ36" s="71"/>
      <c r="AK36" s="71"/>
      <c r="AL36" s="71"/>
    </row>
    <row r="37" spans="2:38" x14ac:dyDescent="0.2">
      <c r="B37" s="112" t="s">
        <v>146</v>
      </c>
      <c r="C37" s="13"/>
      <c r="D37" s="126" t="s">
        <v>186</v>
      </c>
      <c r="E37" s="120"/>
      <c r="F37" s="120"/>
      <c r="G37" s="1"/>
      <c r="H37" s="120"/>
      <c r="I37" s="120"/>
      <c r="J37" s="120"/>
      <c r="K37" s="1"/>
      <c r="L37" s="126"/>
      <c r="M37" s="120"/>
      <c r="N37" s="121"/>
      <c r="T37" s="14">
        <v>1</v>
      </c>
      <c r="V37" s="127" t="s">
        <v>147</v>
      </c>
      <c r="W37" s="120"/>
      <c r="X37" s="120" t="s">
        <v>148</v>
      </c>
      <c r="Y37" s="120"/>
      <c r="Z37" s="120" t="s">
        <v>149</v>
      </c>
      <c r="AA37" s="121"/>
      <c r="AE37" s="112" t="s">
        <v>36</v>
      </c>
      <c r="AF37" s="13"/>
      <c r="AG37" s="68" t="s">
        <v>108</v>
      </c>
      <c r="AH37" s="69" t="s">
        <v>19</v>
      </c>
      <c r="AI37" s="69"/>
      <c r="AJ37" s="69" t="s">
        <v>109</v>
      </c>
      <c r="AK37" s="69" t="s">
        <v>110</v>
      </c>
      <c r="AL37" s="70" t="s">
        <v>111</v>
      </c>
    </row>
    <row r="38" spans="2:38" x14ac:dyDescent="0.2">
      <c r="B38" s="113"/>
      <c r="C38" s="4"/>
      <c r="D38" s="3" t="s">
        <v>112</v>
      </c>
      <c r="E38" s="3" t="s">
        <v>113</v>
      </c>
      <c r="F38" s="3" t="s">
        <v>114</v>
      </c>
      <c r="H38" s="3" t="s">
        <v>112</v>
      </c>
      <c r="I38" s="3" t="s">
        <v>113</v>
      </c>
      <c r="J38" s="3" t="s">
        <v>114</v>
      </c>
      <c r="L38" s="3" t="s">
        <v>112</v>
      </c>
      <c r="M38" s="3" t="s">
        <v>113</v>
      </c>
      <c r="N38" s="27" t="s">
        <v>114</v>
      </c>
      <c r="V38" s="37" t="s">
        <v>115</v>
      </c>
      <c r="W38" s="38" t="s">
        <v>116</v>
      </c>
      <c r="X38" s="38" t="s">
        <v>115</v>
      </c>
      <c r="Y38" s="38" t="s">
        <v>116</v>
      </c>
      <c r="Z38" s="38" t="s">
        <v>115</v>
      </c>
      <c r="AA38" s="47" t="s">
        <v>116</v>
      </c>
      <c r="AE38" s="113"/>
      <c r="AF38" s="4"/>
      <c r="AG38" s="61"/>
      <c r="AH38" s="62"/>
      <c r="AI38" s="62"/>
      <c r="AJ38" s="62"/>
      <c r="AK38" s="62"/>
      <c r="AL38" s="63"/>
    </row>
    <row r="39" spans="2:38" x14ac:dyDescent="0.2">
      <c r="B39" s="113"/>
      <c r="C39" s="4" t="s">
        <v>117</v>
      </c>
      <c r="D39" s="137">
        <v>0</v>
      </c>
      <c r="E39" s="137">
        <v>5.0000000000000001E-3</v>
      </c>
      <c r="F39" s="137">
        <v>0.01</v>
      </c>
      <c r="G39" s="14"/>
      <c r="H39" s="18">
        <v>40</v>
      </c>
      <c r="I39" s="18">
        <v>50</v>
      </c>
      <c r="J39" s="18">
        <v>60</v>
      </c>
      <c r="K39" s="14"/>
      <c r="L39" s="18">
        <v>35</v>
      </c>
      <c r="M39" s="18">
        <v>40</v>
      </c>
      <c r="N39" s="32">
        <v>45</v>
      </c>
      <c r="U39">
        <f>IF(T$37=1,W39,IF(T$37=2,Y39,AA39))</f>
        <v>5.0000000000000001E-3</v>
      </c>
      <c r="V39" s="38">
        <f>((F39-D39)/6)^2</f>
        <v>2.7777777777777783E-6</v>
      </c>
      <c r="W39" s="108">
        <f>(D39+4*E39+F39)/6</f>
        <v>5.0000000000000001E-3</v>
      </c>
      <c r="X39" s="38">
        <f>((J39-H39)/6)^2</f>
        <v>11.111111111111112</v>
      </c>
      <c r="Y39" s="108">
        <f>(H39+4*I39+J39)/6</f>
        <v>50</v>
      </c>
      <c r="Z39" s="38">
        <f>((N39-L39)/6)^2</f>
        <v>2.7777777777777781</v>
      </c>
      <c r="AA39" s="109">
        <f>(L39+4*M39+N39)/6</f>
        <v>40</v>
      </c>
      <c r="AE39" s="113"/>
      <c r="AF39" s="4" t="s">
        <v>20</v>
      </c>
      <c r="AG39" s="61">
        <f>AH39*U39</f>
        <v>4</v>
      </c>
      <c r="AH39" s="106">
        <f>AK39</f>
        <v>800</v>
      </c>
      <c r="AI39" s="62"/>
      <c r="AJ39" s="62">
        <v>700</v>
      </c>
      <c r="AK39" s="62">
        <v>800</v>
      </c>
      <c r="AL39" s="63">
        <v>1000</v>
      </c>
    </row>
    <row r="40" spans="2:38" ht="13.5" thickBot="1" x14ac:dyDescent="0.25">
      <c r="B40" s="114"/>
      <c r="C40" s="6" t="s">
        <v>118</v>
      </c>
      <c r="D40" s="137">
        <v>0</v>
      </c>
      <c r="E40" s="137">
        <v>5.0000000000000002E-5</v>
      </c>
      <c r="F40" s="137">
        <v>1E-4</v>
      </c>
      <c r="G40" s="17"/>
      <c r="H40" s="19">
        <v>0.55000000000000004</v>
      </c>
      <c r="I40" s="19">
        <v>0.6</v>
      </c>
      <c r="J40" s="19">
        <v>0.65</v>
      </c>
      <c r="K40" s="17"/>
      <c r="L40" s="19">
        <v>0.7</v>
      </c>
      <c r="M40" s="19">
        <v>0.75</v>
      </c>
      <c r="N40" s="33">
        <v>0.8</v>
      </c>
      <c r="S40">
        <f>IF(T$2=1,V40,IF(T$2=2,X40,Z40))</f>
        <v>2.7777777777777821E-4</v>
      </c>
      <c r="U40">
        <f>IF(T$37=1,W40,IF(T$37=2,Y40,AA40))</f>
        <v>5.0000000000000002E-5</v>
      </c>
      <c r="V40" s="38">
        <f>((F40-D40)/6)^2</f>
        <v>2.7777777777777782E-10</v>
      </c>
      <c r="W40" s="108">
        <f>(D40+4*E40+F40)/6</f>
        <v>5.0000000000000002E-5</v>
      </c>
      <c r="X40" s="38">
        <f>((J40-H40)/6)^2</f>
        <v>2.7777777777777767E-4</v>
      </c>
      <c r="Y40" s="108">
        <f>(H40+4*I40+J40)/6</f>
        <v>0.6</v>
      </c>
      <c r="Z40" s="38">
        <f>((N40-L40)/6)^2</f>
        <v>2.7777777777777821E-4</v>
      </c>
      <c r="AA40" s="109">
        <f>(L40+4*M40+N40)/6</f>
        <v>0.75</v>
      </c>
      <c r="AE40" s="114"/>
      <c r="AF40" s="6">
        <f>(S$5*(1-S$10)+S$15)*S40*AH40</f>
        <v>2.6998671124828579</v>
      </c>
      <c r="AG40" s="64">
        <f>((U$5*(1-U$10)+U$15)*(1-U$20)+U$25)*(1-U$30)*(1-U$35)*U40*AH40</f>
        <v>3.8572599347100001</v>
      </c>
      <c r="AH40" s="106">
        <f>AK40</f>
        <v>3500</v>
      </c>
      <c r="AI40" s="65"/>
      <c r="AJ40" s="65">
        <v>3000</v>
      </c>
      <c r="AK40" s="65">
        <v>3500</v>
      </c>
      <c r="AL40" s="66">
        <v>4500</v>
      </c>
    </row>
    <row r="41" spans="2:38" ht="15.75" thickBot="1" x14ac:dyDescent="0.25">
      <c r="B41" s="9"/>
      <c r="C41" s="4"/>
      <c r="T41" s="14" t="s">
        <v>150</v>
      </c>
      <c r="AE41" s="9"/>
      <c r="AF41" s="4"/>
      <c r="AG41" s="71"/>
      <c r="AH41" s="71"/>
      <c r="AI41" s="71"/>
      <c r="AJ41" s="71"/>
      <c r="AK41" s="71"/>
      <c r="AL41" s="71"/>
    </row>
    <row r="42" spans="2:38" x14ac:dyDescent="0.2">
      <c r="B42" s="112" t="s">
        <v>151</v>
      </c>
      <c r="C42" s="13"/>
      <c r="D42" s="120" t="s">
        <v>184</v>
      </c>
      <c r="E42" s="120"/>
      <c r="F42" s="120"/>
      <c r="G42" s="1"/>
      <c r="H42" s="126" t="s">
        <v>186</v>
      </c>
      <c r="I42" s="120"/>
      <c r="J42" s="120"/>
      <c r="K42" s="1"/>
      <c r="L42" s="126" t="s">
        <v>186</v>
      </c>
      <c r="M42" s="120"/>
      <c r="N42" s="120"/>
      <c r="T42" s="36">
        <v>1</v>
      </c>
      <c r="V42" s="127" t="s">
        <v>152</v>
      </c>
      <c r="W42" s="120"/>
      <c r="X42" s="120" t="s">
        <v>153</v>
      </c>
      <c r="Y42" s="120"/>
      <c r="Z42" s="122" t="s">
        <v>154</v>
      </c>
      <c r="AA42" s="123"/>
      <c r="AE42" s="112" t="s">
        <v>37</v>
      </c>
      <c r="AF42" s="13"/>
      <c r="AG42" s="68" t="s">
        <v>108</v>
      </c>
      <c r="AH42" s="69" t="s">
        <v>19</v>
      </c>
      <c r="AI42" s="69"/>
      <c r="AJ42" s="69" t="s">
        <v>109</v>
      </c>
      <c r="AK42" s="69" t="s">
        <v>110</v>
      </c>
      <c r="AL42" s="70" t="s">
        <v>111</v>
      </c>
    </row>
    <row r="43" spans="2:38" x14ac:dyDescent="0.2">
      <c r="B43" s="113"/>
      <c r="C43" s="4"/>
      <c r="D43" s="3" t="s">
        <v>112</v>
      </c>
      <c r="E43" s="3" t="s">
        <v>113</v>
      </c>
      <c r="F43" s="3" t="s">
        <v>114</v>
      </c>
      <c r="H43" s="3" t="s">
        <v>112</v>
      </c>
      <c r="I43" s="3" t="s">
        <v>113</v>
      </c>
      <c r="J43" s="3" t="s">
        <v>114</v>
      </c>
      <c r="L43" s="3" t="s">
        <v>112</v>
      </c>
      <c r="M43" s="3" t="s">
        <v>113</v>
      </c>
      <c r="N43" s="27" t="s">
        <v>114</v>
      </c>
      <c r="V43" s="37" t="s">
        <v>115</v>
      </c>
      <c r="W43" s="38" t="s">
        <v>116</v>
      </c>
      <c r="X43" s="38" t="s">
        <v>115</v>
      </c>
      <c r="Y43" s="38" t="s">
        <v>116</v>
      </c>
      <c r="Z43" s="38" t="s">
        <v>115</v>
      </c>
      <c r="AA43" s="47" t="s">
        <v>116</v>
      </c>
      <c r="AE43" s="113"/>
      <c r="AF43" s="4"/>
      <c r="AG43" s="61"/>
      <c r="AH43" s="62"/>
      <c r="AI43" s="62"/>
      <c r="AJ43" s="62"/>
      <c r="AK43" s="62"/>
      <c r="AL43" s="63"/>
    </row>
    <row r="44" spans="2:38" x14ac:dyDescent="0.2">
      <c r="B44" s="113"/>
      <c r="C44" s="4" t="s">
        <v>117</v>
      </c>
      <c r="D44" s="161">
        <v>75</v>
      </c>
      <c r="E44" s="161">
        <v>80</v>
      </c>
      <c r="F44" s="161">
        <v>85</v>
      </c>
      <c r="G44" s="14"/>
      <c r="H44" s="137">
        <v>110</v>
      </c>
      <c r="I44" s="137">
        <v>120</v>
      </c>
      <c r="J44" s="137">
        <v>130</v>
      </c>
      <c r="K44" s="14"/>
      <c r="L44" s="137">
        <v>140</v>
      </c>
      <c r="M44" s="137">
        <v>150</v>
      </c>
      <c r="N44" s="137">
        <v>160</v>
      </c>
      <c r="U44">
        <f>IF(T$42=1,W44,IF(T$42=2,Y44,AA44))</f>
        <v>80</v>
      </c>
      <c r="V44" s="38">
        <f>((F44-D44)/6)^2</f>
        <v>2.7777777777777781</v>
      </c>
      <c r="W44" s="108">
        <f>(D44+4*E44+F44)/6</f>
        <v>80</v>
      </c>
      <c r="X44" s="38">
        <f>((J44-H44)/6)^2</f>
        <v>11.111111111111112</v>
      </c>
      <c r="Y44" s="108">
        <f>(H44+4*I44+J44)/6</f>
        <v>120</v>
      </c>
      <c r="Z44" s="38">
        <f>((N44-L44)/6)^2</f>
        <v>11.111111111111112</v>
      </c>
      <c r="AA44" s="109">
        <f>(L44+4*M44+N44)/6</f>
        <v>150</v>
      </c>
      <c r="AE44" s="113"/>
      <c r="AF44" s="4" t="s">
        <v>20</v>
      </c>
      <c r="AG44" s="61">
        <f>AH44*U44</f>
        <v>64000</v>
      </c>
      <c r="AH44" s="106">
        <f>AK44</f>
        <v>800</v>
      </c>
      <c r="AI44" s="62"/>
      <c r="AJ44" s="62">
        <v>700</v>
      </c>
      <c r="AK44" s="62">
        <v>800</v>
      </c>
      <c r="AL44" s="63">
        <v>1000</v>
      </c>
    </row>
    <row r="45" spans="2:38" ht="13.5" thickBot="1" x14ac:dyDescent="0.25">
      <c r="B45" s="114"/>
      <c r="C45" s="6" t="s">
        <v>118</v>
      </c>
      <c r="D45" s="162">
        <v>0.94499999999999995</v>
      </c>
      <c r="E45" s="162">
        <v>0.995</v>
      </c>
      <c r="F45" s="162">
        <v>0.999</v>
      </c>
      <c r="G45" s="17"/>
      <c r="H45" s="137">
        <v>0.505</v>
      </c>
      <c r="I45" s="137">
        <v>0.55500000000000005</v>
      </c>
      <c r="J45" s="137">
        <v>0.60499999999999998</v>
      </c>
      <c r="K45" s="17"/>
      <c r="L45" s="137">
        <v>0.8</v>
      </c>
      <c r="M45" s="137">
        <v>0.85</v>
      </c>
      <c r="N45" s="137">
        <v>0.9</v>
      </c>
      <c r="S45">
        <f>IF(T$2=1,V45,IF(T$2=2,X45,Z45))</f>
        <v>2.7777777777777767E-4</v>
      </c>
      <c r="U45">
        <f>IF(T$42=1,W45,IF(T$42=2,Y45,AA45))</f>
        <v>0.98733333333333329</v>
      </c>
      <c r="V45" s="38">
        <f>((F45-D45)/6)^2</f>
        <v>8.1000000000000139E-5</v>
      </c>
      <c r="W45" s="108">
        <f>(D45+4*E45+F45)/6</f>
        <v>0.98733333333333329</v>
      </c>
      <c r="X45" s="38">
        <f>((J45-H45)/6)^2</f>
        <v>2.7777777777777767E-4</v>
      </c>
      <c r="Y45" s="108">
        <f>(H45+4*I45+J45)/6</f>
        <v>0.55500000000000005</v>
      </c>
      <c r="Z45" s="38">
        <f>((N45-L45)/6)^2</f>
        <v>2.7777777777777767E-4</v>
      </c>
      <c r="AA45" s="109">
        <f>(L45+4*M45+N45)/6</f>
        <v>0.85000000000000009</v>
      </c>
      <c r="AE45" s="114"/>
      <c r="AF45" s="6">
        <f>(S$5*(1-S$10)+S$15)*S45*AH45</f>
        <v>4.4740655006858701</v>
      </c>
      <c r="AG45" s="64">
        <f>((U$5*(1-U$10)+U$15)*(1-U$20)+U$25)*(1-U$30)*(1-U$35)*(1-U$40)*U45*AH45</f>
        <v>126214.98945753369</v>
      </c>
      <c r="AH45" s="106">
        <f>AK45</f>
        <v>5800</v>
      </c>
      <c r="AI45" s="65"/>
      <c r="AJ45" s="65">
        <f>0.85*AK45</f>
        <v>4930</v>
      </c>
      <c r="AK45" s="65">
        <v>5800</v>
      </c>
      <c r="AL45" s="66">
        <f>1.15*AK45</f>
        <v>6669.9999999999991</v>
      </c>
    </row>
    <row r="46" spans="2:38" ht="15.75" thickBot="1" x14ac:dyDescent="0.25">
      <c r="B46" s="9"/>
      <c r="C46" s="4"/>
      <c r="T46" s="14" t="s">
        <v>155</v>
      </c>
      <c r="AE46" s="9"/>
      <c r="AF46" s="4"/>
      <c r="AG46" s="71"/>
      <c r="AH46" s="71"/>
      <c r="AI46" s="71"/>
      <c r="AJ46" s="71"/>
      <c r="AK46" s="71"/>
      <c r="AL46" s="71"/>
    </row>
    <row r="47" spans="2:38" x14ac:dyDescent="0.2">
      <c r="B47" s="112" t="s">
        <v>156</v>
      </c>
      <c r="C47" s="13"/>
      <c r="D47" s="126" t="s">
        <v>186</v>
      </c>
      <c r="E47" s="120"/>
      <c r="F47" s="120"/>
      <c r="G47" s="1"/>
      <c r="H47" s="126" t="s">
        <v>186</v>
      </c>
      <c r="I47" s="120"/>
      <c r="J47" s="120"/>
      <c r="K47" s="1"/>
      <c r="L47" s="120" t="s">
        <v>184</v>
      </c>
      <c r="M47" s="120"/>
      <c r="N47" s="120"/>
      <c r="T47" s="36">
        <v>3</v>
      </c>
      <c r="V47" s="127" t="s">
        <v>157</v>
      </c>
      <c r="W47" s="120"/>
      <c r="X47" s="120" t="s">
        <v>158</v>
      </c>
      <c r="Y47" s="120"/>
      <c r="Z47" s="120" t="s">
        <v>159</v>
      </c>
      <c r="AA47" s="121"/>
      <c r="AE47" s="112" t="s">
        <v>38</v>
      </c>
      <c r="AF47" s="13"/>
      <c r="AG47" s="68" t="s">
        <v>108</v>
      </c>
      <c r="AH47" s="69" t="s">
        <v>19</v>
      </c>
      <c r="AI47" s="69"/>
      <c r="AJ47" s="69" t="s">
        <v>109</v>
      </c>
      <c r="AK47" s="69" t="s">
        <v>110</v>
      </c>
      <c r="AL47" s="70" t="s">
        <v>111</v>
      </c>
    </row>
    <row r="48" spans="2:38" x14ac:dyDescent="0.2">
      <c r="B48" s="113"/>
      <c r="C48" s="4"/>
      <c r="D48" s="3" t="s">
        <v>112</v>
      </c>
      <c r="E48" s="3" t="s">
        <v>113</v>
      </c>
      <c r="F48" s="3" t="s">
        <v>114</v>
      </c>
      <c r="H48" s="3" t="s">
        <v>112</v>
      </c>
      <c r="I48" s="3" t="s">
        <v>113</v>
      </c>
      <c r="J48" s="3" t="s">
        <v>114</v>
      </c>
      <c r="L48" s="3" t="s">
        <v>112</v>
      </c>
      <c r="M48" s="3" t="s">
        <v>113</v>
      </c>
      <c r="N48" s="27" t="s">
        <v>114</v>
      </c>
      <c r="V48" s="37" t="s">
        <v>115</v>
      </c>
      <c r="W48" s="38" t="s">
        <v>116</v>
      </c>
      <c r="X48" s="38" t="s">
        <v>115</v>
      </c>
      <c r="Y48" s="38" t="s">
        <v>116</v>
      </c>
      <c r="Z48" s="38" t="s">
        <v>115</v>
      </c>
      <c r="AA48" s="47" t="s">
        <v>116</v>
      </c>
      <c r="AE48" s="113"/>
      <c r="AF48" s="4"/>
      <c r="AG48" s="61"/>
      <c r="AH48" s="62"/>
      <c r="AI48" s="62"/>
      <c r="AJ48" s="62"/>
      <c r="AK48" s="62"/>
      <c r="AL48" s="63"/>
    </row>
    <row r="49" spans="1:38" x14ac:dyDescent="0.2">
      <c r="B49" s="113"/>
      <c r="C49" s="4" t="s">
        <v>117</v>
      </c>
      <c r="D49" s="137">
        <v>15</v>
      </c>
      <c r="E49" s="137">
        <v>20</v>
      </c>
      <c r="F49" s="137">
        <v>25</v>
      </c>
      <c r="G49" s="14"/>
      <c r="H49" s="137">
        <v>25</v>
      </c>
      <c r="I49" s="137">
        <v>30</v>
      </c>
      <c r="J49" s="137">
        <v>35</v>
      </c>
      <c r="K49" s="14"/>
      <c r="L49" s="163">
        <v>50</v>
      </c>
      <c r="M49" s="163">
        <v>60</v>
      </c>
      <c r="N49" s="165">
        <v>70</v>
      </c>
      <c r="U49">
        <f>IF(T$47=1,W49,IF(T$47=2,Y49,AA49))</f>
        <v>60</v>
      </c>
      <c r="V49" s="38">
        <f>((F49-D49)/6)^2</f>
        <v>2.7777777777777781</v>
      </c>
      <c r="W49" s="108">
        <f>(D49+4*E49+F49)/6</f>
        <v>20</v>
      </c>
      <c r="X49" s="38">
        <f>((J49-H49)/6)^2</f>
        <v>2.7777777777777781</v>
      </c>
      <c r="Y49" s="108">
        <f>(H49+4*I49+J49)/6</f>
        <v>30</v>
      </c>
      <c r="Z49" s="38">
        <f>((N49-L49)/6)^2</f>
        <v>11.111111111111112</v>
      </c>
      <c r="AA49" s="109">
        <f>(L49+4*M49+N49)/6</f>
        <v>60</v>
      </c>
      <c r="AE49" s="113"/>
      <c r="AF49" s="4" t="s">
        <v>20</v>
      </c>
      <c r="AG49" s="61">
        <f>AH49*U49</f>
        <v>48000</v>
      </c>
      <c r="AH49" s="106">
        <f>AK49</f>
        <v>800</v>
      </c>
      <c r="AI49" s="62"/>
      <c r="AJ49" s="62">
        <v>700</v>
      </c>
      <c r="AK49" s="62">
        <v>800</v>
      </c>
      <c r="AL49" s="63">
        <v>1000</v>
      </c>
    </row>
    <row r="50" spans="1:38" ht="13.5" thickBot="1" x14ac:dyDescent="0.25">
      <c r="B50" s="114"/>
      <c r="C50" s="6" t="s">
        <v>118</v>
      </c>
      <c r="D50" s="137">
        <v>0.7</v>
      </c>
      <c r="E50" s="137">
        <v>0.75</v>
      </c>
      <c r="F50" s="137">
        <v>0.8</v>
      </c>
      <c r="G50" s="17"/>
      <c r="H50" s="137">
        <v>0.8</v>
      </c>
      <c r="I50" s="137">
        <v>0.85</v>
      </c>
      <c r="J50" s="137">
        <v>0.9</v>
      </c>
      <c r="K50" s="17"/>
      <c r="L50" s="164">
        <v>0.997</v>
      </c>
      <c r="M50" s="164">
        <v>0.998</v>
      </c>
      <c r="N50" s="166">
        <v>0.999</v>
      </c>
      <c r="S50">
        <f>IF(T$2=1,V50,IF(T$2=2,X50,Z50))</f>
        <v>1.1111111111111132E-7</v>
      </c>
      <c r="U50">
        <f>IF(T$47=1,W50,IF(T$47=2,Y50,AA50))</f>
        <v>0.99799999999999989</v>
      </c>
      <c r="V50" s="38">
        <f>((F50-D50)/6)^2</f>
        <v>2.7777777777777821E-4</v>
      </c>
      <c r="W50" s="108">
        <f>(D50+4*E50+F50)/6</f>
        <v>0.75</v>
      </c>
      <c r="X50" s="38">
        <f>((J50-H50)/6)^2</f>
        <v>2.7777777777777767E-4</v>
      </c>
      <c r="Y50" s="108">
        <f>(H50+4*I50+J50)/6</f>
        <v>0.85000000000000009</v>
      </c>
      <c r="Z50" s="38">
        <f>((N50-L50)/6)^2</f>
        <v>1.1111111111111132E-7</v>
      </c>
      <c r="AA50" s="109">
        <f>(L50+4*M50+N50)/6</f>
        <v>0.99799999999999989</v>
      </c>
      <c r="AE50" s="114"/>
      <c r="AF50" s="6">
        <f>(S$5*(1-S$10)+S$15)*S50*AH50</f>
        <v>6.1711248285322481E-3</v>
      </c>
      <c r="AG50" s="64">
        <f>((U$5*(1-U$10)+U$15)*(1-U$20)+U$25)*(1-U$30)*(1-U$35)*(1-U$40)*(1-U$45)*U50*AH50</f>
        <v>5572.3966334344523</v>
      </c>
      <c r="AH50" s="106">
        <f>AK50</f>
        <v>20000</v>
      </c>
      <c r="AI50" s="65"/>
      <c r="AJ50" s="65">
        <f>0.85*AK50</f>
        <v>17000</v>
      </c>
      <c r="AK50" s="65">
        <v>20000</v>
      </c>
      <c r="AL50" s="66">
        <f>1.15*AK50</f>
        <v>23000</v>
      </c>
    </row>
    <row r="51" spans="1:38" ht="13.5" thickBot="1" x14ac:dyDescent="0.25">
      <c r="B51" s="20"/>
      <c r="C51" s="4"/>
    </row>
    <row r="52" spans="1:38" ht="13.5" thickBot="1" x14ac:dyDescent="0.25">
      <c r="B52" s="20"/>
      <c r="C52" s="4"/>
      <c r="AE52" s="56" t="s">
        <v>39</v>
      </c>
      <c r="AF52" s="57">
        <f>((S5*(1-S10)+S15)*(1-S20)+S25)*(1-S30)*(1-S35)*(1-S40)*(1-S45)*(1-S50)*AH52</f>
        <v>1179205.7105444996</v>
      </c>
      <c r="AG52" s="72">
        <f>((U$5*(1-U$10)+U$15)*(1-U$20)+U$25)*(1-U$30)*(1-U$35)*(1-U$40)*(1-U$45)*(1-U50)*AH52</f>
        <v>13.958909402391701</v>
      </c>
      <c r="AH52" s="56">
        <v>25000</v>
      </c>
    </row>
    <row r="53" spans="1:38" x14ac:dyDescent="0.2">
      <c r="B53" s="20"/>
      <c r="C53" s="4"/>
      <c r="P53" s="35"/>
      <c r="S53" s="42"/>
      <c r="T53" s="43" t="s">
        <v>160</v>
      </c>
      <c r="U53" s="44">
        <f>AG4+AG9+AG14+AG19+AG24+AG29+AG34+AG39+AG44+AG49</f>
        <v>500937.33333333331</v>
      </c>
    </row>
    <row r="54" spans="1:38" x14ac:dyDescent="0.2">
      <c r="C54" s="4"/>
      <c r="S54" s="45"/>
      <c r="T54" s="46" t="s">
        <v>161</v>
      </c>
      <c r="U54" s="47"/>
    </row>
    <row r="55" spans="1:38" ht="15.75" x14ac:dyDescent="0.25">
      <c r="B55" s="21" t="s">
        <v>162</v>
      </c>
      <c r="C55" s="4"/>
      <c r="P55" s="35" t="s">
        <v>163</v>
      </c>
      <c r="Q55" t="s">
        <v>164</v>
      </c>
      <c r="R55">
        <v>190</v>
      </c>
      <c r="S55" s="48">
        <f>AF10+AF20+AF30+AF35+AF40+AF45+AF50+AF54</f>
        <v>17.825294067215367</v>
      </c>
      <c r="T55" s="49" t="s">
        <v>165</v>
      </c>
      <c r="U55" s="50">
        <f>AG10+AG20+AG30+AG35+AG40+AG45+AG50+AG52</f>
        <v>228868.70717082525</v>
      </c>
    </row>
    <row r="56" spans="1:38" ht="28.5" customHeight="1" x14ac:dyDescent="0.2">
      <c r="A56" s="22" t="s">
        <v>166</v>
      </c>
      <c r="B56" s="124" t="s">
        <v>167</v>
      </c>
      <c r="C56" s="125"/>
      <c r="D56" s="23">
        <f>IF(AND(Design_Decision&gt;1,DR_Decision&lt;3),1,0)</f>
        <v>0</v>
      </c>
      <c r="T56" s="51"/>
    </row>
    <row r="57" spans="1:38" x14ac:dyDescent="0.2">
      <c r="A57" s="24"/>
      <c r="B57" s="25"/>
      <c r="C57" s="4"/>
      <c r="S57" s="52"/>
      <c r="T57" s="53" t="s">
        <v>168</v>
      </c>
      <c r="U57" s="54">
        <f>U53+U55</f>
        <v>729806.04050415859</v>
      </c>
    </row>
    <row r="58" spans="1:38" ht="25.5" customHeight="1" x14ac:dyDescent="0.2">
      <c r="A58" s="22" t="s">
        <v>169</v>
      </c>
      <c r="B58" s="124" t="s">
        <v>170</v>
      </c>
      <c r="C58" s="125"/>
      <c r="D58" s="23">
        <f>IF(AND(Code_Decision&lt;3,CR_Decision&lt;3),1,0)</f>
        <v>0</v>
      </c>
    </row>
    <row r="59" spans="1:38" x14ac:dyDescent="0.2">
      <c r="A59" s="24"/>
      <c r="B59" s="25"/>
      <c r="C59" s="4"/>
    </row>
    <row r="60" spans="1:38" ht="24.75" customHeight="1" x14ac:dyDescent="0.2">
      <c r="A60" s="22" t="s">
        <v>171</v>
      </c>
      <c r="B60" s="124" t="s">
        <v>172</v>
      </c>
      <c r="C60" s="125"/>
      <c r="D60" s="23">
        <f>IF(AND(CR_Decision&lt;3,UT_Decision=1),1,0)</f>
        <v>0</v>
      </c>
      <c r="T60" t="s">
        <v>173</v>
      </c>
      <c r="U60" s="55">
        <f>((U$5*(1-U$10)+U$15)*(1-U$20)+U$25)*(1-U$30)*(1-U$35)*(1-U$40)*(1-U$45)*(1-U50)</f>
        <v>5.5835637609566804E-4</v>
      </c>
    </row>
    <row r="61" spans="1:38" x14ac:dyDescent="0.2">
      <c r="B61" s="20"/>
      <c r="C61" s="4"/>
    </row>
    <row r="62" spans="1:38" x14ac:dyDescent="0.2">
      <c r="B62" s="20"/>
      <c r="C62" s="4"/>
      <c r="T62" t="s">
        <v>174</v>
      </c>
      <c r="U62" s="55">
        <f>U5*U10</f>
        <v>0.98799999999999999</v>
      </c>
    </row>
    <row r="63" spans="1:38" x14ac:dyDescent="0.2">
      <c r="B63" s="20"/>
      <c r="C63" s="4"/>
    </row>
    <row r="64" spans="1:38" x14ac:dyDescent="0.2">
      <c r="B64" s="20"/>
      <c r="C64" s="4"/>
      <c r="T64" t="s">
        <v>175</v>
      </c>
      <c r="U64" s="55">
        <f>(U$5*(1-U$10)+U$15)*U20</f>
        <v>2.9972840000000001</v>
      </c>
    </row>
    <row r="65" spans="2:21" x14ac:dyDescent="0.2">
      <c r="B65" s="20"/>
      <c r="C65" s="4"/>
    </row>
    <row r="66" spans="2:21" x14ac:dyDescent="0.2">
      <c r="B66" s="20"/>
      <c r="C66" s="4"/>
      <c r="T66" t="s">
        <v>176</v>
      </c>
      <c r="U66" s="55">
        <f>((U$5*(1-U$10)+U$15)*(1-U$20)+U$25)*U30</f>
        <v>11.003237520000001</v>
      </c>
    </row>
    <row r="67" spans="2:21" x14ac:dyDescent="0.2">
      <c r="B67" s="20"/>
      <c r="C67" s="4"/>
    </row>
    <row r="68" spans="2:21" x14ac:dyDescent="0.2">
      <c r="B68" s="20"/>
      <c r="C68" s="4"/>
      <c r="T68" t="s">
        <v>177</v>
      </c>
      <c r="U68" s="55">
        <f>((U$5*(1-U$10)+U$15)*(1-U$20)+U$25)*(1-U$30)*U35</f>
        <v>16.9699931388</v>
      </c>
    </row>
    <row r="69" spans="2:21" x14ac:dyDescent="0.2">
      <c r="B69" s="20"/>
      <c r="C69" s="4"/>
    </row>
    <row r="70" spans="2:21" x14ac:dyDescent="0.2">
      <c r="C70" s="4"/>
      <c r="T70" t="s">
        <v>178</v>
      </c>
      <c r="U70" s="55">
        <f>((U$5*(1-U$10)+U$15)*(1-U$20)+U$25)*(1-U$30)*(1-U$35)*U40</f>
        <v>1.10207426706E-3</v>
      </c>
    </row>
    <row r="72" spans="2:21" x14ac:dyDescent="0.2">
      <c r="T72" t="s">
        <v>179</v>
      </c>
      <c r="U72" s="55">
        <f>((U$5*(1-U$10)+U$15)*(1-U$20)+U$25)*(1-U$30)*(1-U$35)*(1-U$40)*U45</f>
        <v>21.761205078885119</v>
      </c>
    </row>
    <row r="74" spans="2:21" x14ac:dyDescent="0.2">
      <c r="T74" t="s">
        <v>180</v>
      </c>
      <c r="U74" s="55">
        <f>((U$5*(1-U$10)+U$15)*(1-U$20)+U$25)*(1-U$30)*(1-U$35)*(1-U$40)*(1-U$45)*U50</f>
        <v>0.27861983167172261</v>
      </c>
    </row>
  </sheetData>
  <mergeCells count="93">
    <mergeCell ref="Z2:AA2"/>
    <mergeCell ref="D7:F7"/>
    <mergeCell ref="H7:J7"/>
    <mergeCell ref="L7:N7"/>
    <mergeCell ref="P7:R7"/>
    <mergeCell ref="V7:W7"/>
    <mergeCell ref="X7:Y7"/>
    <mergeCell ref="Z7:AA7"/>
    <mergeCell ref="D2:F2"/>
    <mergeCell ref="H2:J2"/>
    <mergeCell ref="L2:N2"/>
    <mergeCell ref="V2:W2"/>
    <mergeCell ref="X2:Y2"/>
    <mergeCell ref="U1:U2"/>
    <mergeCell ref="AB7:AC7"/>
    <mergeCell ref="D12:F12"/>
    <mergeCell ref="H12:J12"/>
    <mergeCell ref="L12:N12"/>
    <mergeCell ref="V12:W12"/>
    <mergeCell ref="X12:Y12"/>
    <mergeCell ref="X17:Y17"/>
    <mergeCell ref="Z17:AA17"/>
    <mergeCell ref="AB17:AC17"/>
    <mergeCell ref="D22:F22"/>
    <mergeCell ref="H22:J22"/>
    <mergeCell ref="L22:N22"/>
    <mergeCell ref="P22:R22"/>
    <mergeCell ref="V22:W22"/>
    <mergeCell ref="X22:Y22"/>
    <mergeCell ref="Z22:AA22"/>
    <mergeCell ref="AB22:AC22"/>
    <mergeCell ref="D17:F17"/>
    <mergeCell ref="H17:J17"/>
    <mergeCell ref="L17:N17"/>
    <mergeCell ref="P17:R17"/>
    <mergeCell ref="V17:W17"/>
    <mergeCell ref="X27:Y27"/>
    <mergeCell ref="Z27:AA27"/>
    <mergeCell ref="AB27:AC27"/>
    <mergeCell ref="D32:F32"/>
    <mergeCell ref="H32:J32"/>
    <mergeCell ref="L32:N32"/>
    <mergeCell ref="P32:R32"/>
    <mergeCell ref="V32:W32"/>
    <mergeCell ref="X32:Y32"/>
    <mergeCell ref="Z32:AA32"/>
    <mergeCell ref="AB32:AC32"/>
    <mergeCell ref="D27:F27"/>
    <mergeCell ref="H27:J27"/>
    <mergeCell ref="L27:N27"/>
    <mergeCell ref="P27:R27"/>
    <mergeCell ref="V27:W27"/>
    <mergeCell ref="D37:F37"/>
    <mergeCell ref="H37:J37"/>
    <mergeCell ref="L37:N37"/>
    <mergeCell ref="V37:W37"/>
    <mergeCell ref="X37:Y37"/>
    <mergeCell ref="Z47:AA47"/>
    <mergeCell ref="D42:F42"/>
    <mergeCell ref="H42:J42"/>
    <mergeCell ref="L42:N42"/>
    <mergeCell ref="V42:W42"/>
    <mergeCell ref="X42:Y42"/>
    <mergeCell ref="D47:F47"/>
    <mergeCell ref="H47:J47"/>
    <mergeCell ref="L47:N47"/>
    <mergeCell ref="V47:W47"/>
    <mergeCell ref="X47:Y47"/>
    <mergeCell ref="B56:C56"/>
    <mergeCell ref="B58:C58"/>
    <mergeCell ref="B60:C60"/>
    <mergeCell ref="B2:B5"/>
    <mergeCell ref="B7:B10"/>
    <mergeCell ref="B12:B15"/>
    <mergeCell ref="B17:B20"/>
    <mergeCell ref="B22:B25"/>
    <mergeCell ref="B27:B30"/>
    <mergeCell ref="B32:B35"/>
    <mergeCell ref="B37:B40"/>
    <mergeCell ref="B42:B45"/>
    <mergeCell ref="B47:B50"/>
    <mergeCell ref="AE47:AE50"/>
    <mergeCell ref="AE2:AE5"/>
    <mergeCell ref="AE7:AE10"/>
    <mergeCell ref="AE12:AE15"/>
    <mergeCell ref="AE17:AE20"/>
    <mergeCell ref="AE22:AE25"/>
    <mergeCell ref="Z37:AA37"/>
    <mergeCell ref="AE27:AE30"/>
    <mergeCell ref="AE32:AE35"/>
    <mergeCell ref="AE37:AE40"/>
    <mergeCell ref="AE42:AE45"/>
    <mergeCell ref="Z42:AA42"/>
  </mergeCells>
  <phoneticPr fontId="10" type="noConversion"/>
  <pageMargins left="0.75" right="0.75" top="1" bottom="1" header="0.5" footer="0.5"/>
  <pageSetup orientation="portrait"/>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12</vt:i4>
      </vt:variant>
    </vt:vector>
  </HeadingPairs>
  <TitlesOfParts>
    <vt:vector size="18" baseType="lpstr">
      <vt:lpstr>CB_DATA_</vt:lpstr>
      <vt:lpstr>Units of measure</vt:lpstr>
      <vt:lpstr>Process Description</vt:lpstr>
      <vt:lpstr>Model</vt:lpstr>
      <vt:lpstr>Sheet2</vt:lpstr>
      <vt:lpstr>Sheet3</vt:lpstr>
      <vt:lpstr>AT_Decision</vt:lpstr>
      <vt:lpstr>Code_Decision</vt:lpstr>
      <vt:lpstr>CR_Decision</vt:lpstr>
      <vt:lpstr>Design_Decision</vt:lpstr>
      <vt:lpstr>DR_Decision</vt:lpstr>
      <vt:lpstr>FP</vt:lpstr>
      <vt:lpstr>IT_Decision</vt:lpstr>
      <vt:lpstr>'Process Description'!Print_Titles</vt:lpstr>
      <vt:lpstr>RD_Decision</vt:lpstr>
      <vt:lpstr>RR_Decision</vt:lpstr>
      <vt:lpstr>ST_Decision</vt:lpstr>
      <vt:lpstr>UT_Decision</vt:lpstr>
    </vt:vector>
  </TitlesOfParts>
  <Company>Software Engineering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Stoddard</dc:creator>
  <cp:lastModifiedBy>瑜 秦</cp:lastModifiedBy>
  <cp:lastPrinted>2007-09-18T20:30:00Z</cp:lastPrinted>
  <dcterms:created xsi:type="dcterms:W3CDTF">2007-03-01T18:20:00Z</dcterms:created>
  <dcterms:modified xsi:type="dcterms:W3CDTF">2025-07-11T02:16:25Z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B8E87D64DEE9454DB777CFD384C669A6</vt:lpwstr>
  </property>
  <property fmtid="{D5CDD505-2E9C-101B-9397-08002B2CF9AE}" pid="3" name="KSOProductBuildVer">
    <vt:lpwstr>2052-11.1.0.11115</vt:lpwstr>
  </property>
</Properties>
</file>