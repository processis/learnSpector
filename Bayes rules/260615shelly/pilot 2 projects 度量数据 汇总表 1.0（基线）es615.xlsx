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G:\agreeSH\2606defdata\"/>
    </mc:Choice>
  </mc:AlternateContent>
  <xr:revisionPtr revIDLastSave="0" documentId="8_{42E60582-BE08-49D7-BA83-15C1564C8F2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组织基线" sheetId="6" r:id="rId1"/>
    <sheet name="修订说明" sheetId="7" r:id="rId2"/>
    <sheet name="项目性能目标模板" sheetId="8" r:id="rId3"/>
    <sheet name="基线" sheetId="5" state="hidden" r:id="rId4"/>
    <sheet name="Sheet3" sheetId="4" state="hidden" r:id="rId5"/>
    <sheet name="Sheet2" sheetId="3" state="hidden" r:id="rId6"/>
    <sheet name="问卷调查" sheetId="2" state="hidden" r:id="rId7"/>
  </sheets>
  <externalReferences>
    <externalReference r:id="rId8"/>
  </externalReferences>
  <definedNames>
    <definedName name="编码消耗率">[1]组织数据!$B$4</definedName>
    <definedName name="测试密度">[1]组织数据!$B$5</definedName>
    <definedName name="测试缺陷密度">[1]组织数据!$B$6</definedName>
    <definedName name="生产率">[1]组织数据!$B$2</definedName>
  </definedNames>
  <calcPr calcId="181029" concurrentCalc="0" concurrentManualCount="22"/>
</workbook>
</file>

<file path=xl/calcChain.xml><?xml version="1.0" encoding="utf-8"?>
<calcChain xmlns="http://schemas.openxmlformats.org/spreadsheetml/2006/main">
  <c r="AP49" i="6" l="1"/>
  <c r="AT49" i="6"/>
  <c r="AS49" i="6"/>
  <c r="AR49" i="6"/>
  <c r="AQ49" i="6"/>
  <c r="AB45" i="6"/>
  <c r="V14" i="6"/>
  <c r="W45" i="6"/>
  <c r="AV33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AW47" i="6"/>
  <c r="AW46" i="6"/>
  <c r="AW32" i="6"/>
  <c r="AW31" i="6"/>
  <c r="AW22" i="6"/>
  <c r="AW21" i="6"/>
  <c r="AW16" i="6"/>
  <c r="AW15" i="6"/>
  <c r="AJ64" i="6"/>
  <c r="AJ61" i="6"/>
  <c r="AN46" i="6"/>
  <c r="AN45" i="6"/>
  <c r="AN42" i="6"/>
  <c r="AN41" i="6"/>
  <c r="AN38" i="6"/>
  <c r="AN37" i="6"/>
  <c r="AN31" i="6"/>
  <c r="AN24" i="6"/>
  <c r="AN23" i="6"/>
  <c r="AN21" i="6"/>
  <c r="AN20" i="6"/>
  <c r="AN22" i="6"/>
  <c r="AN19" i="6"/>
  <c r="AN14" i="6"/>
  <c r="AN10" i="6"/>
  <c r="AN9" i="6"/>
  <c r="AN8" i="6"/>
  <c r="AN7" i="6"/>
  <c r="AL46" i="6"/>
  <c r="AL45" i="6"/>
  <c r="AL42" i="6"/>
  <c r="AL41" i="6"/>
  <c r="AL38" i="6"/>
  <c r="AL37" i="6"/>
  <c r="AL30" i="6"/>
  <c r="AL31" i="6"/>
  <c r="AL24" i="6"/>
  <c r="AL23" i="6"/>
  <c r="AL21" i="6"/>
  <c r="AL20" i="6"/>
  <c r="AL19" i="6"/>
  <c r="AL14" i="6"/>
  <c r="AL10" i="6"/>
  <c r="AL9" i="6"/>
  <c r="AL8" i="6"/>
  <c r="AL7" i="6"/>
  <c r="AJ46" i="6"/>
  <c r="AJ45" i="6"/>
  <c r="AJ42" i="6"/>
  <c r="AJ41" i="6"/>
  <c r="AJ43" i="6"/>
  <c r="AJ38" i="6"/>
  <c r="AJ37" i="6"/>
  <c r="AJ31" i="6"/>
  <c r="AJ24" i="6"/>
  <c r="AJ23" i="6"/>
  <c r="AJ21" i="6"/>
  <c r="AJ14" i="6"/>
  <c r="AJ10" i="6"/>
  <c r="AJ9" i="6"/>
  <c r="AJ11" i="6"/>
  <c r="AJ8" i="6"/>
  <c r="AJ7" i="6"/>
  <c r="AE46" i="6"/>
  <c r="AE45" i="6"/>
  <c r="AE42" i="6"/>
  <c r="AE41" i="6"/>
  <c r="AE38" i="6"/>
  <c r="AE37" i="6"/>
  <c r="AE31" i="6"/>
  <c r="AE24" i="6"/>
  <c r="AE23" i="6"/>
  <c r="AE21" i="6"/>
  <c r="AE20" i="6"/>
  <c r="AE19" i="6"/>
  <c r="AE14" i="6"/>
  <c r="AE10" i="6"/>
  <c r="AE9" i="6"/>
  <c r="AE11" i="6"/>
  <c r="AE8" i="6"/>
  <c r="AE7" i="6"/>
  <c r="AD46" i="6"/>
  <c r="AD45" i="6"/>
  <c r="AD42" i="6"/>
  <c r="AD41" i="6"/>
  <c r="AD38" i="6"/>
  <c r="AD34" i="6"/>
  <c r="AD37" i="6"/>
  <c r="AD31" i="6"/>
  <c r="AD24" i="6"/>
  <c r="AD26" i="6"/>
  <c r="AD23" i="6"/>
  <c r="AD28" i="6"/>
  <c r="AD21" i="6"/>
  <c r="AD20" i="6"/>
  <c r="AD19" i="6"/>
  <c r="AD14" i="6"/>
  <c r="AD11" i="6"/>
  <c r="AD10" i="6"/>
  <c r="AD9" i="6"/>
  <c r="AD8" i="6"/>
  <c r="AD7" i="6"/>
  <c r="AA46" i="6"/>
  <c r="AA45" i="6"/>
  <c r="AA42" i="6"/>
  <c r="AA41" i="6"/>
  <c r="AA38" i="6"/>
  <c r="AA37" i="6"/>
  <c r="AA31" i="6"/>
  <c r="AA24" i="6"/>
  <c r="AA23" i="6"/>
  <c r="AA21" i="6"/>
  <c r="AA20" i="6"/>
  <c r="AA19" i="6"/>
  <c r="AA14" i="6"/>
  <c r="AA10" i="6"/>
  <c r="AA9" i="6"/>
  <c r="AA11" i="6"/>
  <c r="AA8" i="6"/>
  <c r="AA7" i="6"/>
  <c r="Z46" i="6"/>
  <c r="Z45" i="6"/>
  <c r="Z42" i="6"/>
  <c r="Z41" i="6"/>
  <c r="Z38" i="6"/>
  <c r="Z37" i="6"/>
  <c r="Z30" i="6"/>
  <c r="Z31" i="6"/>
  <c r="Z24" i="6"/>
  <c r="Z23" i="6"/>
  <c r="Z22" i="6"/>
  <c r="Z21" i="6"/>
  <c r="Z20" i="6"/>
  <c r="Z19" i="6"/>
  <c r="Z14" i="6"/>
  <c r="Z10" i="6"/>
  <c r="Z9" i="6"/>
  <c r="Z8" i="6"/>
  <c r="Z7" i="6"/>
  <c r="U46" i="6"/>
  <c r="U45" i="6"/>
  <c r="U42" i="6"/>
  <c r="U43" i="6"/>
  <c r="U41" i="6"/>
  <c r="U38" i="6"/>
  <c r="U37" i="6"/>
  <c r="U30" i="6"/>
  <c r="U31" i="6"/>
  <c r="U24" i="6"/>
  <c r="U23" i="6"/>
  <c r="U21" i="6"/>
  <c r="U20" i="6"/>
  <c r="U22" i="6"/>
  <c r="U19" i="6"/>
  <c r="U14" i="6"/>
  <c r="U10" i="6"/>
  <c r="U9" i="6"/>
  <c r="U8" i="6"/>
  <c r="U7" i="6"/>
  <c r="Q47" i="6"/>
  <c r="Q46" i="6"/>
  <c r="Q45" i="6"/>
  <c r="Q42" i="6"/>
  <c r="Q41" i="6"/>
  <c r="Q38" i="6"/>
  <c r="Q34" i="6"/>
  <c r="Q48" i="6"/>
  <c r="Q37" i="6"/>
  <c r="Q31" i="6"/>
  <c r="Q24" i="6"/>
  <c r="Q23" i="6"/>
  <c r="Q21" i="6"/>
  <c r="Q22" i="6"/>
  <c r="Q20" i="6"/>
  <c r="Q19" i="6"/>
  <c r="Q14" i="6"/>
  <c r="Q10" i="6"/>
  <c r="Q9" i="6"/>
  <c r="Q8" i="6"/>
  <c r="Q7" i="6"/>
  <c r="Q11" i="6"/>
  <c r="P46" i="6"/>
  <c r="P45" i="6"/>
  <c r="P47" i="6"/>
  <c r="P42" i="6"/>
  <c r="P41" i="6"/>
  <c r="P43" i="6"/>
  <c r="P38" i="6"/>
  <c r="P37" i="6"/>
  <c r="P31" i="6"/>
  <c r="P24" i="6"/>
  <c r="P23" i="6"/>
  <c r="P21" i="6"/>
  <c r="P20" i="6"/>
  <c r="P19" i="6"/>
  <c r="P14" i="6"/>
  <c r="P10" i="6"/>
  <c r="P9" i="6"/>
  <c r="P8" i="6"/>
  <c r="P7" i="6"/>
  <c r="AM46" i="6"/>
  <c r="AM45" i="6"/>
  <c r="AM42" i="6"/>
  <c r="AM43" i="6"/>
  <c r="AM41" i="6"/>
  <c r="AM38" i="6"/>
  <c r="AM37" i="6"/>
  <c r="AM31" i="6"/>
  <c r="AM24" i="6"/>
  <c r="AM23" i="6"/>
  <c r="AM21" i="6"/>
  <c r="AM20" i="6"/>
  <c r="AM19" i="6"/>
  <c r="AM14" i="6"/>
  <c r="AM10" i="6"/>
  <c r="AM9" i="6"/>
  <c r="AM8" i="6"/>
  <c r="AM7" i="6"/>
  <c r="AM22" i="6"/>
  <c r="AE26" i="6"/>
  <c r="AJ47" i="6"/>
  <c r="AD43" i="6"/>
  <c r="AM26" i="6"/>
  <c r="AM30" i="6"/>
  <c r="AM35" i="6"/>
  <c r="AM12" i="6"/>
  <c r="AM34" i="6"/>
  <c r="P34" i="6"/>
  <c r="P48" i="6"/>
  <c r="Q27" i="6"/>
  <c r="AA30" i="6"/>
  <c r="AA32" i="6"/>
  <c r="AE34" i="6"/>
  <c r="P39" i="6"/>
  <c r="AD22" i="6"/>
  <c r="AE12" i="6"/>
  <c r="AE17" i="6"/>
  <c r="AE43" i="6"/>
  <c r="AN30" i="6"/>
  <c r="AN35" i="6"/>
  <c r="U34" i="6"/>
  <c r="U48" i="6"/>
  <c r="Q28" i="6"/>
  <c r="AN26" i="6"/>
  <c r="AN12" i="6"/>
  <c r="AN34" i="6"/>
  <c r="AN48" i="6"/>
  <c r="AN11" i="6"/>
  <c r="AN28" i="6"/>
  <c r="AN43" i="6"/>
  <c r="AL11" i="6"/>
  <c r="AL43" i="6"/>
  <c r="AL27" i="6"/>
  <c r="AL26" i="6"/>
  <c r="AL22" i="6"/>
  <c r="AL28" i="6"/>
  <c r="AL12" i="6"/>
  <c r="AL33" i="6"/>
  <c r="AL34" i="6"/>
  <c r="AJ30" i="6"/>
  <c r="AJ32" i="6"/>
  <c r="AJ12" i="6"/>
  <c r="AJ17" i="6"/>
  <c r="AJ34" i="6"/>
  <c r="AJ48" i="6"/>
  <c r="AJ19" i="6"/>
  <c r="AJ27" i="6"/>
  <c r="AE30" i="6"/>
  <c r="AD12" i="6"/>
  <c r="AE48" i="6"/>
  <c r="AD30" i="6"/>
  <c r="AD32" i="6"/>
  <c r="AD27" i="6"/>
  <c r="AD47" i="6"/>
  <c r="Z12" i="6"/>
  <c r="Z34" i="6"/>
  <c r="Z48" i="6"/>
  <c r="AA26" i="6"/>
  <c r="Z11" i="6"/>
  <c r="Z27" i="6"/>
  <c r="Z43" i="6"/>
  <c r="AA22" i="6"/>
  <c r="Z26" i="6"/>
  <c r="AA12" i="6"/>
  <c r="AA34" i="6"/>
  <c r="AA48" i="6"/>
  <c r="AA43" i="6"/>
  <c r="U26" i="6"/>
  <c r="U11" i="6"/>
  <c r="U27" i="6"/>
  <c r="U12" i="6"/>
  <c r="U33" i="6"/>
  <c r="U39" i="6"/>
  <c r="Q30" i="6"/>
  <c r="Q32" i="6"/>
  <c r="Q12" i="6"/>
  <c r="Q43" i="6"/>
  <c r="P11" i="6"/>
  <c r="P27" i="6"/>
  <c r="P30" i="6"/>
  <c r="P33" i="6"/>
  <c r="P12" i="6"/>
  <c r="Q26" i="6"/>
  <c r="P26" i="6"/>
  <c r="AN32" i="6"/>
  <c r="AN39" i="6"/>
  <c r="AN47" i="6"/>
  <c r="AL32" i="6"/>
  <c r="AL17" i="6"/>
  <c r="AL15" i="6"/>
  <c r="AL16" i="6"/>
  <c r="AL48" i="6"/>
  <c r="AL35" i="6"/>
  <c r="AL39" i="6"/>
  <c r="AL47" i="6"/>
  <c r="AJ28" i="6"/>
  <c r="AJ39" i="6"/>
  <c r="AE27" i="6"/>
  <c r="AE28" i="6"/>
  <c r="AE32" i="6"/>
  <c r="AE35" i="6"/>
  <c r="AE22" i="6"/>
  <c r="AE39" i="6"/>
  <c r="AE47" i="6"/>
  <c r="AD39" i="6"/>
  <c r="AD48" i="6"/>
  <c r="AA27" i="6"/>
  <c r="AA28" i="6"/>
  <c r="AA39" i="6"/>
  <c r="AA47" i="6"/>
  <c r="Z28" i="6"/>
  <c r="Z32" i="6"/>
  <c r="Z47" i="6"/>
  <c r="Z35" i="6"/>
  <c r="Z39" i="6"/>
  <c r="U32" i="6"/>
  <c r="U35" i="6"/>
  <c r="U47" i="6"/>
  <c r="Q33" i="6"/>
  <c r="Q35" i="6"/>
  <c r="Q17" i="6"/>
  <c r="Q15" i="6"/>
  <c r="Q16" i="6"/>
  <c r="Q39" i="6"/>
  <c r="P22" i="6"/>
  <c r="AM11" i="6"/>
  <c r="AM27" i="6"/>
  <c r="AM48" i="6"/>
  <c r="AM32" i="6"/>
  <c r="AM39" i="6"/>
  <c r="AM47" i="6"/>
  <c r="AK46" i="6"/>
  <c r="AI46" i="6"/>
  <c r="AH46" i="6"/>
  <c r="AG46" i="6"/>
  <c r="AF46" i="6"/>
  <c r="AC46" i="6"/>
  <c r="AB46" i="6"/>
  <c r="Y46" i="6"/>
  <c r="X46" i="6"/>
  <c r="W46" i="6"/>
  <c r="V46" i="6"/>
  <c r="T46" i="6"/>
  <c r="S46" i="6"/>
  <c r="R46" i="6"/>
  <c r="O46" i="6"/>
  <c r="N46" i="6"/>
  <c r="N47" i="6"/>
  <c r="AK21" i="6"/>
  <c r="AI21" i="6"/>
  <c r="AH21" i="6"/>
  <c r="AG21" i="6"/>
  <c r="AF21" i="6"/>
  <c r="AC21" i="6"/>
  <c r="AB21" i="6"/>
  <c r="Y21" i="6"/>
  <c r="X21" i="6"/>
  <c r="W21" i="6"/>
  <c r="V21" i="6"/>
  <c r="T21" i="6"/>
  <c r="S21" i="6"/>
  <c r="R21" i="6"/>
  <c r="O21" i="6"/>
  <c r="N21" i="6"/>
  <c r="AK31" i="6"/>
  <c r="AI31" i="6"/>
  <c r="AH31" i="6"/>
  <c r="AG31" i="6"/>
  <c r="AF31" i="6"/>
  <c r="AC31" i="6"/>
  <c r="AB31" i="6"/>
  <c r="Y31" i="6"/>
  <c r="X31" i="6"/>
  <c r="W31" i="6"/>
  <c r="V31" i="6"/>
  <c r="T31" i="6"/>
  <c r="S31" i="6"/>
  <c r="R31" i="6"/>
  <c r="O31" i="6"/>
  <c r="N31" i="6"/>
  <c r="M76" i="6"/>
  <c r="M77" i="6"/>
  <c r="M79" i="6"/>
  <c r="A32" i="2"/>
  <c r="A22" i="2"/>
  <c r="A18" i="2"/>
  <c r="A17" i="2"/>
  <c r="A31" i="2"/>
  <c r="A16" i="2"/>
  <c r="A15" i="2"/>
  <c r="A13" i="2"/>
  <c r="A8" i="2"/>
  <c r="A10" i="2"/>
  <c r="V40" i="4"/>
  <c r="S39" i="4"/>
  <c r="X38" i="4"/>
  <c r="W38" i="4"/>
  <c r="V38" i="4"/>
  <c r="U38" i="4"/>
  <c r="T38" i="4"/>
  <c r="S38" i="4"/>
  <c r="S40" i="4"/>
  <c r="R38" i="4"/>
  <c r="R39" i="4"/>
  <c r="Q38" i="4"/>
  <c r="Q39" i="4"/>
  <c r="P38" i="4"/>
  <c r="O38" i="4"/>
  <c r="N38" i="4"/>
  <c r="N39" i="4"/>
  <c r="M38" i="4"/>
  <c r="M39" i="4"/>
  <c r="T36" i="4"/>
  <c r="S36" i="4"/>
  <c r="Q36" i="4"/>
  <c r="N36" i="4"/>
  <c r="M36" i="4"/>
  <c r="W35" i="4"/>
  <c r="V35" i="4"/>
  <c r="U35" i="4"/>
  <c r="T35" i="4"/>
  <c r="S35" i="4"/>
  <c r="R35" i="4"/>
  <c r="Q35" i="4"/>
  <c r="P35" i="4"/>
  <c r="O35" i="4"/>
  <c r="N35" i="4"/>
  <c r="M35" i="4"/>
  <c r="W34" i="4"/>
  <c r="W36" i="4"/>
  <c r="V34" i="4"/>
  <c r="V28" i="4"/>
  <c r="U34" i="4"/>
  <c r="T34" i="4"/>
  <c r="S34" i="4"/>
  <c r="R34" i="4"/>
  <c r="R36" i="4"/>
  <c r="Q34" i="4"/>
  <c r="Q28" i="4"/>
  <c r="P34" i="4"/>
  <c r="O34" i="4"/>
  <c r="N34" i="4"/>
  <c r="M34" i="4"/>
  <c r="W32" i="4"/>
  <c r="V32" i="4"/>
  <c r="Q32" i="4"/>
  <c r="P32" i="4"/>
  <c r="N32" i="4"/>
  <c r="W31" i="4"/>
  <c r="W27" i="4"/>
  <c r="V31" i="4"/>
  <c r="U31" i="4"/>
  <c r="U27" i="4"/>
  <c r="T31" i="4"/>
  <c r="T27" i="4"/>
  <c r="S31" i="4"/>
  <c r="R31" i="4"/>
  <c r="Q31" i="4"/>
  <c r="P31" i="4"/>
  <c r="O31" i="4"/>
  <c r="O27" i="4"/>
  <c r="N31" i="4"/>
  <c r="N27" i="4"/>
  <c r="M31" i="4"/>
  <c r="M27" i="4"/>
  <c r="W30" i="4"/>
  <c r="V30" i="4"/>
  <c r="U30" i="4"/>
  <c r="T30" i="4"/>
  <c r="T32" i="4"/>
  <c r="S30" i="4"/>
  <c r="S25" i="4"/>
  <c r="R30" i="4"/>
  <c r="R32" i="4"/>
  <c r="Q30" i="4"/>
  <c r="P30" i="4"/>
  <c r="O30" i="4"/>
  <c r="O32" i="4"/>
  <c r="N30" i="4"/>
  <c r="N25" i="4"/>
  <c r="M30" i="4"/>
  <c r="R28" i="4"/>
  <c r="V27" i="4"/>
  <c r="S27" i="4"/>
  <c r="R27" i="4"/>
  <c r="Q27" i="4"/>
  <c r="Q26" i="4"/>
  <c r="V25" i="4"/>
  <c r="V26" i="4"/>
  <c r="T25" i="4"/>
  <c r="R25" i="4"/>
  <c r="Q25" i="4"/>
  <c r="P25" i="4"/>
  <c r="S23" i="4"/>
  <c r="R22" i="4"/>
  <c r="Q21" i="4"/>
  <c r="O21" i="4"/>
  <c r="M21" i="4"/>
  <c r="W20" i="4"/>
  <c r="V20" i="4"/>
  <c r="U20" i="4"/>
  <c r="T20" i="4"/>
  <c r="S20" i="4"/>
  <c r="R20" i="4"/>
  <c r="Q20" i="4"/>
  <c r="P20" i="4"/>
  <c r="O20" i="4"/>
  <c r="N20" i="4"/>
  <c r="M20" i="4"/>
  <c r="W19" i="4"/>
  <c r="W23" i="4"/>
  <c r="V19" i="4"/>
  <c r="V23" i="4"/>
  <c r="U19" i="4"/>
  <c r="T19" i="4"/>
  <c r="S19" i="4"/>
  <c r="R19" i="4"/>
  <c r="R23" i="4"/>
  <c r="Q19" i="4"/>
  <c r="P19" i="4"/>
  <c r="O19" i="4"/>
  <c r="N19" i="4"/>
  <c r="M19" i="4"/>
  <c r="W18" i="4"/>
  <c r="W21" i="4"/>
  <c r="V18" i="4"/>
  <c r="V21" i="4"/>
  <c r="U18" i="4"/>
  <c r="U21" i="4"/>
  <c r="T18" i="4"/>
  <c r="S18" i="4"/>
  <c r="R18" i="4"/>
  <c r="R21" i="4"/>
  <c r="Q18" i="4"/>
  <c r="P18" i="4"/>
  <c r="O18" i="4"/>
  <c r="N18" i="4"/>
  <c r="N21" i="4"/>
  <c r="M18" i="4"/>
  <c r="W17" i="4"/>
  <c r="W22" i="4"/>
  <c r="V17" i="4"/>
  <c r="V22" i="4"/>
  <c r="U17" i="4"/>
  <c r="T17" i="4"/>
  <c r="T22" i="4"/>
  <c r="S17" i="4"/>
  <c r="S22" i="4"/>
  <c r="R17" i="4"/>
  <c r="Q17" i="4"/>
  <c r="P17" i="4"/>
  <c r="P22" i="4"/>
  <c r="O17" i="4"/>
  <c r="N17" i="4"/>
  <c r="M17" i="4"/>
  <c r="M22" i="4"/>
  <c r="W14" i="4"/>
  <c r="V14" i="4"/>
  <c r="U14" i="4"/>
  <c r="T14" i="4"/>
  <c r="T21" i="4"/>
  <c r="S14" i="4"/>
  <c r="S21" i="4"/>
  <c r="R14" i="4"/>
  <c r="Q14" i="4"/>
  <c r="P14" i="4"/>
  <c r="O14" i="4"/>
  <c r="N14" i="4"/>
  <c r="M14" i="4"/>
  <c r="W12" i="4"/>
  <c r="W15" i="4"/>
  <c r="V12" i="4"/>
  <c r="V15" i="4"/>
  <c r="S12" i="4"/>
  <c r="S15" i="4"/>
  <c r="Q12" i="4"/>
  <c r="Q40" i="4"/>
  <c r="W11" i="4"/>
  <c r="U11" i="4"/>
  <c r="U23" i="4"/>
  <c r="R11" i="4"/>
  <c r="W10" i="4"/>
  <c r="V10" i="4"/>
  <c r="U10" i="4"/>
  <c r="T10" i="4"/>
  <c r="S10" i="4"/>
  <c r="R10" i="4"/>
  <c r="Q10" i="4"/>
  <c r="P10" i="4"/>
  <c r="O10" i="4"/>
  <c r="N10" i="4"/>
  <c r="M10" i="4"/>
  <c r="W9" i="4"/>
  <c r="V9" i="4"/>
  <c r="V11" i="4"/>
  <c r="U9" i="4"/>
  <c r="T9" i="4"/>
  <c r="S9" i="4"/>
  <c r="R9" i="4"/>
  <c r="Q9" i="4"/>
  <c r="P9" i="4"/>
  <c r="P11" i="4"/>
  <c r="P23" i="4"/>
  <c r="O9" i="4"/>
  <c r="N9" i="4"/>
  <c r="M9" i="4"/>
  <c r="W8" i="4"/>
  <c r="V8" i="4"/>
  <c r="U8" i="4"/>
  <c r="U12" i="4"/>
  <c r="U15" i="4"/>
  <c r="T8" i="4"/>
  <c r="T12" i="4"/>
  <c r="S8" i="4"/>
  <c r="R8" i="4"/>
  <c r="R12" i="4"/>
  <c r="Q8" i="4"/>
  <c r="P8" i="4"/>
  <c r="P12" i="4"/>
  <c r="P15" i="4"/>
  <c r="O8" i="4"/>
  <c r="O12" i="4"/>
  <c r="O15" i="4"/>
  <c r="N8" i="4"/>
  <c r="N12" i="4"/>
  <c r="N15" i="4"/>
  <c r="M8" i="4"/>
  <c r="M12" i="4"/>
  <c r="W7" i="4"/>
  <c r="V7" i="4"/>
  <c r="U7" i="4"/>
  <c r="T7" i="4"/>
  <c r="T11" i="4"/>
  <c r="T23" i="4"/>
  <c r="S7" i="4"/>
  <c r="S11" i="4"/>
  <c r="R7" i="4"/>
  <c r="Q7" i="4"/>
  <c r="Q11" i="4"/>
  <c r="P7" i="4"/>
  <c r="O7" i="4"/>
  <c r="O11" i="4"/>
  <c r="N7" i="4"/>
  <c r="N11" i="4"/>
  <c r="M7" i="4"/>
  <c r="M11" i="4"/>
  <c r="AL43" i="5"/>
  <c r="AK43" i="5"/>
  <c r="AF43" i="5"/>
  <c r="AE43" i="5"/>
  <c r="AD43" i="5"/>
  <c r="AC43" i="5"/>
  <c r="AB43" i="5"/>
  <c r="X42" i="5"/>
  <c r="Q42" i="5"/>
  <c r="O42" i="5"/>
  <c r="Y41" i="5"/>
  <c r="X41" i="5"/>
  <c r="W41" i="5"/>
  <c r="V41" i="5"/>
  <c r="T41" i="5"/>
  <c r="AL40" i="5"/>
  <c r="AK40" i="5"/>
  <c r="AI40" i="5"/>
  <c r="AF40" i="5"/>
  <c r="AE40" i="5"/>
  <c r="AG40" i="5"/>
  <c r="AD40" i="5"/>
  <c r="AC40" i="5"/>
  <c r="AB40" i="5"/>
  <c r="AL39" i="5"/>
  <c r="AK39" i="5"/>
  <c r="AJ39" i="5"/>
  <c r="AF39" i="5"/>
  <c r="AE39" i="5"/>
  <c r="AD39" i="5"/>
  <c r="AC39" i="5"/>
  <c r="AI39" i="5"/>
  <c r="AB39" i="5"/>
  <c r="AL38" i="5"/>
  <c r="AK38" i="5"/>
  <c r="AF38" i="5"/>
  <c r="AE38" i="5"/>
  <c r="AJ38" i="5"/>
  <c r="AD38" i="5"/>
  <c r="AC38" i="5"/>
  <c r="AB38" i="5"/>
  <c r="AK37" i="5"/>
  <c r="AJ37" i="5"/>
  <c r="AE37" i="5"/>
  <c r="AD37" i="5"/>
  <c r="AB37" i="5"/>
  <c r="W37" i="5"/>
  <c r="V37" i="5"/>
  <c r="AF37" i="5"/>
  <c r="U37" i="5"/>
  <c r="T37" i="5"/>
  <c r="R37" i="5"/>
  <c r="AL37" i="5"/>
  <c r="Q37" i="5"/>
  <c r="O37" i="5"/>
  <c r="N37" i="5"/>
  <c r="AL36" i="5"/>
  <c r="AK36" i="5"/>
  <c r="AI36" i="5"/>
  <c r="AF36" i="5"/>
  <c r="AE36" i="5"/>
  <c r="AG36" i="5"/>
  <c r="AD36" i="5"/>
  <c r="AC36" i="5"/>
  <c r="AB36" i="5"/>
  <c r="AL35" i="5"/>
  <c r="AK35" i="5"/>
  <c r="AJ35" i="5"/>
  <c r="AF35" i="5"/>
  <c r="AE35" i="5"/>
  <c r="AG35" i="5"/>
  <c r="AD35" i="5"/>
  <c r="AC35" i="5"/>
  <c r="AI35" i="5"/>
  <c r="AB35" i="5"/>
  <c r="AL34" i="5"/>
  <c r="AK34" i="5"/>
  <c r="AF34" i="5"/>
  <c r="AE34" i="5"/>
  <c r="AD34" i="5"/>
  <c r="AC34" i="5"/>
  <c r="AB34" i="5"/>
  <c r="AL33" i="5"/>
  <c r="AK33" i="5"/>
  <c r="AJ33" i="5"/>
  <c r="AF33" i="5"/>
  <c r="AE33" i="5"/>
  <c r="AG33" i="5"/>
  <c r="AD33" i="5"/>
  <c r="AI33" i="5"/>
  <c r="AC33" i="5"/>
  <c r="AB33" i="5"/>
  <c r="Y32" i="5"/>
  <c r="X32" i="5"/>
  <c r="W32" i="5"/>
  <c r="V32" i="5"/>
  <c r="AF32" i="5"/>
  <c r="U32" i="5"/>
  <c r="AK32" i="5"/>
  <c r="T32" i="5"/>
  <c r="R32" i="5"/>
  <c r="AL32" i="5"/>
  <c r="Q32" i="5"/>
  <c r="O32" i="5"/>
  <c r="N32" i="5"/>
  <c r="AL31" i="5"/>
  <c r="AJ31" i="5"/>
  <c r="AF31" i="5"/>
  <c r="AE31" i="5"/>
  <c r="AG31" i="5"/>
  <c r="AD31" i="5"/>
  <c r="AI31" i="5"/>
  <c r="AC31" i="5"/>
  <c r="AB31" i="5"/>
  <c r="Z31" i="5"/>
  <c r="AK31" i="5"/>
  <c r="AL30" i="5"/>
  <c r="AK30" i="5"/>
  <c r="AI30" i="5"/>
  <c r="AF30" i="5"/>
  <c r="AE30" i="5"/>
  <c r="AG30" i="5"/>
  <c r="AD30" i="5"/>
  <c r="AC30" i="5"/>
  <c r="AB30" i="5"/>
  <c r="AL29" i="5"/>
  <c r="AK29" i="5"/>
  <c r="AJ29" i="5"/>
  <c r="AF29" i="5"/>
  <c r="AE29" i="5"/>
  <c r="AG29" i="5"/>
  <c r="AD29" i="5"/>
  <c r="AC29" i="5"/>
  <c r="AI29" i="5"/>
  <c r="AB29" i="5"/>
  <c r="Z28" i="5"/>
  <c r="AL27" i="5"/>
  <c r="AF27" i="5"/>
  <c r="Z27" i="5"/>
  <c r="AE27" i="5"/>
  <c r="V27" i="5"/>
  <c r="AC27" i="5"/>
  <c r="U27" i="5"/>
  <c r="U41" i="5"/>
  <c r="T27" i="5"/>
  <c r="R27" i="5"/>
  <c r="Q27" i="5"/>
  <c r="Q41" i="5"/>
  <c r="O27" i="5"/>
  <c r="O41" i="5"/>
  <c r="N27" i="5"/>
  <c r="N41" i="5"/>
  <c r="Z26" i="5"/>
  <c r="Q26" i="5"/>
  <c r="AB25" i="5"/>
  <c r="Z25" i="5"/>
  <c r="Y25" i="5"/>
  <c r="X25" i="5"/>
  <c r="X26" i="5"/>
  <c r="W25" i="5"/>
  <c r="W28" i="5"/>
  <c r="V25" i="5"/>
  <c r="AL25" i="5"/>
  <c r="U25" i="5"/>
  <c r="U28" i="5"/>
  <c r="T25" i="5"/>
  <c r="T28" i="5"/>
  <c r="R25" i="5"/>
  <c r="R28" i="5"/>
  <c r="Q25" i="5"/>
  <c r="Q28" i="5"/>
  <c r="O25" i="5"/>
  <c r="O26" i="5"/>
  <c r="N25" i="5"/>
  <c r="N28" i="5"/>
  <c r="AL24" i="5"/>
  <c r="AK24" i="5"/>
  <c r="AJ24" i="5"/>
  <c r="AI24" i="5"/>
  <c r="AG24" i="5"/>
  <c r="AF24" i="5"/>
  <c r="AE24" i="5"/>
  <c r="AD24" i="5"/>
  <c r="AC24" i="5"/>
  <c r="AB24" i="5"/>
  <c r="V23" i="5"/>
  <c r="Z22" i="5"/>
  <c r="X22" i="5"/>
  <c r="V22" i="5"/>
  <c r="U22" i="5"/>
  <c r="T22" i="5"/>
  <c r="R22" i="5"/>
  <c r="Q22" i="5"/>
  <c r="O22" i="5"/>
  <c r="AL21" i="5"/>
  <c r="AK21" i="5"/>
  <c r="AF21" i="5"/>
  <c r="AE21" i="5"/>
  <c r="AJ21" i="5"/>
  <c r="AD21" i="5"/>
  <c r="AI21" i="5"/>
  <c r="AC21" i="5"/>
  <c r="AB21" i="5"/>
  <c r="Z20" i="5"/>
  <c r="Z23" i="5"/>
  <c r="Y20" i="5"/>
  <c r="W20" i="5"/>
  <c r="V20" i="5"/>
  <c r="AL20" i="5"/>
  <c r="AL19" i="5"/>
  <c r="AK19" i="5"/>
  <c r="AF19" i="5"/>
  <c r="AE19" i="5"/>
  <c r="AJ19" i="5"/>
  <c r="AD19" i="5"/>
  <c r="AC19" i="5"/>
  <c r="AB19" i="5"/>
  <c r="AN18" i="5"/>
  <c r="X18" i="5"/>
  <c r="W18" i="5"/>
  <c r="Q18" i="5"/>
  <c r="O18" i="5"/>
  <c r="AL17" i="5"/>
  <c r="AJ17" i="5"/>
  <c r="AI17" i="5"/>
  <c r="AG17" i="5"/>
  <c r="AF17" i="5"/>
  <c r="AE17" i="5"/>
  <c r="AD17" i="5"/>
  <c r="AC17" i="5"/>
  <c r="AB17" i="5"/>
  <c r="R17" i="5"/>
  <c r="AK17" i="5"/>
  <c r="Q17" i="5"/>
  <c r="AN16" i="5"/>
  <c r="Y16" i="5"/>
  <c r="U16" i="5"/>
  <c r="T16" i="5"/>
  <c r="AJ15" i="5"/>
  <c r="AF15" i="5"/>
  <c r="AE15" i="5"/>
  <c r="AG15" i="5"/>
  <c r="AD15" i="5"/>
  <c r="AI15" i="5"/>
  <c r="Z15" i="5"/>
  <c r="Y15" i="5"/>
  <c r="Y22" i="5"/>
  <c r="W15" i="5"/>
  <c r="AC15" i="5"/>
  <c r="V15" i="5"/>
  <c r="AB15" i="5"/>
  <c r="N15" i="5"/>
  <c r="N22" i="5"/>
  <c r="Z14" i="5"/>
  <c r="Z42" i="5"/>
  <c r="Y14" i="5"/>
  <c r="X14" i="5"/>
  <c r="W14" i="5"/>
  <c r="W42" i="5"/>
  <c r="V14" i="5"/>
  <c r="V42" i="5"/>
  <c r="U14" i="5"/>
  <c r="AK14" i="5"/>
  <c r="T14" i="5"/>
  <c r="T42" i="5"/>
  <c r="R14" i="5"/>
  <c r="AL14" i="5"/>
  <c r="Q14" i="5"/>
  <c r="O14" i="5"/>
  <c r="O16" i="5"/>
  <c r="N14" i="5"/>
  <c r="N26" i="5"/>
  <c r="Z13" i="5"/>
  <c r="Z16" i="5"/>
  <c r="Y13" i="5"/>
  <c r="Y23" i="5"/>
  <c r="X13" i="5"/>
  <c r="X16" i="5"/>
  <c r="V13" i="5"/>
  <c r="U13" i="5"/>
  <c r="U23" i="5"/>
  <c r="T13" i="5"/>
  <c r="T23" i="5"/>
  <c r="R13" i="5"/>
  <c r="R23" i="5"/>
  <c r="Q13" i="5"/>
  <c r="Q23" i="5"/>
  <c r="O13" i="5"/>
  <c r="O23" i="5"/>
  <c r="N13" i="5"/>
  <c r="N23" i="5"/>
  <c r="AL12" i="5"/>
  <c r="AK12" i="5"/>
  <c r="AF12" i="5"/>
  <c r="AE12" i="5"/>
  <c r="AG12" i="5"/>
  <c r="AD12" i="5"/>
  <c r="AJ12" i="5"/>
  <c r="AC12" i="5"/>
  <c r="AB12" i="5"/>
  <c r="AL11" i="5"/>
  <c r="AK11" i="5"/>
  <c r="AF11" i="5"/>
  <c r="AE11" i="5"/>
  <c r="AD11" i="5"/>
  <c r="AC11" i="5"/>
  <c r="AB11" i="5"/>
  <c r="AL10" i="5"/>
  <c r="AK10" i="5"/>
  <c r="AJ10" i="5"/>
  <c r="AF10" i="5"/>
  <c r="AE10" i="5"/>
  <c r="AG10" i="5"/>
  <c r="AD10" i="5"/>
  <c r="AI10" i="5"/>
  <c r="AC10" i="5"/>
  <c r="AB10" i="5"/>
  <c r="W9" i="5"/>
  <c r="W13" i="5"/>
  <c r="W16" i="5"/>
  <c r="V9" i="5"/>
  <c r="R9" i="5"/>
  <c r="AL8" i="5"/>
  <c r="AK8" i="5"/>
  <c r="AJ8" i="5"/>
  <c r="AI8" i="5"/>
  <c r="AF8" i="5"/>
  <c r="AE8" i="5"/>
  <c r="AD8" i="5"/>
  <c r="AC8" i="5"/>
  <c r="AG8" i="5"/>
  <c r="AB8" i="5"/>
  <c r="AL7" i="5"/>
  <c r="AK7" i="5"/>
  <c r="AJ7" i="5"/>
  <c r="AI7" i="5"/>
  <c r="AG7" i="5"/>
  <c r="AF7" i="5"/>
  <c r="AE7" i="5"/>
  <c r="AD7" i="5"/>
  <c r="AC7" i="5"/>
  <c r="AB7" i="5"/>
  <c r="AL6" i="5"/>
  <c r="AK6" i="5"/>
  <c r="AF6" i="5"/>
  <c r="AE6" i="5"/>
  <c r="AD6" i="5"/>
  <c r="AI6" i="5"/>
  <c r="AC6" i="5"/>
  <c r="AB6" i="5"/>
  <c r="AL5" i="5"/>
  <c r="AK5" i="5"/>
  <c r="AG5" i="5"/>
  <c r="AF5" i="5"/>
  <c r="AE5" i="5"/>
  <c r="AJ5" i="5"/>
  <c r="AD5" i="5"/>
  <c r="AC5" i="5"/>
  <c r="AB5" i="5"/>
  <c r="AL4" i="5"/>
  <c r="AK4" i="5"/>
  <c r="AF4" i="5"/>
  <c r="AE4" i="5"/>
  <c r="AD4" i="5"/>
  <c r="AC4" i="5"/>
  <c r="AI4" i="5"/>
  <c r="AB4" i="5"/>
  <c r="C4" i="5"/>
  <c r="AL3" i="5"/>
  <c r="AK3" i="5"/>
  <c r="AF3" i="5"/>
  <c r="AE3" i="5"/>
  <c r="AD3" i="5"/>
  <c r="AC3" i="5"/>
  <c r="AB3" i="5"/>
  <c r="AL2" i="5"/>
  <c r="AK2" i="5"/>
  <c r="AJ2" i="5"/>
  <c r="AF2" i="5"/>
  <c r="AE2" i="5"/>
  <c r="AG2" i="5"/>
  <c r="AD2" i="5"/>
  <c r="AI2" i="5"/>
  <c r="AC2" i="5"/>
  <c r="AB2" i="5"/>
  <c r="AT73" i="6"/>
  <c r="AS73" i="6"/>
  <c r="AR73" i="6"/>
  <c r="AQ73" i="6"/>
  <c r="AP73" i="6"/>
  <c r="AT72" i="6"/>
  <c r="AS72" i="6"/>
  <c r="AR72" i="6"/>
  <c r="AQ72" i="6"/>
  <c r="AP72" i="6"/>
  <c r="AT71" i="6"/>
  <c r="AS71" i="6"/>
  <c r="AR71" i="6"/>
  <c r="AQ71" i="6"/>
  <c r="AP71" i="6"/>
  <c r="AT70" i="6"/>
  <c r="AS70" i="6"/>
  <c r="AR70" i="6"/>
  <c r="AQ70" i="6"/>
  <c r="AP70" i="6"/>
  <c r="AT69" i="6"/>
  <c r="AS69" i="6"/>
  <c r="AR69" i="6"/>
  <c r="AQ69" i="6"/>
  <c r="AP69" i="6"/>
  <c r="AT68" i="6"/>
  <c r="AS68" i="6"/>
  <c r="AR68" i="6"/>
  <c r="AQ68" i="6"/>
  <c r="AP68" i="6"/>
  <c r="AT67" i="6"/>
  <c r="AS67" i="6"/>
  <c r="AR67" i="6"/>
  <c r="AQ67" i="6"/>
  <c r="AP67" i="6"/>
  <c r="AT66" i="6"/>
  <c r="AS66" i="6"/>
  <c r="AR66" i="6"/>
  <c r="AQ66" i="6"/>
  <c r="AP66" i="6"/>
  <c r="AI64" i="6"/>
  <c r="AI24" i="6"/>
  <c r="AH64" i="6"/>
  <c r="AP64" i="6"/>
  <c r="AT63" i="6"/>
  <c r="AS63" i="6"/>
  <c r="AR63" i="6"/>
  <c r="AQ63" i="6"/>
  <c r="AP63" i="6"/>
  <c r="AI61" i="6"/>
  <c r="AJ62" i="6"/>
  <c r="AJ20" i="6"/>
  <c r="AH61" i="6"/>
  <c r="AH19" i="6"/>
  <c r="AG61" i="6"/>
  <c r="AT60" i="6"/>
  <c r="AS60" i="6"/>
  <c r="AR60" i="6"/>
  <c r="AQ60" i="6"/>
  <c r="AP60" i="6"/>
  <c r="O59" i="6"/>
  <c r="AS59" i="6"/>
  <c r="AT58" i="6"/>
  <c r="AS58" i="6"/>
  <c r="AR58" i="6"/>
  <c r="AQ58" i="6"/>
  <c r="AP58" i="6"/>
  <c r="AT57" i="6"/>
  <c r="AS57" i="6"/>
  <c r="AR57" i="6"/>
  <c r="AQ57" i="6"/>
  <c r="AP57" i="6"/>
  <c r="AT56" i="6"/>
  <c r="AS56" i="6"/>
  <c r="AR56" i="6"/>
  <c r="AQ56" i="6"/>
  <c r="AP56" i="6"/>
  <c r="AT55" i="6"/>
  <c r="AS55" i="6"/>
  <c r="AR55" i="6"/>
  <c r="AQ55" i="6"/>
  <c r="AP55" i="6"/>
  <c r="AT54" i="6"/>
  <c r="AS54" i="6"/>
  <c r="AR54" i="6"/>
  <c r="AQ54" i="6"/>
  <c r="AP54" i="6"/>
  <c r="AT53" i="6"/>
  <c r="AS53" i="6"/>
  <c r="AR53" i="6"/>
  <c r="AQ53" i="6"/>
  <c r="AP53" i="6"/>
  <c r="AT52" i="6"/>
  <c r="AS52" i="6"/>
  <c r="AR52" i="6"/>
  <c r="AQ52" i="6"/>
  <c r="AP52" i="6"/>
  <c r="AT50" i="6"/>
  <c r="AS50" i="6"/>
  <c r="AR50" i="6"/>
  <c r="AQ50" i="6"/>
  <c r="AP50" i="6"/>
  <c r="AK45" i="6"/>
  <c r="AI45" i="6"/>
  <c r="AH45" i="6"/>
  <c r="AG45" i="6"/>
  <c r="AF45" i="6"/>
  <c r="AC45" i="6"/>
  <c r="Y45" i="6"/>
  <c r="X45" i="6"/>
  <c r="V45" i="6"/>
  <c r="T45" i="6"/>
  <c r="T47" i="6"/>
  <c r="S45" i="6"/>
  <c r="R45" i="6"/>
  <c r="O45" i="6"/>
  <c r="N45" i="6"/>
  <c r="M45" i="6"/>
  <c r="AT44" i="6"/>
  <c r="AS44" i="6"/>
  <c r="AR44" i="6"/>
  <c r="AQ44" i="6"/>
  <c r="AP44" i="6"/>
  <c r="AK42" i="6"/>
  <c r="AI42" i="6"/>
  <c r="AH42" i="6"/>
  <c r="AG42" i="6"/>
  <c r="AG34" i="6"/>
  <c r="AF42" i="6"/>
  <c r="AC42" i="6"/>
  <c r="AB42" i="6"/>
  <c r="Y42" i="6"/>
  <c r="X42" i="6"/>
  <c r="W42" i="6"/>
  <c r="V42" i="6"/>
  <c r="T42" i="6"/>
  <c r="S42" i="6"/>
  <c r="R42" i="6"/>
  <c r="O42" i="6"/>
  <c r="N42" i="6"/>
  <c r="M42" i="6"/>
  <c r="AK41" i="6"/>
  <c r="AI41" i="6"/>
  <c r="AH41" i="6"/>
  <c r="AG41" i="6"/>
  <c r="AF41" i="6"/>
  <c r="AC41" i="6"/>
  <c r="AB41" i="6"/>
  <c r="Y41" i="6"/>
  <c r="X41" i="6"/>
  <c r="W41" i="6"/>
  <c r="V41" i="6"/>
  <c r="T41" i="6"/>
  <c r="S41" i="6"/>
  <c r="R41" i="6"/>
  <c r="O41" i="6"/>
  <c r="N41" i="6"/>
  <c r="M41" i="6"/>
  <c r="AK38" i="6"/>
  <c r="AI38" i="6"/>
  <c r="AH38" i="6"/>
  <c r="AG38" i="6"/>
  <c r="AF38" i="6"/>
  <c r="AC38" i="6"/>
  <c r="AB38" i="6"/>
  <c r="Y38" i="6"/>
  <c r="X38" i="6"/>
  <c r="W38" i="6"/>
  <c r="V38" i="6"/>
  <c r="T38" i="6"/>
  <c r="S38" i="6"/>
  <c r="R38" i="6"/>
  <c r="O38" i="6"/>
  <c r="N38" i="6"/>
  <c r="M38" i="6"/>
  <c r="AK37" i="6"/>
  <c r="AI37" i="6"/>
  <c r="AH37" i="6"/>
  <c r="AG37" i="6"/>
  <c r="AF37" i="6"/>
  <c r="AF39" i="6"/>
  <c r="AC37" i="6"/>
  <c r="AB37" i="6"/>
  <c r="Y37" i="6"/>
  <c r="X37" i="6"/>
  <c r="X30" i="6"/>
  <c r="X35" i="6"/>
  <c r="W37" i="6"/>
  <c r="V37" i="6"/>
  <c r="T37" i="6"/>
  <c r="S37" i="6"/>
  <c r="R37" i="6"/>
  <c r="O37" i="6"/>
  <c r="N37" i="6"/>
  <c r="N30" i="6"/>
  <c r="N35" i="6"/>
  <c r="M37" i="6"/>
  <c r="AT36" i="6"/>
  <c r="AS36" i="6"/>
  <c r="AR36" i="6"/>
  <c r="AQ36" i="6"/>
  <c r="AP36" i="6"/>
  <c r="AK24" i="6"/>
  <c r="AG24" i="6"/>
  <c r="AF24" i="6"/>
  <c r="AC24" i="6"/>
  <c r="AB24" i="6"/>
  <c r="Y24" i="6"/>
  <c r="X24" i="6"/>
  <c r="W24" i="6"/>
  <c r="V24" i="6"/>
  <c r="T24" i="6"/>
  <c r="S24" i="6"/>
  <c r="R24" i="6"/>
  <c r="O24" i="6"/>
  <c r="N24" i="6"/>
  <c r="M24" i="6"/>
  <c r="AK23" i="6"/>
  <c r="AI23" i="6"/>
  <c r="AH23" i="6"/>
  <c r="AG23" i="6"/>
  <c r="AF23" i="6"/>
  <c r="AC23" i="6"/>
  <c r="AB23" i="6"/>
  <c r="Y23" i="6"/>
  <c r="X23" i="6"/>
  <c r="W23" i="6"/>
  <c r="V23" i="6"/>
  <c r="T23" i="6"/>
  <c r="S23" i="6"/>
  <c r="R23" i="6"/>
  <c r="O23" i="6"/>
  <c r="N23" i="6"/>
  <c r="M23" i="6"/>
  <c r="BB20" i="6"/>
  <c r="AK20" i="6"/>
  <c r="AH20" i="6"/>
  <c r="AH22" i="6"/>
  <c r="AG20" i="6"/>
  <c r="AF20" i="6"/>
  <c r="AC20" i="6"/>
  <c r="AB20" i="6"/>
  <c r="Y20" i="6"/>
  <c r="X20" i="6"/>
  <c r="W20" i="6"/>
  <c r="V20" i="6"/>
  <c r="T20" i="6"/>
  <c r="S20" i="6"/>
  <c r="S22" i="6"/>
  <c r="R20" i="6"/>
  <c r="O20" i="6"/>
  <c r="N20" i="6"/>
  <c r="M20" i="6"/>
  <c r="AK19" i="6"/>
  <c r="AG19" i="6"/>
  <c r="AF19" i="6"/>
  <c r="AC19" i="6"/>
  <c r="AB19" i="6"/>
  <c r="Y19" i="6"/>
  <c r="X19" i="6"/>
  <c r="W19" i="6"/>
  <c r="V19" i="6"/>
  <c r="T19" i="6"/>
  <c r="S19" i="6"/>
  <c r="R19" i="6"/>
  <c r="O19" i="6"/>
  <c r="N19" i="6"/>
  <c r="M19" i="6"/>
  <c r="BB18" i="6"/>
  <c r="AZ18" i="6"/>
  <c r="AY18" i="6"/>
  <c r="AT18" i="6"/>
  <c r="AS18" i="6"/>
  <c r="AR18" i="6"/>
  <c r="AQ18" i="6"/>
  <c r="AW18" i="6"/>
  <c r="AP18" i="6"/>
  <c r="AK14" i="6"/>
  <c r="AI14" i="6"/>
  <c r="AH14" i="6"/>
  <c r="AG14" i="6"/>
  <c r="AF14" i="6"/>
  <c r="AC14" i="6"/>
  <c r="AB14" i="6"/>
  <c r="Y14" i="6"/>
  <c r="X14" i="6"/>
  <c r="W14" i="6"/>
  <c r="T14" i="6"/>
  <c r="S14" i="6"/>
  <c r="R14" i="6"/>
  <c r="N14" i="6"/>
  <c r="M14" i="6"/>
  <c r="AT13" i="6"/>
  <c r="AS13" i="6"/>
  <c r="AR13" i="6"/>
  <c r="AQ13" i="6"/>
  <c r="AP13" i="6"/>
  <c r="AK10" i="6"/>
  <c r="AI10" i="6"/>
  <c r="AH10" i="6"/>
  <c r="AG10" i="6"/>
  <c r="AF10" i="6"/>
  <c r="AC10" i="6"/>
  <c r="AB10" i="6"/>
  <c r="Y10" i="6"/>
  <c r="X10" i="6"/>
  <c r="W10" i="6"/>
  <c r="V10" i="6"/>
  <c r="T10" i="6"/>
  <c r="S10" i="6"/>
  <c r="R10" i="6"/>
  <c r="O10" i="6"/>
  <c r="N10" i="6"/>
  <c r="M10" i="6"/>
  <c r="AK9" i="6"/>
  <c r="AI9" i="6"/>
  <c r="AH9" i="6"/>
  <c r="AG9" i="6"/>
  <c r="AF9" i="6"/>
  <c r="AC9" i="6"/>
  <c r="AB9" i="6"/>
  <c r="Y9" i="6"/>
  <c r="X9" i="6"/>
  <c r="W9" i="6"/>
  <c r="V9" i="6"/>
  <c r="T9" i="6"/>
  <c r="S9" i="6"/>
  <c r="R9" i="6"/>
  <c r="O9" i="6"/>
  <c r="N9" i="6"/>
  <c r="M9" i="6"/>
  <c r="AK8" i="6"/>
  <c r="AI8" i="6"/>
  <c r="AH8" i="6"/>
  <c r="AG8" i="6"/>
  <c r="AF8" i="6"/>
  <c r="AC8" i="6"/>
  <c r="AB8" i="6"/>
  <c r="Y8" i="6"/>
  <c r="X8" i="6"/>
  <c r="W8" i="6"/>
  <c r="V8" i="6"/>
  <c r="T8" i="6"/>
  <c r="S8" i="6"/>
  <c r="R8" i="6"/>
  <c r="O8" i="6"/>
  <c r="N8" i="6"/>
  <c r="M8" i="6"/>
  <c r="AK7" i="6"/>
  <c r="AI7" i="6"/>
  <c r="AH7" i="6"/>
  <c r="AG7" i="6"/>
  <c r="AF7" i="6"/>
  <c r="AC7" i="6"/>
  <c r="AB7" i="6"/>
  <c r="Y7" i="6"/>
  <c r="Y11" i="6"/>
  <c r="X7" i="6"/>
  <c r="W7" i="6"/>
  <c r="V7" i="6"/>
  <c r="T7" i="6"/>
  <c r="S7" i="6"/>
  <c r="R7" i="6"/>
  <c r="R11" i="6"/>
  <c r="O7" i="6"/>
  <c r="N7" i="6"/>
  <c r="M7" i="6"/>
  <c r="AT6" i="6"/>
  <c r="AS6" i="6"/>
  <c r="AR6" i="6"/>
  <c r="AQ6" i="6"/>
  <c r="AW6" i="6"/>
  <c r="AP6" i="6"/>
  <c r="AZ5" i="6"/>
  <c r="AY5" i="6"/>
  <c r="AT5" i="6"/>
  <c r="AS5" i="6"/>
  <c r="AR5" i="6"/>
  <c r="AQ5" i="6"/>
  <c r="AW5" i="6"/>
  <c r="AP5" i="6"/>
  <c r="AZ4" i="6"/>
  <c r="AY4" i="6"/>
  <c r="AT4" i="6"/>
  <c r="AS4" i="6"/>
  <c r="AR4" i="6"/>
  <c r="AQ4" i="6"/>
  <c r="AW4" i="6"/>
  <c r="AP4" i="6"/>
  <c r="AZ3" i="6"/>
  <c r="AT3" i="6"/>
  <c r="AS3" i="6"/>
  <c r="AR3" i="6"/>
  <c r="AQ3" i="6"/>
  <c r="AP3" i="6"/>
  <c r="AZ2" i="6"/>
  <c r="AY2" i="6"/>
  <c r="AT2" i="6"/>
  <c r="AS2" i="6"/>
  <c r="AR2" i="6"/>
  <c r="AQ2" i="6"/>
  <c r="AP2" i="6"/>
  <c r="AD15" i="6"/>
  <c r="AD16" i="6"/>
  <c r="AB26" i="6"/>
  <c r="AE15" i="6"/>
  <c r="AE16" i="6"/>
  <c r="AC30" i="6"/>
  <c r="AC32" i="6"/>
  <c r="AM28" i="6"/>
  <c r="AD17" i="6"/>
  <c r="AE33" i="6"/>
  <c r="R22" i="6"/>
  <c r="W22" i="6"/>
  <c r="V47" i="6"/>
  <c r="AJ15" i="6"/>
  <c r="AJ16" i="6"/>
  <c r="AI43" i="6"/>
  <c r="AF47" i="6"/>
  <c r="AN33" i="6"/>
  <c r="Y26" i="6"/>
  <c r="AN15" i="6"/>
  <c r="AN16" i="6"/>
  <c r="AK47" i="6"/>
  <c r="S47" i="6"/>
  <c r="AG22" i="6"/>
  <c r="AJ22" i="6"/>
  <c r="AJ26" i="6"/>
  <c r="AG47" i="6"/>
  <c r="AC22" i="6"/>
  <c r="AH24" i="6"/>
  <c r="AH26" i="6"/>
  <c r="O47" i="6"/>
  <c r="AH47" i="6"/>
  <c r="AF22" i="6"/>
  <c r="AM33" i="6"/>
  <c r="Z17" i="6"/>
  <c r="AN17" i="6"/>
  <c r="Z15" i="6"/>
  <c r="Z16" i="6"/>
  <c r="R47" i="6"/>
  <c r="AI47" i="6"/>
  <c r="N22" i="6"/>
  <c r="AM17" i="6"/>
  <c r="AM15" i="6"/>
  <c r="AM16" i="6"/>
  <c r="Z33" i="6"/>
  <c r="AJ35" i="6"/>
  <c r="W47" i="6"/>
  <c r="AA33" i="6"/>
  <c r="X11" i="6"/>
  <c r="X27" i="6"/>
  <c r="X32" i="6"/>
  <c r="AW13" i="6"/>
  <c r="AW36" i="6"/>
  <c r="R34" i="6"/>
  <c r="T22" i="6"/>
  <c r="AW44" i="6"/>
  <c r="V22" i="6"/>
  <c r="AA35" i="6"/>
  <c r="AJ33" i="6"/>
  <c r="W34" i="6"/>
  <c r="W48" i="6"/>
  <c r="AC47" i="6"/>
  <c r="P17" i="6"/>
  <c r="O22" i="6"/>
  <c r="P28" i="6"/>
  <c r="AN27" i="6"/>
  <c r="AD33" i="6"/>
  <c r="AD35" i="6"/>
  <c r="AA15" i="6"/>
  <c r="AA16" i="6"/>
  <c r="AA17" i="6"/>
  <c r="U17" i="6"/>
  <c r="U15" i="6"/>
  <c r="U16" i="6"/>
  <c r="U28" i="6"/>
  <c r="P15" i="6"/>
  <c r="P16" i="6"/>
  <c r="P35" i="6"/>
  <c r="P32" i="6"/>
  <c r="Y30" i="6"/>
  <c r="Y32" i="6"/>
  <c r="X43" i="6"/>
  <c r="V26" i="6"/>
  <c r="S30" i="6"/>
  <c r="S32" i="6"/>
  <c r="AH30" i="6"/>
  <c r="AH32" i="6"/>
  <c r="X22" i="6"/>
  <c r="X47" i="6"/>
  <c r="AR40" i="6"/>
  <c r="AS40" i="6"/>
  <c r="AI30" i="6"/>
  <c r="AI32" i="6"/>
  <c r="X34" i="6"/>
  <c r="X48" i="6"/>
  <c r="AF43" i="6"/>
  <c r="N32" i="6"/>
  <c r="Y22" i="6"/>
  <c r="Y47" i="6"/>
  <c r="AG48" i="6"/>
  <c r="AK30" i="6"/>
  <c r="AB22" i="6"/>
  <c r="AB47" i="6"/>
  <c r="AQ40" i="6"/>
  <c r="AW40" i="6"/>
  <c r="AI11" i="6"/>
  <c r="AI28" i="6"/>
  <c r="W26" i="6"/>
  <c r="W12" i="6"/>
  <c r="W15" i="6"/>
  <c r="W16" i="6"/>
  <c r="T43" i="6"/>
  <c r="T11" i="6"/>
  <c r="T28" i="6"/>
  <c r="AH12" i="6"/>
  <c r="S34" i="6"/>
  <c r="S48" i="6"/>
  <c r="AH34" i="6"/>
  <c r="AH48" i="6"/>
  <c r="T34" i="6"/>
  <c r="T48" i="6"/>
  <c r="AI34" i="6"/>
  <c r="AK22" i="6"/>
  <c r="AT40" i="6"/>
  <c r="AP29" i="6"/>
  <c r="AP40" i="6"/>
  <c r="AU4" i="6"/>
  <c r="AX18" i="6"/>
  <c r="AU2" i="6"/>
  <c r="AQ45" i="6"/>
  <c r="N11" i="6"/>
  <c r="N28" i="6"/>
  <c r="AC11" i="6"/>
  <c r="AC28" i="6"/>
  <c r="T12" i="6"/>
  <c r="T15" i="6"/>
  <c r="T16" i="6"/>
  <c r="AI12" i="6"/>
  <c r="Y34" i="6"/>
  <c r="Y48" i="6"/>
  <c r="O11" i="6"/>
  <c r="O28" i="6"/>
  <c r="AF11" i="6"/>
  <c r="AF28" i="6"/>
  <c r="AK12" i="6"/>
  <c r="M26" i="6"/>
  <c r="R26" i="6"/>
  <c r="AG26" i="6"/>
  <c r="M34" i="6"/>
  <c r="M48" i="6"/>
  <c r="AB39" i="6"/>
  <c r="AS42" i="6"/>
  <c r="R28" i="6"/>
  <c r="AG11" i="6"/>
  <c r="AG28" i="6"/>
  <c r="W39" i="6"/>
  <c r="N34" i="6"/>
  <c r="AC34" i="6"/>
  <c r="AW2" i="6"/>
  <c r="W30" i="6"/>
  <c r="W17" i="6"/>
  <c r="AK11" i="6"/>
  <c r="AK28" i="6"/>
  <c r="AT23" i="6"/>
  <c r="AS9" i="6"/>
  <c r="AZ8" i="6"/>
  <c r="O30" i="6"/>
  <c r="O35" i="6"/>
  <c r="AK34" i="6"/>
  <c r="AK48" i="6"/>
  <c r="N12" i="6"/>
  <c r="N15" i="6"/>
  <c r="N16" i="6"/>
  <c r="AC12" i="6"/>
  <c r="R30" i="6"/>
  <c r="R32" i="6"/>
  <c r="O12" i="6"/>
  <c r="AF12" i="6"/>
  <c r="AB43" i="6"/>
  <c r="AP7" i="6"/>
  <c r="AB11" i="6"/>
  <c r="AB27" i="6"/>
  <c r="AR8" i="6"/>
  <c r="AG12" i="6"/>
  <c r="R27" i="6"/>
  <c r="N43" i="6"/>
  <c r="S12" i="6"/>
  <c r="R39" i="6"/>
  <c r="AG39" i="6"/>
  <c r="R43" i="6"/>
  <c r="AT10" i="6"/>
  <c r="AZ38" i="6"/>
  <c r="S43" i="6"/>
  <c r="AH43" i="6"/>
  <c r="AP42" i="6"/>
  <c r="AX5" i="6"/>
  <c r="AX2" i="6"/>
  <c r="S11" i="6"/>
  <c r="S28" i="6"/>
  <c r="AH11" i="6"/>
  <c r="AH28" i="6"/>
  <c r="AS10" i="6"/>
  <c r="AC26" i="6"/>
  <c r="AF30" i="6"/>
  <c r="AF35" i="6"/>
  <c r="AK39" i="6"/>
  <c r="V12" i="6"/>
  <c r="V15" i="6"/>
  <c r="V16" i="6"/>
  <c r="AF26" i="6"/>
  <c r="AG30" i="6"/>
  <c r="R35" i="6"/>
  <c r="R48" i="6"/>
  <c r="AI62" i="6"/>
  <c r="AS62" i="6"/>
  <c r="AP9" i="6"/>
  <c r="AR10" i="6"/>
  <c r="AG43" i="6"/>
  <c r="X12" i="6"/>
  <c r="AR23" i="6"/>
  <c r="AT42" i="6"/>
  <c r="AK27" i="6"/>
  <c r="AX4" i="6"/>
  <c r="V11" i="6"/>
  <c r="V28" i="6"/>
  <c r="AS7" i="6"/>
  <c r="Y12" i="6"/>
  <c r="Y33" i="6"/>
  <c r="AZ10" i="6"/>
  <c r="AK26" i="6"/>
  <c r="AQ42" i="6"/>
  <c r="W11" i="6"/>
  <c r="W28" i="6"/>
  <c r="M12" i="6"/>
  <c r="AB12" i="6"/>
  <c r="AS23" i="6"/>
  <c r="O34" i="6"/>
  <c r="O48" i="6"/>
  <c r="AF34" i="6"/>
  <c r="AF48" i="6"/>
  <c r="M84" i="6"/>
  <c r="M21" i="6"/>
  <c r="M22" i="6"/>
  <c r="M81" i="6"/>
  <c r="M86" i="6"/>
  <c r="M46" i="6"/>
  <c r="M47" i="6"/>
  <c r="M85" i="6"/>
  <c r="M31" i="6"/>
  <c r="AT24" i="6"/>
  <c r="N49" i="6"/>
  <c r="AR24" i="6"/>
  <c r="AP24" i="6"/>
  <c r="N39" i="6"/>
  <c r="AQ7" i="6"/>
  <c r="AQ9" i="6"/>
  <c r="R12" i="6"/>
  <c r="R15" i="6"/>
  <c r="R16" i="6"/>
  <c r="Y27" i="6"/>
  <c r="T30" i="6"/>
  <c r="AR7" i="6"/>
  <c r="AY8" i="6"/>
  <c r="AR9" i="6"/>
  <c r="AY10" i="6"/>
  <c r="X26" i="6"/>
  <c r="S26" i="6"/>
  <c r="AR37" i="6"/>
  <c r="AQ37" i="6"/>
  <c r="M30" i="6"/>
  <c r="AP37" i="6"/>
  <c r="AZ37" i="6"/>
  <c r="AB30" i="6"/>
  <c r="AB32" i="6"/>
  <c r="AY37" i="6"/>
  <c r="AH39" i="6"/>
  <c r="Y43" i="6"/>
  <c r="AC43" i="6"/>
  <c r="AP45" i="6"/>
  <c r="AJ43" i="5"/>
  <c r="O36" i="4"/>
  <c r="O25" i="4"/>
  <c r="O26" i="4"/>
  <c r="O28" i="4"/>
  <c r="AY41" i="6"/>
  <c r="AS41" i="6"/>
  <c r="AR41" i="6"/>
  <c r="AQ41" i="6"/>
  <c r="AT7" i="6"/>
  <c r="AT9" i="6"/>
  <c r="M11" i="6"/>
  <c r="AB34" i="6"/>
  <c r="AB48" i="6"/>
  <c r="M39" i="6"/>
  <c r="AZ41" i="6"/>
  <c r="AP59" i="6"/>
  <c r="AP61" i="6"/>
  <c r="AS64" i="6"/>
  <c r="AR64" i="6"/>
  <c r="AQ64" i="6"/>
  <c r="V16" i="5"/>
  <c r="AF13" i="5"/>
  <c r="AE13" i="5"/>
  <c r="AD13" i="5"/>
  <c r="AI13" i="5"/>
  <c r="AC13" i="5"/>
  <c r="AB13" i="5"/>
  <c r="AI19" i="5"/>
  <c r="AJ34" i="5"/>
  <c r="AI34" i="5"/>
  <c r="AG34" i="5"/>
  <c r="AI38" i="5"/>
  <c r="AG38" i="5"/>
  <c r="U22" i="4"/>
  <c r="S26" i="4"/>
  <c r="S28" i="4"/>
  <c r="P36" i="4"/>
  <c r="AF42" i="5"/>
  <c r="AE42" i="5"/>
  <c r="AQ61" i="6"/>
  <c r="AI19" i="6"/>
  <c r="AY19" i="6"/>
  <c r="Y28" i="6"/>
  <c r="O39" i="6"/>
  <c r="AR42" i="6"/>
  <c r="AZ42" i="6"/>
  <c r="AY42" i="6"/>
  <c r="M43" i="6"/>
  <c r="AZ45" i="6"/>
  <c r="AR59" i="6"/>
  <c r="AS61" i="6"/>
  <c r="AT64" i="6"/>
  <c r="AJ4" i="5"/>
  <c r="AG4" i="5"/>
  <c r="Y42" i="5"/>
  <c r="AC42" i="5"/>
  <c r="Y18" i="5"/>
  <c r="Y26" i="5"/>
  <c r="M23" i="4"/>
  <c r="U32" i="4"/>
  <c r="O39" i="4"/>
  <c r="AQ59" i="6"/>
  <c r="M40" i="4"/>
  <c r="M15" i="4"/>
  <c r="AU5" i="6"/>
  <c r="AP8" i="6"/>
  <c r="AP10" i="6"/>
  <c r="AQ8" i="6"/>
  <c r="AQ10" i="6"/>
  <c r="AW10" i="6"/>
  <c r="AU18" i="6"/>
  <c r="T27" i="6"/>
  <c r="M28" i="6"/>
  <c r="AQ23" i="6"/>
  <c r="AW23" i="6"/>
  <c r="AP23" i="6"/>
  <c r="AZ23" i="6"/>
  <c r="T39" i="6"/>
  <c r="AI39" i="6"/>
  <c r="S39" i="6"/>
  <c r="N48" i="6"/>
  <c r="AC48" i="6"/>
  <c r="AS48" i="6"/>
  <c r="AY45" i="6"/>
  <c r="AT59" i="6"/>
  <c r="N22" i="4"/>
  <c r="N23" i="4"/>
  <c r="O23" i="4"/>
  <c r="X28" i="6"/>
  <c r="AY23" i="6"/>
  <c r="O43" i="6"/>
  <c r="AZ7" i="6"/>
  <c r="T26" i="6"/>
  <c r="AQ24" i="6"/>
  <c r="AS24" i="6"/>
  <c r="AY24" i="6"/>
  <c r="Y35" i="6"/>
  <c r="AK43" i="6"/>
  <c r="AI3" i="5"/>
  <c r="AG3" i="5"/>
  <c r="AG6" i="5"/>
  <c r="AL9" i="5"/>
  <c r="P26" i="4"/>
  <c r="AQ38" i="6"/>
  <c r="AY38" i="6"/>
  <c r="AS38" i="6"/>
  <c r="AF23" i="5"/>
  <c r="AE23" i="5"/>
  <c r="AD23" i="5"/>
  <c r="AI23" i="5"/>
  <c r="AC23" i="5"/>
  <c r="AS8" i="6"/>
  <c r="AZ9" i="6"/>
  <c r="AT8" i="6"/>
  <c r="AZ24" i="6"/>
  <c r="V39" i="6"/>
  <c r="AS37" i="6"/>
  <c r="Y39" i="6"/>
  <c r="AJ3" i="5"/>
  <c r="AK9" i="5"/>
  <c r="AF9" i="5"/>
  <c r="AE9" i="5"/>
  <c r="AD9" i="5"/>
  <c r="AC9" i="5"/>
  <c r="AB9" i="5"/>
  <c r="AJ11" i="5"/>
  <c r="AI11" i="5"/>
  <c r="AG11" i="5"/>
  <c r="W23" i="5"/>
  <c r="AB23" i="5"/>
  <c r="AL22" i="5"/>
  <c r="AB42" i="5"/>
  <c r="R26" i="4"/>
  <c r="R40" i="4"/>
  <c r="R15" i="4"/>
  <c r="O22" i="4"/>
  <c r="P21" i="4"/>
  <c r="Q23" i="4"/>
  <c r="M32" i="4"/>
  <c r="AJ27" i="5"/>
  <c r="AG27" i="5"/>
  <c r="AY7" i="6"/>
  <c r="AY9" i="6"/>
  <c r="AT37" i="6"/>
  <c r="V34" i="6"/>
  <c r="AP38" i="6"/>
  <c r="V30" i="6"/>
  <c r="V32" i="6"/>
  <c r="AP41" i="6"/>
  <c r="AI48" i="6"/>
  <c r="AJ6" i="5"/>
  <c r="AK27" i="5"/>
  <c r="AG37" i="5"/>
  <c r="N26" i="4"/>
  <c r="N28" i="4"/>
  <c r="T39" i="4"/>
  <c r="N27" i="6"/>
  <c r="O14" i="6"/>
  <c r="AT14" i="6"/>
  <c r="N26" i="6"/>
  <c r="X39" i="6"/>
  <c r="AR38" i="6"/>
  <c r="AC39" i="6"/>
  <c r="W43" i="6"/>
  <c r="AT41" i="6"/>
  <c r="V43" i="6"/>
  <c r="AI5" i="5"/>
  <c r="T40" i="4"/>
  <c r="T15" i="4"/>
  <c r="Q22" i="4"/>
  <c r="T26" i="4"/>
  <c r="T28" i="4"/>
  <c r="P27" i="4"/>
  <c r="P39" i="4"/>
  <c r="U40" i="4"/>
  <c r="AT38" i="6"/>
  <c r="AR61" i="6"/>
  <c r="AL23" i="5"/>
  <c r="AK23" i="5"/>
  <c r="AI43" i="5"/>
  <c r="AG43" i="5"/>
  <c r="AT61" i="6"/>
  <c r="AK13" i="5"/>
  <c r="AK15" i="5"/>
  <c r="N18" i="5"/>
  <c r="AB20" i="5"/>
  <c r="AC25" i="5"/>
  <c r="R26" i="5"/>
  <c r="AJ30" i="5"/>
  <c r="Z32" i="5"/>
  <c r="AJ36" i="5"/>
  <c r="AC37" i="5"/>
  <c r="AI37" i="5"/>
  <c r="AG39" i="5"/>
  <c r="AJ40" i="5"/>
  <c r="N42" i="5"/>
  <c r="U25" i="4"/>
  <c r="W40" i="4"/>
  <c r="AI12" i="5"/>
  <c r="AL13" i="5"/>
  <c r="AB14" i="5"/>
  <c r="AL15" i="5"/>
  <c r="AC20" i="5"/>
  <c r="X23" i="5"/>
  <c r="AD25" i="5"/>
  <c r="T26" i="5"/>
  <c r="O28" i="5"/>
  <c r="AB32" i="5"/>
  <c r="Z41" i="5"/>
  <c r="AC41" i="5"/>
  <c r="U39" i="4"/>
  <c r="AC14" i="5"/>
  <c r="N16" i="5"/>
  <c r="AD20" i="5"/>
  <c r="AE25" i="5"/>
  <c r="U26" i="5"/>
  <c r="AB27" i="5"/>
  <c r="AC32" i="5"/>
  <c r="W25" i="4"/>
  <c r="AR45" i="6"/>
  <c r="AD14" i="5"/>
  <c r="AI14" i="5"/>
  <c r="R18" i="5"/>
  <c r="AG19" i="5"/>
  <c r="AE20" i="5"/>
  <c r="AG21" i="5"/>
  <c r="W22" i="5"/>
  <c r="AK22" i="5"/>
  <c r="AF25" i="5"/>
  <c r="V26" i="5"/>
  <c r="AD32" i="5"/>
  <c r="AI32" i="5"/>
  <c r="R42" i="5"/>
  <c r="V36" i="4"/>
  <c r="N40" i="4"/>
  <c r="AS45" i="6"/>
  <c r="AE14" i="5"/>
  <c r="Q16" i="5"/>
  <c r="T18" i="5"/>
  <c r="AF20" i="5"/>
  <c r="W26" i="5"/>
  <c r="AD27" i="5"/>
  <c r="AI27" i="5"/>
  <c r="AE32" i="5"/>
  <c r="Q15" i="4"/>
  <c r="M25" i="4"/>
  <c r="P28" i="4"/>
  <c r="S32" i="4"/>
  <c r="O40" i="4"/>
  <c r="AT45" i="6"/>
  <c r="AF14" i="5"/>
  <c r="R16" i="5"/>
  <c r="U18" i="5"/>
  <c r="U42" i="5"/>
  <c r="P40" i="4"/>
  <c r="V18" i="5"/>
  <c r="V28" i="5"/>
  <c r="R41" i="5"/>
  <c r="AK25" i="5"/>
  <c r="AK20" i="5"/>
  <c r="Z18" i="5"/>
  <c r="AQ48" i="6"/>
  <c r="AR48" i="6"/>
  <c r="AV49" i="6"/>
  <c r="N33" i="6"/>
  <c r="AG33" i="6"/>
  <c r="AH35" i="6"/>
  <c r="AB35" i="6"/>
  <c r="AC35" i="6"/>
  <c r="AW9" i="6"/>
  <c r="AC27" i="6"/>
  <c r="Y17" i="6"/>
  <c r="AG27" i="6"/>
  <c r="AI35" i="6"/>
  <c r="N17" i="6"/>
  <c r="AF33" i="6"/>
  <c r="AW37" i="6"/>
  <c r="AW7" i="6"/>
  <c r="AB17" i="6"/>
  <c r="AB15" i="6"/>
  <c r="AB16" i="6"/>
  <c r="M17" i="6"/>
  <c r="M15" i="6"/>
  <c r="M16" i="6"/>
  <c r="AH15" i="6"/>
  <c r="AH16" i="6"/>
  <c r="M49" i="6"/>
  <c r="AF17" i="6"/>
  <c r="AF15" i="6"/>
  <c r="AF16" i="6"/>
  <c r="W27" i="6"/>
  <c r="AW42" i="6"/>
  <c r="O15" i="6"/>
  <c r="O16" i="6"/>
  <c r="AK15" i="6"/>
  <c r="AK16" i="6"/>
  <c r="X17" i="6"/>
  <c r="X15" i="6"/>
  <c r="X16" i="6"/>
  <c r="AW24" i="6"/>
  <c r="S35" i="6"/>
  <c r="T17" i="6"/>
  <c r="AF32" i="6"/>
  <c r="AW8" i="6"/>
  <c r="S17" i="6"/>
  <c r="S15" i="6"/>
  <c r="S16" i="6"/>
  <c r="AC17" i="6"/>
  <c r="AC15" i="6"/>
  <c r="AC16" i="6"/>
  <c r="AK33" i="6"/>
  <c r="AW38" i="6"/>
  <c r="AZ14" i="6"/>
  <c r="AW41" i="6"/>
  <c r="Y15" i="6"/>
  <c r="Y16" i="6"/>
  <c r="AI17" i="6"/>
  <c r="AI15" i="6"/>
  <c r="AI16" i="6"/>
  <c r="X33" i="6"/>
  <c r="AG17" i="6"/>
  <c r="AG15" i="6"/>
  <c r="AG16" i="6"/>
  <c r="AW45" i="6"/>
  <c r="AH33" i="6"/>
  <c r="O27" i="6"/>
  <c r="M32" i="6"/>
  <c r="AH17" i="6"/>
  <c r="AI33" i="6"/>
  <c r="S33" i="6"/>
  <c r="AB33" i="6"/>
  <c r="T33" i="6"/>
  <c r="T32" i="6"/>
  <c r="O32" i="6"/>
  <c r="AK35" i="6"/>
  <c r="AK32" i="6"/>
  <c r="AG35" i="6"/>
  <c r="AG32" i="6"/>
  <c r="W35" i="6"/>
  <c r="W32" i="6"/>
  <c r="AR29" i="6"/>
  <c r="AT29" i="6"/>
  <c r="AS29" i="6"/>
  <c r="AX23" i="6"/>
  <c r="AQ29" i="6"/>
  <c r="AW29" i="6"/>
  <c r="M82" i="6"/>
  <c r="AU10" i="6"/>
  <c r="AX10" i="6"/>
  <c r="AK17" i="6"/>
  <c r="AF27" i="6"/>
  <c r="AH27" i="6"/>
  <c r="AT12" i="6"/>
  <c r="O33" i="6"/>
  <c r="AS12" i="6"/>
  <c r="W33" i="6"/>
  <c r="AC33" i="6"/>
  <c r="V17" i="6"/>
  <c r="AZ12" i="6"/>
  <c r="S27" i="6"/>
  <c r="V33" i="6"/>
  <c r="V35" i="6"/>
  <c r="AX9" i="6"/>
  <c r="AT34" i="6"/>
  <c r="AI20" i="6"/>
  <c r="AQ20" i="6"/>
  <c r="AX42" i="6"/>
  <c r="AR12" i="6"/>
  <c r="AB28" i="6"/>
  <c r="AT28" i="6"/>
  <c r="T35" i="6"/>
  <c r="AT62" i="6"/>
  <c r="AP62" i="6"/>
  <c r="AQ62" i="6"/>
  <c r="AR62" i="6"/>
  <c r="V27" i="6"/>
  <c r="AU9" i="6"/>
  <c r="AC28" i="5"/>
  <c r="AB28" i="5"/>
  <c r="AF28" i="5"/>
  <c r="AE28" i="5"/>
  <c r="AD28" i="5"/>
  <c r="AI9" i="5"/>
  <c r="AF41" i="5"/>
  <c r="AL42" i="5"/>
  <c r="AK42" i="5"/>
  <c r="W26" i="4"/>
  <c r="W28" i="4"/>
  <c r="AS19" i="6"/>
  <c r="AE22" i="5"/>
  <c r="AX38" i="6"/>
  <c r="AU38" i="6"/>
  <c r="AY43" i="6"/>
  <c r="AS43" i="6"/>
  <c r="AR43" i="6"/>
  <c r="AQ43" i="6"/>
  <c r="AZ43" i="6"/>
  <c r="AT43" i="6"/>
  <c r="AP43" i="6"/>
  <c r="AD42" i="5"/>
  <c r="AI42" i="5"/>
  <c r="AT19" i="6"/>
  <c r="AR34" i="6"/>
  <c r="AD26" i="5"/>
  <c r="AC26" i="5"/>
  <c r="AB26" i="5"/>
  <c r="AF26" i="5"/>
  <c r="AE26" i="5"/>
  <c r="AU41" i="6"/>
  <c r="AX41" i="6"/>
  <c r="AQ19" i="6"/>
  <c r="AW19" i="6"/>
  <c r="AU8" i="6"/>
  <c r="AX8" i="6"/>
  <c r="AK28" i="5"/>
  <c r="AC22" i="5"/>
  <c r="AB22" i="5"/>
  <c r="AF22" i="5"/>
  <c r="AI20" i="5"/>
  <c r="AL26" i="5"/>
  <c r="AK26" i="5"/>
  <c r="AL28" i="5"/>
  <c r="AR19" i="6"/>
  <c r="AQ12" i="6"/>
  <c r="AK41" i="5"/>
  <c r="AL41" i="5"/>
  <c r="AL16" i="5"/>
  <c r="AK16" i="5"/>
  <c r="AX24" i="6"/>
  <c r="AU24" i="6"/>
  <c r="AG42" i="5"/>
  <c r="AU23" i="6"/>
  <c r="AD22" i="5"/>
  <c r="AI22" i="5"/>
  <c r="AP19" i="6"/>
  <c r="AR39" i="6"/>
  <c r="AQ39" i="6"/>
  <c r="AW39" i="6"/>
  <c r="AP39" i="6"/>
  <c r="AZ39" i="6"/>
  <c r="AY39" i="6"/>
  <c r="AS39" i="6"/>
  <c r="AT39" i="6"/>
  <c r="AP34" i="6"/>
  <c r="AJ25" i="5"/>
  <c r="AG25" i="5"/>
  <c r="AQ14" i="6"/>
  <c r="AS14" i="6"/>
  <c r="AY14" i="6"/>
  <c r="AR14" i="6"/>
  <c r="O26" i="6"/>
  <c r="R17" i="6"/>
  <c r="R33" i="6"/>
  <c r="AJ14" i="5"/>
  <c r="AG14" i="5"/>
  <c r="AJ20" i="5"/>
  <c r="AG20" i="5"/>
  <c r="AP14" i="6"/>
  <c r="AP12" i="6"/>
  <c r="AX37" i="6"/>
  <c r="AU37" i="6"/>
  <c r="AU7" i="6"/>
  <c r="AY34" i="6"/>
  <c r="AL18" i="5"/>
  <c r="AK18" i="5"/>
  <c r="AI27" i="6"/>
  <c r="AZ19" i="6"/>
  <c r="AG13" i="5"/>
  <c r="AJ13" i="5"/>
  <c r="M33" i="6"/>
  <c r="AT30" i="6"/>
  <c r="AS30" i="6"/>
  <c r="AP30" i="6"/>
  <c r="M35" i="6"/>
  <c r="AR30" i="6"/>
  <c r="AQ30" i="6"/>
  <c r="AZ30" i="6"/>
  <c r="AY30" i="6"/>
  <c r="AZ34" i="6"/>
  <c r="AG23" i="5"/>
  <c r="AJ23" i="5"/>
  <c r="AB41" i="5"/>
  <c r="AP11" i="6"/>
  <c r="AY11" i="6"/>
  <c r="AZ11" i="6"/>
  <c r="M27" i="6"/>
  <c r="AT11" i="6"/>
  <c r="AS11" i="6"/>
  <c r="AR11" i="6"/>
  <c r="AQ11" i="6"/>
  <c r="AE41" i="5"/>
  <c r="AY12" i="6"/>
  <c r="AT48" i="6"/>
  <c r="M26" i="4"/>
  <c r="M28" i="4"/>
  <c r="AJ9" i="5"/>
  <c r="AG9" i="5"/>
  <c r="AZ28" i="6"/>
  <c r="AQ34" i="6"/>
  <c r="U28" i="4"/>
  <c r="U26" i="4"/>
  <c r="AF16" i="5"/>
  <c r="AE16" i="5"/>
  <c r="AD16" i="5"/>
  <c r="AC16" i="5"/>
  <c r="AB16" i="5"/>
  <c r="AD41" i="5"/>
  <c r="AI41" i="5"/>
  <c r="AX45" i="6"/>
  <c r="AU45" i="6"/>
  <c r="AF18" i="5"/>
  <c r="AE18" i="5"/>
  <c r="AD18" i="5"/>
  <c r="AC18" i="5"/>
  <c r="AB18" i="5"/>
  <c r="O17" i="6"/>
  <c r="V48" i="6"/>
  <c r="AS34" i="6"/>
  <c r="AJ32" i="5"/>
  <c r="AG32" i="5"/>
  <c r="AI25" i="5"/>
  <c r="AU42" i="6"/>
  <c r="AX7" i="6"/>
  <c r="AY48" i="6"/>
  <c r="AW43" i="6"/>
  <c r="AP28" i="6"/>
  <c r="AQ28" i="6"/>
  <c r="AR28" i="6"/>
  <c r="AX28" i="6"/>
  <c r="AW12" i="6"/>
  <c r="AP48" i="6"/>
  <c r="AW11" i="6"/>
  <c r="AW30" i="6"/>
  <c r="AY28" i="6"/>
  <c r="AZ27" i="6"/>
  <c r="AY27" i="6"/>
  <c r="AT27" i="6"/>
  <c r="AS27" i="6"/>
  <c r="AR27" i="6"/>
  <c r="AQ27" i="6"/>
  <c r="AP27" i="6"/>
  <c r="AW34" i="6"/>
  <c r="AZ48" i="6"/>
  <c r="AW14" i="6"/>
  <c r="AS28" i="6"/>
  <c r="AP17" i="6"/>
  <c r="AS20" i="6"/>
  <c r="AI22" i="6"/>
  <c r="AR20" i="6"/>
  <c r="AW20" i="6"/>
  <c r="AX12" i="6"/>
  <c r="AY17" i="6"/>
  <c r="AT17" i="6"/>
  <c r="AS17" i="6"/>
  <c r="AZ20" i="6"/>
  <c r="AR17" i="6"/>
  <c r="AZ17" i="6"/>
  <c r="AQ17" i="6"/>
  <c r="AW17" i="6"/>
  <c r="AU12" i="6"/>
  <c r="AI26" i="6"/>
  <c r="AQ26" i="6"/>
  <c r="AP20" i="6"/>
  <c r="AT20" i="6"/>
  <c r="AY20" i="6"/>
  <c r="AZ49" i="6"/>
  <c r="AQ35" i="6"/>
  <c r="AP35" i="6"/>
  <c r="AY35" i="6"/>
  <c r="AZ35" i="6"/>
  <c r="AT35" i="6"/>
  <c r="AR35" i="6"/>
  <c r="AS35" i="6"/>
  <c r="AX39" i="6"/>
  <c r="AU39" i="6"/>
  <c r="AJ16" i="5"/>
  <c r="AG16" i="5"/>
  <c r="AU30" i="6"/>
  <c r="AX30" i="6"/>
  <c r="AJ41" i="5"/>
  <c r="AG41" i="5"/>
  <c r="AX34" i="6"/>
  <c r="AU34" i="6"/>
  <c r="AU14" i="6"/>
  <c r="AX14" i="6"/>
  <c r="AJ26" i="5"/>
  <c r="AG26" i="5"/>
  <c r="AJ18" i="5"/>
  <c r="AG18" i="5"/>
  <c r="AJ42" i="5"/>
  <c r="AQ33" i="6"/>
  <c r="AP33" i="6"/>
  <c r="AY33" i="6"/>
  <c r="AZ33" i="6"/>
  <c r="AT33" i="6"/>
  <c r="AS33" i="6"/>
  <c r="AR33" i="6"/>
  <c r="AI18" i="5"/>
  <c r="AU11" i="6"/>
  <c r="AX11" i="6"/>
  <c r="AX43" i="6"/>
  <c r="AU43" i="6"/>
  <c r="AI28" i="5"/>
  <c r="AJ28" i="5"/>
  <c r="AG28" i="5"/>
  <c r="AI26" i="5"/>
  <c r="AY49" i="6"/>
  <c r="AJ22" i="5"/>
  <c r="AG22" i="5"/>
  <c r="AU19" i="6"/>
  <c r="AX19" i="6"/>
  <c r="AI16" i="5"/>
  <c r="AW48" i="6"/>
  <c r="AU28" i="6"/>
  <c r="AW28" i="6"/>
  <c r="AW49" i="6"/>
  <c r="AW33" i="6"/>
  <c r="AW27" i="6"/>
  <c r="AX48" i="6"/>
  <c r="AU48" i="6"/>
  <c r="AW35" i="6"/>
  <c r="AV17" i="6"/>
  <c r="AV27" i="6"/>
  <c r="AX27" i="6"/>
  <c r="AU27" i="6"/>
  <c r="AX20" i="6"/>
  <c r="AU20" i="6"/>
  <c r="AT26" i="6"/>
  <c r="AX17" i="6"/>
  <c r="AU17" i="6"/>
  <c r="AS26" i="6"/>
  <c r="AR26" i="6"/>
  <c r="AW26" i="6"/>
  <c r="AZ26" i="6"/>
  <c r="AY26" i="6"/>
  <c r="AP26" i="6"/>
  <c r="AU49" i="6"/>
  <c r="AX49" i="6"/>
  <c r="AX35" i="6"/>
  <c r="AU35" i="6"/>
  <c r="AX33" i="6"/>
  <c r="AU33" i="6"/>
  <c r="AV26" i="6"/>
  <c r="AU26" i="6"/>
  <c r="AX2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 Martin</author>
    <author>Unknown User</author>
  </authors>
  <commentList>
    <comment ref="AV1" authorId="0" shapeId="0" xr:uid="{00000000-0006-0000-0000-000001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20%意为有50%的概率落在±20%内</t>
        </r>
      </text>
    </comment>
    <comment ref="AW1" authorId="0" shapeId="0" xr:uid="{00000000-0006-0000-0000-000002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20%意为有25%的概率落在P50的-20%~P50内</t>
        </r>
      </text>
    </comment>
    <comment ref="AX1" authorId="0" shapeId="0" xr:uid="{00000000-0006-0000-0000-000003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20%意为有25%的概率落在P50~P50的+20%内</t>
        </r>
      </text>
    </comment>
    <comment ref="AB4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陈勇:</t>
        </r>
        <r>
          <rPr>
            <sz val="9"/>
            <rFont val="宋体"/>
            <family val="3"/>
            <charset val="134"/>
          </rPr>
          <t xml:space="preserve">
部分属于OA1.0，部分属于金融1.8，均值应取1.4
</t>
        </r>
      </text>
    </comment>
    <comment ref="A7" authorId="0" shapeId="0" xr:uid="{00000000-0006-0000-0000-000005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由需求总目录生成，影响总代码行数、总测试用例数、总缺陷数等</t>
        </r>
      </text>
    </comment>
    <comment ref="A8" authorId="0" shapeId="0" xr:uid="{00000000-0006-0000-0000-000006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由迭代需求目录生成，影响工作量、成本。</t>
        </r>
      </text>
    </comment>
    <comment ref="A54" authorId="0" shapeId="0" xr:uid="{00000000-0006-0000-0000-000007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由需求总目录生成，影响总代码行数、总测试用例数、总缺陷数等</t>
        </r>
      </text>
    </comment>
    <comment ref="A55" authorId="0" shapeId="0" xr:uid="{00000000-0006-0000-0000-000008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由迭代需求目录生成，影响工作量、成本。</t>
        </r>
      </text>
    </comment>
    <comment ref="AG64" authorId="0" shapeId="0" xr:uid="{00000000-0006-0000-0000-000009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此处数值有误，原来是减掉</t>
        </r>
        <r>
          <rPr>
            <sz val="9"/>
            <rFont val="Tahoma"/>
            <family val="2"/>
          </rPr>
          <t>P8-1</t>
        </r>
        <r>
          <rPr>
            <sz val="9"/>
            <rFont val="宋体"/>
            <family val="3"/>
            <charset val="134"/>
          </rPr>
          <t>的数据。若未来能找到</t>
        </r>
        <r>
          <rPr>
            <sz val="9"/>
            <rFont val="Tahoma"/>
            <family val="2"/>
          </rPr>
          <t>P8-1</t>
        </r>
        <r>
          <rPr>
            <sz val="9"/>
            <rFont val="宋体"/>
            <family val="3"/>
            <charset val="134"/>
          </rPr>
          <t>的数据，在左侧加入后调整功能即可。若不能找到，可临时改为数据</t>
        </r>
        <r>
          <rPr>
            <sz val="9"/>
            <rFont val="Tahoma"/>
            <family val="2"/>
          </rPr>
          <t>/2</t>
        </r>
        <r>
          <rPr>
            <sz val="9"/>
            <rFont val="宋体"/>
            <family val="3"/>
            <charset val="134"/>
          </rPr>
          <t>，即均匀分摊到两个迭代中。
--YY和P8确认过是363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 Martin</author>
    <author>Unknown User</author>
    <author>印辉</author>
  </authors>
  <commentList>
    <comment ref="AH1" authorId="0" shapeId="0" xr:uid="{00000000-0006-0000-0300-000001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20%意为有50%的概率落在±20%内</t>
        </r>
      </text>
    </comment>
    <comment ref="AI1" authorId="0" shapeId="0" xr:uid="{00000000-0006-0000-0300-000002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20%意为有25%的概率落在P50的-20%~P50内</t>
        </r>
      </text>
    </comment>
    <comment ref="AJ1" authorId="0" shapeId="0" xr:uid="{00000000-0006-0000-0300-000003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20%意为有25%的概率落在P50~P50的+20%内</t>
        </r>
      </text>
    </comment>
    <comment ref="W4" authorId="1" shapeId="0" xr:uid="{00000000-0006-0000-0300-000004000000}">
      <text>
        <r>
          <rPr>
            <b/>
            <sz val="9"/>
            <rFont val="宋体"/>
            <family val="3"/>
            <charset val="134"/>
          </rPr>
          <t>陈勇:</t>
        </r>
        <r>
          <rPr>
            <sz val="9"/>
            <rFont val="宋体"/>
            <family val="3"/>
            <charset val="134"/>
          </rPr>
          <t xml:space="preserve">
部分属于OA1.0，部分属于金融1.8，均值应取1.4
</t>
        </r>
      </text>
    </comment>
    <comment ref="A9" authorId="0" shapeId="0" xr:uid="{00000000-0006-0000-0300-000005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由需求总目录生成，影响总代码行数、总测试用例数、总缺陷数等</t>
        </r>
      </text>
    </comment>
    <comment ref="A10" authorId="0" shapeId="0" xr:uid="{00000000-0006-0000-0300-000006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由迭代需求目录生成，影响工作量、成本。</t>
        </r>
      </text>
    </comment>
    <comment ref="W16" authorId="1" shapeId="0" xr:uid="{00000000-0006-0000-0300-000007000000}">
      <text>
        <r>
          <rPr>
            <b/>
            <sz val="9"/>
            <rFont val="宋体"/>
            <family val="3"/>
            <charset val="134"/>
          </rPr>
          <t>陈勇:</t>
        </r>
        <r>
          <rPr>
            <sz val="9"/>
            <rFont val="宋体"/>
            <family val="3"/>
            <charset val="134"/>
          </rPr>
          <t xml:space="preserve">
数据异常，由功能点数据导致
</t>
        </r>
      </text>
    </comment>
    <comment ref="O18" authorId="2" shapeId="0" xr:uid="{00000000-0006-0000-0300-000008000000}">
      <text>
        <r>
          <rPr>
            <b/>
            <sz val="9"/>
            <rFont val="宋体"/>
            <family val="3"/>
            <charset val="134"/>
          </rPr>
          <t>印辉:</t>
        </r>
        <r>
          <rPr>
            <sz val="9"/>
            <rFont val="宋体"/>
            <family val="3"/>
            <charset val="134"/>
          </rPr>
          <t xml:space="preserve">
测试未完成，一个测试人员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 Martin</author>
    <author>车伟权</author>
  </authors>
  <commentList>
    <comment ref="A7" authorId="0" shapeId="0" xr:uid="{00000000-0006-0000-0400-000001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由需求总目录生成，影响总代码行数、总测试用例数、总缺陷数等</t>
        </r>
      </text>
    </comment>
    <comment ref="A8" authorId="0" shapeId="0" xr:uid="{00000000-0006-0000-0400-000002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由迭代需求目录生成，影响工作量、成本。</t>
        </r>
      </text>
    </comment>
    <comment ref="V9" authorId="1" shapeId="0" xr:uid="{00000000-0006-0000-0400-000003000000}">
      <text>
        <r>
          <rPr>
            <b/>
            <sz val="9"/>
            <rFont val="宋体"/>
            <family val="3"/>
            <charset val="134"/>
          </rPr>
          <t>车伟权: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A45" authorId="0" shapeId="0" xr:uid="{00000000-0006-0000-0400-000004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由需求总目录生成，影响总代码行数、总测试用例数、总缺陷数等</t>
        </r>
      </text>
    </comment>
    <comment ref="A46" authorId="0" shapeId="0" xr:uid="{00000000-0006-0000-0400-000005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由迭代需求目录生成，影响工作量、成本。</t>
        </r>
      </text>
    </comment>
  </commentList>
</comments>
</file>

<file path=xl/sharedStrings.xml><?xml version="1.0" encoding="utf-8"?>
<sst xmlns="http://schemas.openxmlformats.org/spreadsheetml/2006/main" count="713" uniqueCount="252">
  <si>
    <t>度量项\项目</t>
  </si>
  <si>
    <t>符号</t>
  </si>
  <si>
    <t>单位</t>
  </si>
  <si>
    <t>填写</t>
  </si>
  <si>
    <t>P0</t>
  </si>
  <si>
    <t>P10</t>
  </si>
  <si>
    <t>P25</t>
  </si>
  <si>
    <t>P50</t>
  </si>
  <si>
    <t>P75</t>
  </si>
  <si>
    <t>P90</t>
  </si>
  <si>
    <t>P100</t>
  </si>
  <si>
    <t>比较</t>
  </si>
  <si>
    <t>P1-1</t>
  </si>
  <si>
    <t>P1-2</t>
  </si>
  <si>
    <t>P2-1</t>
  </si>
  <si>
    <t>P3-1</t>
  </si>
  <si>
    <t>P3-2</t>
  </si>
  <si>
    <t>P3-3</t>
  </si>
  <si>
    <t>P5-1</t>
  </si>
  <si>
    <t>P5-2</t>
  </si>
  <si>
    <t>P5-3</t>
  </si>
  <si>
    <t>P5-4</t>
  </si>
  <si>
    <t>P6-1（微服务）</t>
  </si>
  <si>
    <t>P6-2（微服务）2</t>
  </si>
  <si>
    <t>P8-2</t>
  </si>
  <si>
    <t>P8-3</t>
  </si>
  <si>
    <t>P8-4</t>
  </si>
  <si>
    <t>P9-1</t>
  </si>
  <si>
    <t>在此之前插入</t>
  </si>
  <si>
    <t>MP10</t>
  </si>
  <si>
    <t>MP25</t>
  </si>
  <si>
    <t>MP50</t>
  </si>
  <si>
    <t>MP75</t>
  </si>
  <si>
    <t>MP90</t>
  </si>
  <si>
    <t>P75-P25
————
P50</t>
  </si>
  <si>
    <t>P75-P25
————
P51*2</t>
  </si>
  <si>
    <t>P50-P25
————
P50</t>
  </si>
  <si>
    <t>P75-P50
————
P50</t>
  </si>
  <si>
    <t>E</t>
  </si>
  <si>
    <t>D</t>
  </si>
  <si>
    <t>类型</t>
  </si>
  <si>
    <t>采集方法/计算公式</t>
  </si>
  <si>
    <t>数据质量</t>
  </si>
  <si>
    <t>应用类型</t>
  </si>
  <si>
    <t>-</t>
  </si>
  <si>
    <t>应用集成</t>
  </si>
  <si>
    <t>管理系统</t>
  </si>
  <si>
    <t>金融全行业</t>
  </si>
  <si>
    <t>金融</t>
  </si>
  <si>
    <t>计算</t>
  </si>
  <si>
    <t>文本</t>
  </si>
  <si>
    <t>应用类型调整因子</t>
  </si>
  <si>
    <t>AOT</t>
  </si>
  <si>
    <t>团队总人数</t>
  </si>
  <si>
    <t>人</t>
  </si>
  <si>
    <t>功能点数据</t>
  </si>
  <si>
    <t>　</t>
  </si>
  <si>
    <t>应用功能点（总静态功能点）</t>
  </si>
  <si>
    <t>UFP</t>
  </si>
  <si>
    <t>累计</t>
  </si>
  <si>
    <t>开发功能点（迭代开发动态）</t>
  </si>
  <si>
    <t>迭代</t>
  </si>
  <si>
    <t>二次开发调整因子（来自估算表）</t>
  </si>
  <si>
    <t>RRA</t>
  </si>
  <si>
    <t>维护调整因子（来自估算表）</t>
  </si>
  <si>
    <t>调整后应用功能点AFP-APP</t>
  </si>
  <si>
    <t>AFP</t>
  </si>
  <si>
    <t>调整后开发功能点AFP-DEV</t>
  </si>
  <si>
    <t>无需改动百分比*1/3+需要优化百分比*2/3+全新开发百分比</t>
  </si>
  <si>
    <t>生产率数据</t>
  </si>
  <si>
    <t>迭代总人天数</t>
  </si>
  <si>
    <t>MD</t>
  </si>
  <si>
    <t>人天</t>
  </si>
  <si>
    <t>迭代生产率</t>
  </si>
  <si>
    <t>AFP/人天</t>
  </si>
  <si>
    <t>指标</t>
  </si>
  <si>
    <t>需求+设计+编码+测试+上线</t>
  </si>
  <si>
    <t>编码数据</t>
  </si>
  <si>
    <t>总代码行数 Java</t>
  </si>
  <si>
    <t>LLOC逻辑代码行</t>
  </si>
  <si>
    <t>(新开发行为个数 + 增强行为个数/2 + 废弃行为个数/4）/行为总数</t>
  </si>
  <si>
    <t>迭代代码行数（新/改）Java</t>
  </si>
  <si>
    <t>总代码行数 VUE</t>
  </si>
  <si>
    <t>迭代代码行数（新/改）VUE</t>
  </si>
  <si>
    <t>编码消耗率 Java+VUE</t>
  </si>
  <si>
    <t>LLOC/人天</t>
  </si>
  <si>
    <t>编码消耗率 Java</t>
  </si>
  <si>
    <t>LLOC/AFP</t>
  </si>
  <si>
    <t>编码消耗率 VUE</t>
  </si>
  <si>
    <t>测试数据</t>
  </si>
  <si>
    <r>
      <rPr>
        <sz val="9"/>
        <color theme="1"/>
        <rFont val="微软雅黑"/>
        <family val="2"/>
        <charset val="134"/>
      </rPr>
      <t>手动+</t>
    </r>
    <r>
      <rPr>
        <sz val="9"/>
        <color rgb="FFFF0000"/>
        <rFont val="微软雅黑"/>
        <family val="2"/>
        <charset val="134"/>
      </rPr>
      <t>自动</t>
    </r>
    <r>
      <rPr>
        <sz val="9"/>
        <color theme="1"/>
        <rFont val="微软雅黑"/>
        <family val="2"/>
        <charset val="134"/>
      </rPr>
      <t>测试用例总数</t>
    </r>
  </si>
  <si>
    <t>TC</t>
  </si>
  <si>
    <t>测试密度</t>
  </si>
  <si>
    <t>TC/AFP</t>
  </si>
  <si>
    <t>测试人天总数</t>
  </si>
  <si>
    <t>TMD测试人天</t>
  </si>
  <si>
    <t>自动化率</t>
  </si>
  <si>
    <t>%</t>
  </si>
  <si>
    <t>手动测试数据</t>
  </si>
  <si>
    <t>手动测试用例数</t>
  </si>
  <si>
    <t>MTC</t>
  </si>
  <si>
    <t>手动测试人天数</t>
  </si>
  <si>
    <t>MTMD测试人天</t>
  </si>
  <si>
    <t>手动测试用例生产率</t>
  </si>
  <si>
    <t>MTC/MTMD</t>
  </si>
  <si>
    <t>自动测试数据</t>
  </si>
  <si>
    <t>自动测试用例数</t>
  </si>
  <si>
    <t>ATC</t>
  </si>
  <si>
    <t>自动测试人天数</t>
  </si>
  <si>
    <t>ATMD测试人天</t>
  </si>
  <si>
    <t>自动测试用例生产率</t>
  </si>
  <si>
    <t>ATC/ATMD</t>
  </si>
  <si>
    <t>测试缺陷数据</t>
  </si>
  <si>
    <t>测试缺陷数</t>
  </si>
  <si>
    <t>D缺陷数</t>
  </si>
  <si>
    <t>测试缺陷发现速度</t>
  </si>
  <si>
    <t>TC/TMD</t>
  </si>
  <si>
    <t>测试缺陷密度</t>
  </si>
  <si>
    <t>D/AFP</t>
  </si>
  <si>
    <t>项目情况备注</t>
  </si>
  <si>
    <t>在下面填入不同项目数据即生成项目横向对比表，填入单个项目不同迭代数据，即生成项目迭代历史表。</t>
  </si>
  <si>
    <t>二次开发调整因子（来自估算表-迭代）</t>
  </si>
  <si>
    <t>维护调整因子（来自估算表-迭代）</t>
  </si>
  <si>
    <t>截止到迭代11所有的投入</t>
  </si>
  <si>
    <t>5月12号</t>
  </si>
  <si>
    <t>6月4号</t>
  </si>
  <si>
    <t>6月29号</t>
  </si>
  <si>
    <t>7月13号</t>
  </si>
  <si>
    <t>版本号</t>
  </si>
  <si>
    <t>批准日期</t>
  </si>
  <si>
    <t>修订说明</t>
  </si>
  <si>
    <t>修订部门</t>
  </si>
  <si>
    <t>V1.0</t>
  </si>
  <si>
    <t>建立初始基线</t>
  </si>
  <si>
    <t>EPG</t>
  </si>
  <si>
    <t>V1.01</t>
  </si>
  <si>
    <t>增加项目性能目标模板页，拷贝至估算表即可。</t>
  </si>
  <si>
    <t>陈勇（咨询师）</t>
  </si>
  <si>
    <t>取值</t>
  </si>
  <si>
    <t>目标 2020-9-9</t>
  </si>
  <si>
    <t>生产率</t>
  </si>
  <si>
    <t>客户合同&gt;1.2；内部研发&gt;0.8</t>
  </si>
  <si>
    <t>编码消耗率</t>
  </si>
  <si>
    <t>客户合同&gt;1.2；客户金融合同&gt;1.5；内部研发&gt;0.5；</t>
  </si>
  <si>
    <t>归一化测试缺陷率</t>
  </si>
  <si>
    <t>客户合同&lt;0.33(P50)；客户金融合同&lt;0.15(P25)；内部研发&lt;0.63(P75)；</t>
  </si>
  <si>
    <t>发布缺陷率</t>
  </si>
  <si>
    <t>?</t>
  </si>
  <si>
    <t>P1.1</t>
  </si>
  <si>
    <t>P1.2</t>
  </si>
  <si>
    <t>P1.3</t>
  </si>
  <si>
    <t>P2.1</t>
  </si>
  <si>
    <t>P2.2</t>
  </si>
  <si>
    <t>P2.3</t>
  </si>
  <si>
    <t>P3.1</t>
  </si>
  <si>
    <t>P3.2</t>
  </si>
  <si>
    <t>P3.3</t>
  </si>
  <si>
    <t>P5（累计数据）</t>
  </si>
  <si>
    <t>P6（微服务）</t>
  </si>
  <si>
    <t>P8
V202001.02.000</t>
  </si>
  <si>
    <t>P8
V202002.00.000</t>
  </si>
  <si>
    <t>P8
V202002.01.000</t>
  </si>
  <si>
    <t>销售</t>
  </si>
  <si>
    <t>项目类型</t>
  </si>
  <si>
    <t>平台</t>
  </si>
  <si>
    <t>开发类型</t>
  </si>
  <si>
    <t>重构</t>
  </si>
  <si>
    <t>二次开发复用因子（仅应用功能点）</t>
  </si>
  <si>
    <t>名义生产率</t>
  </si>
  <si>
    <t>需求维护因子</t>
  </si>
  <si>
    <t>实际生产率</t>
  </si>
  <si>
    <t>总代码行数</t>
  </si>
  <si>
    <t>迭代代码行数（新/改，不含删）</t>
  </si>
  <si>
    <t>编码生产率</t>
  </si>
  <si>
    <t>手动+测试用例总数</t>
  </si>
  <si>
    <t>测试密度总数</t>
  </si>
  <si>
    <t>手动测试效率</t>
  </si>
  <si>
    <t>MTCT/MTDM</t>
  </si>
  <si>
    <t>？</t>
  </si>
  <si>
    <t>自动测试效率</t>
  </si>
  <si>
    <t>ATCT/ATDM</t>
  </si>
  <si>
    <t>1.测试未完成，测试用例较少
2.根据迭代版本更新第二次迭代测试数据</t>
  </si>
  <si>
    <t>代码消耗率高，存在较长函数，需要优化</t>
  </si>
  <si>
    <t>上次迭代的bug数更新。---已完成
本次迭代功能点数</t>
  </si>
  <si>
    <t>1.迭代人天未包含测试人天
2.更新上个迭代天数---已更新</t>
  </si>
  <si>
    <t>需求功能点</t>
  </si>
  <si>
    <t>本次迭代7.18，下次迭代8.14</t>
  </si>
  <si>
    <t>迭代1</t>
  </si>
  <si>
    <t>迭代2</t>
  </si>
  <si>
    <t>迭代3</t>
  </si>
  <si>
    <t>迭代4</t>
  </si>
  <si>
    <t>迭代5</t>
  </si>
  <si>
    <t>迭代6</t>
  </si>
  <si>
    <t>迭代7</t>
  </si>
  <si>
    <t>迭代8</t>
  </si>
  <si>
    <t>迭代9</t>
  </si>
  <si>
    <t>迭代10</t>
  </si>
  <si>
    <t>迭代11</t>
  </si>
  <si>
    <t>0</t>
  </si>
  <si>
    <t>编码生产率 Java+VUE</t>
  </si>
  <si>
    <t xml:space="preserve"> </t>
  </si>
  <si>
    <t>P0-P10</t>
  </si>
  <si>
    <t>P10-P25</t>
  </si>
  <si>
    <t>P25-P50</t>
  </si>
  <si>
    <t>P50-P75</t>
  </si>
  <si>
    <t>P75-P90</t>
  </si>
  <si>
    <t>P90-P100</t>
  </si>
  <si>
    <t>问卷调查</t>
  </si>
  <si>
    <t>OA</t>
  </si>
  <si>
    <t>V1.02</t>
  </si>
  <si>
    <t>增加计划于实际的对比，填报位置位于原始数据填报的下面。</t>
  </si>
  <si>
    <t>填报日期</t>
  </si>
  <si>
    <t>从计划文档中“组织基线估算-中期估算”将对应迭代的估算数据数值拷贝到此处</t>
  </si>
  <si>
    <t>实体/行为数</t>
  </si>
  <si>
    <t>未调整功能点数UFP</t>
  </si>
  <si>
    <t>工作量（人天）</t>
  </si>
  <si>
    <t>工期（月）</t>
  </si>
  <si>
    <t>成本（RMB）</t>
  </si>
  <si>
    <t>逻辑代码行（LLOC）</t>
  </si>
  <si>
    <t>合理测试用例数</t>
  </si>
  <si>
    <t>发布一个月后缺陷数</t>
  </si>
  <si>
    <t>迭代总人天数（计划）</t>
  </si>
  <si>
    <t>代码行数（计划）</t>
  </si>
  <si>
    <t>人天：（实际-计划）/计划 * 100%</t>
  </si>
  <si>
    <t>代码：（实际-计划）/计划 * 100%</t>
  </si>
  <si>
    <t>测试用例数（计划）</t>
  </si>
  <si>
    <t>用例：（实际-计划）/计划 * 100%</t>
  </si>
  <si>
    <t>测试缺陷数（计划）</t>
  </si>
  <si>
    <t>测试缺陷：（实际-计划）/计划 * 100%</t>
  </si>
  <si>
    <t>P2-2</t>
  </si>
  <si>
    <t>P2-3</t>
  </si>
  <si>
    <t>P3-4</t>
  </si>
  <si>
    <t>P5-5</t>
  </si>
  <si>
    <t>P5-6</t>
  </si>
  <si>
    <t>7月27号</t>
  </si>
  <si>
    <t>P6-2（微服务）3</t>
  </si>
  <si>
    <t>P6-2（微服务）4</t>
  </si>
  <si>
    <t>7月31号（新增8，修改95 ）</t>
  </si>
  <si>
    <t>8月25号</t>
  </si>
  <si>
    <t>P8-5</t>
  </si>
  <si>
    <t>P9-2</t>
  </si>
  <si>
    <t>P75-P25
————
P50*2</t>
  </si>
  <si>
    <t>P25-P50
————
P50</t>
  </si>
  <si>
    <t>CCI代码混沌指数</t>
  </si>
  <si>
    <t>迭代结束日期</t>
  </si>
  <si>
    <t>V1.03</t>
  </si>
  <si>
    <t>增加CCI指数填报位置，位于原始数据填报的代码行数据中。</t>
  </si>
  <si>
    <r>
      <rPr>
        <b/>
        <strike/>
        <sz val="9"/>
        <color theme="1"/>
        <rFont val="微软雅黑"/>
        <family val="2"/>
        <charset val="134"/>
      </rPr>
      <t>生产率数据</t>
    </r>
    <r>
      <rPr>
        <b/>
        <sz val="9"/>
        <color theme="1"/>
        <rFont val="微软雅黑"/>
        <family val="2"/>
        <charset val="134"/>
      </rPr>
      <t xml:space="preserve">  KLOC size</t>
    </r>
    <phoneticPr fontId="59" type="noConversion"/>
  </si>
  <si>
    <t xml:space="preserve">                                                                                                                                                             </t>
    <phoneticPr fontId="59" type="noConversion"/>
  </si>
  <si>
    <t>P9-3</t>
  </si>
  <si>
    <t>P9-4</t>
  </si>
  <si>
    <t>P8-1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</si>
</sst>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0_ "/>
    <numFmt numFmtId="166" formatCode="0.00_);[Red]\(0.00\)"/>
    <numFmt numFmtId="167" formatCode="0_);[Red]\(0\)"/>
    <numFmt numFmtId="168" formatCode="_ &quot;￥&quot;* #,##0.00_ ;_ &quot;￥&quot;* \-#,##0.00_ ;_ &quot;￥&quot;* &quot;-&quot;??_ ;_ @_ "/>
    <numFmt numFmtId="169" formatCode="_ [$¥-804]* #,##0.00_ ;_ [$¥-804]* \-#,##0.00_ ;_ [$¥-804]* &quot;-&quot;??_ ;_ @_ "/>
    <numFmt numFmtId="170" formatCode="0.000"/>
    <numFmt numFmtId="171" formatCode="0.000_ "/>
  </numFmts>
  <fonts count="78">
    <font>
      <sz val="11"/>
      <color theme="1"/>
      <name val="Calibri"/>
      <charset val="134"/>
      <scheme val="minor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B050"/>
      <name val="微软雅黑"/>
      <family val="2"/>
      <charset val="134"/>
    </font>
    <font>
      <sz val="9"/>
      <color theme="8"/>
      <name val="微软雅黑"/>
      <family val="2"/>
      <charset val="134"/>
    </font>
    <font>
      <sz val="9"/>
      <name val="微软雅黑"/>
      <family val="2"/>
      <charset val="134"/>
    </font>
    <font>
      <sz val="9"/>
      <color theme="9" tint="-0.249977111117893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9"/>
      <color rgb="FF0070C0"/>
      <name val="微软雅黑"/>
      <family val="2"/>
      <charset val="134"/>
    </font>
    <font>
      <b/>
      <sz val="9"/>
      <color rgb="FF00B050"/>
      <name val="微软雅黑"/>
      <family val="2"/>
      <charset val="134"/>
    </font>
    <font>
      <b/>
      <sz val="9"/>
      <color theme="8"/>
      <name val="微软雅黑"/>
      <family val="2"/>
      <charset val="134"/>
    </font>
    <font>
      <b/>
      <sz val="9"/>
      <name val="微软雅黑"/>
      <family val="2"/>
      <charset val="134"/>
    </font>
    <font>
      <b/>
      <sz val="9"/>
      <color theme="9" tint="-0.249977111117893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Microsoft YaHei"/>
      <charset val="134"/>
    </font>
    <font>
      <b/>
      <sz val="11"/>
      <color theme="1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Microsoft YaHei"/>
      <charset val="134"/>
    </font>
    <font>
      <b/>
      <sz val="11"/>
      <color rgb="FF00B0F0"/>
      <name val="Microsoft YaHei"/>
      <charset val="134"/>
    </font>
    <font>
      <b/>
      <sz val="11"/>
      <color rgb="FF00B0F0"/>
      <name val="Microsoft YaHei"/>
      <charset val="134"/>
    </font>
    <font>
      <sz val="11"/>
      <name val="Microsoft YaHei"/>
      <charset val="134"/>
    </font>
    <font>
      <sz val="11"/>
      <color rgb="FF00B050"/>
      <name val="Microsoft YaHei"/>
      <charset val="134"/>
    </font>
    <font>
      <sz val="11"/>
      <color theme="8"/>
      <name val="Microsoft YaHei"/>
      <charset val="134"/>
    </font>
    <font>
      <sz val="11"/>
      <name val="Microsoft YaHei"/>
      <charset val="134"/>
    </font>
    <font>
      <b/>
      <sz val="11"/>
      <color rgb="FF00B050"/>
      <name val="Microsoft YaHei"/>
      <charset val="134"/>
    </font>
    <font>
      <b/>
      <sz val="11"/>
      <color theme="8"/>
      <name val="Microsoft YaHei"/>
      <charset val="134"/>
    </font>
    <font>
      <b/>
      <sz val="11"/>
      <name val="Microsoft YaHei"/>
      <charset val="134"/>
    </font>
    <font>
      <sz val="11"/>
      <color theme="9" tint="-0.249977111117893"/>
      <name val="Microsoft YaHei"/>
      <charset val="134"/>
    </font>
    <font>
      <sz val="11"/>
      <color rgb="FFFF0000"/>
      <name val="Microsoft YaHei"/>
      <charset val="134"/>
    </font>
    <font>
      <b/>
      <sz val="11"/>
      <color theme="9" tint="-0.249977111117893"/>
      <name val="Microsoft YaHei"/>
      <charset val="134"/>
    </font>
    <font>
      <b/>
      <sz val="11"/>
      <color rgb="FFFF0000"/>
      <name val="Microsoft YaHei"/>
      <charset val="134"/>
    </font>
    <font>
      <sz val="8"/>
      <color theme="1"/>
      <name val="Microsoft YaHei"/>
      <charset val="134"/>
    </font>
    <font>
      <sz val="10"/>
      <color rgb="FFFF0000"/>
      <name val="微软雅黑"/>
      <family val="2"/>
      <charset val="134"/>
    </font>
    <font>
      <b/>
      <sz val="11"/>
      <color rgb="FFFF0000"/>
      <name val="Microsoft YaHei"/>
      <charset val="134"/>
    </font>
    <font>
      <b/>
      <sz val="11"/>
      <color theme="1"/>
      <name val="Microsoft YaHei"/>
      <charset val="134"/>
    </font>
    <font>
      <sz val="11"/>
      <color rgb="FF000000"/>
      <name val="Calibri"/>
      <family val="2"/>
      <scheme val="minor"/>
    </font>
    <font>
      <sz val="11"/>
      <color rgb="FF000000"/>
      <name val="Microsoft YaHei UI"/>
      <family val="2"/>
      <charset val="134"/>
    </font>
    <font>
      <sz val="10.5"/>
      <color theme="1"/>
      <name val="宋体"/>
      <family val="3"/>
      <charset val="134"/>
    </font>
    <font>
      <b/>
      <sz val="11"/>
      <color rgb="FF0070C0"/>
      <name val="Microsoft YaHei"/>
      <charset val="134"/>
    </font>
    <font>
      <b/>
      <sz val="11"/>
      <color theme="4"/>
      <name val="Microsoft YaHei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Tahoma"/>
      <family val="2"/>
    </font>
    <font>
      <b/>
      <sz val="9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rgb="FF7030A0"/>
      <name val="微软雅黑"/>
      <family val="2"/>
      <charset val="134"/>
    </font>
    <font>
      <b/>
      <sz val="11"/>
      <color rgb="FF7030A0"/>
      <name val="Microsoft YaHei"/>
      <charset val="134"/>
    </font>
    <font>
      <b/>
      <sz val="11"/>
      <color rgb="FF7030A0"/>
      <name val="Calibri"/>
      <family val="2"/>
      <scheme val="minor"/>
    </font>
    <font>
      <sz val="9"/>
      <color theme="1"/>
      <name val="微软雅黑"/>
      <family val="2"/>
      <charset val="134"/>
    </font>
    <font>
      <sz val="8"/>
      <name val="Calibri"/>
      <family val="2"/>
      <scheme val="minor"/>
    </font>
    <font>
      <sz val="11"/>
      <color theme="1"/>
      <name val="Microsoft YaHei"/>
      <family val="2"/>
      <charset val="134"/>
    </font>
    <font>
      <sz val="9"/>
      <color theme="1"/>
      <name val="微软雅黑"/>
      <family val="2"/>
      <charset val="134"/>
    </font>
    <font>
      <sz val="11"/>
      <name val="Microsoft YaHei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Calibri"/>
      <family val="3"/>
      <charset val="134"/>
      <scheme val="minor"/>
    </font>
    <font>
      <sz val="9"/>
      <color theme="0" tint="-0.14999847407452621"/>
      <name val="微软雅黑"/>
      <family val="2"/>
      <charset val="134"/>
    </font>
    <font>
      <b/>
      <sz val="9"/>
      <color theme="0" tint="-0.1499984740745262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trike/>
      <sz val="9"/>
      <color theme="1"/>
      <name val="微软雅黑"/>
      <family val="2"/>
      <charset val="134"/>
    </font>
    <font>
      <sz val="11"/>
      <color theme="0" tint="-0.14999847407452621"/>
      <name val="Microsoft YaHei"/>
      <charset val="134"/>
    </font>
    <font>
      <sz val="11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3"/>
      <charset val="134"/>
      <scheme val="minor"/>
    </font>
    <font>
      <b/>
      <sz val="11"/>
      <color theme="0" tint="-0.14999847407452621"/>
      <name val="Microsoft YaHei"/>
      <charset val="134"/>
    </font>
    <font>
      <b/>
      <sz val="11"/>
      <color theme="0" tint="-0.14999847407452621"/>
      <name val="Calibri"/>
      <family val="2"/>
      <scheme val="minor"/>
    </font>
    <font>
      <sz val="8"/>
      <color theme="0" tint="-0.14999847407452621"/>
      <name val="Microsoft YaHei"/>
      <charset val="134"/>
    </font>
    <font>
      <sz val="9"/>
      <color theme="0" tint="-0.249977111117893"/>
      <name val="微软雅黑"/>
      <family val="2"/>
      <charset val="134"/>
    </font>
    <font>
      <b/>
      <sz val="9"/>
      <color theme="0" tint="-0.249977111117893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theme="6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6" tint="0.79982909634693444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6" tint="0.79989013336588644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D9D9D9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3743705557422"/>
        <bgColor theme="0" tint="-0.14993743705557422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8" fillId="0" borderId="0">
      <alignment vertical="center"/>
    </xf>
    <xf numFmtId="168" fontId="16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6" fillId="0" borderId="0"/>
  </cellStyleXfs>
  <cellXfs count="40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0" fontId="1" fillId="2" borderId="3" xfId="0" applyFont="1" applyFill="1" applyBorder="1"/>
    <xf numFmtId="2" fontId="1" fillId="0" borderId="4" xfId="0" applyNumberFormat="1" applyFont="1" applyBorder="1"/>
    <xf numFmtId="2" fontId="1" fillId="0" borderId="5" xfId="0" applyNumberFormat="1" applyFont="1" applyBorder="1"/>
    <xf numFmtId="2" fontId="1" fillId="0" borderId="6" xfId="0" applyNumberFormat="1" applyFont="1" applyBorder="1"/>
    <xf numFmtId="9" fontId="1" fillId="0" borderId="6" xfId="3" applyFont="1" applyFill="1" applyBorder="1" applyAlignment="1"/>
    <xf numFmtId="9" fontId="1" fillId="0" borderId="2" xfId="3" applyFont="1" applyFill="1" applyBorder="1" applyAlignment="1"/>
    <xf numFmtId="2" fontId="1" fillId="0" borderId="7" xfId="0" applyNumberFormat="1" applyFont="1" applyBorder="1"/>
    <xf numFmtId="0" fontId="2" fillId="0" borderId="0" xfId="0" applyFont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167" fontId="2" fillId="0" borderId="8" xfId="0" applyNumberFormat="1" applyFont="1" applyBorder="1" applyAlignment="1">
      <alignment vertical="center" wrapText="1"/>
    </xf>
    <xf numFmtId="9" fontId="2" fillId="0" borderId="9" xfId="3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2" fillId="0" borderId="10" xfId="0" applyFont="1" applyBorder="1" applyAlignment="1" applyProtection="1">
      <alignment vertical="center" wrapText="1"/>
      <protection locked="0"/>
    </xf>
    <xf numFmtId="0" fontId="8" fillId="2" borderId="5" xfId="0" applyFont="1" applyFill="1" applyBorder="1" applyAlignment="1" applyProtection="1">
      <alignment vertical="center" wrapText="1"/>
      <protection locked="0"/>
    </xf>
    <xf numFmtId="0" fontId="8" fillId="2" borderId="10" xfId="0" applyFont="1" applyFill="1" applyBorder="1" applyAlignment="1" applyProtection="1">
      <alignment vertical="center" wrapText="1"/>
      <protection locked="0"/>
    </xf>
    <xf numFmtId="0" fontId="2" fillId="2" borderId="10" xfId="0" applyFont="1" applyFill="1" applyBorder="1" applyAlignment="1" applyProtection="1">
      <alignment vertical="center" wrapText="1"/>
      <protection locked="0"/>
    </xf>
    <xf numFmtId="0" fontId="9" fillId="0" borderId="5" xfId="0" applyFont="1" applyBorder="1" applyAlignment="1" applyProtection="1">
      <alignment vertical="center" wrapText="1"/>
      <protection locked="0"/>
    </xf>
    <xf numFmtId="0" fontId="2" fillId="3" borderId="10" xfId="0" applyFont="1" applyFill="1" applyBorder="1" applyAlignment="1" applyProtection="1">
      <alignment vertical="center" wrapText="1"/>
      <protection locked="0"/>
    </xf>
    <xf numFmtId="0" fontId="7" fillId="0" borderId="5" xfId="0" applyFont="1" applyBorder="1" applyAlignment="1" applyProtection="1">
      <alignment vertical="center" wrapText="1"/>
      <protection locked="0"/>
    </xf>
    <xf numFmtId="0" fontId="7" fillId="0" borderId="10" xfId="0" applyFont="1" applyBorder="1" applyAlignment="1" applyProtection="1">
      <alignment vertical="center" wrapText="1"/>
      <protection locked="0"/>
    </xf>
    <xf numFmtId="0" fontId="10" fillId="0" borderId="5" xfId="0" applyFont="1" applyBorder="1" applyAlignment="1" applyProtection="1">
      <alignment vertical="center" wrapText="1"/>
      <protection locked="0"/>
    </xf>
    <xf numFmtId="0" fontId="9" fillId="0" borderId="10" xfId="0" applyFont="1" applyBorder="1" applyAlignment="1" applyProtection="1">
      <alignment vertical="center" wrapText="1"/>
      <protection locked="0"/>
    </xf>
    <xf numFmtId="167" fontId="2" fillId="0" borderId="5" xfId="0" applyNumberFormat="1" applyFont="1" applyBorder="1" applyAlignment="1" applyProtection="1">
      <alignment vertical="center" wrapText="1"/>
      <protection locked="0"/>
    </xf>
    <xf numFmtId="167" fontId="2" fillId="0" borderId="10" xfId="0" applyNumberFormat="1" applyFont="1" applyBorder="1" applyAlignment="1" applyProtection="1">
      <alignment vertical="center" wrapText="1"/>
      <protection locked="0"/>
    </xf>
    <xf numFmtId="9" fontId="2" fillId="0" borderId="5" xfId="3" applyFont="1" applyFill="1" applyBorder="1" applyAlignment="1" applyProtection="1">
      <alignment vertical="center" wrapText="1"/>
      <protection locked="0"/>
    </xf>
    <xf numFmtId="9" fontId="2" fillId="0" borderId="10" xfId="3" applyFont="1" applyFill="1" applyBorder="1" applyAlignment="1" applyProtection="1">
      <alignment vertical="center" wrapText="1"/>
      <protection locked="0"/>
    </xf>
    <xf numFmtId="0" fontId="8" fillId="0" borderId="5" xfId="0" applyFont="1" applyBorder="1" applyAlignment="1" applyProtection="1">
      <alignment vertical="center" wrapText="1"/>
      <protection locked="0"/>
    </xf>
    <xf numFmtId="0" fontId="8" fillId="0" borderId="10" xfId="0" applyFont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7" fillId="4" borderId="10" xfId="0" applyFont="1" applyFill="1" applyBorder="1" applyAlignment="1" applyProtection="1">
      <alignment vertical="center" wrapText="1"/>
      <protection locked="0"/>
    </xf>
    <xf numFmtId="0" fontId="2" fillId="4" borderId="10" xfId="0" applyFont="1" applyFill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5" fillId="0" borderId="10" xfId="0" applyFont="1" applyBorder="1" applyAlignment="1" applyProtection="1">
      <alignment vertical="center" wrapText="1"/>
      <protection locked="0"/>
    </xf>
    <xf numFmtId="0" fontId="3" fillId="0" borderId="10" xfId="0" applyFont="1" applyBorder="1" applyAlignment="1" applyProtection="1">
      <alignment vertical="center" wrapText="1"/>
      <protection locked="0"/>
    </xf>
    <xf numFmtId="0" fontId="4" fillId="0" borderId="10" xfId="0" applyFont="1" applyBorder="1" applyAlignment="1" applyProtection="1">
      <alignment vertical="center" wrapText="1"/>
      <protection locked="0"/>
    </xf>
    <xf numFmtId="0" fontId="3" fillId="2" borderId="10" xfId="0" applyFont="1" applyFill="1" applyBorder="1" applyAlignment="1" applyProtection="1">
      <alignment vertical="center" wrapText="1"/>
      <protection locked="0"/>
    </xf>
    <xf numFmtId="0" fontId="4" fillId="2" borderId="10" xfId="0" applyFont="1" applyFill="1" applyBorder="1" applyAlignment="1" applyProtection="1">
      <alignment vertical="center" wrapText="1"/>
      <protection locked="0"/>
    </xf>
    <xf numFmtId="2" fontId="11" fillId="0" borderId="10" xfId="1" applyNumberFormat="1" applyFont="1" applyBorder="1" applyAlignment="1" applyProtection="1">
      <alignment horizontal="left" vertical="center" wrapText="1"/>
      <protection locked="0"/>
    </xf>
    <xf numFmtId="2" fontId="12" fillId="0" borderId="10" xfId="1" applyNumberFormat="1" applyFont="1" applyBorder="1" applyAlignment="1" applyProtection="1">
      <alignment horizontal="left" vertical="center" wrapText="1"/>
      <protection locked="0"/>
    </xf>
    <xf numFmtId="2" fontId="13" fillId="0" borderId="10" xfId="1" applyNumberFormat="1" applyFont="1" applyBorder="1" applyAlignment="1" applyProtection="1">
      <alignment horizontal="left" vertical="center" wrapText="1"/>
      <protection locked="0"/>
    </xf>
    <xf numFmtId="0" fontId="11" fillId="0" borderId="10" xfId="1" applyFont="1" applyBorder="1" applyAlignment="1" applyProtection="1">
      <alignment horizontal="left" vertical="center" wrapText="1"/>
      <protection locked="0"/>
    </xf>
    <xf numFmtId="0" fontId="12" fillId="0" borderId="10" xfId="1" applyFont="1" applyBorder="1" applyAlignment="1" applyProtection="1">
      <alignment horizontal="left" vertical="center" wrapText="1"/>
      <protection locked="0"/>
    </xf>
    <xf numFmtId="0" fontId="13" fillId="0" borderId="10" xfId="1" applyFont="1" applyBorder="1" applyAlignment="1" applyProtection="1">
      <alignment horizontal="left" vertical="center" wrapText="1"/>
      <protection locked="0"/>
    </xf>
    <xf numFmtId="167" fontId="5" fillId="0" borderId="10" xfId="0" applyNumberFormat="1" applyFont="1" applyBorder="1" applyAlignment="1" applyProtection="1">
      <alignment vertical="center" wrapText="1"/>
      <protection locked="0"/>
    </xf>
    <xf numFmtId="9" fontId="3" fillId="0" borderId="10" xfId="3" applyFont="1" applyFill="1" applyBorder="1" applyAlignment="1" applyProtection="1">
      <alignment horizontal="left" vertical="center" wrapText="1"/>
      <protection locked="0"/>
    </xf>
    <xf numFmtId="9" fontId="4" fillId="0" borderId="10" xfId="3" applyFont="1" applyFill="1" applyBorder="1" applyAlignment="1" applyProtection="1">
      <alignment horizontal="left" vertical="center" wrapText="1"/>
      <protection locked="0"/>
    </xf>
    <xf numFmtId="9" fontId="5" fillId="0" borderId="10" xfId="3" applyFont="1" applyFill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6" fillId="0" borderId="10" xfId="0" applyFont="1" applyBorder="1" applyAlignment="1" applyProtection="1">
      <alignment vertical="center" wrapText="1"/>
      <protection locked="0"/>
    </xf>
    <xf numFmtId="0" fontId="6" fillId="2" borderId="10" xfId="0" applyFont="1" applyFill="1" applyBorder="1" applyAlignment="1" applyProtection="1">
      <alignment vertical="center" wrapText="1"/>
      <protection locked="0"/>
    </xf>
    <xf numFmtId="0" fontId="7" fillId="2" borderId="10" xfId="0" applyFont="1" applyFill="1" applyBorder="1" applyAlignment="1" applyProtection="1">
      <alignment vertical="center" wrapText="1"/>
      <protection locked="0"/>
    </xf>
    <xf numFmtId="2" fontId="14" fillId="0" borderId="10" xfId="1" applyNumberFormat="1" applyFont="1" applyBorder="1" applyAlignment="1" applyProtection="1">
      <alignment horizontal="left" vertical="center" wrapText="1"/>
      <protection locked="0"/>
    </xf>
    <xf numFmtId="2" fontId="15" fillId="0" borderId="10" xfId="1" applyNumberFormat="1" applyFont="1" applyBorder="1" applyAlignment="1" applyProtection="1">
      <alignment horizontal="left" vertical="center" wrapText="1"/>
      <protection locked="0"/>
    </xf>
    <xf numFmtId="0" fontId="14" fillId="0" borderId="10" xfId="1" applyFont="1" applyBorder="1" applyAlignment="1" applyProtection="1">
      <alignment horizontal="left" vertical="center" wrapText="1"/>
      <protection locked="0"/>
    </xf>
    <xf numFmtId="0" fontId="15" fillId="0" borderId="10" xfId="1" applyFont="1" applyBorder="1" applyAlignment="1" applyProtection="1">
      <alignment horizontal="left" vertical="center" wrapText="1"/>
      <protection locked="0"/>
    </xf>
    <xf numFmtId="0" fontId="3" fillId="0" borderId="10" xfId="1" applyFont="1" applyBorder="1" applyAlignment="1" applyProtection="1">
      <alignment horizontal="left" vertical="center" wrapText="1"/>
      <protection locked="0"/>
    </xf>
    <xf numFmtId="9" fontId="6" fillId="0" borderId="10" xfId="3" applyFont="1" applyFill="1" applyBorder="1" applyAlignment="1" applyProtection="1">
      <alignment horizontal="left" vertical="center" wrapText="1"/>
      <protection locked="0"/>
    </xf>
    <xf numFmtId="9" fontId="7" fillId="0" borderId="10" xfId="3" applyFont="1" applyFill="1" applyBorder="1" applyAlignment="1" applyProtection="1">
      <alignment horizontal="left" vertical="center" wrapText="1"/>
      <protection locked="0"/>
    </xf>
    <xf numFmtId="9" fontId="5" fillId="0" borderId="10" xfId="3" applyFont="1" applyBorder="1" applyAlignment="1" applyProtection="1">
      <alignment horizontal="left" vertical="center" wrapText="1"/>
      <protection locked="0"/>
    </xf>
    <xf numFmtId="0" fontId="5" fillId="0" borderId="10" xfId="1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164" fontId="5" fillId="0" borderId="10" xfId="0" applyNumberFormat="1" applyFont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5" fillId="5" borderId="10" xfId="0" applyFont="1" applyFill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hidden="1"/>
    </xf>
    <xf numFmtId="166" fontId="5" fillId="0" borderId="10" xfId="0" applyNumberFormat="1" applyFont="1" applyBorder="1" applyAlignment="1" applyProtection="1">
      <alignment horizontal="center" vertical="center" wrapText="1"/>
      <protection hidden="1"/>
    </xf>
    <xf numFmtId="166" fontId="13" fillId="0" borderId="10" xfId="0" applyNumberFormat="1" applyFont="1" applyBorder="1" applyAlignment="1" applyProtection="1">
      <alignment horizontal="center" vertical="center" wrapText="1"/>
      <protection hidden="1"/>
    </xf>
    <xf numFmtId="0" fontId="5" fillId="2" borderId="10" xfId="0" applyFont="1" applyFill="1" applyBorder="1" applyAlignment="1" applyProtection="1">
      <alignment horizontal="center" vertical="center" wrapText="1"/>
      <protection hidden="1"/>
    </xf>
    <xf numFmtId="0" fontId="5" fillId="5" borderId="10" xfId="0" applyFont="1" applyFill="1" applyBorder="1" applyAlignment="1" applyProtection="1">
      <alignment horizontal="center" vertical="center" wrapText="1"/>
      <protection hidden="1"/>
    </xf>
    <xf numFmtId="2" fontId="5" fillId="0" borderId="10" xfId="0" applyNumberFormat="1" applyFont="1" applyBorder="1" applyAlignment="1" applyProtection="1">
      <alignment horizontal="center" vertical="center" wrapText="1"/>
      <protection hidden="1"/>
    </xf>
    <xf numFmtId="1" fontId="5" fillId="0" borderId="10" xfId="0" applyNumberFormat="1" applyFont="1" applyBorder="1" applyAlignment="1" applyProtection="1">
      <alignment horizontal="center" vertical="center" wrapText="1"/>
      <protection hidden="1"/>
    </xf>
    <xf numFmtId="9" fontId="5" fillId="0" borderId="10" xfId="3" applyFont="1" applyFill="1" applyBorder="1" applyAlignment="1" applyProtection="1">
      <alignment horizontal="center" vertical="center" wrapText="1"/>
      <protection hidden="1"/>
    </xf>
    <xf numFmtId="2" fontId="5" fillId="0" borderId="10" xfId="0" applyNumberFormat="1" applyFont="1" applyBorder="1" applyAlignment="1" applyProtection="1">
      <alignment vertical="center" wrapText="1"/>
      <protection locked="0"/>
    </xf>
    <xf numFmtId="0" fontId="5" fillId="2" borderId="10" xfId="0" applyFont="1" applyFill="1" applyBorder="1" applyAlignment="1" applyProtection="1">
      <alignment vertical="center" wrapText="1"/>
      <protection locked="0"/>
    </xf>
    <xf numFmtId="0" fontId="5" fillId="5" borderId="10" xfId="0" applyFont="1" applyFill="1" applyBorder="1" applyAlignment="1" applyProtection="1">
      <alignment vertical="center" wrapText="1"/>
      <protection locked="0"/>
    </xf>
    <xf numFmtId="2" fontId="5" fillId="0" borderId="10" xfId="0" applyNumberFormat="1" applyFont="1" applyBorder="1" applyAlignment="1" applyProtection="1">
      <alignment horizontal="center" vertical="center" wrapText="1"/>
      <protection locked="0"/>
    </xf>
    <xf numFmtId="1" fontId="5" fillId="0" borderId="10" xfId="0" applyNumberFormat="1" applyFont="1" applyBorder="1" applyAlignment="1" applyProtection="1">
      <alignment horizontal="center" vertical="center" wrapText="1"/>
      <protection locked="0"/>
    </xf>
    <xf numFmtId="167" fontId="5" fillId="0" borderId="10" xfId="0" applyNumberFormat="1" applyFont="1" applyBorder="1" applyAlignment="1" applyProtection="1">
      <alignment horizontal="center" vertical="center" wrapText="1"/>
      <protection locked="0"/>
    </xf>
    <xf numFmtId="167" fontId="5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5" fillId="6" borderId="10" xfId="0" applyFont="1" applyFill="1" applyBorder="1" applyAlignment="1" applyProtection="1">
      <alignment horizontal="center" vertical="center" wrapText="1"/>
      <protection locked="0"/>
    </xf>
    <xf numFmtId="0" fontId="5" fillId="6" borderId="10" xfId="0" applyFont="1" applyFill="1" applyBorder="1" applyAlignment="1" applyProtection="1">
      <alignment horizontal="center" vertical="center" wrapText="1"/>
      <protection hidden="1"/>
    </xf>
    <xf numFmtId="0" fontId="5" fillId="6" borderId="10" xfId="0" applyFont="1" applyFill="1" applyBorder="1" applyAlignment="1" applyProtection="1">
      <alignment vertical="center" wrapText="1"/>
      <protection locked="0"/>
    </xf>
    <xf numFmtId="0" fontId="2" fillId="0" borderId="11" xfId="0" applyFont="1" applyBorder="1" applyAlignment="1" applyProtection="1">
      <alignment vertical="center" wrapText="1"/>
      <protection locked="0"/>
    </xf>
    <xf numFmtId="0" fontId="16" fillId="0" borderId="0" xfId="4" applyAlignment="1">
      <alignment vertical="center" wrapText="1"/>
    </xf>
    <xf numFmtId="0" fontId="16" fillId="0" borderId="0" xfId="4"/>
    <xf numFmtId="0" fontId="16" fillId="0" borderId="8" xfId="4" applyBorder="1"/>
    <xf numFmtId="0" fontId="17" fillId="0" borderId="9" xfId="4" applyFont="1" applyBorder="1"/>
    <xf numFmtId="167" fontId="16" fillId="0" borderId="8" xfId="4" applyNumberFormat="1" applyBorder="1"/>
    <xf numFmtId="0" fontId="18" fillId="0" borderId="0" xfId="4" applyFont="1"/>
    <xf numFmtId="9" fontId="0" fillId="0" borderId="9" xfId="3" applyFont="1" applyBorder="1" applyAlignment="1"/>
    <xf numFmtId="0" fontId="16" fillId="0" borderId="9" xfId="4" applyBorder="1"/>
    <xf numFmtId="0" fontId="19" fillId="0" borderId="0" xfId="4" applyFont="1"/>
    <xf numFmtId="0" fontId="17" fillId="0" borderId="0" xfId="4" applyFont="1"/>
    <xf numFmtId="0" fontId="16" fillId="0" borderId="0" xfId="4" applyAlignment="1">
      <alignment vertical="center"/>
    </xf>
    <xf numFmtId="0" fontId="20" fillId="0" borderId="0" xfId="4" applyFont="1"/>
    <xf numFmtId="0" fontId="21" fillId="0" borderId="0" xfId="4" applyFont="1"/>
    <xf numFmtId="0" fontId="22" fillId="0" borderId="0" xfId="4" applyFont="1"/>
    <xf numFmtId="0" fontId="23" fillId="0" borderId="0" xfId="4" applyFont="1"/>
    <xf numFmtId="9" fontId="0" fillId="0" borderId="0" xfId="3" applyFont="1" applyAlignment="1"/>
    <xf numFmtId="0" fontId="24" fillId="0" borderId="10" xfId="4" applyFont="1" applyBorder="1" applyAlignment="1">
      <alignment vertical="center" wrapText="1"/>
    </xf>
    <xf numFmtId="0" fontId="24" fillId="0" borderId="10" xfId="4" applyFont="1" applyBorder="1"/>
    <xf numFmtId="0" fontId="25" fillId="7" borderId="10" xfId="4" applyFont="1" applyFill="1" applyBorder="1"/>
    <xf numFmtId="0" fontId="24" fillId="7" borderId="10" xfId="4" applyFont="1" applyFill="1" applyBorder="1"/>
    <xf numFmtId="0" fontId="26" fillId="0" borderId="10" xfId="4" applyFont="1" applyBorder="1"/>
    <xf numFmtId="0" fontId="27" fillId="0" borderId="5" xfId="4" applyFont="1" applyBorder="1"/>
    <xf numFmtId="0" fontId="27" fillId="0" borderId="7" xfId="4" applyFont="1" applyBorder="1"/>
    <xf numFmtId="0" fontId="28" fillId="0" borderId="10" xfId="4" applyFont="1" applyBorder="1"/>
    <xf numFmtId="167" fontId="24" fillId="0" borderId="10" xfId="4" applyNumberFormat="1" applyFont="1" applyBorder="1"/>
    <xf numFmtId="0" fontId="29" fillId="0" borderId="10" xfId="4" applyFont="1" applyBorder="1"/>
    <xf numFmtId="9" fontId="24" fillId="0" borderId="10" xfId="3" applyFont="1" applyFill="1" applyBorder="1" applyAlignment="1"/>
    <xf numFmtId="0" fontId="25" fillId="0" borderId="10" xfId="4" applyFont="1" applyBorder="1"/>
    <xf numFmtId="0" fontId="30" fillId="0" borderId="10" xfId="4" applyFont="1" applyBorder="1"/>
    <xf numFmtId="0" fontId="26" fillId="0" borderId="5" xfId="4" applyFont="1" applyBorder="1" applyAlignment="1">
      <alignment vertical="center"/>
    </xf>
    <xf numFmtId="0" fontId="24" fillId="0" borderId="7" xfId="4" applyFont="1" applyBorder="1" applyAlignment="1">
      <alignment vertical="center"/>
    </xf>
    <xf numFmtId="0" fontId="31" fillId="0" borderId="10" xfId="4" applyFont="1" applyBorder="1" applyAlignment="1">
      <alignment vertical="center" wrapText="1"/>
    </xf>
    <xf numFmtId="0" fontId="32" fillId="0" borderId="10" xfId="4" applyFont="1" applyBorder="1" applyAlignment="1">
      <alignment vertical="center" wrapText="1"/>
    </xf>
    <xf numFmtId="0" fontId="30" fillId="0" borderId="10" xfId="4" applyFont="1" applyBorder="1" applyAlignment="1">
      <alignment vertical="center" wrapText="1"/>
    </xf>
    <xf numFmtId="0" fontId="31" fillId="0" borderId="10" xfId="4" applyFont="1" applyBorder="1"/>
    <xf numFmtId="0" fontId="32" fillId="0" borderId="10" xfId="4" applyFont="1" applyBorder="1"/>
    <xf numFmtId="0" fontId="31" fillId="7" borderId="10" xfId="4" applyFont="1" applyFill="1" applyBorder="1"/>
    <xf numFmtId="0" fontId="32" fillId="7" borderId="10" xfId="4" applyFont="1" applyFill="1" applyBorder="1"/>
    <xf numFmtId="0" fontId="33" fillId="0" borderId="7" xfId="4" applyFont="1" applyBorder="1"/>
    <xf numFmtId="0" fontId="16" fillId="0" borderId="10" xfId="4" applyBorder="1"/>
    <xf numFmtId="0" fontId="20" fillId="0" borderId="10" xfId="4" applyFont="1" applyBorder="1"/>
    <xf numFmtId="0" fontId="21" fillId="0" borderId="10" xfId="4" applyFont="1" applyBorder="1"/>
    <xf numFmtId="0" fontId="19" fillId="0" borderId="10" xfId="4" applyFont="1" applyBorder="1"/>
    <xf numFmtId="2" fontId="34" fillId="0" borderId="10" xfId="1" applyNumberFormat="1" applyFont="1" applyBorder="1" applyAlignment="1">
      <alignment horizontal="left" vertical="center"/>
    </xf>
    <xf numFmtId="2" fontId="35" fillId="0" borderId="10" xfId="1" applyNumberFormat="1" applyFont="1" applyBorder="1" applyAlignment="1">
      <alignment horizontal="left" vertical="center"/>
    </xf>
    <xf numFmtId="2" fontId="36" fillId="0" borderId="10" xfId="1" applyNumberFormat="1" applyFont="1" applyBorder="1" applyAlignment="1">
      <alignment horizontal="left" vertical="center"/>
    </xf>
    <xf numFmtId="2" fontId="28" fillId="0" borderId="10" xfId="1" applyNumberFormat="1" applyFont="1" applyBorder="1" applyAlignment="1">
      <alignment horizontal="left" vertical="center"/>
    </xf>
    <xf numFmtId="0" fontId="28" fillId="0" borderId="10" xfId="1" applyFont="1" applyBorder="1" applyAlignment="1">
      <alignment horizontal="left" vertical="center"/>
    </xf>
    <xf numFmtId="167" fontId="30" fillId="0" borderId="10" xfId="4" applyNumberFormat="1" applyFont="1" applyBorder="1"/>
    <xf numFmtId="0" fontId="24" fillId="0" borderId="10" xfId="1" applyFont="1" applyBorder="1" applyAlignment="1">
      <alignment horizontal="left" vertical="center"/>
    </xf>
    <xf numFmtId="9" fontId="31" fillId="0" borderId="10" xfId="3" applyFont="1" applyFill="1" applyBorder="1" applyAlignment="1" applyProtection="1">
      <alignment horizontal="left" vertical="center"/>
    </xf>
    <xf numFmtId="9" fontId="32" fillId="0" borderId="10" xfId="3" applyFont="1" applyFill="1" applyBorder="1" applyAlignment="1" applyProtection="1">
      <alignment horizontal="left" vertical="center"/>
    </xf>
    <xf numFmtId="9" fontId="30" fillId="0" borderId="10" xfId="3" applyFont="1" applyFill="1" applyBorder="1" applyAlignment="1" applyProtection="1">
      <alignment horizontal="left" vertical="center"/>
    </xf>
    <xf numFmtId="0" fontId="30" fillId="0" borderId="10" xfId="1" applyFont="1" applyBorder="1" applyAlignment="1">
      <alignment horizontal="left" vertical="center"/>
    </xf>
    <xf numFmtId="0" fontId="30" fillId="0" borderId="7" xfId="4" applyFont="1" applyBorder="1" applyAlignment="1">
      <alignment vertical="center"/>
    </xf>
    <xf numFmtId="0" fontId="37" fillId="0" borderId="10" xfId="4" applyFont="1" applyBorder="1" applyAlignment="1">
      <alignment vertical="center" wrapText="1"/>
    </xf>
    <xf numFmtId="0" fontId="38" fillId="0" borderId="10" xfId="4" applyFont="1" applyBorder="1" applyAlignment="1">
      <alignment vertical="center" wrapText="1"/>
    </xf>
    <xf numFmtId="0" fontId="37" fillId="0" borderId="10" xfId="4" applyFont="1" applyBorder="1"/>
    <xf numFmtId="0" fontId="38" fillId="0" borderId="10" xfId="4" applyFont="1" applyBorder="1"/>
    <xf numFmtId="0" fontId="37" fillId="7" borderId="10" xfId="4" applyFont="1" applyFill="1" applyBorder="1"/>
    <xf numFmtId="0" fontId="38" fillId="7" borderId="10" xfId="4" applyFont="1" applyFill="1" applyBorder="1"/>
    <xf numFmtId="0" fontId="22" fillId="0" borderId="10" xfId="4" applyFont="1" applyBorder="1"/>
    <xf numFmtId="0" fontId="23" fillId="0" borderId="10" xfId="4" applyFont="1" applyBorder="1"/>
    <xf numFmtId="2" fontId="39" fillId="0" borderId="10" xfId="1" applyNumberFormat="1" applyFont="1" applyBorder="1" applyAlignment="1">
      <alignment horizontal="left" vertical="center"/>
    </xf>
    <xf numFmtId="2" fontId="40" fillId="0" borderId="10" xfId="1" applyNumberFormat="1" applyFont="1" applyBorder="1" applyAlignment="1">
      <alignment horizontal="left" vertical="center"/>
    </xf>
    <xf numFmtId="9" fontId="37" fillId="0" borderId="10" xfId="3" applyFont="1" applyFill="1" applyBorder="1" applyAlignment="1" applyProtection="1">
      <alignment horizontal="left" vertical="center"/>
    </xf>
    <xf numFmtId="9" fontId="38" fillId="0" borderId="10" xfId="3" applyFont="1" applyFill="1" applyBorder="1" applyAlignment="1" applyProtection="1">
      <alignment horizontal="left" vertical="center"/>
    </xf>
    <xf numFmtId="9" fontId="30" fillId="0" borderId="10" xfId="3" applyFont="1" applyBorder="1" applyAlignment="1">
      <alignment horizontal="left" vertical="center"/>
    </xf>
    <xf numFmtId="0" fontId="24" fillId="3" borderId="10" xfId="4" applyFont="1" applyFill="1" applyBorder="1" applyAlignment="1">
      <alignment vertical="center" wrapText="1"/>
    </xf>
    <xf numFmtId="0" fontId="24" fillId="0" borderId="2" xfId="4" applyFont="1" applyBorder="1"/>
    <xf numFmtId="164" fontId="24" fillId="0" borderId="10" xfId="4" applyNumberFormat="1" applyFont="1" applyBorder="1"/>
    <xf numFmtId="164" fontId="24" fillId="0" borderId="2" xfId="4" applyNumberFormat="1" applyFont="1" applyBorder="1"/>
    <xf numFmtId="0" fontId="38" fillId="0" borderId="2" xfId="4" applyFont="1" applyBorder="1"/>
    <xf numFmtId="2" fontId="27" fillId="0" borderId="5" xfId="4" applyNumberFormat="1" applyFont="1" applyBorder="1"/>
    <xf numFmtId="2" fontId="24" fillId="0" borderId="10" xfId="4" applyNumberFormat="1" applyFont="1" applyBorder="1"/>
    <xf numFmtId="2" fontId="24" fillId="0" borderId="5" xfId="4" applyNumberFormat="1" applyFont="1" applyBorder="1"/>
    <xf numFmtId="2" fontId="28" fillId="0" borderId="10" xfId="4" applyNumberFormat="1" applyFont="1" applyBorder="1"/>
    <xf numFmtId="0" fontId="38" fillId="7" borderId="3" xfId="4" applyFont="1" applyFill="1" applyBorder="1"/>
    <xf numFmtId="0" fontId="38" fillId="7" borderId="2" xfId="4" applyFont="1" applyFill="1" applyBorder="1"/>
    <xf numFmtId="1" fontId="24" fillId="0" borderId="5" xfId="4" applyNumberFormat="1" applyFont="1" applyBorder="1"/>
    <xf numFmtId="1" fontId="24" fillId="0" borderId="10" xfId="4" applyNumberFormat="1" applyFont="1" applyBorder="1"/>
    <xf numFmtId="167" fontId="24" fillId="0" borderId="5" xfId="4" applyNumberFormat="1" applyFont="1" applyBorder="1"/>
    <xf numFmtId="9" fontId="24" fillId="0" borderId="5" xfId="3" applyFont="1" applyFill="1" applyBorder="1" applyAlignment="1"/>
    <xf numFmtId="0" fontId="24" fillId="0" borderId="7" xfId="4" applyFont="1" applyBorder="1"/>
    <xf numFmtId="2" fontId="30" fillId="0" borderId="10" xfId="4" applyNumberFormat="1" applyFont="1" applyBorder="1"/>
    <xf numFmtId="2" fontId="41" fillId="0" borderId="5" xfId="4" applyNumberFormat="1" applyFont="1" applyBorder="1" applyAlignment="1">
      <alignment horizontal="left" vertical="center" wrapText="1"/>
    </xf>
    <xf numFmtId="0" fontId="24" fillId="2" borderId="10" xfId="4" applyFont="1" applyFill="1" applyBorder="1"/>
    <xf numFmtId="0" fontId="42" fillId="0" borderId="10" xfId="4" applyFont="1" applyBorder="1"/>
    <xf numFmtId="0" fontId="38" fillId="2" borderId="3" xfId="4" applyFont="1" applyFill="1" applyBorder="1"/>
    <xf numFmtId="0" fontId="38" fillId="2" borderId="10" xfId="4" applyFont="1" applyFill="1" applyBorder="1"/>
    <xf numFmtId="2" fontId="41" fillId="0" borderId="5" xfId="4" applyNumberFormat="1" applyFont="1" applyBorder="1" applyAlignment="1">
      <alignment vertical="center" wrapText="1"/>
    </xf>
    <xf numFmtId="0" fontId="24" fillId="0" borderId="1" xfId="4" applyFont="1" applyBorder="1" applyAlignment="1">
      <alignment wrapText="1"/>
    </xf>
    <xf numFmtId="0" fontId="26" fillId="8" borderId="2" xfId="4" applyFont="1" applyFill="1" applyBorder="1"/>
    <xf numFmtId="0" fontId="26" fillId="0" borderId="2" xfId="4" applyFont="1" applyBorder="1"/>
    <xf numFmtId="164" fontId="26" fillId="8" borderId="2" xfId="4" applyNumberFormat="1" applyFont="1" applyFill="1" applyBorder="1"/>
    <xf numFmtId="2" fontId="43" fillId="0" borderId="10" xfId="4" applyNumberFormat="1" applyFont="1" applyBorder="1"/>
    <xf numFmtId="0" fontId="43" fillId="0" borderId="10" xfId="4" applyFont="1" applyBorder="1"/>
    <xf numFmtId="2" fontId="26" fillId="0" borderId="5" xfId="4" applyNumberFormat="1" applyFont="1" applyBorder="1"/>
    <xf numFmtId="2" fontId="44" fillId="0" borderId="10" xfId="4" applyNumberFormat="1" applyFont="1" applyBorder="1"/>
    <xf numFmtId="2" fontId="28" fillId="0" borderId="5" xfId="4" applyNumberFormat="1" applyFont="1" applyBorder="1"/>
    <xf numFmtId="1" fontId="44" fillId="0" borderId="10" xfId="4" applyNumberFormat="1" applyFont="1" applyBorder="1"/>
    <xf numFmtId="2" fontId="26" fillId="8" borderId="5" xfId="4" applyNumberFormat="1" applyFont="1" applyFill="1" applyBorder="1"/>
    <xf numFmtId="9" fontId="26" fillId="9" borderId="5" xfId="3" applyFont="1" applyFill="1" applyBorder="1" applyAlignment="1"/>
    <xf numFmtId="0" fontId="45" fillId="0" borderId="0" xfId="4" applyFont="1"/>
    <xf numFmtId="0" fontId="46" fillId="8" borderId="8" xfId="4" applyFont="1" applyFill="1" applyBorder="1"/>
    <xf numFmtId="0" fontId="46" fillId="0" borderId="0" xfId="4" applyFont="1"/>
    <xf numFmtId="2" fontId="30" fillId="0" borderId="5" xfId="4" applyNumberFormat="1" applyFont="1" applyBorder="1"/>
    <xf numFmtId="0" fontId="24" fillId="10" borderId="10" xfId="4" applyFont="1" applyFill="1" applyBorder="1" applyAlignment="1">
      <alignment vertical="center" wrapText="1"/>
    </xf>
    <xf numFmtId="2" fontId="24" fillId="2" borderId="10" xfId="4" applyNumberFormat="1" applyFont="1" applyFill="1" applyBorder="1"/>
    <xf numFmtId="2" fontId="38" fillId="0" borderId="10" xfId="4" applyNumberFormat="1" applyFont="1" applyBorder="1"/>
    <xf numFmtId="2" fontId="27" fillId="0" borderId="10" xfId="4" applyNumberFormat="1" applyFont="1" applyBorder="1"/>
    <xf numFmtId="2" fontId="38" fillId="7" borderId="10" xfId="4" applyNumberFormat="1" applyFont="1" applyFill="1" applyBorder="1"/>
    <xf numFmtId="0" fontId="38" fillId="5" borderId="3" xfId="4" applyFont="1" applyFill="1" applyBorder="1"/>
    <xf numFmtId="2" fontId="38" fillId="2" borderId="10" xfId="4" applyNumberFormat="1" applyFont="1" applyFill="1" applyBorder="1"/>
    <xf numFmtId="9" fontId="24" fillId="0" borderId="5" xfId="3" applyFont="1" applyBorder="1" applyAlignment="1"/>
    <xf numFmtId="2" fontId="41" fillId="0" borderId="7" xfId="4" applyNumberFormat="1" applyFont="1" applyBorder="1" applyAlignment="1">
      <alignment vertical="center" wrapText="1"/>
    </xf>
    <xf numFmtId="0" fontId="27" fillId="0" borderId="10" xfId="4" applyFont="1" applyBorder="1"/>
    <xf numFmtId="0" fontId="24" fillId="0" borderId="10" xfId="3" applyNumberFormat="1" applyFont="1" applyFill="1" applyBorder="1" applyAlignment="1"/>
    <xf numFmtId="9" fontId="24" fillId="0" borderId="10" xfId="3" applyFont="1" applyFill="1" applyBorder="1" applyAlignment="1">
      <alignment vertical="center" wrapText="1"/>
    </xf>
    <xf numFmtId="9" fontId="27" fillId="0" borderId="10" xfId="3" applyFont="1" applyFill="1" applyBorder="1" applyAlignment="1"/>
    <xf numFmtId="9" fontId="0" fillId="0" borderId="10" xfId="3" applyFont="1" applyBorder="1" applyAlignment="1"/>
    <xf numFmtId="9" fontId="28" fillId="0" borderId="10" xfId="3" applyFont="1" applyFill="1" applyBorder="1" applyAlignment="1"/>
    <xf numFmtId="9" fontId="29" fillId="0" borderId="10" xfId="3" applyFont="1" applyFill="1" applyBorder="1" applyAlignment="1"/>
    <xf numFmtId="9" fontId="30" fillId="0" borderId="10" xfId="3" applyFont="1" applyFill="1" applyBorder="1" applyAlignment="1"/>
    <xf numFmtId="9" fontId="24" fillId="0" borderId="7" xfId="3" applyFont="1" applyFill="1" applyBorder="1" applyAlignment="1">
      <alignment vertical="center"/>
    </xf>
    <xf numFmtId="9" fontId="24" fillId="0" borderId="7" xfId="3" applyFont="1" applyFill="1" applyBorder="1" applyAlignment="1"/>
    <xf numFmtId="0" fontId="24" fillId="0" borderId="1" xfId="4" applyFont="1" applyBorder="1" applyAlignment="1">
      <alignment vertical="center" wrapText="1"/>
    </xf>
    <xf numFmtId="2" fontId="16" fillId="0" borderId="10" xfId="4" applyNumberFormat="1" applyBorder="1"/>
    <xf numFmtId="0" fontId="28" fillId="0" borderId="12" xfId="4" applyFont="1" applyBorder="1"/>
    <xf numFmtId="167" fontId="24" fillId="0" borderId="13" xfId="4" applyNumberFormat="1" applyFont="1" applyBorder="1"/>
    <xf numFmtId="2" fontId="29" fillId="0" borderId="10" xfId="4" applyNumberFormat="1" applyFont="1" applyBorder="1"/>
    <xf numFmtId="2" fontId="24" fillId="0" borderId="10" xfId="3" applyNumberFormat="1" applyFont="1" applyFill="1" applyBorder="1" applyAlignment="1"/>
    <xf numFmtId="9" fontId="24" fillId="0" borderId="12" xfId="3" applyFont="1" applyFill="1" applyBorder="1" applyAlignment="1"/>
    <xf numFmtId="0" fontId="24" fillId="0" borderId="13" xfId="4" applyFont="1" applyBorder="1"/>
    <xf numFmtId="0" fontId="24" fillId="0" borderId="12" xfId="4" applyFont="1" applyBorder="1"/>
    <xf numFmtId="0" fontId="30" fillId="0" borderId="2" xfId="4" applyFont="1" applyBorder="1"/>
    <xf numFmtId="0" fontId="28" fillId="0" borderId="2" xfId="4" applyFont="1" applyBorder="1"/>
    <xf numFmtId="2" fontId="24" fillId="0" borderId="7" xfId="4" applyNumberFormat="1" applyFont="1" applyBorder="1" applyAlignment="1">
      <alignment vertical="center"/>
    </xf>
    <xf numFmtId="0" fontId="47" fillId="0" borderId="10" xfId="0" applyFont="1" applyBorder="1" applyAlignment="1">
      <alignment horizontal="center" vertical="center" wrapText="1"/>
    </xf>
    <xf numFmtId="0" fontId="47" fillId="11" borderId="10" xfId="0" applyFont="1" applyFill="1" applyBorder="1" applyAlignment="1">
      <alignment horizontal="center" vertical="center" wrapText="1"/>
    </xf>
    <xf numFmtId="14" fontId="47" fillId="11" borderId="10" xfId="0" applyNumberFormat="1" applyFont="1" applyFill="1" applyBorder="1" applyAlignment="1">
      <alignment horizontal="center" vertical="center" wrapText="1"/>
    </xf>
    <xf numFmtId="0" fontId="47" fillId="11" borderId="10" xfId="0" applyFont="1" applyFill="1" applyBorder="1" applyAlignment="1">
      <alignment horizontal="left" vertical="center" wrapText="1"/>
    </xf>
    <xf numFmtId="14" fontId="47" fillId="11" borderId="10" xfId="0" applyNumberFormat="1" applyFont="1" applyFill="1" applyBorder="1" applyAlignment="1">
      <alignment vertical="center" wrapText="1"/>
    </xf>
    <xf numFmtId="0" fontId="47" fillId="11" borderId="10" xfId="0" applyFont="1" applyFill="1" applyBorder="1" applyAlignment="1">
      <alignment vertical="center" wrapText="1"/>
    </xf>
    <xf numFmtId="0" fontId="13" fillId="0" borderId="5" xfId="0" applyFont="1" applyBorder="1" applyAlignment="1" applyProtection="1">
      <alignment vertical="center" wrapText="1"/>
      <protection locked="0"/>
    </xf>
    <xf numFmtId="0" fontId="5" fillId="5" borderId="5" xfId="0" applyFont="1" applyFill="1" applyBorder="1" applyAlignment="1" applyProtection="1">
      <alignment vertical="center" wrapText="1"/>
      <protection locked="0"/>
    </xf>
    <xf numFmtId="14" fontId="5" fillId="0" borderId="10" xfId="0" applyNumberFormat="1" applyFont="1" applyBorder="1" applyAlignment="1" applyProtection="1">
      <alignment vertical="center" wrapText="1"/>
      <protection locked="0"/>
    </xf>
    <xf numFmtId="14" fontId="16" fillId="0" borderId="10" xfId="4" applyNumberFormat="1" applyBorder="1"/>
    <xf numFmtId="165" fontId="48" fillId="0" borderId="10" xfId="4" applyNumberFormat="1" applyFont="1" applyBorder="1"/>
    <xf numFmtId="0" fontId="27" fillId="0" borderId="2" xfId="4" applyFont="1" applyBorder="1"/>
    <xf numFmtId="9" fontId="48" fillId="0" borderId="10" xfId="3" applyFont="1" applyFill="1" applyBorder="1" applyAlignment="1"/>
    <xf numFmtId="2" fontId="27" fillId="0" borderId="10" xfId="3" applyNumberFormat="1" applyFont="1" applyFill="1" applyBorder="1" applyAlignment="1"/>
    <xf numFmtId="0" fontId="2" fillId="0" borderId="10" xfId="4" applyFont="1" applyBorder="1" applyAlignment="1" applyProtection="1">
      <alignment vertical="center" wrapText="1"/>
      <protection locked="0"/>
    </xf>
    <xf numFmtId="0" fontId="33" fillId="0" borderId="10" xfId="4" applyFont="1" applyBorder="1"/>
    <xf numFmtId="167" fontId="5" fillId="0" borderId="10" xfId="4" applyNumberFormat="1" applyFont="1" applyBorder="1" applyAlignment="1" applyProtection="1">
      <alignment vertical="center" wrapText="1"/>
      <protection locked="0"/>
    </xf>
    <xf numFmtId="0" fontId="27" fillId="0" borderId="14" xfId="4" applyFont="1" applyBorder="1"/>
    <xf numFmtId="9" fontId="27" fillId="0" borderId="14" xfId="3" applyFont="1" applyFill="1" applyBorder="1" applyAlignment="1"/>
    <xf numFmtId="2" fontId="27" fillId="0" borderId="14" xfId="3" applyNumberFormat="1" applyFont="1" applyFill="1" applyBorder="1" applyAlignment="1"/>
    <xf numFmtId="167" fontId="5" fillId="0" borderId="0" xfId="0" applyNumberFormat="1" applyFont="1" applyAlignment="1" applyProtection="1">
      <alignment horizontal="center" vertical="center" wrapText="1"/>
      <protection locked="0"/>
    </xf>
    <xf numFmtId="0" fontId="54" fillId="13" borderId="2" xfId="0" applyFont="1" applyFill="1" applyBorder="1"/>
    <xf numFmtId="0" fontId="0" fillId="0" borderId="2" xfId="0" applyBorder="1"/>
    <xf numFmtId="0" fontId="0" fillId="0" borderId="15" xfId="0" applyBorder="1"/>
    <xf numFmtId="164" fontId="0" fillId="0" borderId="2" xfId="0" applyNumberFormat="1" applyBorder="1"/>
    <xf numFmtId="169" fontId="0" fillId="0" borderId="2" xfId="2" applyNumberFormat="1" applyFont="1" applyBorder="1" applyAlignment="1"/>
    <xf numFmtId="0" fontId="0" fillId="0" borderId="1" xfId="0" applyBorder="1"/>
    <xf numFmtId="167" fontId="24" fillId="0" borderId="2" xfId="4" applyNumberFormat="1" applyFont="1" applyBorder="1"/>
    <xf numFmtId="167" fontId="16" fillId="0" borderId="0" xfId="4" applyNumberFormat="1"/>
    <xf numFmtId="0" fontId="55" fillId="0" borderId="5" xfId="0" applyFont="1" applyBorder="1" applyAlignment="1" applyProtection="1">
      <alignment vertical="center" wrapText="1"/>
      <protection locked="0"/>
    </xf>
    <xf numFmtId="167" fontId="55" fillId="0" borderId="10" xfId="0" applyNumberFormat="1" applyFont="1" applyBorder="1" applyAlignment="1" applyProtection="1">
      <alignment vertical="center" wrapText="1"/>
      <protection locked="0"/>
    </xf>
    <xf numFmtId="167" fontId="56" fillId="0" borderId="10" xfId="4" applyNumberFormat="1" applyFont="1" applyBorder="1"/>
    <xf numFmtId="0" fontId="56" fillId="0" borderId="10" xfId="4" applyFont="1" applyBorder="1"/>
    <xf numFmtId="167" fontId="56" fillId="0" borderId="2" xfId="4" applyNumberFormat="1" applyFont="1" applyBorder="1"/>
    <xf numFmtId="167" fontId="57" fillId="0" borderId="0" xfId="4" applyNumberFormat="1" applyFont="1"/>
    <xf numFmtId="0" fontId="55" fillId="0" borderId="10" xfId="0" applyFont="1" applyBorder="1" applyAlignment="1" applyProtection="1">
      <alignment vertical="center" wrapText="1"/>
      <protection locked="0"/>
    </xf>
    <xf numFmtId="9" fontId="55" fillId="0" borderId="10" xfId="3" applyFont="1" applyFill="1" applyBorder="1" applyAlignment="1" applyProtection="1">
      <alignment horizontal="center" vertical="center" wrapText="1"/>
      <protection hidden="1"/>
    </xf>
    <xf numFmtId="0" fontId="57" fillId="0" borderId="10" xfId="4" applyFont="1" applyBorder="1"/>
    <xf numFmtId="0" fontId="57" fillId="0" borderId="0" xfId="4" applyFont="1"/>
    <xf numFmtId="0" fontId="56" fillId="0" borderId="2" xfId="4" applyFont="1" applyBorder="1"/>
    <xf numFmtId="167" fontId="58" fillId="0" borderId="5" xfId="0" applyNumberFormat="1" applyFont="1" applyBorder="1" applyAlignment="1" applyProtection="1">
      <alignment vertical="center" wrapText="1"/>
      <protection locked="0"/>
    </xf>
    <xf numFmtId="0" fontId="58" fillId="0" borderId="10" xfId="0" applyFont="1" applyBorder="1" applyAlignment="1" applyProtection="1">
      <alignment vertical="center" wrapText="1"/>
      <protection locked="0"/>
    </xf>
    <xf numFmtId="0" fontId="5" fillId="14" borderId="1" xfId="0" applyFont="1" applyFill="1" applyBorder="1" applyAlignment="1" applyProtection="1">
      <alignment vertical="center" wrapText="1"/>
      <protection locked="0"/>
    </xf>
    <xf numFmtId="0" fontId="5" fillId="12" borderId="5" xfId="0" applyFont="1" applyFill="1" applyBorder="1" applyAlignment="1" applyProtection="1">
      <alignment vertical="center" wrapText="1"/>
      <protection locked="0"/>
    </xf>
    <xf numFmtId="0" fontId="5" fillId="15" borderId="10" xfId="0" applyFont="1" applyFill="1" applyBorder="1" applyAlignment="1" applyProtection="1">
      <alignment horizontal="center" vertical="center" wrapText="1"/>
      <protection locked="0" hidden="1"/>
    </xf>
    <xf numFmtId="14" fontId="5" fillId="0" borderId="0" xfId="0" applyNumberFormat="1" applyFont="1" applyAlignment="1" applyProtection="1">
      <alignment vertical="center" wrapText="1"/>
      <protection locked="0"/>
    </xf>
    <xf numFmtId="0" fontId="60" fillId="0" borderId="5" xfId="4" applyFont="1" applyBorder="1"/>
    <xf numFmtId="0" fontId="61" fillId="0" borderId="10" xfId="4" applyFont="1" applyBorder="1" applyAlignment="1" applyProtection="1">
      <alignment vertical="center" wrapText="1"/>
      <protection locked="0"/>
    </xf>
    <xf numFmtId="0" fontId="62" fillId="0" borderId="7" xfId="4" applyFont="1" applyBorder="1"/>
    <xf numFmtId="0" fontId="62" fillId="0" borderId="2" xfId="4" applyFont="1" applyBorder="1"/>
    <xf numFmtId="0" fontId="60" fillId="0" borderId="7" xfId="4" applyFont="1" applyBorder="1"/>
    <xf numFmtId="0" fontId="60" fillId="0" borderId="2" xfId="4" applyFont="1" applyBorder="1"/>
    <xf numFmtId="167" fontId="63" fillId="0" borderId="5" xfId="4" applyNumberFormat="1" applyFont="1" applyBorder="1" applyAlignment="1" applyProtection="1">
      <alignment vertical="center" wrapText="1"/>
      <protection locked="0"/>
    </xf>
    <xf numFmtId="167" fontId="63" fillId="0" borderId="10" xfId="4" applyNumberFormat="1" applyFont="1" applyBorder="1" applyAlignment="1" applyProtection="1">
      <alignment horizontal="center" vertical="center" wrapText="1"/>
      <protection locked="0"/>
    </xf>
    <xf numFmtId="167" fontId="5" fillId="0" borderId="0" xfId="4" applyNumberFormat="1" applyFont="1" applyAlignment="1" applyProtection="1">
      <alignment horizontal="center" vertical="center" wrapText="1"/>
      <protection locked="0"/>
    </xf>
    <xf numFmtId="2" fontId="60" fillId="0" borderId="5" xfId="4" applyNumberFormat="1" applyFont="1" applyBorder="1"/>
    <xf numFmtId="167" fontId="5" fillId="0" borderId="10" xfId="4" applyNumberFormat="1" applyFont="1" applyBorder="1" applyAlignment="1" applyProtection="1">
      <alignment horizontal="center" vertical="center" wrapText="1"/>
      <protection locked="0"/>
    </xf>
    <xf numFmtId="167" fontId="63" fillId="0" borderId="10" xfId="0" applyNumberFormat="1" applyFont="1" applyBorder="1" applyAlignment="1" applyProtection="1">
      <alignment horizontal="center" vertical="center" wrapText="1"/>
      <protection locked="0"/>
    </xf>
    <xf numFmtId="2" fontId="60" fillId="0" borderId="10" xfId="0" applyNumberFormat="1" applyFont="1" applyBorder="1"/>
    <xf numFmtId="0" fontId="60" fillId="0" borderId="10" xfId="4" applyFont="1" applyBorder="1"/>
    <xf numFmtId="9" fontId="60" fillId="0" borderId="10" xfId="4" applyNumberFormat="1" applyFont="1" applyBorder="1"/>
    <xf numFmtId="9" fontId="60" fillId="0" borderId="7" xfId="3" applyFont="1" applyFill="1" applyBorder="1" applyAlignment="1"/>
    <xf numFmtId="9" fontId="60" fillId="0" borderId="2" xfId="3" applyFont="1" applyFill="1" applyBorder="1" applyAlignment="1"/>
    <xf numFmtId="167" fontId="63" fillId="0" borderId="0" xfId="4" applyNumberFormat="1" applyFont="1" applyAlignment="1" applyProtection="1">
      <alignment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2" fontId="24" fillId="0" borderId="10" xfId="3" applyNumberFormat="1" applyFont="1" applyFill="1" applyBorder="1" applyAlignment="1">
      <alignment vertical="center" wrapText="1"/>
    </xf>
    <xf numFmtId="2" fontId="49" fillId="0" borderId="10" xfId="3" applyNumberFormat="1" applyFont="1" applyFill="1" applyBorder="1" applyAlignment="1"/>
    <xf numFmtId="2" fontId="28" fillId="0" borderId="10" xfId="3" applyNumberFormat="1" applyFont="1" applyFill="1" applyBorder="1" applyAlignment="1"/>
    <xf numFmtId="2" fontId="24" fillId="0" borderId="7" xfId="3" applyNumberFormat="1" applyFont="1" applyFill="1" applyBorder="1" applyAlignment="1">
      <alignment vertical="center"/>
    </xf>
    <xf numFmtId="2" fontId="60" fillId="0" borderId="10" xfId="3" applyNumberFormat="1" applyFont="1" applyFill="1" applyBorder="1" applyAlignment="1"/>
    <xf numFmtId="2" fontId="16" fillId="0" borderId="0" xfId="3" applyNumberFormat="1" applyFont="1" applyAlignment="1"/>
    <xf numFmtId="0" fontId="49" fillId="0" borderId="10" xfId="4" applyFont="1" applyBorder="1"/>
    <xf numFmtId="0" fontId="64" fillId="0" borderId="0" xfId="0" applyFont="1" applyAlignment="1" applyProtection="1">
      <alignment vertical="center" wrapText="1"/>
      <protection locked="0"/>
    </xf>
    <xf numFmtId="0" fontId="58" fillId="0" borderId="5" xfId="0" applyFont="1" applyBorder="1" applyAlignment="1" applyProtection="1">
      <alignment vertical="center" wrapText="1"/>
      <protection locked="0"/>
    </xf>
    <xf numFmtId="0" fontId="64" fillId="0" borderId="10" xfId="0" applyFont="1" applyBorder="1" applyAlignment="1" applyProtection="1">
      <alignment vertical="center" wrapText="1"/>
      <protection locked="0"/>
    </xf>
    <xf numFmtId="14" fontId="64" fillId="0" borderId="0" xfId="0" applyNumberFormat="1" applyFont="1" applyAlignment="1" applyProtection="1">
      <alignment vertical="center" wrapText="1"/>
      <protection locked="0"/>
    </xf>
    <xf numFmtId="0" fontId="58" fillId="4" borderId="10" xfId="0" applyFont="1" applyFill="1" applyBorder="1" applyAlignment="1" applyProtection="1">
      <alignment vertical="center" wrapText="1"/>
      <protection locked="0"/>
    </xf>
    <xf numFmtId="0" fontId="58" fillId="0" borderId="0" xfId="0" applyFont="1" applyAlignment="1" applyProtection="1">
      <alignment vertical="center" wrapText="1"/>
      <protection locked="0"/>
    </xf>
    <xf numFmtId="2" fontId="66" fillId="0" borderId="10" xfId="0" applyNumberFormat="1" applyFont="1" applyBorder="1" applyAlignment="1" applyProtection="1">
      <alignment horizontal="center" vertical="center" wrapText="1"/>
      <protection hidden="1"/>
    </xf>
    <xf numFmtId="0" fontId="66" fillId="0" borderId="10" xfId="0" applyFont="1" applyBorder="1" applyAlignment="1" applyProtection="1">
      <alignment horizontal="center" vertical="center" wrapText="1"/>
      <protection locked="0"/>
    </xf>
    <xf numFmtId="0" fontId="66" fillId="0" borderId="10" xfId="0" applyFont="1" applyBorder="1" applyAlignment="1" applyProtection="1">
      <alignment horizontal="center" vertical="center" wrapText="1"/>
      <protection locked="0" hidden="1"/>
    </xf>
    <xf numFmtId="0" fontId="66" fillId="2" borderId="10" xfId="0" applyFont="1" applyFill="1" applyBorder="1" applyAlignment="1" applyProtection="1">
      <alignment horizontal="center" vertical="center" wrapText="1"/>
      <protection locked="0"/>
    </xf>
    <xf numFmtId="0" fontId="66" fillId="12" borderId="10" xfId="0" applyFont="1" applyFill="1" applyBorder="1" applyAlignment="1" applyProtection="1">
      <alignment horizontal="center" vertical="center" wrapText="1"/>
      <protection locked="0"/>
    </xf>
    <xf numFmtId="2" fontId="66" fillId="0" borderId="10" xfId="0" applyNumberFormat="1" applyFont="1" applyBorder="1" applyAlignment="1" applyProtection="1">
      <alignment horizontal="center" vertical="center" wrapText="1"/>
      <protection locked="0"/>
    </xf>
    <xf numFmtId="2" fontId="66" fillId="3" borderId="10" xfId="0" applyNumberFormat="1" applyFont="1" applyFill="1" applyBorder="1" applyAlignment="1" applyProtection="1">
      <alignment horizontal="center" vertical="center" wrapText="1"/>
      <protection locked="0"/>
    </xf>
    <xf numFmtId="0" fontId="66" fillId="15" borderId="10" xfId="0" applyFont="1" applyFill="1" applyBorder="1" applyAlignment="1" applyProtection="1">
      <alignment horizontal="center" vertical="center" wrapText="1"/>
      <protection locked="0" hidden="1"/>
    </xf>
    <xf numFmtId="1" fontId="66" fillId="0" borderId="10" xfId="0" applyNumberFormat="1" applyFont="1" applyBorder="1" applyAlignment="1" applyProtection="1">
      <alignment horizontal="center" vertical="center" wrapText="1"/>
      <protection locked="0"/>
    </xf>
    <xf numFmtId="0" fontId="66" fillId="0" borderId="10" xfId="0" applyFont="1" applyBorder="1" applyAlignment="1" applyProtection="1">
      <alignment horizontal="center" vertical="center" wrapText="1"/>
      <protection hidden="1"/>
    </xf>
    <xf numFmtId="167" fontId="66" fillId="0" borderId="10" xfId="0" applyNumberFormat="1" applyFont="1" applyBorder="1" applyAlignment="1" applyProtection="1">
      <alignment horizontal="center" vertical="center" wrapText="1"/>
      <protection locked="0"/>
    </xf>
    <xf numFmtId="167" fontId="66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66" fillId="0" borderId="10" xfId="0" applyFont="1" applyBorder="1" applyAlignment="1" applyProtection="1">
      <alignment vertical="center" wrapText="1"/>
      <protection locked="0"/>
    </xf>
    <xf numFmtId="0" fontId="66" fillId="0" borderId="0" xfId="0" applyFont="1" applyAlignment="1" applyProtection="1">
      <alignment vertical="center" wrapText="1"/>
      <protection locked="0"/>
    </xf>
    <xf numFmtId="2" fontId="66" fillId="0" borderId="10" xfId="0" applyNumberFormat="1" applyFont="1" applyBorder="1" applyAlignment="1" applyProtection="1">
      <alignment vertical="center" wrapText="1"/>
      <protection locked="0"/>
    </xf>
    <xf numFmtId="164" fontId="66" fillId="0" borderId="10" xfId="0" applyNumberFormat="1" applyFont="1" applyBorder="1" applyAlignment="1" applyProtection="1">
      <alignment horizontal="center" vertical="center" wrapText="1"/>
      <protection locked="0"/>
    </xf>
    <xf numFmtId="0" fontId="66" fillId="5" borderId="10" xfId="0" applyFont="1" applyFill="1" applyBorder="1" applyAlignment="1" applyProtection="1">
      <alignment horizontal="center" vertical="center" wrapText="1"/>
      <protection locked="0"/>
    </xf>
    <xf numFmtId="0" fontId="66" fillId="6" borderId="10" xfId="0" applyFont="1" applyFill="1" applyBorder="1" applyAlignment="1" applyProtection="1">
      <alignment horizontal="center" vertical="center" wrapText="1"/>
      <protection locked="0"/>
    </xf>
    <xf numFmtId="166" fontId="66" fillId="0" borderId="10" xfId="0" applyNumberFormat="1" applyFont="1" applyBorder="1" applyAlignment="1" applyProtection="1">
      <alignment horizontal="center" vertical="center" wrapText="1"/>
      <protection hidden="1"/>
    </xf>
    <xf numFmtId="165" fontId="66" fillId="0" borderId="10" xfId="0" applyNumberFormat="1" applyFont="1" applyBorder="1" applyAlignment="1" applyProtection="1">
      <alignment horizontal="center" vertical="center" wrapText="1"/>
      <protection hidden="1"/>
    </xf>
    <xf numFmtId="166" fontId="67" fillId="0" borderId="10" xfId="0" applyNumberFormat="1" applyFont="1" applyBorder="1" applyAlignment="1" applyProtection="1">
      <alignment horizontal="center" vertical="center" wrapText="1"/>
      <protection hidden="1"/>
    </xf>
    <xf numFmtId="0" fontId="66" fillId="5" borderId="10" xfId="0" applyFont="1" applyFill="1" applyBorder="1" applyAlignment="1" applyProtection="1">
      <alignment horizontal="center" vertical="center" wrapText="1"/>
      <protection hidden="1"/>
    </xf>
    <xf numFmtId="0" fontId="66" fillId="2" borderId="10" xfId="0" applyFont="1" applyFill="1" applyBorder="1" applyAlignment="1" applyProtection="1">
      <alignment horizontal="center" vertical="center" wrapText="1"/>
      <protection hidden="1"/>
    </xf>
    <xf numFmtId="0" fontId="66" fillId="6" borderId="10" xfId="0" applyFont="1" applyFill="1" applyBorder="1" applyAlignment="1" applyProtection="1">
      <alignment horizontal="center" vertical="center" wrapText="1"/>
      <protection hidden="1"/>
    </xf>
    <xf numFmtId="2" fontId="67" fillId="0" borderId="10" xfId="0" applyNumberFormat="1" applyFont="1" applyBorder="1" applyAlignment="1" applyProtection="1">
      <alignment horizontal="center" vertical="center" wrapText="1"/>
      <protection hidden="1"/>
    </xf>
    <xf numFmtId="9" fontId="67" fillId="0" borderId="10" xfId="3" applyFont="1" applyFill="1" applyBorder="1" applyAlignment="1" applyProtection="1">
      <alignment horizontal="center" vertical="center" wrapText="1"/>
      <protection hidden="1"/>
    </xf>
    <xf numFmtId="9" fontId="66" fillId="0" borderId="10" xfId="3" applyFont="1" applyFill="1" applyBorder="1" applyAlignment="1" applyProtection="1">
      <alignment horizontal="center" vertical="center" wrapText="1"/>
      <protection hidden="1"/>
    </xf>
    <xf numFmtId="0" fontId="68" fillId="2" borderId="5" xfId="0" applyFont="1" applyFill="1" applyBorder="1" applyAlignment="1" applyProtection="1">
      <alignment vertical="center" wrapText="1"/>
      <protection locked="0"/>
    </xf>
    <xf numFmtId="164" fontId="70" fillId="0" borderId="10" xfId="4" applyNumberFormat="1" applyFont="1" applyBorder="1"/>
    <xf numFmtId="0" fontId="70" fillId="0" borderId="10" xfId="4" applyFont="1" applyBorder="1"/>
    <xf numFmtId="9" fontId="70" fillId="0" borderId="10" xfId="3" applyFont="1" applyFill="1" applyBorder="1" applyAlignment="1"/>
    <xf numFmtId="2" fontId="70" fillId="0" borderId="10" xfId="3" applyNumberFormat="1" applyFont="1" applyFill="1" applyBorder="1" applyAlignment="1"/>
    <xf numFmtId="0" fontId="70" fillId="0" borderId="2" xfId="4" applyFont="1" applyBorder="1"/>
    <xf numFmtId="0" fontId="66" fillId="0" borderId="2" xfId="0" applyFont="1" applyBorder="1" applyAlignment="1" applyProtection="1">
      <alignment horizontal="center" vertical="center" wrapText="1"/>
      <protection locked="0"/>
    </xf>
    <xf numFmtId="2" fontId="70" fillId="0" borderId="10" xfId="4" applyNumberFormat="1" applyFont="1" applyBorder="1"/>
    <xf numFmtId="0" fontId="70" fillId="0" borderId="10" xfId="3" applyNumberFormat="1" applyFont="1" applyFill="1" applyBorder="1" applyAlignment="1"/>
    <xf numFmtId="2" fontId="70" fillId="2" borderId="10" xfId="4" applyNumberFormat="1" applyFont="1" applyFill="1" applyBorder="1"/>
    <xf numFmtId="0" fontId="70" fillId="0" borderId="7" xfId="4" applyFont="1" applyBorder="1"/>
    <xf numFmtId="0" fontId="71" fillId="0" borderId="10" xfId="4" applyFont="1" applyBorder="1"/>
    <xf numFmtId="9" fontId="72" fillId="0" borderId="10" xfId="3" applyFont="1" applyBorder="1" applyAlignment="1"/>
    <xf numFmtId="2" fontId="73" fillId="0" borderId="10" xfId="4" applyNumberFormat="1" applyFont="1" applyBorder="1"/>
    <xf numFmtId="0" fontId="73" fillId="0" borderId="10" xfId="4" applyFont="1" applyBorder="1"/>
    <xf numFmtId="0" fontId="74" fillId="0" borderId="10" xfId="4" applyFont="1" applyBorder="1"/>
    <xf numFmtId="9" fontId="74" fillId="0" borderId="10" xfId="3" applyFont="1" applyBorder="1" applyAlignment="1"/>
    <xf numFmtId="9" fontId="73" fillId="0" borderId="10" xfId="3" applyFont="1" applyFill="1" applyBorder="1" applyAlignment="1"/>
    <xf numFmtId="2" fontId="73" fillId="0" borderId="10" xfId="3" applyNumberFormat="1" applyFont="1" applyFill="1" applyBorder="1" applyAlignment="1"/>
    <xf numFmtId="165" fontId="73" fillId="0" borderId="10" xfId="4" applyNumberFormat="1" applyFont="1" applyBorder="1"/>
    <xf numFmtId="2" fontId="70" fillId="7" borderId="10" xfId="4" applyNumberFormat="1" applyFont="1" applyFill="1" applyBorder="1"/>
    <xf numFmtId="165" fontId="67" fillId="0" borderId="10" xfId="0" applyNumberFormat="1" applyFont="1" applyBorder="1" applyAlignment="1" applyProtection="1">
      <alignment horizontal="center" vertical="center" wrapText="1"/>
      <protection hidden="1"/>
    </xf>
    <xf numFmtId="0" fontId="73" fillId="0" borderId="10" xfId="3" applyNumberFormat="1" applyFont="1" applyFill="1" applyBorder="1" applyAlignment="1"/>
    <xf numFmtId="1" fontId="70" fillId="0" borderId="10" xfId="4" applyNumberFormat="1" applyFont="1" applyBorder="1"/>
    <xf numFmtId="167" fontId="70" fillId="0" borderId="10" xfId="4" applyNumberFormat="1" applyFont="1" applyBorder="1"/>
    <xf numFmtId="167" fontId="73" fillId="0" borderId="10" xfId="4" applyNumberFormat="1" applyFont="1" applyBorder="1"/>
    <xf numFmtId="2" fontId="73" fillId="0" borderId="5" xfId="4" applyNumberFormat="1" applyFont="1" applyBorder="1"/>
    <xf numFmtId="2" fontId="75" fillId="0" borderId="5" xfId="4" applyNumberFormat="1" applyFont="1" applyBorder="1" applyAlignment="1">
      <alignment vertical="center" wrapText="1"/>
    </xf>
    <xf numFmtId="2" fontId="75" fillId="0" borderId="7" xfId="4" applyNumberFormat="1" applyFont="1" applyBorder="1" applyAlignment="1">
      <alignment vertical="center" wrapText="1"/>
    </xf>
    <xf numFmtId="0" fontId="66" fillId="5" borderId="5" xfId="0" applyFont="1" applyFill="1" applyBorder="1" applyAlignment="1" applyProtection="1">
      <alignment vertical="center" wrapText="1"/>
      <protection locked="0"/>
    </xf>
    <xf numFmtId="0" fontId="66" fillId="12" borderId="5" xfId="0" applyFont="1" applyFill="1" applyBorder="1" applyAlignment="1" applyProtection="1">
      <alignment vertical="center" wrapText="1"/>
      <protection locked="0"/>
    </xf>
    <xf numFmtId="0" fontId="66" fillId="12" borderId="10" xfId="0" applyFont="1" applyFill="1" applyBorder="1" applyAlignment="1" applyProtection="1">
      <alignment vertical="center" wrapText="1"/>
      <protection locked="0"/>
    </xf>
    <xf numFmtId="0" fontId="71" fillId="0" borderId="0" xfId="4" applyFont="1"/>
    <xf numFmtId="1" fontId="66" fillId="3" borderId="10" xfId="0" applyNumberFormat="1" applyFont="1" applyFill="1" applyBorder="1" applyAlignment="1" applyProtection="1">
      <alignment horizontal="center" vertical="center" wrapText="1"/>
      <protection locked="0"/>
    </xf>
    <xf numFmtId="14" fontId="66" fillId="0" borderId="10" xfId="0" applyNumberFormat="1" applyFont="1" applyBorder="1" applyAlignment="1" applyProtection="1">
      <alignment vertical="center" wrapText="1"/>
      <protection locked="0"/>
    </xf>
    <xf numFmtId="14" fontId="66" fillId="0" borderId="0" xfId="0" applyNumberFormat="1" applyFont="1" applyAlignment="1" applyProtection="1">
      <alignment vertical="center" wrapText="1"/>
      <protection locked="0"/>
    </xf>
    <xf numFmtId="14" fontId="71" fillId="0" borderId="10" xfId="4" applyNumberFormat="1" applyFont="1" applyBorder="1"/>
    <xf numFmtId="170" fontId="5" fillId="0" borderId="10" xfId="0" applyNumberFormat="1" applyFont="1" applyBorder="1" applyAlignment="1" applyProtection="1">
      <alignment horizontal="center" vertical="center" wrapText="1"/>
      <protection hidden="1"/>
    </xf>
    <xf numFmtId="171" fontId="48" fillId="0" borderId="10" xfId="4" applyNumberFormat="1" applyFont="1" applyBorder="1"/>
    <xf numFmtId="2" fontId="7" fillId="0" borderId="10" xfId="0" applyNumberFormat="1" applyFont="1" applyBorder="1" applyAlignment="1" applyProtection="1">
      <alignment horizontal="center" vertical="center" wrapText="1"/>
      <protection hidden="1"/>
    </xf>
    <xf numFmtId="0" fontId="7" fillId="14" borderId="1" xfId="0" applyFont="1" applyFill="1" applyBorder="1" applyAlignment="1" applyProtection="1">
      <alignment vertical="center" wrapText="1"/>
      <protection locked="0"/>
    </xf>
    <xf numFmtId="0" fontId="76" fillId="0" borderId="1" xfId="0" applyFont="1" applyBorder="1" applyAlignment="1" applyProtection="1">
      <alignment vertical="center" wrapText="1"/>
      <protection locked="0"/>
    </xf>
    <xf numFmtId="0" fontId="76" fillId="0" borderId="10" xfId="0" applyFont="1" applyBorder="1" applyAlignment="1" applyProtection="1">
      <alignment horizontal="center" vertical="center" wrapText="1"/>
      <protection locked="0"/>
    </xf>
    <xf numFmtId="164" fontId="76" fillId="0" borderId="10" xfId="0" applyNumberFormat="1" applyFont="1" applyBorder="1" applyAlignment="1" applyProtection="1">
      <alignment horizontal="center" vertical="center" wrapText="1"/>
      <protection locked="0"/>
    </xf>
    <xf numFmtId="0" fontId="76" fillId="5" borderId="10" xfId="0" applyFont="1" applyFill="1" applyBorder="1" applyAlignment="1" applyProtection="1">
      <alignment horizontal="center" vertical="center" wrapText="1"/>
      <protection locked="0"/>
    </xf>
    <xf numFmtId="0" fontId="76" fillId="0" borderId="10" xfId="0" applyFont="1" applyBorder="1" applyAlignment="1" applyProtection="1">
      <alignment horizontal="center" vertical="center" wrapText="1"/>
      <protection hidden="1"/>
    </xf>
    <xf numFmtId="166" fontId="76" fillId="0" borderId="10" xfId="0" applyNumberFormat="1" applyFont="1" applyBorder="1" applyAlignment="1" applyProtection="1">
      <alignment horizontal="center" vertical="center" wrapText="1"/>
      <protection hidden="1"/>
    </xf>
    <xf numFmtId="165" fontId="76" fillId="0" borderId="10" xfId="0" applyNumberFormat="1" applyFont="1" applyBorder="1" applyAlignment="1" applyProtection="1">
      <alignment horizontal="center" vertical="center" wrapText="1"/>
      <protection hidden="1"/>
    </xf>
    <xf numFmtId="166" fontId="77" fillId="0" borderId="10" xfId="0" applyNumberFormat="1" applyFont="1" applyBorder="1" applyAlignment="1" applyProtection="1">
      <alignment horizontal="center" vertical="center" wrapText="1"/>
      <protection hidden="1"/>
    </xf>
    <xf numFmtId="0" fontId="76" fillId="5" borderId="10" xfId="0" applyFont="1" applyFill="1" applyBorder="1" applyAlignment="1" applyProtection="1">
      <alignment horizontal="center" vertical="center" wrapText="1"/>
      <protection hidden="1"/>
    </xf>
    <xf numFmtId="2" fontId="77" fillId="0" borderId="10" xfId="0" applyNumberFormat="1" applyFont="1" applyBorder="1" applyAlignment="1" applyProtection="1">
      <alignment horizontal="center" vertical="center" wrapText="1"/>
      <protection hidden="1"/>
    </xf>
    <xf numFmtId="9" fontId="77" fillId="0" borderId="10" xfId="3" applyFont="1" applyFill="1" applyBorder="1" applyAlignment="1" applyProtection="1">
      <alignment horizontal="center" vertical="center" wrapText="1"/>
      <protection hidden="1"/>
    </xf>
    <xf numFmtId="2" fontId="76" fillId="0" borderId="10" xfId="0" applyNumberFormat="1" applyFont="1" applyBorder="1" applyAlignment="1" applyProtection="1">
      <alignment horizontal="center" vertical="center" wrapText="1"/>
      <protection hidden="1"/>
    </xf>
    <xf numFmtId="0" fontId="76" fillId="2" borderId="10" xfId="0" applyFont="1" applyFill="1" applyBorder="1" applyAlignment="1" applyProtection="1">
      <alignment horizontal="center" vertical="center" wrapText="1"/>
      <protection hidden="1"/>
    </xf>
    <xf numFmtId="9" fontId="76" fillId="0" borderId="10" xfId="3" applyFont="1" applyFill="1" applyBorder="1" applyAlignment="1" applyProtection="1">
      <alignment horizontal="center" vertical="center" wrapText="1"/>
      <protection hidden="1"/>
    </xf>
    <xf numFmtId="2" fontId="7" fillId="16" borderId="10" xfId="0" applyNumberFormat="1" applyFont="1" applyFill="1" applyBorder="1" applyAlignment="1" applyProtection="1">
      <alignment horizontal="center" vertical="center" wrapText="1"/>
      <protection hidden="1"/>
    </xf>
  </cellXfs>
  <cellStyles count="5">
    <cellStyle name="Currency" xfId="2" builtinId="4"/>
    <cellStyle name="Normal" xfId="0" builtinId="0"/>
    <cellStyle name="Percent" xfId="3" builtinId="5"/>
    <cellStyle name="常规 2" xfId="1" xr:uid="{00000000-0005-0000-0000-000001000000}"/>
    <cellStyle name="常规 3" xfId="4" xr:uid="{00000000-0005-0000-0000-000031000000}"/>
  </cellStyles>
  <dxfs count="1457"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ont>
        <color theme="0" tint="-4.9989318521683403E-2"/>
      </font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13" formatCode="0%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13" formatCode="0%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13" formatCode="0%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auto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0" formatCode="General"/>
      <fill>
        <patternFill patternType="none"/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13" formatCode="0%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13" formatCode="0%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13" formatCode="0%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sz val="9"/>
        <color auto="1"/>
        <name val="微软雅黑"/>
        <scheme val="none"/>
      </font>
      <numFmt numFmtId="167" formatCode="0_);[Red]\(0\)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charset val="134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charset val="134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charset val="134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charset val="134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charset val="134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auto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Medium9"/>
  <colors>
    <mruColors>
      <color rgb="FF2EA082"/>
      <color rgb="FFE19C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Microsoft YaHei" panose="020B0503020204020204" pitchFamily="34" charset="-122"/>
                <a:ea typeface="Microsoft YaHei" panose="020B0503020204020204" pitchFamily="34" charset="-122"/>
              </a:rPr>
              <a:t>基线示意图</a:t>
            </a:r>
            <a:endParaRPr lang="en-US" altLang="zh-CN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P0-P10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cat>
            <c:numRef>
              <c:f>Sheet2!$A$2:$A$17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Sheet2!$B$2:$B$17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13</c:v>
                </c:pt>
                <c:pt idx="3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8-45DB-BDA5-948546C605BB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P10-P25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Sheet2!$C$2:$C$17</c:f>
              <c:numCache>
                <c:formatCode>General</c:formatCode>
                <c:ptCount val="16"/>
                <c:pt idx="4">
                  <c:v>286</c:v>
                </c:pt>
                <c:pt idx="5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D8-45DB-BDA5-948546C605BB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P25-P50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Sheet2!$D$2:$D$17</c:f>
              <c:numCache>
                <c:formatCode>General</c:formatCode>
                <c:ptCount val="16"/>
                <c:pt idx="6">
                  <c:v>1287</c:v>
                </c:pt>
                <c:pt idx="7">
                  <c:v>1716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D8-45DB-BDA5-948546C605BB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P50-P75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Sheet2!$E$2:$E$17</c:f>
              <c:numCache>
                <c:formatCode>General</c:formatCode>
                <c:ptCount val="16"/>
                <c:pt idx="8">
                  <c:v>1716</c:v>
                </c:pt>
                <c:pt idx="9">
                  <c:v>1287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D8-45DB-BDA5-948546C605BB}"/>
            </c:ext>
          </c:extLst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P75-P90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  <a:sp3d/>
          </c:spPr>
          <c:invertIfNegative val="0"/>
          <c:cat>
            <c:numRef>
              <c:f>Sheet2!$A$2:$A$17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Sheet2!$F$2:$F$17</c:f>
              <c:numCache>
                <c:formatCode>General</c:formatCode>
                <c:ptCount val="16"/>
                <c:pt idx="10">
                  <c:v>715</c:v>
                </c:pt>
                <c:pt idx="11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D8-45DB-BDA5-948546C605BB}"/>
            </c:ext>
          </c:extLst>
        </c:ser>
        <c:ser>
          <c:idx val="5"/>
          <c:order val="5"/>
          <c:tx>
            <c:strRef>
              <c:f>Sheet2!$G$1</c:f>
              <c:strCache>
                <c:ptCount val="1"/>
                <c:pt idx="0">
                  <c:v>P90-P100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numRef>
              <c:f>Sheet2!$A$2:$A$17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Sheet2!$G$2:$G$17</c:f>
              <c:numCache>
                <c:formatCode>General</c:formatCode>
                <c:ptCount val="16"/>
                <c:pt idx="12">
                  <c:v>78</c:v>
                </c:pt>
                <c:pt idx="13">
                  <c:v>13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D8-45DB-BDA5-948546C60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84412160"/>
        <c:axId val="175756352"/>
      </c:barChart>
      <c:catAx>
        <c:axId val="18441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56352"/>
        <c:crosses val="autoZero"/>
        <c:auto val="1"/>
        <c:lblAlgn val="ctr"/>
        <c:lblOffset val="100"/>
        <c:noMultiLvlLbl val="0"/>
      </c:catAx>
      <c:valAx>
        <c:axId val="17575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1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19</xdr:row>
      <xdr:rowOff>166688</xdr:rowOff>
    </xdr:from>
    <xdr:to>
      <xdr:col>14</xdr:col>
      <xdr:colOff>2381</xdr:colOff>
      <xdr:row>34</xdr:row>
      <xdr:rowOff>14288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My%20Documents\&#65306;QAD\&#65306;&#21672;&#35810;&#39033;&#30446;\2020-2-26%20&#24658;&#29983;&#30005;&#23376;\&#12304;&#39033;&#30446;&#21517;&#31216;&#12305;SEAi%20&#20272;&#31639;&#27169;&#26495;%20&#31616;&#21270;-2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所有需求"/>
      <sheetName val="迭代1"/>
      <sheetName val="迭代2"/>
      <sheetName val="需求"/>
      <sheetName val="估算表（挪至迭代内使用，此处废弃）"/>
      <sheetName val="行业数据"/>
      <sheetName val="组织数据"/>
      <sheetName val="换票分摊"/>
      <sheetName val="核销差异"/>
      <sheetName val="模板"/>
      <sheetName val="修订说明"/>
      <sheetName val="房源"/>
      <sheetName val="快递物流"/>
      <sheetName val="基金申购"/>
      <sheetName val="故障排除案例"/>
      <sheetName val="保险订单维护"/>
      <sheetName val="节能减耗"/>
      <sheetName val="销售报告文件导入"/>
      <sheetName val="任务分解"/>
      <sheetName val="购买保险产品"/>
      <sheetName val="用户故事地图"/>
      <sheetName val="滴滴"/>
    </sheetNames>
    <sheetDataSet>
      <sheetData sheetId="0"/>
      <sheetData sheetId="1"/>
      <sheetData sheetId="2">
        <row r="2">
          <cell r="D2">
            <v>20</v>
          </cell>
        </row>
      </sheetData>
      <sheetData sheetId="3"/>
      <sheetData sheetId="4"/>
      <sheetData sheetId="5"/>
      <sheetData sheetId="6">
        <row r="2">
          <cell r="B2">
            <v>2.1800000000000002</v>
          </cell>
        </row>
        <row r="4">
          <cell r="B4">
            <v>67.36</v>
          </cell>
        </row>
        <row r="5">
          <cell r="B5">
            <v>1.32</v>
          </cell>
        </row>
        <row r="6">
          <cell r="B6">
            <v>0.27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44" displayName="Table144" ref="A1:BB158">
  <autoFilter ref="A1:BB158" xr:uid="{00000000-0009-0000-0100-000003000000}"/>
  <tableColumns count="54">
    <tableColumn id="1" xr3:uid="{00000000-0010-0000-0000-000001000000}" name="度量项\项目" totalsRowLabel="Total" dataDxfId="1456"/>
    <tableColumn id="2" xr3:uid="{00000000-0010-0000-0000-000002000000}" name="符号" dataDxfId="1455"/>
    <tableColumn id="3" xr3:uid="{00000000-0010-0000-0000-000003000000}" name="单位" dataDxfId="1454"/>
    <tableColumn id="4" xr3:uid="{00000000-0010-0000-0000-000004000000}" name="填写" dataDxfId="1453"/>
    <tableColumn id="5" xr3:uid="{00000000-0010-0000-0000-000005000000}" name="P0" dataDxfId="1452"/>
    <tableColumn id="6" xr3:uid="{00000000-0010-0000-0000-000006000000}" name="P10" dataDxfId="1451"/>
    <tableColumn id="7" xr3:uid="{00000000-0010-0000-0000-000007000000}" name="P25" dataDxfId="1450"/>
    <tableColumn id="8" xr3:uid="{00000000-0010-0000-0000-000008000000}" name="P50" dataDxfId="1449"/>
    <tableColumn id="9" xr3:uid="{00000000-0010-0000-0000-000009000000}" name="P75" dataDxfId="1448"/>
    <tableColumn id="10" xr3:uid="{00000000-0010-0000-0000-00000A000000}" name="P90" dataDxfId="1447"/>
    <tableColumn id="11" xr3:uid="{00000000-0010-0000-0000-00000B000000}" name="P100" dataDxfId="1446"/>
    <tableColumn id="12" xr3:uid="{00000000-0010-0000-0000-00000C000000}" name="比较" dataDxfId="1445"/>
    <tableColumn id="13" xr3:uid="{00000000-0010-0000-0000-00000D000000}" name="P1-1" dataDxfId="1444"/>
    <tableColumn id="14" xr3:uid="{00000000-0010-0000-0000-00000E000000}" name="P1-2" dataDxfId="1443"/>
    <tableColumn id="15" xr3:uid="{00000000-0010-0000-0000-00000F000000}" name="P2-1" dataDxfId="1442"/>
    <tableColumn id="48" xr3:uid="{D1F28EE0-1692-40CB-BEFF-088552C3D56D}" name="P2-2" dataDxfId="1441"/>
    <tableColumn id="49" xr3:uid="{8AF5838F-56A7-43FC-A76D-C65219B7ED3D}" name="P2-3" dataDxfId="1440"/>
    <tableColumn id="16" xr3:uid="{00000000-0010-0000-0000-000010000000}" name="P3-1" dataDxfId="1439"/>
    <tableColumn id="17" xr3:uid="{00000000-0010-0000-0000-000011000000}" name="P3-2" dataDxfId="1438"/>
    <tableColumn id="18" xr3:uid="{00000000-0010-0000-0000-000012000000}" name="P3-3" dataDxfId="1437"/>
    <tableColumn id="50" xr3:uid="{319C7C4A-1702-454B-B205-293377FFD8F9}" name="P3-4" dataDxfId="1436"/>
    <tableColumn id="21" xr3:uid="{00000000-0010-0000-0000-000015000000}" name="P5-1" dataDxfId="1435"/>
    <tableColumn id="22" xr3:uid="{00000000-0010-0000-0000-000016000000}" name="P5-2" dataDxfId="1434"/>
    <tableColumn id="23" xr3:uid="{00000000-0010-0000-0000-000017000000}" name="P5-3" dataDxfId="1433"/>
    <tableColumn id="24" xr3:uid="{00000000-0010-0000-0000-000018000000}" name="P5-4" dataDxfId="1432"/>
    <tableColumn id="52" xr3:uid="{5AE2A222-4CE8-41A8-B96F-241B66B907B4}" name="P5-5" dataDxfId="1431" dataCellStyle="常规 3"/>
    <tableColumn id="51" xr3:uid="{A86C04E1-B120-4F38-8E9D-00850DE5AEF6}" name="P5-6" dataDxfId="1430" dataCellStyle="常规 3"/>
    <tableColumn id="25" xr3:uid="{00000000-0010-0000-0000-000019000000}" name="P6-1（微服务）" dataDxfId="1429"/>
    <tableColumn id="26" xr3:uid="{00000000-0010-0000-0000-00001A000000}" name="P6-2（微服务）2" dataDxfId="1428"/>
    <tableColumn id="54" xr3:uid="{E14B653E-FEB9-4D11-8D37-B771A224D2A2}" name="P6-2（微服务）3" dataDxfId="1427"/>
    <tableColumn id="53" xr3:uid="{83E8963C-37E6-4581-BC74-3E3F94A695F1}" name="P6-2（微服务）4" dataDxfId="1426"/>
    <tableColumn id="27" xr3:uid="{00000000-0010-0000-0000-00001B000000}" name="P8-1" dataDxfId="1425"/>
    <tableColumn id="28" xr3:uid="{00000000-0010-0000-0000-00001C000000}" name="P8-2" dataDxfId="1424"/>
    <tableColumn id="29" xr3:uid="{00000000-0010-0000-0000-00001D000000}" name="P8-3" dataDxfId="1423"/>
    <tableColumn id="30" xr3:uid="{00000000-0010-0000-0000-00001E000000}" name="P8-4" dataDxfId="1422"/>
    <tableColumn id="55" xr3:uid="{522582E7-6E56-4B7D-A00A-D6D0BF3C1590}" name="P8-5" dataDxfId="1421" dataCellStyle="常规 3"/>
    <tableColumn id="31" xr3:uid="{00000000-0010-0000-0000-00001F000000}" name="P9-1" dataDxfId="1420"/>
    <tableColumn id="56" xr3:uid="{D245AE8C-8B5D-41E8-B6E9-EC6DBB5D1F6E}" name="P9-2" dataDxfId="1419" dataCellStyle="常规 3"/>
    <tableColumn id="57" xr3:uid="{05598BAE-9CE6-4E3F-A3FA-51EDBE1AB9C9}" name="P9-3" dataDxfId="1418" dataCellStyle="常规 3"/>
    <tableColumn id="32" xr3:uid="{00000000-0010-0000-0000-000020000000}" name="P9-4" dataDxfId="1417"/>
    <tableColumn id="34" xr3:uid="{00000000-0010-0000-0000-000022000000}" name="在此之前插入" dataDxfId="1416"/>
    <tableColumn id="35" xr3:uid="{00000000-0010-0000-0000-000023000000}" name="MP10" dataDxfId="1415"/>
    <tableColumn id="36" xr3:uid="{00000000-0010-0000-0000-000024000000}" name="MP25" dataDxfId="1414"/>
    <tableColumn id="37" xr3:uid="{00000000-0010-0000-0000-000025000000}" name="MP50" dataDxfId="1413"/>
    <tableColumn id="38" xr3:uid="{00000000-0010-0000-0000-000026000000}" name="MP75" dataDxfId="1412"/>
    <tableColumn id="39" xr3:uid="{00000000-0010-0000-0000-000027000000}" name="MP90" dataDxfId="1411"/>
    <tableColumn id="40" xr3:uid="{00000000-0010-0000-0000-000028000000}" name="P75-P25_x000a_————_x000a_P50" dataDxfId="1410"/>
    <tableColumn id="41" xr3:uid="{00000000-0010-0000-0000-000029000000}" name="P75-P25_x000a_————_x000a_P50*2" dataDxfId="1409"/>
    <tableColumn id="42" xr3:uid="{00000000-0010-0000-0000-00002A000000}" name="P25-P50_x000a_————_x000a_P50" dataDxfId="1408"/>
    <tableColumn id="43" xr3:uid="{00000000-0010-0000-0000-00002B000000}" name="P75-P50_x000a_————_x000a_P50" dataDxfId="1407"/>
    <tableColumn id="44" xr3:uid="{00000000-0010-0000-0000-00002C000000}" name="E" dataDxfId="1406" dataCellStyle="Percent"/>
    <tableColumn id="45" xr3:uid="{00000000-0010-0000-0000-00002D000000}" name="D" dataDxfId="1405"/>
    <tableColumn id="46" xr3:uid="{00000000-0010-0000-0000-00002E000000}" name="类型" dataDxfId="1404"/>
    <tableColumn id="47" xr3:uid="{00000000-0010-0000-0000-00002F000000}" name="采集方法/计算公式" dataDxfId="140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4" displayName="Table14" ref="A1:AN43">
  <autoFilter ref="A1:AN43" xr:uid="{00000000-0009-0000-0100-000001000000}"/>
  <tableColumns count="40">
    <tableColumn id="1" xr3:uid="{00000000-0010-0000-0100-000001000000}" name="度量项\项目" totalsRowLabel="Total" dataDxfId="1402"/>
    <tableColumn id="2" xr3:uid="{00000000-0010-0000-0100-000002000000}" name="符号" dataDxfId="1401"/>
    <tableColumn id="3" xr3:uid="{00000000-0010-0000-0100-000003000000}" name="单位" dataDxfId="1400"/>
    <tableColumn id="4" xr3:uid="{00000000-0010-0000-0100-000004000000}" name="填写" dataDxfId="1399"/>
    <tableColumn id="5" xr3:uid="{00000000-0010-0000-0100-000005000000}" name="P0" dataDxfId="1398"/>
    <tableColumn id="6" xr3:uid="{00000000-0010-0000-0100-000006000000}" name="P10" dataDxfId="1397"/>
    <tableColumn id="7" xr3:uid="{00000000-0010-0000-0100-000007000000}" name="P25" dataDxfId="1396"/>
    <tableColumn id="8" xr3:uid="{00000000-0010-0000-0100-000008000000}" name="P50" dataDxfId="1395"/>
    <tableColumn id="9" xr3:uid="{00000000-0010-0000-0100-000009000000}" name="P75" dataDxfId="1394"/>
    <tableColumn id="10" xr3:uid="{00000000-0010-0000-0100-00000A000000}" name="P90" dataDxfId="1393"/>
    <tableColumn id="11" xr3:uid="{00000000-0010-0000-0100-00000B000000}" name="P100" dataDxfId="1392"/>
    <tableColumn id="12" xr3:uid="{00000000-0010-0000-0100-00000C000000}" name="比较" dataDxfId="1391"/>
    <tableColumn id="13" xr3:uid="{00000000-0010-0000-0100-00000D000000}" name="P1.1" dataDxfId="1390"/>
    <tableColumn id="14" xr3:uid="{00000000-0010-0000-0100-00000E000000}" name="P1.2" dataDxfId="1389"/>
    <tableColumn id="15" xr3:uid="{00000000-0010-0000-0100-00000F000000}" name="P1.3" dataDxfId="1388"/>
    <tableColumn id="16" xr3:uid="{00000000-0010-0000-0100-000010000000}" name="P2.1" dataDxfId="1387"/>
    <tableColumn id="17" xr3:uid="{00000000-0010-0000-0100-000011000000}" name="P2.2" dataDxfId="1386"/>
    <tableColumn id="18" xr3:uid="{00000000-0010-0000-0100-000012000000}" name="P2.3" dataDxfId="1385"/>
    <tableColumn id="19" xr3:uid="{00000000-0010-0000-0100-000013000000}" name="P3.1" dataDxfId="1384"/>
    <tableColumn id="20" xr3:uid="{00000000-0010-0000-0100-000014000000}" name="P3.2" dataDxfId="1383"/>
    <tableColumn id="21" xr3:uid="{00000000-0010-0000-0100-000015000000}" name="P3.3" dataDxfId="1382"/>
    <tableColumn id="22" xr3:uid="{00000000-0010-0000-0100-000016000000}" name="P5（累计数据）" dataDxfId="1381"/>
    <tableColumn id="23" xr3:uid="{00000000-0010-0000-0100-000017000000}" name="P6（微服务）" dataDxfId="1380"/>
    <tableColumn id="24" xr3:uid="{00000000-0010-0000-0100-000018000000}" name="P8_x000a_V202001.02.000" dataDxfId="1379"/>
    <tableColumn id="25" xr3:uid="{00000000-0010-0000-0100-000019000000}" name="P8_x000a_V202002.00.000" dataDxfId="1378"/>
    <tableColumn id="26" xr3:uid="{00000000-0010-0000-0100-00001A000000}" name="P8_x000a_V202002.01.000" dataDxfId="1377"/>
    <tableColumn id="27" xr3:uid="{00000000-0010-0000-0100-00001B000000}" name="在此之前插入" dataDxfId="1376"/>
    <tableColumn id="28" xr3:uid="{00000000-0010-0000-0100-00001C000000}" name="MP10" dataDxfId="1375">
      <calculatedColumnFormula>PERCENTILE($V2:$AA2,0.1)</calculatedColumnFormula>
    </tableColumn>
    <tableColumn id="29" xr3:uid="{00000000-0010-0000-0100-00001D000000}" name="MP25" dataDxfId="1374">
      <calculatedColumnFormula>PERCENTILE($V2:$AA2,0.25)</calculatedColumnFormula>
    </tableColumn>
    <tableColumn id="30" xr3:uid="{00000000-0010-0000-0100-00001E000000}" name="MP50" dataDxfId="1373">
      <calculatedColumnFormula>PERCENTILE($V2:$AA2,0.5)</calculatedColumnFormula>
    </tableColumn>
    <tableColumn id="31" xr3:uid="{00000000-0010-0000-0100-00001F000000}" name="MP75" dataDxfId="1372">
      <calculatedColumnFormula>PERCENTILE($V2:$AA2,0.75)</calculatedColumnFormula>
    </tableColumn>
    <tableColumn id="32" xr3:uid="{00000000-0010-0000-0100-000020000000}" name="MP90" dataDxfId="1371">
      <calculatedColumnFormula>PERCENTILE($V2:$AA2,0.9)</calculatedColumnFormula>
    </tableColumn>
    <tableColumn id="33" xr3:uid="{00000000-0010-0000-0100-000021000000}" name="P75-P25_x000a_————_x000a_P50" dataDxfId="1370">
      <calculatedColumnFormula>(Table14[[#This Row],[MP75]]-Table14[[#This Row],[MP25]])/Table14[[#This Row],[MP50]]</calculatedColumnFormula>
    </tableColumn>
    <tableColumn id="34" xr3:uid="{00000000-0010-0000-0100-000022000000}" name="P75-P25_x000a_————_x000a_P51*2" dataDxfId="1369"/>
    <tableColumn id="35" xr3:uid="{00000000-0010-0000-0100-000023000000}" name="P50-P25_x000a_————_x000a_P50" dataDxfId="1368">
      <calculatedColumnFormula>(Table14[[#This Row],[MP50]]-Table14[[#This Row],[MP25]])/Table14[[#This Row],[MP50]]</calculatedColumnFormula>
    </tableColumn>
    <tableColumn id="36" xr3:uid="{00000000-0010-0000-0100-000024000000}" name="P75-P50_x000a_————_x000a_P50" dataDxfId="1367">
      <calculatedColumnFormula>(Table14[[#This Row],[MP75]]-Table14[[#This Row],[MP50]])/Table14[[#This Row],[MP50]]</calculatedColumnFormula>
    </tableColumn>
    <tableColumn id="37" xr3:uid="{00000000-0010-0000-0100-000025000000}" name="E" dataDxfId="1366">
      <calculatedColumnFormula>AVERAGE($M2,$R2,$U2,$V2,$W2,$Z2)</calculatedColumnFormula>
    </tableColumn>
    <tableColumn id="38" xr3:uid="{00000000-0010-0000-0100-000026000000}" name="D" dataDxfId="1365">
      <calculatedColumnFormula>STDEV($M2,$R2,$U2,$V2,$W2,$Z2)</calculatedColumnFormula>
    </tableColumn>
    <tableColumn id="39" xr3:uid="{00000000-0010-0000-0100-000027000000}" name="类型" dataDxfId="1364"/>
    <tableColumn id="40" xr3:uid="{00000000-0010-0000-0100-000028000000}" name="采集方法/计算公式" dataDxfId="136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13" displayName="Table13" ref="A1:Z41">
  <autoFilter ref="A1:Z41" xr:uid="{00000000-0009-0000-0100-000002000000}"/>
  <tableColumns count="26">
    <tableColumn id="1" xr3:uid="{00000000-0010-0000-0200-000001000000}" name="度量项\项目" totalsRowLabel="Total" dataDxfId="1362"/>
    <tableColumn id="2" xr3:uid="{00000000-0010-0000-0200-000002000000}" name="符号" dataDxfId="1361"/>
    <tableColumn id="3" xr3:uid="{00000000-0010-0000-0200-000003000000}" name="单位" dataDxfId="1360"/>
    <tableColumn id="4" xr3:uid="{00000000-0010-0000-0200-000004000000}" name="填写" dataDxfId="1359"/>
    <tableColumn id="5" xr3:uid="{00000000-0010-0000-0200-000005000000}" name="P0" dataDxfId="1358"/>
    <tableColumn id="6" xr3:uid="{00000000-0010-0000-0200-000006000000}" name="P10" dataDxfId="1357"/>
    <tableColumn id="7" xr3:uid="{00000000-0010-0000-0200-000007000000}" name="P25" dataDxfId="1356"/>
    <tableColumn id="8" xr3:uid="{00000000-0010-0000-0200-000008000000}" name="P50" dataDxfId="1355"/>
    <tableColumn id="9" xr3:uid="{00000000-0010-0000-0200-000009000000}" name="P75" dataDxfId="1354"/>
    <tableColumn id="10" xr3:uid="{00000000-0010-0000-0200-00000A000000}" name="P90" dataDxfId="1353"/>
    <tableColumn id="11" xr3:uid="{00000000-0010-0000-0200-00000B000000}" name="P100" dataDxfId="1352"/>
    <tableColumn id="12" xr3:uid="{00000000-0010-0000-0200-00000C000000}" name="比较" dataDxfId="1351"/>
    <tableColumn id="13" xr3:uid="{00000000-0010-0000-0200-00000D000000}" name="迭代1" dataDxfId="1350"/>
    <tableColumn id="14" xr3:uid="{00000000-0010-0000-0200-00000E000000}" name="迭代2" dataDxfId="1349"/>
    <tableColumn id="15" xr3:uid="{00000000-0010-0000-0200-00000F000000}" name="迭代3" dataDxfId="1348"/>
    <tableColumn id="16" xr3:uid="{00000000-0010-0000-0200-000010000000}" name="迭代4" dataDxfId="1347"/>
    <tableColumn id="17" xr3:uid="{00000000-0010-0000-0200-000011000000}" name="迭代5" dataDxfId="1346"/>
    <tableColumn id="18" xr3:uid="{00000000-0010-0000-0200-000012000000}" name="迭代6" dataDxfId="1345"/>
    <tableColumn id="19" xr3:uid="{00000000-0010-0000-0200-000013000000}" name="迭代7" dataDxfId="1344"/>
    <tableColumn id="20" xr3:uid="{00000000-0010-0000-0200-000014000000}" name="迭代8" dataDxfId="1343"/>
    <tableColumn id="21" xr3:uid="{00000000-0010-0000-0200-000015000000}" name="迭代9" dataDxfId="1342"/>
    <tableColumn id="22" xr3:uid="{00000000-0010-0000-0200-000016000000}" name="迭代10" dataDxfId="1341"/>
    <tableColumn id="23" xr3:uid="{00000000-0010-0000-0200-000017000000}" name="迭代11" dataDxfId="1340"/>
    <tableColumn id="24" xr3:uid="{00000000-0010-0000-0200-000018000000}" name="0" dataDxfId="1339"/>
    <tableColumn id="25" xr3:uid="{00000000-0010-0000-0200-000019000000}" name="类型" dataDxfId="1338"/>
    <tableColumn id="26" xr3:uid="{00000000-0010-0000-0200-00001A000000}" name="采集方法/计算公式" dataDxfId="133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58"/>
  <sheetViews>
    <sheetView tabSelected="1" zoomScaleNormal="89" workbookViewId="0">
      <pane xSplit="1" ySplit="1" topLeftCell="M2" activePane="bottomRight" state="frozen"/>
      <selection pane="topRight"/>
      <selection pane="bottomLeft"/>
      <selection pane="bottomRight" activeCell="R51" sqref="R51"/>
    </sheetView>
  </sheetViews>
  <sheetFormatPr defaultColWidth="8.86328125" defaultRowHeight="14.25"/>
  <cols>
    <col min="1" max="1" width="30.86328125" style="106" customWidth="1"/>
    <col min="2" max="2" width="0.3984375" style="106" customWidth="1"/>
    <col min="3" max="3" width="16.1328125" style="106" customWidth="1"/>
    <col min="4" max="4" width="5.59765625" style="106" customWidth="1"/>
    <col min="5" max="5" width="4.59765625" style="106" hidden="1" customWidth="1"/>
    <col min="6" max="6" width="4.265625" style="116" hidden="1" customWidth="1"/>
    <col min="7" max="7" width="5.59765625" style="117" hidden="1" customWidth="1"/>
    <col min="8" max="8" width="5.59765625" style="113" hidden="1" customWidth="1"/>
    <col min="9" max="9" width="5.59765625" style="118" hidden="1" customWidth="1"/>
    <col min="10" max="10" width="5.59765625" style="119" hidden="1" customWidth="1"/>
    <col min="11" max="11" width="5.1328125" style="113" hidden="1" customWidth="1"/>
    <col min="12" max="12" width="5.59765625" style="106" hidden="1" customWidth="1"/>
    <col min="13" max="27" width="10.3984375" style="106" customWidth="1"/>
    <col min="33" max="39" width="10.3984375" style="106" customWidth="1"/>
    <col min="40" max="40" width="9.3984375" customWidth="1"/>
    <col min="42" max="48" width="10.3984375" style="106" customWidth="1"/>
    <col min="49" max="50" width="12.3984375" style="106" customWidth="1"/>
    <col min="51" max="51" width="12.3984375" style="313" customWidth="1"/>
    <col min="52" max="52" width="12.3984375" style="106" customWidth="1"/>
    <col min="53" max="53" width="10.86328125" style="106" hidden="1" customWidth="1"/>
    <col min="54" max="56" width="11.59765625" style="120" customWidth="1"/>
    <col min="57" max="57" width="12.3984375" style="120" customWidth="1"/>
    <col min="58" max="59" width="12.3984375" style="106" customWidth="1"/>
    <col min="60" max="60" width="40.73046875" style="106" customWidth="1"/>
    <col min="61" max="61" width="7.1328125" style="106" customWidth="1"/>
    <col min="62" max="62" width="57.86328125" style="106" customWidth="1"/>
    <col min="63" max="64" width="14.86328125" style="106" customWidth="1"/>
    <col min="65" max="65" width="12.86328125" style="106" customWidth="1"/>
    <col min="66" max="66" width="15" style="106" customWidth="1"/>
    <col min="67" max="16384" width="8.86328125" style="106"/>
  </cols>
  <sheetData>
    <row r="1" spans="1:57" s="105" customFormat="1" ht="53.4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44" t="s">
        <v>5</v>
      </c>
      <c r="G1" s="45" t="s">
        <v>6</v>
      </c>
      <c r="H1" s="46" t="s">
        <v>7</v>
      </c>
      <c r="I1" s="66" t="s">
        <v>8</v>
      </c>
      <c r="J1" s="67" t="s">
        <v>9</v>
      </c>
      <c r="K1" s="46" t="s">
        <v>10</v>
      </c>
      <c r="L1" s="21" t="s">
        <v>11</v>
      </c>
      <c r="M1" s="389" t="s">
        <v>12</v>
      </c>
      <c r="N1" s="389" t="s">
        <v>13</v>
      </c>
      <c r="O1" s="67" t="s">
        <v>14</v>
      </c>
      <c r="P1" s="388" t="s">
        <v>229</v>
      </c>
      <c r="Q1" s="388" t="s">
        <v>230</v>
      </c>
      <c r="R1" s="67" t="s">
        <v>15</v>
      </c>
      <c r="S1" s="67" t="s">
        <v>16</v>
      </c>
      <c r="T1" s="67" t="s">
        <v>17</v>
      </c>
      <c r="U1" s="388" t="s">
        <v>231</v>
      </c>
      <c r="V1" s="67" t="s">
        <v>18</v>
      </c>
      <c r="W1" s="67" t="s">
        <v>19</v>
      </c>
      <c r="X1" s="67" t="s">
        <v>20</v>
      </c>
      <c r="Y1" s="46" t="s">
        <v>21</v>
      </c>
      <c r="Z1" s="285" t="s">
        <v>232</v>
      </c>
      <c r="AA1" s="285" t="s">
        <v>233</v>
      </c>
      <c r="AB1" s="46" t="s">
        <v>22</v>
      </c>
      <c r="AC1" s="46" t="s">
        <v>23</v>
      </c>
      <c r="AD1" s="285" t="s">
        <v>235</v>
      </c>
      <c r="AE1" s="285" t="s">
        <v>236</v>
      </c>
      <c r="AF1" s="46" t="s">
        <v>251</v>
      </c>
      <c r="AG1" s="46" t="s">
        <v>24</v>
      </c>
      <c r="AH1" s="46" t="s">
        <v>25</v>
      </c>
      <c r="AI1" s="46" t="s">
        <v>26</v>
      </c>
      <c r="AJ1" s="285" t="s">
        <v>239</v>
      </c>
      <c r="AK1" s="46" t="s">
        <v>27</v>
      </c>
      <c r="AL1" s="285" t="s">
        <v>240</v>
      </c>
      <c r="AM1" s="46" t="s">
        <v>249</v>
      </c>
      <c r="AN1" s="285" t="s">
        <v>250</v>
      </c>
      <c r="AO1" s="212" t="s">
        <v>28</v>
      </c>
      <c r="AP1" s="121" t="s">
        <v>29</v>
      </c>
      <c r="AQ1" s="121" t="s">
        <v>30</v>
      </c>
      <c r="AR1" s="121" t="s">
        <v>31</v>
      </c>
      <c r="AS1" s="121" t="s">
        <v>32</v>
      </c>
      <c r="AT1" s="121" t="s">
        <v>33</v>
      </c>
      <c r="AU1" s="223" t="s">
        <v>34</v>
      </c>
      <c r="AV1" s="223" t="s">
        <v>241</v>
      </c>
      <c r="AW1" s="223" t="s">
        <v>242</v>
      </c>
      <c r="AX1" s="223" t="s">
        <v>37</v>
      </c>
      <c r="AY1" s="308" t="s">
        <v>38</v>
      </c>
      <c r="AZ1" s="121" t="s">
        <v>39</v>
      </c>
      <c r="BA1" s="121" t="s">
        <v>40</v>
      </c>
      <c r="BB1" s="231" t="s">
        <v>41</v>
      </c>
    </row>
    <row r="2" spans="1:57" ht="15" hidden="1">
      <c r="A2" s="22" t="s">
        <v>42</v>
      </c>
      <c r="B2" s="23"/>
      <c r="C2" s="23"/>
      <c r="D2" s="23"/>
      <c r="E2" s="23"/>
      <c r="F2" s="47"/>
      <c r="G2" s="23"/>
      <c r="H2" s="23"/>
      <c r="I2" s="23"/>
      <c r="J2" s="23"/>
      <c r="K2" s="23"/>
      <c r="L2" s="23"/>
      <c r="M2" s="390"/>
      <c r="N2" s="390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82"/>
      <c r="Z2" s="82"/>
      <c r="AA2" s="82"/>
      <c r="AB2" s="122"/>
      <c r="AC2" s="198"/>
      <c r="AD2" s="198"/>
      <c r="AE2" s="198"/>
      <c r="AF2" s="82"/>
      <c r="AG2" s="82"/>
      <c r="AH2" s="82"/>
      <c r="AI2" s="82"/>
      <c r="AJ2" s="82"/>
      <c r="AK2" s="82"/>
      <c r="AL2" s="307"/>
      <c r="AM2" s="174"/>
      <c r="AN2" s="174"/>
      <c r="AO2" s="179"/>
      <c r="AP2" s="122" t="e">
        <f t="shared" ref="AP2:AP14" si="0">PERCENTILE($M2:$AO2,0.1)</f>
        <v>#NUM!</v>
      </c>
      <c r="AQ2" s="122" t="e">
        <f t="shared" ref="AQ2:AQ14" si="1">PERCENTILE($M2:$AO2,0.25)</f>
        <v>#NUM!</v>
      </c>
      <c r="AR2" s="122" t="e">
        <f t="shared" ref="AR2:AR14" si="2">PERCENTILE($M2:$AO2,0.5)</f>
        <v>#NUM!</v>
      </c>
      <c r="AS2" s="122" t="e">
        <f t="shared" ref="AS2:AS14" si="3">PERCENTILE($M2:$AO2,0.75)</f>
        <v>#NUM!</v>
      </c>
      <c r="AT2" s="122" t="e">
        <f t="shared" ref="AT2:AT14" si="4">PERCENTILE($M2:$AO2,0.9)</f>
        <v>#NUM!</v>
      </c>
      <c r="AU2" s="131" t="e">
        <f>(Table144[[#This Row],[MP75]]-Table144[[#This Row],[MP25]])/Table144[[#This Row],[MP50]]</f>
        <v>#NUM!</v>
      </c>
      <c r="AV2" s="131" t="e">
        <v>#NUM!</v>
      </c>
      <c r="AW2" s="131" t="e">
        <f>(Table144[[#This Row],[MP50]]-Table144[[#This Row],[MP25]])/Table144[[#This Row],[MP50]]</f>
        <v>#NUM!</v>
      </c>
      <c r="AX2" s="131" t="e">
        <f>(Table144[[#This Row],[MP75]]-Table144[[#This Row],[MP50]])/Table144[[#This Row],[MP50]]</f>
        <v>#NUM!</v>
      </c>
      <c r="AY2" s="236" t="e">
        <f>AVERAGE($R2,$V2,$Y2,#REF!,$AB2,#REF!)</f>
        <v>#REF!</v>
      </c>
      <c r="AZ2" s="122" t="e">
        <f>STDEV($R2,$V2,$Y2,#REF!,$AB2,#REF!)</f>
        <v>#REF!</v>
      </c>
      <c r="BA2" s="122"/>
      <c r="BB2" s="174"/>
      <c r="BC2" s="106"/>
      <c r="BD2" s="106"/>
      <c r="BE2" s="106"/>
    </row>
    <row r="3" spans="1:57" ht="12" customHeight="1">
      <c r="A3" s="22" t="s">
        <v>43</v>
      </c>
      <c r="B3" s="23"/>
      <c r="C3" s="23" t="s">
        <v>44</v>
      </c>
      <c r="D3" s="23"/>
      <c r="E3" s="23"/>
      <c r="F3" s="48"/>
      <c r="G3" s="49"/>
      <c r="H3" s="23"/>
      <c r="I3" s="68"/>
      <c r="J3" s="30"/>
      <c r="K3" s="23"/>
      <c r="L3" s="23"/>
      <c r="M3" s="390" t="s">
        <v>45</v>
      </c>
      <c r="N3" s="390" t="s">
        <v>45</v>
      </c>
      <c r="O3" s="322" t="s">
        <v>46</v>
      </c>
      <c r="P3" s="322" t="s">
        <v>46</v>
      </c>
      <c r="Q3" s="322" t="s">
        <v>46</v>
      </c>
      <c r="R3" s="322" t="s">
        <v>45</v>
      </c>
      <c r="S3" s="322" t="s">
        <v>45</v>
      </c>
      <c r="T3" s="322" t="s">
        <v>45</v>
      </c>
      <c r="U3" s="322" t="s">
        <v>45</v>
      </c>
      <c r="V3" s="322" t="s">
        <v>45</v>
      </c>
      <c r="W3" s="322" t="s">
        <v>45</v>
      </c>
      <c r="X3" s="322" t="s">
        <v>45</v>
      </c>
      <c r="Y3" s="82" t="s">
        <v>45</v>
      </c>
      <c r="Z3" s="82" t="s">
        <v>45</v>
      </c>
      <c r="AA3" s="82" t="s">
        <v>45</v>
      </c>
      <c r="AB3" s="82" t="s">
        <v>47</v>
      </c>
      <c r="AC3" s="82" t="s">
        <v>47</v>
      </c>
      <c r="AD3" s="82" t="s">
        <v>47</v>
      </c>
      <c r="AE3" s="82" t="s">
        <v>47</v>
      </c>
      <c r="AF3" s="82" t="s">
        <v>48</v>
      </c>
      <c r="AG3" s="82" t="s">
        <v>49</v>
      </c>
      <c r="AH3" s="82" t="s">
        <v>49</v>
      </c>
      <c r="AI3" s="82" t="s">
        <v>49</v>
      </c>
      <c r="AJ3" s="82" t="s">
        <v>49</v>
      </c>
      <c r="AK3" s="82"/>
      <c r="AL3" s="307"/>
      <c r="AM3" s="174"/>
      <c r="AN3" s="174"/>
      <c r="AO3" s="179"/>
      <c r="AP3" s="122" t="e">
        <f t="shared" si="0"/>
        <v>#NUM!</v>
      </c>
      <c r="AQ3" s="122" t="e">
        <f t="shared" si="1"/>
        <v>#NUM!</v>
      </c>
      <c r="AR3" s="122" t="e">
        <f t="shared" si="2"/>
        <v>#NUM!</v>
      </c>
      <c r="AS3" s="122" t="e">
        <f t="shared" si="3"/>
        <v>#NUM!</v>
      </c>
      <c r="AT3" s="122" t="e">
        <f t="shared" si="4"/>
        <v>#NUM!</v>
      </c>
      <c r="AU3" s="131"/>
      <c r="AV3" s="131"/>
      <c r="AW3" s="131"/>
      <c r="AX3" s="131"/>
      <c r="AY3" s="236"/>
      <c r="AZ3" s="122" t="e">
        <f>STDEV($R3,$V3,$Y3,#REF!,$AB3,#REF!)</f>
        <v>#REF!</v>
      </c>
      <c r="BA3" s="122" t="s">
        <v>50</v>
      </c>
      <c r="BB3" s="174"/>
      <c r="BC3" s="106"/>
      <c r="BD3" s="106"/>
      <c r="BE3" s="106"/>
    </row>
    <row r="4" spans="1:57" ht="37.15">
      <c r="A4" s="22" t="s">
        <v>51</v>
      </c>
      <c r="B4" s="23" t="s">
        <v>52</v>
      </c>
      <c r="C4" s="23"/>
      <c r="D4" s="23"/>
      <c r="E4" s="23"/>
      <c r="F4" s="47"/>
      <c r="G4" s="23"/>
      <c r="H4" s="23"/>
      <c r="I4" s="23"/>
      <c r="J4" s="23"/>
      <c r="K4" s="23"/>
      <c r="L4" s="23"/>
      <c r="M4" s="391">
        <v>1.2</v>
      </c>
      <c r="N4" s="391">
        <v>1.2</v>
      </c>
      <c r="O4" s="336">
        <v>1</v>
      </c>
      <c r="P4" s="336">
        <v>1</v>
      </c>
      <c r="Q4" s="336">
        <v>1</v>
      </c>
      <c r="R4" s="336">
        <v>1.2</v>
      </c>
      <c r="S4" s="336">
        <v>1.2</v>
      </c>
      <c r="T4" s="336">
        <v>1.2</v>
      </c>
      <c r="U4" s="336">
        <v>1.2</v>
      </c>
      <c r="V4" s="336">
        <v>1</v>
      </c>
      <c r="W4" s="336">
        <v>1</v>
      </c>
      <c r="X4" s="336">
        <v>1</v>
      </c>
      <c r="Y4" s="336">
        <v>1</v>
      </c>
      <c r="Z4" s="336">
        <v>1</v>
      </c>
      <c r="AA4" s="336">
        <v>1</v>
      </c>
      <c r="AB4" s="322">
        <v>1.4</v>
      </c>
      <c r="AC4" s="322">
        <v>1.4</v>
      </c>
      <c r="AD4" s="322">
        <v>1.4</v>
      </c>
      <c r="AE4" s="322">
        <v>1.4</v>
      </c>
      <c r="AF4" s="336">
        <v>1.4</v>
      </c>
      <c r="AG4" s="336">
        <v>1.3</v>
      </c>
      <c r="AH4" s="336">
        <v>1.3</v>
      </c>
      <c r="AI4" s="336">
        <v>1.3</v>
      </c>
      <c r="AJ4" s="336">
        <v>1.3</v>
      </c>
      <c r="AK4" s="336">
        <v>1.4</v>
      </c>
      <c r="AL4" s="336">
        <v>1.4</v>
      </c>
      <c r="AM4" s="336">
        <v>1.1000000000000001</v>
      </c>
      <c r="AN4" s="336">
        <v>1.1000000000000001</v>
      </c>
      <c r="AO4" s="349"/>
      <c r="AP4" s="350">
        <f t="shared" si="0"/>
        <v>1</v>
      </c>
      <c r="AQ4" s="350">
        <f t="shared" si="1"/>
        <v>1</v>
      </c>
      <c r="AR4" s="350">
        <f t="shared" si="2"/>
        <v>1.2</v>
      </c>
      <c r="AS4" s="350">
        <f t="shared" si="3"/>
        <v>1.325</v>
      </c>
      <c r="AT4" s="350">
        <f t="shared" si="4"/>
        <v>1.4</v>
      </c>
      <c r="AU4" s="351">
        <f>(Table144[[#This Row],[MP75]]-Table144[[#This Row],[MP25]])/Table144[[#This Row],[MP50]]</f>
        <v>0.27083333333333331</v>
      </c>
      <c r="AV4" s="351">
        <v>0.13541666666666699</v>
      </c>
      <c r="AW4" s="351">
        <f>(Table144[[#This Row],[MP25]]-Table144[[#This Row],[MP50]])/Table144[[#This Row],[MP50]]</f>
        <v>-0.16666666666666663</v>
      </c>
      <c r="AX4" s="351">
        <f>(Table144[[#This Row],[MP75]]-Table144[[#This Row],[MP50]])/Table144[[#This Row],[MP50]]</f>
        <v>0.10416666666666667</v>
      </c>
      <c r="AY4" s="352">
        <f>AVERAGE(Table144[[#This Row],[P1-1]:[在此之前插入]])</f>
        <v>1.1928571428571426</v>
      </c>
      <c r="AZ4" s="350">
        <f>_xlfn.STDEV.P(Table144[[#This Row],[P1-1]:[P9-4]])</f>
        <v>0.1579524599106881</v>
      </c>
      <c r="BA4" s="350"/>
      <c r="BB4" s="353"/>
      <c r="BC4" s="106"/>
      <c r="BD4" s="106"/>
      <c r="BE4" s="106"/>
    </row>
    <row r="5" spans="1:57" ht="15">
      <c r="A5" s="22" t="s">
        <v>53</v>
      </c>
      <c r="B5" s="23"/>
      <c r="C5" s="23" t="s">
        <v>54</v>
      </c>
      <c r="D5" s="23"/>
      <c r="E5" s="23"/>
      <c r="F5" s="47"/>
      <c r="G5" s="23"/>
      <c r="H5" s="23"/>
      <c r="I5" s="23"/>
      <c r="J5" s="23"/>
      <c r="K5" s="23"/>
      <c r="L5" s="23"/>
      <c r="M5" s="390"/>
      <c r="N5" s="390"/>
      <c r="O5" s="322"/>
      <c r="P5" s="322"/>
      <c r="Q5" s="322"/>
      <c r="R5" s="322">
        <v>7</v>
      </c>
      <c r="S5" s="322">
        <v>7</v>
      </c>
      <c r="T5" s="322">
        <v>7</v>
      </c>
      <c r="U5" s="322">
        <v>7</v>
      </c>
      <c r="V5" s="322">
        <v>7</v>
      </c>
      <c r="W5" s="322">
        <v>7</v>
      </c>
      <c r="X5" s="322">
        <v>7</v>
      </c>
      <c r="Y5" s="322">
        <v>7</v>
      </c>
      <c r="Z5" s="322">
        <v>7</v>
      </c>
      <c r="AA5" s="322">
        <v>7</v>
      </c>
      <c r="AB5" s="350"/>
      <c r="AC5" s="353"/>
      <c r="AD5" s="353"/>
      <c r="AE5" s="353"/>
      <c r="AF5" s="322"/>
      <c r="AG5" s="322"/>
      <c r="AH5" s="322"/>
      <c r="AI5" s="322"/>
      <c r="AJ5" s="322"/>
      <c r="AK5" s="322"/>
      <c r="AL5" s="354"/>
      <c r="AM5" s="353"/>
      <c r="AN5" s="353"/>
      <c r="AO5" s="355"/>
      <c r="AP5" s="350">
        <f t="shared" si="0"/>
        <v>7</v>
      </c>
      <c r="AQ5" s="350">
        <f t="shared" si="1"/>
        <v>7</v>
      </c>
      <c r="AR5" s="350">
        <f t="shared" si="2"/>
        <v>7</v>
      </c>
      <c r="AS5" s="350">
        <f t="shared" si="3"/>
        <v>7</v>
      </c>
      <c r="AT5" s="350">
        <f t="shared" si="4"/>
        <v>7</v>
      </c>
      <c r="AU5" s="351">
        <f>(Table144[[#This Row],[MP75]]-Table144[[#This Row],[MP25]])/Table144[[#This Row],[MP50]]</f>
        <v>0</v>
      </c>
      <c r="AV5" s="351">
        <v>0</v>
      </c>
      <c r="AW5" s="351">
        <f>(Table144[[#This Row],[MP25]]-Table144[[#This Row],[MP50]])/Table144[[#This Row],[MP50]]</f>
        <v>0</v>
      </c>
      <c r="AX5" s="351">
        <f>(Table144[[#This Row],[MP75]]-Table144[[#This Row],[MP50]])/Table144[[#This Row],[MP50]]</f>
        <v>0</v>
      </c>
      <c r="AY5" s="352">
        <f>AVERAGE(Table144[[#This Row],[P1-1]:[P9-4]])</f>
        <v>7</v>
      </c>
      <c r="AZ5" s="350">
        <f>_xlfn.STDEV.P(Table144[[#This Row],[P1-1]:[P9-4]])</f>
        <v>0</v>
      </c>
      <c r="BA5" s="350"/>
      <c r="BB5" s="353"/>
      <c r="BC5" s="106"/>
      <c r="BD5" s="106"/>
      <c r="BE5" s="106"/>
    </row>
    <row r="6" spans="1:57" ht="15">
      <c r="A6" s="24" t="s">
        <v>55</v>
      </c>
      <c r="B6" s="25"/>
      <c r="C6" s="26"/>
      <c r="D6" s="26"/>
      <c r="E6" s="26"/>
      <c r="F6" s="50"/>
      <c r="G6" s="51"/>
      <c r="H6" s="26"/>
      <c r="I6" s="69"/>
      <c r="J6" s="70"/>
      <c r="K6" s="26"/>
      <c r="L6" s="26"/>
      <c r="M6" s="392"/>
      <c r="N6" s="392"/>
      <c r="O6" s="337"/>
      <c r="P6" s="325"/>
      <c r="Q6" s="325"/>
      <c r="R6" s="324"/>
      <c r="S6" s="337"/>
      <c r="T6" s="324"/>
      <c r="U6" s="337"/>
      <c r="V6" s="324"/>
      <c r="W6" s="324"/>
      <c r="X6" s="338" t="s">
        <v>56</v>
      </c>
      <c r="Y6" s="337"/>
      <c r="Z6" s="325"/>
      <c r="AA6" s="325"/>
      <c r="AB6" s="350"/>
      <c r="AC6" s="350"/>
      <c r="AD6" s="350"/>
      <c r="AE6" s="350"/>
      <c r="AF6" s="337"/>
      <c r="AG6" s="337"/>
      <c r="AH6" s="337"/>
      <c r="AI6" s="337"/>
      <c r="AJ6" s="325"/>
      <c r="AK6" s="337"/>
      <c r="AL6" s="325"/>
      <c r="AM6" s="350"/>
      <c r="AN6" s="350"/>
      <c r="AO6" s="355"/>
      <c r="AP6" s="350" t="e">
        <f t="shared" si="0"/>
        <v>#NUM!</v>
      </c>
      <c r="AQ6" s="350" t="e">
        <f t="shared" si="1"/>
        <v>#NUM!</v>
      </c>
      <c r="AR6" s="350" t="e">
        <f t="shared" si="2"/>
        <v>#NUM!</v>
      </c>
      <c r="AS6" s="350" t="e">
        <f t="shared" si="3"/>
        <v>#NUM!</v>
      </c>
      <c r="AT6" s="350" t="e">
        <f t="shared" si="4"/>
        <v>#NUM!</v>
      </c>
      <c r="AU6" s="351"/>
      <c r="AV6" s="351"/>
      <c r="AW6" s="351" t="e">
        <f>(Table144[[#This Row],[MP25]]-Table144[[#This Row],[MP50]])/Table144[[#This Row],[MP50]]</f>
        <v>#NUM!</v>
      </c>
      <c r="AX6" s="351"/>
      <c r="AY6" s="352"/>
      <c r="AZ6" s="356"/>
      <c r="BA6" s="350"/>
      <c r="BB6" s="353"/>
      <c r="BC6" s="106"/>
      <c r="BD6" s="106"/>
      <c r="BE6" s="106"/>
    </row>
    <row r="7" spans="1:57" ht="15">
      <c r="A7" s="27" t="s">
        <v>57</v>
      </c>
      <c r="B7" s="23"/>
      <c r="C7" s="23" t="s">
        <v>58</v>
      </c>
      <c r="D7" s="28" t="s">
        <v>59</v>
      </c>
      <c r="E7" s="23"/>
      <c r="F7" s="47"/>
      <c r="G7" s="23"/>
      <c r="H7" s="23"/>
      <c r="I7" s="23"/>
      <c r="J7" s="23"/>
      <c r="K7" s="23"/>
      <c r="L7" s="23"/>
      <c r="M7" s="393">
        <f>M54</f>
        <v>334.8</v>
      </c>
      <c r="N7" s="393">
        <f t="shared" ref="N7:R7" si="5">N54</f>
        <v>707.4</v>
      </c>
      <c r="O7" s="330">
        <f t="shared" si="5"/>
        <v>610.20000000000005</v>
      </c>
      <c r="P7" s="330">
        <f t="shared" ref="P7:Q10" si="6">P54</f>
        <v>642.6</v>
      </c>
      <c r="Q7" s="330">
        <f t="shared" si="6"/>
        <v>691.2</v>
      </c>
      <c r="R7" s="330">
        <f t="shared" si="5"/>
        <v>25.92</v>
      </c>
      <c r="S7" s="330">
        <f t="shared" ref="S7:AA7" si="7">S54</f>
        <v>1056</v>
      </c>
      <c r="T7" s="330">
        <f t="shared" si="7"/>
        <v>1302</v>
      </c>
      <c r="U7" s="330">
        <f t="shared" si="7"/>
        <v>1496</v>
      </c>
      <c r="V7" s="330">
        <f t="shared" si="7"/>
        <v>1452.6</v>
      </c>
      <c r="W7" s="330">
        <f t="shared" si="7"/>
        <v>1873.6</v>
      </c>
      <c r="X7" s="330">
        <f t="shared" si="7"/>
        <v>1954.6</v>
      </c>
      <c r="Y7" s="330">
        <f t="shared" si="7"/>
        <v>2024.6</v>
      </c>
      <c r="Z7" s="330">
        <f t="shared" si="7"/>
        <v>2067.8000000000002</v>
      </c>
      <c r="AA7" s="330">
        <f t="shared" si="7"/>
        <v>2154.1999999999998</v>
      </c>
      <c r="AB7" s="330">
        <f t="shared" ref="AB7:AC10" si="8">AB54</f>
        <v>4937.5</v>
      </c>
      <c r="AC7" s="330">
        <f t="shared" si="8"/>
        <v>5272.3</v>
      </c>
      <c r="AD7" s="330">
        <f t="shared" ref="AD7:AF10" si="9">AD54</f>
        <v>5572</v>
      </c>
      <c r="AE7" s="330">
        <f t="shared" si="9"/>
        <v>5863.6</v>
      </c>
      <c r="AF7" s="330">
        <f t="shared" si="9"/>
        <v>1925</v>
      </c>
      <c r="AG7" s="330">
        <f t="shared" ref="AG7:AI7" si="10">AG54</f>
        <v>496.8</v>
      </c>
      <c r="AH7" s="330">
        <f t="shared" si="10"/>
        <v>529.20000000000005</v>
      </c>
      <c r="AI7" s="330">
        <f t="shared" si="10"/>
        <v>788.4</v>
      </c>
      <c r="AJ7" s="330">
        <f t="shared" ref="AJ7:AL10" si="11">AJ54</f>
        <v>858.6</v>
      </c>
      <c r="AK7" s="330">
        <f t="shared" si="11"/>
        <v>1015</v>
      </c>
      <c r="AL7" s="330">
        <f t="shared" si="11"/>
        <v>2065</v>
      </c>
      <c r="AM7" s="330">
        <f t="shared" ref="AM7" si="12">AM54</f>
        <v>351</v>
      </c>
      <c r="AN7" s="330">
        <f>AN54</f>
        <v>415.8</v>
      </c>
      <c r="AO7" s="355"/>
      <c r="AP7" s="350">
        <f t="shared" si="0"/>
        <v>396.36</v>
      </c>
      <c r="AQ7" s="350">
        <f t="shared" si="1"/>
        <v>634.5</v>
      </c>
      <c r="AR7" s="350">
        <f t="shared" si="2"/>
        <v>1179</v>
      </c>
      <c r="AS7" s="350">
        <f t="shared" si="3"/>
        <v>2034.6999999999998</v>
      </c>
      <c r="AT7" s="350">
        <f t="shared" si="4"/>
        <v>5037.9400000000005</v>
      </c>
      <c r="AU7" s="351">
        <f>(Table144[[#This Row],[MP75]]-Table144[[#This Row],[MP25]])/Table144[[#This Row],[MP50]]</f>
        <v>1.1876166242578454</v>
      </c>
      <c r="AV7" s="351">
        <v>0.79078407452589505</v>
      </c>
      <c r="AW7" s="351">
        <f>(Table144[[#This Row],[MP25]]-Table144[[#This Row],[MP50]])/Table144[[#This Row],[MP50]]</f>
        <v>-0.46183206106870228</v>
      </c>
      <c r="AX7" s="351">
        <f>(Table144[[#This Row],[MP75]]-Table144[[#This Row],[MP50]])/Table144[[#This Row],[MP50]]</f>
        <v>0.72578456318914319</v>
      </c>
      <c r="AY7" s="352">
        <f>AVERAGE(Table144[[#This Row],[P1-1]:[P9-4]])</f>
        <v>1731.5614285714287</v>
      </c>
      <c r="AZ7" s="350">
        <f>_xlfn.STDEV.P(Table144[[#This Row],[P1-1]:[P9-4]])</f>
        <v>1628.048069674046</v>
      </c>
      <c r="BA7" s="350"/>
      <c r="BB7" s="353"/>
      <c r="BC7" s="106"/>
      <c r="BD7" s="106"/>
      <c r="BE7" s="106"/>
    </row>
    <row r="8" spans="1:57" ht="15">
      <c r="A8" s="27" t="s">
        <v>60</v>
      </c>
      <c r="B8" s="23"/>
      <c r="C8" s="23" t="s">
        <v>58</v>
      </c>
      <c r="D8" s="28" t="s">
        <v>61</v>
      </c>
      <c r="E8" s="23"/>
      <c r="F8" s="47"/>
      <c r="G8" s="23"/>
      <c r="H8" s="23"/>
      <c r="I8" s="23"/>
      <c r="J8" s="23"/>
      <c r="K8" s="23"/>
      <c r="L8" s="23"/>
      <c r="M8" s="393">
        <f>M55</f>
        <v>334.8</v>
      </c>
      <c r="N8" s="393">
        <f t="shared" ref="N8:R8" si="13">N55</f>
        <v>372.6</v>
      </c>
      <c r="O8" s="330">
        <f t="shared" si="13"/>
        <v>610.20000000000005</v>
      </c>
      <c r="P8" s="330">
        <f t="shared" si="6"/>
        <v>76.5</v>
      </c>
      <c r="Q8" s="330">
        <f t="shared" si="6"/>
        <v>97.2</v>
      </c>
      <c r="R8" s="330">
        <f t="shared" si="13"/>
        <v>25.92</v>
      </c>
      <c r="S8" s="330">
        <f t="shared" ref="S8:AA8" si="14">S55</f>
        <v>1030</v>
      </c>
      <c r="T8" s="330">
        <f t="shared" si="14"/>
        <v>246</v>
      </c>
      <c r="U8" s="330">
        <f t="shared" si="14"/>
        <v>194</v>
      </c>
      <c r="V8" s="330">
        <f t="shared" si="14"/>
        <v>1452.6</v>
      </c>
      <c r="W8" s="330">
        <f t="shared" si="14"/>
        <v>421</v>
      </c>
      <c r="X8" s="330">
        <f t="shared" si="14"/>
        <v>81</v>
      </c>
      <c r="Y8" s="330">
        <f t="shared" si="14"/>
        <v>70</v>
      </c>
      <c r="Z8" s="330">
        <f t="shared" si="14"/>
        <v>43.2</v>
      </c>
      <c r="AA8" s="330">
        <f t="shared" si="14"/>
        <v>86.4</v>
      </c>
      <c r="AB8" s="330">
        <f t="shared" si="8"/>
        <v>4937.5</v>
      </c>
      <c r="AC8" s="330">
        <f t="shared" si="8"/>
        <v>334.8</v>
      </c>
      <c r="AD8" s="330">
        <f t="shared" si="9"/>
        <v>299.7</v>
      </c>
      <c r="AE8" s="330">
        <f t="shared" si="9"/>
        <v>291.60000000000002</v>
      </c>
      <c r="AF8" s="330">
        <f t="shared" si="9"/>
        <v>1925</v>
      </c>
      <c r="AG8" s="330">
        <f t="shared" ref="AG8:AI8" si="15">AG55</f>
        <v>59.4</v>
      </c>
      <c r="AH8" s="330">
        <f t="shared" si="15"/>
        <v>108</v>
      </c>
      <c r="AI8" s="330">
        <f t="shared" si="15"/>
        <v>151.19999999999999</v>
      </c>
      <c r="AJ8" s="330">
        <f t="shared" si="11"/>
        <v>162</v>
      </c>
      <c r="AK8" s="330">
        <f t="shared" si="11"/>
        <v>1015</v>
      </c>
      <c r="AL8" s="330">
        <f t="shared" si="11"/>
        <v>1015</v>
      </c>
      <c r="AM8" s="330">
        <f t="shared" ref="AM8" si="16">AM55</f>
        <v>351</v>
      </c>
      <c r="AN8" s="330">
        <f>AN55</f>
        <v>64.8</v>
      </c>
      <c r="AO8" s="357"/>
      <c r="AP8" s="350">
        <f t="shared" si="0"/>
        <v>63.18</v>
      </c>
      <c r="AQ8" s="350">
        <f t="shared" si="1"/>
        <v>85.050000000000011</v>
      </c>
      <c r="AR8" s="350">
        <f t="shared" si="2"/>
        <v>268.8</v>
      </c>
      <c r="AS8" s="350">
        <f t="shared" si="3"/>
        <v>468.3</v>
      </c>
      <c r="AT8" s="350">
        <f t="shared" si="4"/>
        <v>1156.7800000000002</v>
      </c>
      <c r="AU8" s="351">
        <f>(Table144[[#This Row],[MP75]]-Table144[[#This Row],[MP25]])/Table144[[#This Row],[MP50]]</f>
        <v>1.42578125</v>
      </c>
      <c r="AV8" s="351">
        <v>0.94556451612903203</v>
      </c>
      <c r="AW8" s="351">
        <f>(Table144[[#This Row],[MP25]]-Table144[[#This Row],[MP50]])/Table144[[#This Row],[MP50]]</f>
        <v>-0.68359375</v>
      </c>
      <c r="AX8" s="351">
        <f>(Table144[[#This Row],[MP75]]-Table144[[#This Row],[MP50]])/Table144[[#This Row],[MP50]]</f>
        <v>0.7421875</v>
      </c>
      <c r="AY8" s="352">
        <f>AVERAGE(Table144[[#This Row],[P1-1]:[P9-4]])</f>
        <v>566.30071428571421</v>
      </c>
      <c r="AZ8" s="350">
        <f>_xlfn.STDEV.P(Table144[[#This Row],[P1-1]:[P9-4]])</f>
        <v>958.98921013566826</v>
      </c>
      <c r="BA8" s="350"/>
      <c r="BB8" s="353"/>
      <c r="BC8" s="106"/>
      <c r="BD8" s="106"/>
      <c r="BE8" s="106"/>
    </row>
    <row r="9" spans="1:57" ht="37.15">
      <c r="A9" s="29" t="s">
        <v>62</v>
      </c>
      <c r="B9" s="23" t="s">
        <v>63</v>
      </c>
      <c r="C9" s="23"/>
      <c r="D9" s="28" t="s">
        <v>61</v>
      </c>
      <c r="E9" s="23"/>
      <c r="F9" s="47"/>
      <c r="G9" s="23"/>
      <c r="H9" s="23"/>
      <c r="I9" s="23"/>
      <c r="J9" s="23"/>
      <c r="K9" s="23"/>
      <c r="L9" s="23"/>
      <c r="M9" s="394">
        <f>M56</f>
        <v>1</v>
      </c>
      <c r="N9" s="394">
        <f t="shared" ref="N9:R9" si="17">N56</f>
        <v>0.68400000000000005</v>
      </c>
      <c r="O9" s="339">
        <f t="shared" si="17"/>
        <v>1</v>
      </c>
      <c r="P9" s="339">
        <f t="shared" si="6"/>
        <v>1</v>
      </c>
      <c r="Q9" s="339">
        <f t="shared" si="6"/>
        <v>1</v>
      </c>
      <c r="R9" s="339">
        <f t="shared" si="17"/>
        <v>0.91600000000000004</v>
      </c>
      <c r="S9" s="339">
        <f t="shared" ref="S9:AA9" si="18">S56</f>
        <v>0.9</v>
      </c>
      <c r="T9" s="339">
        <f t="shared" si="18"/>
        <v>0.66</v>
      </c>
      <c r="U9" s="339">
        <f t="shared" si="18"/>
        <v>0.66</v>
      </c>
      <c r="V9" s="339">
        <f t="shared" si="18"/>
        <v>1</v>
      </c>
      <c r="W9" s="339">
        <f t="shared" si="18"/>
        <v>1</v>
      </c>
      <c r="X9" s="339">
        <f t="shared" si="18"/>
        <v>1</v>
      </c>
      <c r="Y9" s="339">
        <f t="shared" si="18"/>
        <v>1</v>
      </c>
      <c r="Z9" s="339">
        <f t="shared" si="18"/>
        <v>1</v>
      </c>
      <c r="AA9" s="339">
        <f t="shared" si="18"/>
        <v>0.95799999999999996</v>
      </c>
      <c r="AB9" s="339">
        <f t="shared" si="8"/>
        <v>0.9</v>
      </c>
      <c r="AC9" s="339">
        <f t="shared" si="8"/>
        <v>0.9</v>
      </c>
      <c r="AD9" s="339">
        <f t="shared" si="9"/>
        <v>1</v>
      </c>
      <c r="AE9" s="339">
        <f t="shared" si="9"/>
        <v>1</v>
      </c>
      <c r="AF9" s="339">
        <f t="shared" si="9"/>
        <v>1</v>
      </c>
      <c r="AG9" s="339">
        <f t="shared" ref="AG9:AI9" si="19">AG56</f>
        <v>1</v>
      </c>
      <c r="AH9" s="339">
        <f t="shared" si="19"/>
        <v>1</v>
      </c>
      <c r="AI9" s="339">
        <f t="shared" si="19"/>
        <v>1</v>
      </c>
      <c r="AJ9" s="339">
        <f t="shared" si="11"/>
        <v>1</v>
      </c>
      <c r="AK9" s="339">
        <f t="shared" si="11"/>
        <v>1</v>
      </c>
      <c r="AL9" s="339">
        <f t="shared" si="11"/>
        <v>0.72399999999999998</v>
      </c>
      <c r="AM9" s="339">
        <f t="shared" ref="AM9" si="20">AM56</f>
        <v>1</v>
      </c>
      <c r="AN9" s="339">
        <f>AN56</f>
        <v>1</v>
      </c>
      <c r="AO9" s="355"/>
      <c r="AP9" s="350">
        <f t="shared" si="0"/>
        <v>0.71199999999999997</v>
      </c>
      <c r="AQ9" s="350">
        <f t="shared" si="1"/>
        <v>0.91200000000000003</v>
      </c>
      <c r="AR9" s="350">
        <f t="shared" si="2"/>
        <v>1</v>
      </c>
      <c r="AS9" s="350">
        <f t="shared" si="3"/>
        <v>1</v>
      </c>
      <c r="AT9" s="350">
        <f t="shared" si="4"/>
        <v>1</v>
      </c>
      <c r="AU9" s="351">
        <f>(Table144[[#This Row],[MP75]]-Table144[[#This Row],[MP25]])/Table144[[#This Row],[MP50]]</f>
        <v>8.7999999999999967E-2</v>
      </c>
      <c r="AV9" s="351">
        <v>0.05</v>
      </c>
      <c r="AW9" s="351">
        <f>(Table144[[#This Row],[MP25]]-Table144[[#This Row],[MP50]])/Table144[[#This Row],[MP50]]</f>
        <v>-8.7999999999999967E-2</v>
      </c>
      <c r="AX9" s="351">
        <f>(Table144[[#This Row],[MP75]]-Table144[[#This Row],[MP50]])/Table144[[#This Row],[MP50]]</f>
        <v>0</v>
      </c>
      <c r="AY9" s="352">
        <f>AVERAGE(Table144[[#This Row],[P1-1]:[P9-4]])</f>
        <v>0.939357142857143</v>
      </c>
      <c r="AZ9" s="350">
        <f>_xlfn.STDEV.P(Table144[[#This Row],[P1-1]:[P9-4]])</f>
        <v>0.11069269374705651</v>
      </c>
      <c r="BA9" s="350"/>
      <c r="BB9" s="353"/>
      <c r="BC9" s="106"/>
      <c r="BD9" s="106"/>
      <c r="BE9" s="106"/>
    </row>
    <row r="10" spans="1:57" ht="15">
      <c r="A10" s="29" t="s">
        <v>64</v>
      </c>
      <c r="B10" s="23"/>
      <c r="C10" s="23"/>
      <c r="D10" s="28" t="s">
        <v>61</v>
      </c>
      <c r="E10" s="23"/>
      <c r="F10" s="47"/>
      <c r="G10" s="23"/>
      <c r="H10" s="23"/>
      <c r="I10" s="23"/>
      <c r="J10" s="23"/>
      <c r="K10" s="23"/>
      <c r="L10" s="23"/>
      <c r="M10" s="394">
        <f>M57</f>
        <v>1</v>
      </c>
      <c r="N10" s="394">
        <f t="shared" ref="N10:R10" si="21">N57</f>
        <v>1</v>
      </c>
      <c r="O10" s="339">
        <f t="shared" si="21"/>
        <v>1</v>
      </c>
      <c r="P10" s="339">
        <f t="shared" si="6"/>
        <v>1</v>
      </c>
      <c r="Q10" s="339">
        <f t="shared" si="6"/>
        <v>1</v>
      </c>
      <c r="R10" s="339">
        <f t="shared" si="21"/>
        <v>0.93799999999999994</v>
      </c>
      <c r="S10" s="339">
        <f t="shared" ref="S10:AA10" si="22">S57</f>
        <v>0.93500000000000005</v>
      </c>
      <c r="T10" s="339">
        <f t="shared" si="22"/>
        <v>0.9</v>
      </c>
      <c r="U10" s="339">
        <f t="shared" si="22"/>
        <v>0.9</v>
      </c>
      <c r="V10" s="339">
        <f t="shared" si="22"/>
        <v>1</v>
      </c>
      <c r="W10" s="339">
        <f t="shared" si="22"/>
        <v>1</v>
      </c>
      <c r="X10" s="339">
        <f t="shared" si="22"/>
        <v>1</v>
      </c>
      <c r="Y10" s="339">
        <f t="shared" si="22"/>
        <v>1</v>
      </c>
      <c r="Z10" s="339">
        <f t="shared" si="22"/>
        <v>1</v>
      </c>
      <c r="AA10" s="339">
        <f t="shared" si="22"/>
        <v>0.92200000000000004</v>
      </c>
      <c r="AB10" s="339">
        <f t="shared" si="8"/>
        <v>0.9</v>
      </c>
      <c r="AC10" s="339">
        <f t="shared" si="8"/>
        <v>0.9</v>
      </c>
      <c r="AD10" s="339">
        <f t="shared" si="9"/>
        <v>1</v>
      </c>
      <c r="AE10" s="339">
        <f t="shared" si="9"/>
        <v>0.99</v>
      </c>
      <c r="AF10" s="339">
        <f t="shared" si="9"/>
        <v>1</v>
      </c>
      <c r="AG10" s="339">
        <f t="shared" ref="AG10:AI10" si="23">AG57</f>
        <v>0.77300000000000002</v>
      </c>
      <c r="AH10" s="339">
        <f t="shared" si="23"/>
        <v>0.57499999999999996</v>
      </c>
      <c r="AI10" s="339">
        <f t="shared" si="23"/>
        <v>0.66100000000000003</v>
      </c>
      <c r="AJ10" s="339">
        <f t="shared" si="11"/>
        <v>0.70799999999999996</v>
      </c>
      <c r="AK10" s="339">
        <f t="shared" si="11"/>
        <v>1</v>
      </c>
      <c r="AL10" s="339">
        <f t="shared" si="11"/>
        <v>0.72399999999999998</v>
      </c>
      <c r="AM10" s="339">
        <f t="shared" ref="AM10" si="24">AM57</f>
        <v>1</v>
      </c>
      <c r="AN10" s="339">
        <f>AN57</f>
        <v>1</v>
      </c>
      <c r="AO10" s="355"/>
      <c r="AP10" s="350">
        <f t="shared" si="0"/>
        <v>0.71919999999999995</v>
      </c>
      <c r="AQ10" s="350">
        <f t="shared" si="1"/>
        <v>0.9</v>
      </c>
      <c r="AR10" s="350">
        <f t="shared" si="2"/>
        <v>1</v>
      </c>
      <c r="AS10" s="350">
        <f t="shared" si="3"/>
        <v>1</v>
      </c>
      <c r="AT10" s="350">
        <f t="shared" si="4"/>
        <v>1</v>
      </c>
      <c r="AU10" s="351">
        <f>(Table144[[#This Row],[MP75]]-Table144[[#This Row],[MP25]])/Table144[[#This Row],[MP50]]</f>
        <v>9.9999999999999978E-2</v>
      </c>
      <c r="AV10" s="351">
        <v>6.7982456140350894E-2</v>
      </c>
      <c r="AW10" s="351">
        <f>(Table144[[#This Row],[MP25]]-Table144[[#This Row],[MP50]])/Table144[[#This Row],[MP50]]</f>
        <v>-9.9999999999999978E-2</v>
      </c>
      <c r="AX10" s="351">
        <f>(Table144[[#This Row],[MP75]]-Table144[[#This Row],[MP50]])/Table144[[#This Row],[MP50]]</f>
        <v>0</v>
      </c>
      <c r="AY10" s="352">
        <f>AVERAGE(Table144[[#This Row],[P1-1]:[P9-4]])</f>
        <v>0.92235714285714276</v>
      </c>
      <c r="AZ10" s="350">
        <f>_xlfn.STDEV.P(Table144[[#This Row],[P1-1]:[P9-4]])</f>
        <v>0.11861890185611873</v>
      </c>
      <c r="BA10" s="350"/>
      <c r="BB10" s="353"/>
      <c r="BC10" s="106"/>
      <c r="BD10" s="106"/>
      <c r="BE10" s="106"/>
    </row>
    <row r="11" spans="1:57" ht="37.15">
      <c r="A11" s="27" t="s">
        <v>65</v>
      </c>
      <c r="B11" s="23" t="s">
        <v>66</v>
      </c>
      <c r="C11" s="23" t="s">
        <v>66</v>
      </c>
      <c r="D11" s="30" t="s">
        <v>59</v>
      </c>
      <c r="E11" s="23"/>
      <c r="F11" s="47"/>
      <c r="G11" s="23"/>
      <c r="H11" s="23"/>
      <c r="I11" s="23"/>
      <c r="J11" s="23"/>
      <c r="K11" s="23"/>
      <c r="L11" s="23"/>
      <c r="M11" s="393">
        <f>M7*M$4*M9</f>
        <v>401.76</v>
      </c>
      <c r="N11" s="395">
        <f>N7*N$4*N9</f>
        <v>580.63391999999999</v>
      </c>
      <c r="O11" s="340">
        <f>O7*O$4*O9</f>
        <v>610.20000000000005</v>
      </c>
      <c r="P11" s="330">
        <f>P7*P$4*P9</f>
        <v>642.6</v>
      </c>
      <c r="Q11" s="330">
        <f>Q7*Q$4*Q9</f>
        <v>691.2</v>
      </c>
      <c r="R11" s="341">
        <f>R7*R$4</f>
        <v>31.103999999999999</v>
      </c>
      <c r="S11" s="330">
        <f t="shared" ref="S11:AK11" si="25">S7*S$4*S9</f>
        <v>1140.48</v>
      </c>
      <c r="T11" s="330">
        <f t="shared" si="25"/>
        <v>1031.184</v>
      </c>
      <c r="U11" s="330">
        <f>U7*U$4*U9</f>
        <v>1184.8320000000001</v>
      </c>
      <c r="V11" s="330">
        <f t="shared" si="25"/>
        <v>1452.6</v>
      </c>
      <c r="W11" s="330">
        <f t="shared" si="25"/>
        <v>1873.6</v>
      </c>
      <c r="X11" s="330">
        <f t="shared" si="25"/>
        <v>1954.6</v>
      </c>
      <c r="Y11" s="330">
        <f t="shared" si="25"/>
        <v>2024.6</v>
      </c>
      <c r="Z11" s="330">
        <f>Z7*Z$4*Z9</f>
        <v>2067.8000000000002</v>
      </c>
      <c r="AA11" s="330">
        <f>AA7*AA$4*AA9</f>
        <v>2063.7235999999998</v>
      </c>
      <c r="AB11" s="330">
        <f t="shared" si="25"/>
        <v>6221.25</v>
      </c>
      <c r="AC11" s="330">
        <f t="shared" si="25"/>
        <v>6643.098</v>
      </c>
      <c r="AD11" s="330">
        <f>AD7*AD$4*AD9</f>
        <v>7800.7999999999993</v>
      </c>
      <c r="AE11" s="330">
        <f>AE7*AE$4*AE9</f>
        <v>8209.0400000000009</v>
      </c>
      <c r="AF11" s="330">
        <f t="shared" si="25"/>
        <v>2695</v>
      </c>
      <c r="AG11" s="330">
        <f t="shared" si="25"/>
        <v>645.84</v>
      </c>
      <c r="AH11" s="330">
        <f t="shared" si="25"/>
        <v>687.96</v>
      </c>
      <c r="AI11" s="330">
        <f t="shared" si="25"/>
        <v>1024.92</v>
      </c>
      <c r="AJ11" s="330">
        <f>AJ7*AJ$4*AJ9</f>
        <v>1116.18</v>
      </c>
      <c r="AK11" s="330">
        <f t="shared" si="25"/>
        <v>1421</v>
      </c>
      <c r="AL11" s="330">
        <f>AL7*AL$4*AL9</f>
        <v>2093.0839999999998</v>
      </c>
      <c r="AM11" s="330">
        <f t="shared" ref="AM11" si="26">AM7*AM$4*AM9</f>
        <v>386.1</v>
      </c>
      <c r="AN11" s="330">
        <f>AN7*AN$4*AN9</f>
        <v>457.38000000000005</v>
      </c>
      <c r="AO11" s="355"/>
      <c r="AP11" s="358">
        <f t="shared" si="0"/>
        <v>440.69400000000007</v>
      </c>
      <c r="AQ11" s="350">
        <f t="shared" si="1"/>
        <v>645.03</v>
      </c>
      <c r="AR11" s="350">
        <f t="shared" si="2"/>
        <v>1162.6559999999999</v>
      </c>
      <c r="AS11" s="350">
        <f t="shared" si="3"/>
        <v>2064.7426999999998</v>
      </c>
      <c r="AT11" s="350">
        <f t="shared" si="4"/>
        <v>6347.8044</v>
      </c>
      <c r="AU11" s="351">
        <f>(Table144[[#This Row],[MP75]]-Table144[[#This Row],[MP25]])/Table144[[#This Row],[MP50]]</f>
        <v>1.2210943735722346</v>
      </c>
      <c r="AV11" s="351">
        <v>0.66044060028092</v>
      </c>
      <c r="AW11" s="351">
        <f>(Table144[[#This Row],[MP25]]-Table144[[#This Row],[MP50]])/Table144[[#This Row],[MP50]]</f>
        <v>-0.44520993311865248</v>
      </c>
      <c r="AX11" s="351">
        <f>(Table144[[#This Row],[MP75]]-Table144[[#This Row],[MP50]])/Table144[[#This Row],[MP50]]</f>
        <v>0.77588444045358207</v>
      </c>
      <c r="AY11" s="352">
        <f>AVERAGE(Table144[[#This Row],[P1-1]:[P9-4]])</f>
        <v>2041.1631971428571</v>
      </c>
      <c r="AZ11" s="350">
        <f>_xlfn.STDEV.P(Table144[[#This Row],[P1-1]:[P9-4]])</f>
        <v>2229.9191791082517</v>
      </c>
      <c r="BA11" s="358"/>
      <c r="BB11" s="358"/>
      <c r="BC11" s="106"/>
      <c r="BD11" s="106"/>
      <c r="BE11" s="106"/>
    </row>
    <row r="12" spans="1:57" ht="37.15">
      <c r="A12" s="27" t="s">
        <v>67</v>
      </c>
      <c r="B12" s="23" t="s">
        <v>66</v>
      </c>
      <c r="C12" s="23" t="s">
        <v>66</v>
      </c>
      <c r="D12" s="30" t="s">
        <v>61</v>
      </c>
      <c r="E12" s="23"/>
      <c r="F12" s="48"/>
      <c r="G12" s="49"/>
      <c r="H12" s="47"/>
      <c r="I12" s="68"/>
      <c r="J12" s="30"/>
      <c r="K12" s="47"/>
      <c r="L12" s="23"/>
      <c r="M12" s="396">
        <f t="shared" ref="M12:R12" si="27">M8*M$4*M9*M10</f>
        <v>401.76</v>
      </c>
      <c r="N12" s="396">
        <f t="shared" si="27"/>
        <v>305.83008000000001</v>
      </c>
      <c r="O12" s="341">
        <f t="shared" si="27"/>
        <v>610.20000000000005</v>
      </c>
      <c r="P12" s="341">
        <f t="shared" ref="P12:Q12" si="28">P8*P$4*P9*P10</f>
        <v>76.5</v>
      </c>
      <c r="Q12" s="341">
        <f t="shared" si="28"/>
        <v>97.2</v>
      </c>
      <c r="R12" s="341">
        <f t="shared" si="27"/>
        <v>26.724805631999999</v>
      </c>
      <c r="S12" s="341">
        <f t="shared" ref="S12:AL12" si="29">S8*S$4*S9*S10</f>
        <v>1040.0940000000001</v>
      </c>
      <c r="T12" s="341">
        <f t="shared" si="29"/>
        <v>175.34880000000001</v>
      </c>
      <c r="U12" s="341">
        <f t="shared" si="29"/>
        <v>138.28319999999999</v>
      </c>
      <c r="V12" s="341">
        <f t="shared" si="29"/>
        <v>1452.6</v>
      </c>
      <c r="W12" s="341">
        <f t="shared" si="29"/>
        <v>421</v>
      </c>
      <c r="X12" s="341">
        <f t="shared" si="29"/>
        <v>81</v>
      </c>
      <c r="Y12" s="341">
        <f t="shared" si="29"/>
        <v>70</v>
      </c>
      <c r="Z12" s="341">
        <f t="shared" si="29"/>
        <v>43.2</v>
      </c>
      <c r="AA12" s="341">
        <f t="shared" si="29"/>
        <v>76.315046400000014</v>
      </c>
      <c r="AB12" s="341">
        <f t="shared" si="29"/>
        <v>5599.125</v>
      </c>
      <c r="AC12" s="341">
        <f t="shared" si="29"/>
        <v>379.66319999999996</v>
      </c>
      <c r="AD12" s="341">
        <f t="shared" si="29"/>
        <v>419.58</v>
      </c>
      <c r="AE12" s="341">
        <f t="shared" si="29"/>
        <v>404.1576</v>
      </c>
      <c r="AF12" s="341">
        <f t="shared" si="29"/>
        <v>2695</v>
      </c>
      <c r="AG12" s="341">
        <f t="shared" si="29"/>
        <v>59.69106</v>
      </c>
      <c r="AH12" s="341">
        <f t="shared" si="29"/>
        <v>80.73</v>
      </c>
      <c r="AI12" s="341">
        <f t="shared" si="29"/>
        <v>129.92616000000001</v>
      </c>
      <c r="AJ12" s="341">
        <f t="shared" si="29"/>
        <v>149.10479999999998</v>
      </c>
      <c r="AK12" s="341">
        <f t="shared" si="29"/>
        <v>1421</v>
      </c>
      <c r="AL12" s="341">
        <f t="shared" si="29"/>
        <v>744.85409599999991</v>
      </c>
      <c r="AM12" s="341">
        <f t="shared" ref="AM12:AN12" si="30">AM8*AM$4*AM9*AM10</f>
        <v>386.1</v>
      </c>
      <c r="AN12" s="341">
        <f t="shared" si="30"/>
        <v>71.28</v>
      </c>
      <c r="AO12" s="355"/>
      <c r="AP12" s="350">
        <f t="shared" si="0"/>
        <v>66.907318000000004</v>
      </c>
      <c r="AQ12" s="350">
        <f t="shared" si="1"/>
        <v>79.672499999999999</v>
      </c>
      <c r="AR12" s="350">
        <f t="shared" si="2"/>
        <v>240.58944000000002</v>
      </c>
      <c r="AS12" s="350">
        <f t="shared" si="3"/>
        <v>468.3</v>
      </c>
      <c r="AT12" s="350">
        <f t="shared" si="4"/>
        <v>1430.48</v>
      </c>
      <c r="AU12" s="351">
        <f>(Table144[[#This Row],[MP75]]-Table144[[#This Row],[MP25]])/Table144[[#This Row],[MP50]]</f>
        <v>1.6153140387209013</v>
      </c>
      <c r="AV12" s="351">
        <v>0.88317015775557495</v>
      </c>
      <c r="AW12" s="351">
        <f>(Table144[[#This Row],[MP25]]-Table144[[#This Row],[MP50]])/Table144[[#This Row],[MP50]]</f>
        <v>-0.66884456774162659</v>
      </c>
      <c r="AX12" s="351">
        <f>(Table144[[#This Row],[MP75]]-Table144[[#This Row],[MP50]])/Table144[[#This Row],[MP50]]</f>
        <v>0.9464694709792747</v>
      </c>
      <c r="AY12" s="352">
        <f>AVERAGE(Table144[[#This Row],[P1-1]:[P9-4]])</f>
        <v>627.00956600114273</v>
      </c>
      <c r="AZ12" s="350">
        <f>_xlfn.STDEV.P(Table144[[#This Row],[P1-1]:[P9-4]])</f>
        <v>1117.1969753214246</v>
      </c>
      <c r="BA12" s="350"/>
      <c r="BB12" s="353" t="s">
        <v>68</v>
      </c>
      <c r="BC12" s="106"/>
      <c r="BD12" s="106"/>
      <c r="BE12" s="106"/>
    </row>
    <row r="13" spans="1:57" s="107" customFormat="1" ht="15">
      <c r="A13" s="348" t="s">
        <v>247</v>
      </c>
      <c r="B13" s="25"/>
      <c r="C13" s="26"/>
      <c r="D13" s="26"/>
      <c r="E13" s="26"/>
      <c r="F13" s="50"/>
      <c r="G13" s="51"/>
      <c r="H13" s="26"/>
      <c r="I13" s="69"/>
      <c r="J13" s="70"/>
      <c r="K13" s="26"/>
      <c r="L13" s="26"/>
      <c r="M13" s="397"/>
      <c r="N13" s="397"/>
      <c r="O13" s="342"/>
      <c r="P13" s="342"/>
      <c r="Q13" s="342"/>
      <c r="R13" s="343"/>
      <c r="S13" s="342"/>
      <c r="T13" s="343"/>
      <c r="U13" s="342"/>
      <c r="V13" s="343">
        <v>70.67</v>
      </c>
      <c r="W13" s="343">
        <v>72.73</v>
      </c>
      <c r="X13" s="344">
        <v>53.34</v>
      </c>
      <c r="Y13" s="90">
        <v>41.7</v>
      </c>
      <c r="Z13" s="90">
        <v>39.1</v>
      </c>
      <c r="AA13" s="90">
        <v>42.9</v>
      </c>
      <c r="AB13" s="90">
        <v>83.2</v>
      </c>
      <c r="AC13" s="90">
        <v>70.599999999999994</v>
      </c>
      <c r="AD13" s="90">
        <v>73.3</v>
      </c>
      <c r="AE13" s="90">
        <v>81.3</v>
      </c>
      <c r="AF13" s="90"/>
      <c r="AG13" s="90"/>
      <c r="AH13" s="90"/>
      <c r="AI13" s="90"/>
      <c r="AJ13" s="90"/>
      <c r="AK13" s="90"/>
      <c r="AL13" s="90"/>
      <c r="AM13" s="90"/>
      <c r="AN13" s="90"/>
      <c r="AO13" s="179"/>
      <c r="AP13" s="122">
        <f t="shared" si="0"/>
        <v>41.440000000000005</v>
      </c>
      <c r="AQ13" s="122">
        <f t="shared" si="1"/>
        <v>45.51</v>
      </c>
      <c r="AR13" s="122">
        <f t="shared" si="2"/>
        <v>70.634999999999991</v>
      </c>
      <c r="AS13" s="122">
        <f t="shared" si="3"/>
        <v>73.157499999999999</v>
      </c>
      <c r="AT13" s="122">
        <f t="shared" si="4"/>
        <v>81.489999999999995</v>
      </c>
      <c r="AU13" s="131"/>
      <c r="AV13" s="131"/>
      <c r="AW13" s="131">
        <f>(Table144[[#This Row],[MP25]]-Table144[[#This Row],[MP50]])/Table144[[#This Row],[MP50]]</f>
        <v>-0.35570184752601397</v>
      </c>
      <c r="AX13" s="131"/>
      <c r="AY13" s="236"/>
      <c r="AZ13" s="222"/>
      <c r="BA13" s="122"/>
      <c r="BB13" s="174"/>
    </row>
    <row r="14" spans="1:57" ht="0.2" customHeight="1">
      <c r="A14" s="22" t="s">
        <v>70</v>
      </c>
      <c r="B14" s="23" t="s">
        <v>71</v>
      </c>
      <c r="C14" s="23" t="s">
        <v>72</v>
      </c>
      <c r="D14" s="23" t="s">
        <v>61</v>
      </c>
      <c r="E14" s="23"/>
      <c r="F14" s="47"/>
      <c r="G14" s="23"/>
      <c r="H14" s="23"/>
      <c r="I14" s="23"/>
      <c r="J14" s="23"/>
      <c r="K14" s="23"/>
      <c r="L14" s="23"/>
      <c r="M14" s="393">
        <f>M59</f>
        <v>168</v>
      </c>
      <c r="N14" s="393">
        <f t="shared" ref="N14:R14" si="31">N59</f>
        <v>90</v>
      </c>
      <c r="O14" s="330">
        <f t="shared" si="31"/>
        <v>1152</v>
      </c>
      <c r="P14" s="330">
        <f>P59</f>
        <v>36</v>
      </c>
      <c r="Q14" s="330">
        <f>Q59</f>
        <v>45</v>
      </c>
      <c r="R14" s="330">
        <f t="shared" si="31"/>
        <v>9.84</v>
      </c>
      <c r="S14" s="330">
        <f t="shared" ref="S14:AF14" si="32">S59</f>
        <v>208</v>
      </c>
      <c r="T14" s="330">
        <f t="shared" si="32"/>
        <v>55</v>
      </c>
      <c r="U14" s="330">
        <f t="shared" si="32"/>
        <v>61</v>
      </c>
      <c r="V14" s="321">
        <f>V59</f>
        <v>950</v>
      </c>
      <c r="W14" s="330">
        <f t="shared" si="32"/>
        <v>106</v>
      </c>
      <c r="X14" s="330">
        <f t="shared" si="32"/>
        <v>53.75</v>
      </c>
      <c r="Y14" s="330">
        <f t="shared" si="32"/>
        <v>44.26</v>
      </c>
      <c r="Z14" s="330">
        <f t="shared" si="32"/>
        <v>30</v>
      </c>
      <c r="AA14" s="330">
        <f t="shared" si="32"/>
        <v>52</v>
      </c>
      <c r="AB14" s="330">
        <f t="shared" si="32"/>
        <v>2324.1999999999998</v>
      </c>
      <c r="AC14" s="330">
        <f t="shared" si="32"/>
        <v>174.2</v>
      </c>
      <c r="AD14" s="330">
        <f t="shared" si="32"/>
        <v>151.94999999999999</v>
      </c>
      <c r="AE14" s="330">
        <f t="shared" si="32"/>
        <v>152.5</v>
      </c>
      <c r="AF14" s="330">
        <f t="shared" si="32"/>
        <v>1606.5</v>
      </c>
      <c r="AG14" s="330">
        <f t="shared" ref="AG14:AI14" si="33">AG59</f>
        <v>27.5</v>
      </c>
      <c r="AH14" s="330">
        <f t="shared" si="33"/>
        <v>44.32</v>
      </c>
      <c r="AI14" s="330">
        <f t="shared" si="33"/>
        <v>42.33</v>
      </c>
      <c r="AJ14" s="330">
        <f>AJ59</f>
        <v>44.125</v>
      </c>
      <c r="AK14" s="330">
        <f>AK59</f>
        <v>700</v>
      </c>
      <c r="AL14" s="330">
        <f>AL59</f>
        <v>40</v>
      </c>
      <c r="AM14" s="330">
        <f t="shared" ref="AM14" si="34">AM59</f>
        <v>220</v>
      </c>
      <c r="AN14" s="330">
        <f>AN59</f>
        <v>35</v>
      </c>
      <c r="AO14" s="355"/>
      <c r="AP14" s="350">
        <f t="shared" si="0"/>
        <v>33.5</v>
      </c>
      <c r="AQ14" s="359">
        <f t="shared" si="1"/>
        <v>43.676249999999996</v>
      </c>
      <c r="AR14" s="359">
        <f t="shared" si="2"/>
        <v>58</v>
      </c>
      <c r="AS14" s="359">
        <f t="shared" si="3"/>
        <v>182.64999999999998</v>
      </c>
      <c r="AT14" s="359">
        <f t="shared" si="4"/>
        <v>1010.6000000000001</v>
      </c>
      <c r="AU14" s="360">
        <f>(Table144[[#This Row],[MP75]]-Table144[[#This Row],[MP25]])/Table144[[#This Row],[MP50]]</f>
        <v>2.3960991379310346</v>
      </c>
      <c r="AV14" s="351">
        <v>1.51133928571429</v>
      </c>
      <c r="AW14" s="351">
        <f>(Table144[[#This Row],[MP25]]-Table144[[#This Row],[MP50]])/Table144[[#This Row],[MP50]]</f>
        <v>-0.24696120689655179</v>
      </c>
      <c r="AX14" s="351">
        <f>(Table144[[#This Row],[MP75]]-Table144[[#This Row],[MP50]])/Table144[[#This Row],[MP50]]</f>
        <v>2.1491379310344825</v>
      </c>
      <c r="AY14" s="352">
        <f>AVERAGE(Table144[[#This Row],[P1-1]:[P9-4]])</f>
        <v>307.98124999999993</v>
      </c>
      <c r="AZ14" s="350">
        <f>_xlfn.STDEV.P(Table144[[#This Row],[P1-1]:[P9-4]])</f>
        <v>544.13424568894129</v>
      </c>
      <c r="BA14" s="144"/>
      <c r="BB14" s="106"/>
      <c r="BC14" s="106"/>
      <c r="BD14" s="106"/>
      <c r="BE14" s="106"/>
    </row>
    <row r="15" spans="1:57" ht="0.2" customHeight="1">
      <c r="A15" s="22" t="s">
        <v>221</v>
      </c>
      <c r="B15" s="23"/>
      <c r="C15" s="23" t="s">
        <v>72</v>
      </c>
      <c r="D15" s="23" t="s">
        <v>61</v>
      </c>
      <c r="E15" s="23"/>
      <c r="F15" s="47"/>
      <c r="G15" s="23"/>
      <c r="H15" s="23"/>
      <c r="I15" s="23"/>
      <c r="J15" s="23"/>
      <c r="K15" s="23"/>
      <c r="L15" s="23"/>
      <c r="M15" s="398">
        <f t="shared" ref="M15:AM15" si="35">M12/M14</f>
        <v>2.3914285714285715</v>
      </c>
      <c r="N15" s="398">
        <f t="shared" si="35"/>
        <v>3.3981120000000002</v>
      </c>
      <c r="O15" s="345">
        <f t="shared" si="35"/>
        <v>0.52968750000000009</v>
      </c>
      <c r="P15" s="345">
        <f t="shared" ref="P15:Q15" si="36">P12/P14</f>
        <v>2.125</v>
      </c>
      <c r="Q15" s="345">
        <f t="shared" si="36"/>
        <v>2.16</v>
      </c>
      <c r="R15" s="345">
        <f t="shared" si="35"/>
        <v>2.7159355317073168</v>
      </c>
      <c r="S15" s="345">
        <f t="shared" si="35"/>
        <v>5.0004519230769233</v>
      </c>
      <c r="T15" s="345">
        <f t="shared" si="35"/>
        <v>3.1881600000000003</v>
      </c>
      <c r="U15" s="345">
        <f t="shared" ref="U15" si="37">U12/U14</f>
        <v>2.2669377049180328</v>
      </c>
      <c r="V15" s="345">
        <f t="shared" si="35"/>
        <v>1.5290526315789472</v>
      </c>
      <c r="W15" s="345">
        <f t="shared" si="35"/>
        <v>3.9716981132075473</v>
      </c>
      <c r="X15" s="345">
        <f t="shared" si="35"/>
        <v>1.5069767441860464</v>
      </c>
      <c r="Y15" s="345">
        <f t="shared" si="35"/>
        <v>1.5815634884771803</v>
      </c>
      <c r="Z15" s="345">
        <f t="shared" ref="Z15:AA15" si="38">Z12/Z14</f>
        <v>1.4400000000000002</v>
      </c>
      <c r="AA15" s="345">
        <f t="shared" si="38"/>
        <v>1.4675970461538463</v>
      </c>
      <c r="AB15" s="345">
        <f t="shared" si="35"/>
        <v>2.4090547285087345</v>
      </c>
      <c r="AC15" s="345">
        <f t="shared" si="35"/>
        <v>2.1794672789896667</v>
      </c>
      <c r="AD15" s="345">
        <f t="shared" ref="AD15:AE15" si="39">AD12/AD14</f>
        <v>2.7613030602171769</v>
      </c>
      <c r="AE15" s="345">
        <f t="shared" si="39"/>
        <v>2.6502137704918032</v>
      </c>
      <c r="AF15" s="345">
        <f t="shared" si="35"/>
        <v>1.6775599128540306</v>
      </c>
      <c r="AG15" s="345">
        <f t="shared" si="35"/>
        <v>2.1705839999999998</v>
      </c>
      <c r="AH15" s="345">
        <f t="shared" si="35"/>
        <v>1.8215252707581229</v>
      </c>
      <c r="AI15" s="345">
        <f t="shared" si="35"/>
        <v>3.0693635719347983</v>
      </c>
      <c r="AJ15" s="345">
        <f t="shared" ref="AJ15" si="40">AJ12/AJ14</f>
        <v>3.3791456090651555</v>
      </c>
      <c r="AK15" s="345">
        <f t="shared" si="35"/>
        <v>2.0299999999999998</v>
      </c>
      <c r="AL15" s="345">
        <f t="shared" ref="AL15" si="41">AL12/AL14</f>
        <v>18.621352399999999</v>
      </c>
      <c r="AM15" s="345">
        <f t="shared" si="35"/>
        <v>1.7550000000000001</v>
      </c>
      <c r="AN15" s="345">
        <f t="shared" ref="AN15" si="42">AN12/AN14</f>
        <v>2.0365714285714285</v>
      </c>
      <c r="AO15" s="355"/>
      <c r="AP15" s="350"/>
      <c r="AQ15" s="359"/>
      <c r="AR15" s="359"/>
      <c r="AS15" s="359"/>
      <c r="AT15" s="359"/>
      <c r="AU15" s="360"/>
      <c r="AV15" s="351"/>
      <c r="AW15" s="351" t="e">
        <f>(Table144[[#This Row],[MP25]]-Table144[[#This Row],[MP50]])/Table144[[#This Row],[MP50]]</f>
        <v>#DIV/0!</v>
      </c>
      <c r="AX15" s="351"/>
      <c r="AY15" s="352"/>
      <c r="AZ15" s="350"/>
      <c r="BA15" s="144"/>
      <c r="BB15" s="106"/>
      <c r="BC15" s="106"/>
      <c r="BD15" s="106"/>
      <c r="BE15" s="106"/>
    </row>
    <row r="16" spans="1:57" s="281" customFormat="1" ht="0.2" customHeight="1">
      <c r="A16" s="272" t="s">
        <v>223</v>
      </c>
      <c r="B16" s="278"/>
      <c r="C16" s="278" t="s">
        <v>97</v>
      </c>
      <c r="D16" s="278" t="s">
        <v>61</v>
      </c>
      <c r="E16" s="278"/>
      <c r="F16" s="278"/>
      <c r="G16" s="278"/>
      <c r="H16" s="278"/>
      <c r="I16" s="278"/>
      <c r="J16" s="278"/>
      <c r="K16" s="278"/>
      <c r="L16" s="278"/>
      <c r="M16" s="399">
        <f>(M14-M15)/M15</f>
        <v>69.250896057347674</v>
      </c>
      <c r="N16" s="399">
        <f t="shared" ref="N16:AK16" si="43">(N14-N15)/N15</f>
        <v>25.485295364013897</v>
      </c>
      <c r="O16" s="346">
        <f t="shared" si="43"/>
        <v>2173.8672566371679</v>
      </c>
      <c r="P16" s="346">
        <f>(P14-P15)/P15</f>
        <v>15.941176470588236</v>
      </c>
      <c r="Q16" s="346">
        <f>(Q14-Q15)/Q15</f>
        <v>19.833333333333332</v>
      </c>
      <c r="R16" s="346">
        <f t="shared" si="43"/>
        <v>2.623060961912556</v>
      </c>
      <c r="S16" s="346">
        <f t="shared" si="43"/>
        <v>40.596240339815438</v>
      </c>
      <c r="T16" s="346">
        <f t="shared" si="43"/>
        <v>16.251329920706613</v>
      </c>
      <c r="U16" s="346">
        <f>(U14-U15)/U15</f>
        <v>25.908547097550532</v>
      </c>
      <c r="V16" s="346">
        <f t="shared" si="43"/>
        <v>620.29973840011019</v>
      </c>
      <c r="W16" s="346">
        <f t="shared" si="43"/>
        <v>25.688836104513062</v>
      </c>
      <c r="X16" s="346">
        <f t="shared" si="43"/>
        <v>34.667438271604937</v>
      </c>
      <c r="Y16" s="346">
        <f t="shared" si="43"/>
        <v>26.984965714285714</v>
      </c>
      <c r="Z16" s="346">
        <f>(Z14-Z15)/Z15</f>
        <v>19.833333333333329</v>
      </c>
      <c r="AA16" s="346">
        <f>(AA14-AA15)/AA15</f>
        <v>34.43206913387921</v>
      </c>
      <c r="AB16" s="346">
        <f t="shared" si="43"/>
        <v>963.77675351059304</v>
      </c>
      <c r="AC16" s="346">
        <f t="shared" si="43"/>
        <v>78.927788629501094</v>
      </c>
      <c r="AD16" s="346">
        <f>(AD14-AD15)/AD15</f>
        <v>54.028367653367646</v>
      </c>
      <c r="AE16" s="346">
        <f>(AE14-AE15)/AE15</f>
        <v>56.542527964338667</v>
      </c>
      <c r="AF16" s="346">
        <f t="shared" si="43"/>
        <v>956.64090909090896</v>
      </c>
      <c r="AG16" s="346">
        <f t="shared" si="43"/>
        <v>11.669401414550187</v>
      </c>
      <c r="AH16" s="346">
        <f t="shared" si="43"/>
        <v>23.331257277344232</v>
      </c>
      <c r="AI16" s="346">
        <f t="shared" si="43"/>
        <v>12.791132594082667</v>
      </c>
      <c r="AJ16" s="346">
        <f>(AJ14-AJ15)/AJ15</f>
        <v>12.058034516662108</v>
      </c>
      <c r="AK16" s="346">
        <f t="shared" si="43"/>
        <v>343.82758620689663</v>
      </c>
      <c r="AL16" s="346">
        <f>(AL14-AL15)/AL15</f>
        <v>1.1480716942986375</v>
      </c>
      <c r="AM16" s="346">
        <f t="shared" ref="AM16" si="44">(AM14-AM15)/AM15</f>
        <v>124.35612535612535</v>
      </c>
      <c r="AN16" s="346">
        <f>(AN14-AN15)/AN15</f>
        <v>16.18574635241302</v>
      </c>
      <c r="AO16" s="361"/>
      <c r="AP16" s="362"/>
      <c r="AQ16" s="363"/>
      <c r="AR16" s="363"/>
      <c r="AS16" s="363"/>
      <c r="AT16" s="363"/>
      <c r="AU16" s="364"/>
      <c r="AV16" s="365"/>
      <c r="AW16" s="351" t="e">
        <f>(Table144[[#This Row],[MP25]]-Table144[[#This Row],[MP50]])/Table144[[#This Row],[MP50]]</f>
        <v>#DIV/0!</v>
      </c>
      <c r="AX16" s="365"/>
      <c r="AY16" s="366"/>
      <c r="AZ16" s="362"/>
      <c r="BA16" s="280"/>
    </row>
    <row r="17" spans="1:54" s="106" customFormat="1" ht="0.2" customHeight="1">
      <c r="A17" s="31" t="s">
        <v>73</v>
      </c>
      <c r="B17" s="23"/>
      <c r="C17" s="23" t="s">
        <v>74</v>
      </c>
      <c r="D17" s="23"/>
      <c r="E17" s="23">
        <v>100</v>
      </c>
      <c r="F17" s="52">
        <v>3.6363636363636398</v>
      </c>
      <c r="G17" s="53">
        <v>2.0304568527918798</v>
      </c>
      <c r="H17" s="54">
        <v>1.1173184357541901</v>
      </c>
      <c r="I17" s="71">
        <v>0.65146579804560301</v>
      </c>
      <c r="J17" s="72">
        <v>0.44617958728388202</v>
      </c>
      <c r="K17" s="54">
        <v>0</v>
      </c>
      <c r="L17" s="23"/>
      <c r="M17" s="400">
        <f>M12/M14</f>
        <v>2.3914285714285715</v>
      </c>
      <c r="N17" s="400">
        <f t="shared" ref="N17:O17" si="45">N12/N14</f>
        <v>3.3981120000000002</v>
      </c>
      <c r="O17" s="321">
        <f t="shared" si="45"/>
        <v>0.52968750000000009</v>
      </c>
      <c r="P17" s="321">
        <f>P12/P14</f>
        <v>2.125</v>
      </c>
      <c r="Q17" s="321">
        <f>Q12/Q14</f>
        <v>2.16</v>
      </c>
      <c r="R17" s="321">
        <f t="shared" ref="R17:AF17" si="46">R12/R14</f>
        <v>2.7159355317073168</v>
      </c>
      <c r="S17" s="321">
        <f t="shared" si="46"/>
        <v>5.0004519230769233</v>
      </c>
      <c r="T17" s="321">
        <f t="shared" si="46"/>
        <v>3.1881600000000003</v>
      </c>
      <c r="U17" s="321">
        <f>U12/U14</f>
        <v>2.2669377049180328</v>
      </c>
      <c r="V17" s="321">
        <f t="shared" si="46"/>
        <v>1.5290526315789472</v>
      </c>
      <c r="W17" s="321">
        <f t="shared" si="46"/>
        <v>3.9716981132075473</v>
      </c>
      <c r="X17" s="321">
        <f t="shared" si="46"/>
        <v>1.5069767441860464</v>
      </c>
      <c r="Y17" s="321">
        <f t="shared" si="46"/>
        <v>1.5815634884771803</v>
      </c>
      <c r="Z17" s="321">
        <f>Z12/Z14</f>
        <v>1.4400000000000002</v>
      </c>
      <c r="AA17" s="321">
        <f>AA12/AA14</f>
        <v>1.4675970461538463</v>
      </c>
      <c r="AB17" s="321">
        <f t="shared" si="46"/>
        <v>2.4090547285087345</v>
      </c>
      <c r="AC17" s="321">
        <f t="shared" si="46"/>
        <v>2.1794672789896667</v>
      </c>
      <c r="AD17" s="321">
        <f>AD12/AD14</f>
        <v>2.7613030602171769</v>
      </c>
      <c r="AE17" s="321">
        <f>AE12/AE14</f>
        <v>2.6502137704918032</v>
      </c>
      <c r="AF17" s="321">
        <f t="shared" si="46"/>
        <v>1.6775599128540306</v>
      </c>
      <c r="AG17" s="321">
        <f t="shared" ref="AG17:AI17" si="47">AG12/AG14</f>
        <v>2.1705839999999998</v>
      </c>
      <c r="AH17" s="321">
        <f t="shared" si="47"/>
        <v>1.8215252707581229</v>
      </c>
      <c r="AI17" s="321">
        <f t="shared" si="47"/>
        <v>3.0693635719347983</v>
      </c>
      <c r="AJ17" s="321">
        <f>AJ12/AJ14</f>
        <v>3.3791456090651555</v>
      </c>
      <c r="AK17" s="321">
        <f t="shared" ref="AK17" si="48">AK12/AK14</f>
        <v>2.0299999999999998</v>
      </c>
      <c r="AL17" s="321">
        <f>AL12/AL14</f>
        <v>18.621352399999999</v>
      </c>
      <c r="AM17" s="321">
        <f t="shared" ref="AM17" si="49">AM12/AM14</f>
        <v>1.7550000000000001</v>
      </c>
      <c r="AN17" s="321">
        <f>AN12/AN14</f>
        <v>2.0365714285714285</v>
      </c>
      <c r="AO17" s="355"/>
      <c r="AP17" s="367">
        <f>PERCENTILE($M17:$AO17,0.1)</f>
        <v>1.4951628347763863</v>
      </c>
      <c r="AQ17" s="367">
        <f>PERCENTILE($M17:$AO17,0.25)</f>
        <v>1.7356399782135077</v>
      </c>
      <c r="AR17" s="367">
        <f>PERCENTILE($M17:$AO17,0.5)</f>
        <v>2.1750256394948333</v>
      </c>
      <c r="AS17" s="367">
        <f>PERCENTILE($M17:$AO17,0.75)</f>
        <v>2.838318188146582</v>
      </c>
      <c r="AT17" s="367">
        <f>PERCENTILE($M17:$AO17,0.9)</f>
        <v>3.5701878339622648</v>
      </c>
      <c r="AU17" s="365">
        <f>(Table144[[#This Row],[MP75]]-Table144[[#This Row],[MP25]])/Table144[[#This Row],[MP50]]</f>
        <v>0.50697251099494167</v>
      </c>
      <c r="AV17" s="365">
        <f>(Table144[[#This Row],[MP75]]-Table144[[#This Row],[MP25]])/Table144[[#This Row],[MP50]]/2</f>
        <v>0.25348625549747084</v>
      </c>
      <c r="AW17" s="365">
        <f>(Table144[[#This Row],[MP25]]-Table144[[#This Row],[MP50]])/Table144[[#This Row],[MP50]]</f>
        <v>-0.2020140145949619</v>
      </c>
      <c r="AX17" s="365">
        <f>(Table144[[#This Row],[MP75]]-Table144[[#This Row],[MP50]])/Table144[[#This Row],[MP50]]</f>
        <v>0.30495849639997974</v>
      </c>
      <c r="AY17" s="366">
        <f>AVERAGE(Table144[[#This Row],[P1-1]:[P9-4]])</f>
        <v>2.9226336530759052</v>
      </c>
      <c r="AZ17" s="362">
        <f>_xlfn.STDEV.P(Table144[[#This Row],[P1-1]:[P9-4]])</f>
        <v>3.1472366844506552</v>
      </c>
      <c r="BA17" s="128" t="s">
        <v>75</v>
      </c>
      <c r="BB17" s="174" t="s">
        <v>76</v>
      </c>
    </row>
    <row r="18" spans="1:54" s="106" customFormat="1" ht="0.2" customHeight="1">
      <c r="A18" s="24" t="s">
        <v>77</v>
      </c>
      <c r="B18" s="25"/>
      <c r="C18" s="26"/>
      <c r="D18" s="26"/>
      <c r="E18" s="26"/>
      <c r="F18" s="50"/>
      <c r="G18" s="51"/>
      <c r="H18" s="26"/>
      <c r="I18" s="69"/>
      <c r="J18" s="70"/>
      <c r="K18" s="26"/>
      <c r="L18" s="70"/>
      <c r="M18" s="401"/>
      <c r="N18" s="401"/>
      <c r="O18" s="343"/>
      <c r="P18" s="343"/>
      <c r="Q18" s="343"/>
      <c r="R18" s="343"/>
      <c r="S18" s="343"/>
      <c r="T18" s="343"/>
      <c r="U18" s="343"/>
      <c r="V18" s="343"/>
      <c r="W18" s="343"/>
      <c r="X18" s="343"/>
      <c r="Y18" s="343"/>
      <c r="Z18" s="343"/>
      <c r="AA18" s="343"/>
      <c r="AB18" s="343"/>
      <c r="AC18" s="343"/>
      <c r="AD18" s="343"/>
      <c r="AE18" s="343"/>
      <c r="AF18" s="343"/>
      <c r="AG18" s="343"/>
      <c r="AH18" s="343"/>
      <c r="AI18" s="343"/>
      <c r="AJ18" s="343"/>
      <c r="AK18" s="343"/>
      <c r="AL18" s="343"/>
      <c r="AM18" s="343"/>
      <c r="AN18" s="343"/>
      <c r="AO18" s="355"/>
      <c r="AP18" s="350" t="e">
        <f>PERCENTILE($M18:$AO18,0.1)</f>
        <v>#NUM!</v>
      </c>
      <c r="AQ18" s="350" t="e">
        <f>PERCENTILE($M18:$AO18,0.25)</f>
        <v>#NUM!</v>
      </c>
      <c r="AR18" s="350" t="e">
        <f>PERCENTILE($M18:$AO18,0.5)</f>
        <v>#NUM!</v>
      </c>
      <c r="AS18" s="350" t="e">
        <f>PERCENTILE($M18:$AO18,0.75)</f>
        <v>#NUM!</v>
      </c>
      <c r="AT18" s="350" t="e">
        <f>PERCENTILE($M18:$AO18,0.9)</f>
        <v>#NUM!</v>
      </c>
      <c r="AU18" s="351" t="e">
        <f>(Table144[[#This Row],[MP75]]-Table144[[#This Row],[MP25]])/Table144[[#This Row],[MP50]]</f>
        <v>#NUM!</v>
      </c>
      <c r="AV18" s="351" t="e">
        <v>#NUM!</v>
      </c>
      <c r="AW18" s="351" t="e">
        <f>(Table144[[#This Row],[MP25]]-Table144[[#This Row],[MP50]])/Table144[[#This Row],[MP50]]</f>
        <v>#NUM!</v>
      </c>
      <c r="AX18" s="351" t="e">
        <f>(Table144[[#This Row],[MP75]]-Table144[[#This Row],[MP50]])/Table144[[#This Row],[MP50]]</f>
        <v>#NUM!</v>
      </c>
      <c r="AY18" s="352" t="e">
        <f>AVERAGE(Table144[[#This Row],[P1-1]:[P9-4]])</f>
        <v>#DIV/0!</v>
      </c>
      <c r="AZ18" s="350" t="e">
        <f>_xlfn.STDEV.P(Table144[[#This Row],[P1-1]:[P9-4]])</f>
        <v>#DIV/0!</v>
      </c>
      <c r="BA18" s="122"/>
      <c r="BB18" s="174" t="str">
        <f>A13&amp;"/"&amp;A17</f>
        <v>生产率数据  KLOC size/迭代生产率</v>
      </c>
    </row>
    <row r="19" spans="1:54" s="106" customFormat="1" ht="0.2" customHeight="1">
      <c r="A19" s="22" t="s">
        <v>78</v>
      </c>
      <c r="B19" s="23"/>
      <c r="C19" s="23" t="s">
        <v>79</v>
      </c>
      <c r="D19" s="23" t="s">
        <v>59</v>
      </c>
      <c r="E19" s="23"/>
      <c r="F19" s="47"/>
      <c r="G19" s="23"/>
      <c r="H19" s="23"/>
      <c r="I19" s="23"/>
      <c r="J19" s="23"/>
      <c r="K19" s="23"/>
      <c r="L19" s="23"/>
      <c r="M19" s="393">
        <f>M61</f>
        <v>11670</v>
      </c>
      <c r="N19" s="393">
        <f t="shared" ref="N19:R19" si="50">N61</f>
        <v>14218</v>
      </c>
      <c r="O19" s="330">
        <f t="shared" si="50"/>
        <v>25547</v>
      </c>
      <c r="P19" s="330">
        <f>P61</f>
        <v>22660</v>
      </c>
      <c r="Q19" s="330">
        <f>Q61</f>
        <v>22965</v>
      </c>
      <c r="R19" s="330">
        <f t="shared" si="50"/>
        <v>819</v>
      </c>
      <c r="S19" s="330">
        <f t="shared" ref="S19:AA19" si="51">S61</f>
        <v>21437</v>
      </c>
      <c r="T19" s="330">
        <f t="shared" si="51"/>
        <v>26763</v>
      </c>
      <c r="U19" s="330">
        <f t="shared" si="51"/>
        <v>33144</v>
      </c>
      <c r="V19" s="330">
        <f t="shared" si="51"/>
        <v>39475</v>
      </c>
      <c r="W19" s="330">
        <f t="shared" si="51"/>
        <v>45828</v>
      </c>
      <c r="X19" s="330">
        <f t="shared" si="51"/>
        <v>46641</v>
      </c>
      <c r="Y19" s="330">
        <f t="shared" si="51"/>
        <v>49483</v>
      </c>
      <c r="Z19" s="330">
        <f t="shared" si="51"/>
        <v>52381</v>
      </c>
      <c r="AA19" s="330">
        <f t="shared" si="51"/>
        <v>55986</v>
      </c>
      <c r="AB19" s="330">
        <f t="shared" ref="AB19:AF20" si="52">AB61</f>
        <v>300684</v>
      </c>
      <c r="AC19" s="330">
        <f t="shared" si="52"/>
        <v>303765</v>
      </c>
      <c r="AD19" s="330">
        <f>AD61</f>
        <v>324589</v>
      </c>
      <c r="AE19" s="330">
        <f>AE61</f>
        <v>331484</v>
      </c>
      <c r="AF19" s="330">
        <f t="shared" si="52"/>
        <v>44888</v>
      </c>
      <c r="AG19" s="330">
        <f t="shared" ref="AG19:AI19" si="53">AG61</f>
        <v>20763</v>
      </c>
      <c r="AH19" s="330">
        <f t="shared" si="53"/>
        <v>21860</v>
      </c>
      <c r="AI19" s="330">
        <f t="shared" si="53"/>
        <v>24032</v>
      </c>
      <c r="AJ19" s="330">
        <f t="shared" ref="AJ19:AL20" si="54">AJ61</f>
        <v>19138</v>
      </c>
      <c r="AK19" s="330">
        <f t="shared" si="54"/>
        <v>368268</v>
      </c>
      <c r="AL19" s="330">
        <f t="shared" si="54"/>
        <v>187453</v>
      </c>
      <c r="AM19" s="330">
        <f t="shared" ref="AM19" si="55">AM61</f>
        <v>21462</v>
      </c>
      <c r="AN19" s="330">
        <f>AN61</f>
        <v>22878</v>
      </c>
      <c r="AO19" s="355"/>
      <c r="AP19" s="350">
        <f>PERCENTILE($M19:$AO19,0.1)</f>
        <v>17662</v>
      </c>
      <c r="AQ19" s="350">
        <f>PERCENTILE($M19:$AO19,0.25)</f>
        <v>21760.5</v>
      </c>
      <c r="AR19" s="350">
        <f>PERCENTILE($M19:$AO19,0.5)</f>
        <v>29953.5</v>
      </c>
      <c r="AS19" s="350">
        <f>PERCENTILE($M19:$AO19,0.75)</f>
        <v>53282.25</v>
      </c>
      <c r="AT19" s="350">
        <f>PERCENTILE($M19:$AO19,0.9)</f>
        <v>310012.2</v>
      </c>
      <c r="AU19" s="351">
        <f>(Table144[[#This Row],[MP75]]-Table144[[#This Row],[MP25]])/Table144[[#This Row],[MP50]]</f>
        <v>1.0523561520356552</v>
      </c>
      <c r="AV19" s="351">
        <v>0.54265919038302501</v>
      </c>
      <c r="AW19" s="351">
        <f>(Table144[[#This Row],[MP25]]-Table144[[#This Row],[MP50]])/Table144[[#This Row],[MP50]]</f>
        <v>-0.27352396214131902</v>
      </c>
      <c r="AX19" s="351">
        <f>(Table144[[#This Row],[MP75]]-Table144[[#This Row],[MP50]])/Table144[[#This Row],[MP50]]</f>
        <v>0.77883218989433622</v>
      </c>
      <c r="AY19" s="352">
        <f>AVERAGE(Table144[[#This Row],[P1-1]:[P9-4]])</f>
        <v>87867.178571428565</v>
      </c>
      <c r="AZ19" s="350">
        <f>_xlfn.STDEV.P(Table144[[#This Row],[P1-1]:[P9-4]])</f>
        <v>115854.72797956117</v>
      </c>
      <c r="BA19" s="122"/>
      <c r="BB19" s="198" t="s">
        <v>80</v>
      </c>
    </row>
    <row r="20" spans="1:54" s="108" customFormat="1" ht="0.2" customHeight="1">
      <c r="A20" s="22" t="s">
        <v>81</v>
      </c>
      <c r="B20" s="23"/>
      <c r="C20" s="23" t="s">
        <v>79</v>
      </c>
      <c r="D20" s="23" t="s">
        <v>61</v>
      </c>
      <c r="E20" s="23"/>
      <c r="F20" s="47"/>
      <c r="G20" s="23"/>
      <c r="H20" s="23"/>
      <c r="I20" s="23"/>
      <c r="J20" s="23"/>
      <c r="K20" s="23"/>
      <c r="L20" s="23"/>
      <c r="M20" s="393">
        <f>M62</f>
        <v>2836</v>
      </c>
      <c r="N20" s="393">
        <f t="shared" ref="N20:R20" si="56">N62</f>
        <v>2548</v>
      </c>
      <c r="O20" s="330">
        <f t="shared" si="56"/>
        <v>25547</v>
      </c>
      <c r="P20" s="330">
        <f>P62</f>
        <v>2887</v>
      </c>
      <c r="Q20" s="330">
        <f>Q62</f>
        <v>305</v>
      </c>
      <c r="R20" s="330">
        <f t="shared" si="56"/>
        <v>819</v>
      </c>
      <c r="S20" s="330">
        <f t="shared" ref="S20:AA20" si="57">S62</f>
        <v>20618</v>
      </c>
      <c r="T20" s="330">
        <f t="shared" si="57"/>
        <v>5326</v>
      </c>
      <c r="U20" s="330">
        <f t="shared" si="57"/>
        <v>27782</v>
      </c>
      <c r="V20" s="330">
        <f t="shared" si="57"/>
        <v>39475</v>
      </c>
      <c r="W20" s="330">
        <f t="shared" si="57"/>
        <v>6353</v>
      </c>
      <c r="X20" s="330">
        <f t="shared" si="57"/>
        <v>813</v>
      </c>
      <c r="Y20" s="330">
        <f t="shared" si="57"/>
        <v>2842</v>
      </c>
      <c r="Z20" s="330">
        <f t="shared" si="57"/>
        <v>2898</v>
      </c>
      <c r="AA20" s="330">
        <f t="shared" si="57"/>
        <v>3605</v>
      </c>
      <c r="AB20" s="330">
        <f t="shared" si="52"/>
        <v>300684</v>
      </c>
      <c r="AC20" s="330">
        <f t="shared" si="52"/>
        <v>3081</v>
      </c>
      <c r="AD20" s="330">
        <f>AD62</f>
        <v>20826</v>
      </c>
      <c r="AE20" s="330">
        <f>AE62</f>
        <v>6895</v>
      </c>
      <c r="AF20" s="330">
        <f t="shared" si="52"/>
        <v>44888</v>
      </c>
      <c r="AG20" s="330">
        <f t="shared" ref="AG20:AI20" si="58">AG62</f>
        <v>1576</v>
      </c>
      <c r="AH20" s="330">
        <f t="shared" si="58"/>
        <v>4186</v>
      </c>
      <c r="AI20" s="330">
        <f t="shared" si="58"/>
        <v>2172</v>
      </c>
      <c r="AJ20" s="330">
        <f t="shared" si="54"/>
        <v>-4894</v>
      </c>
      <c r="AK20" s="330">
        <f t="shared" si="54"/>
        <v>368268</v>
      </c>
      <c r="AL20" s="330">
        <f t="shared" si="54"/>
        <v>3319</v>
      </c>
      <c r="AM20" s="330">
        <f t="shared" ref="AM20" si="59">AM62</f>
        <v>21462</v>
      </c>
      <c r="AN20" s="330">
        <f>AN62</f>
        <v>1416</v>
      </c>
      <c r="AO20" s="361"/>
      <c r="AP20" s="350">
        <f>PERCENTILE($M20:$AO20,0.1)</f>
        <v>817.2</v>
      </c>
      <c r="AQ20" s="350">
        <f>PERCENTILE($M20:$AO20,0.25)</f>
        <v>2454</v>
      </c>
      <c r="AR20" s="350">
        <f>PERCENTILE($M20:$AO20,0.5)</f>
        <v>3462</v>
      </c>
      <c r="AS20" s="350">
        <f>PERCENTILE($M20:$AO20,0.75)</f>
        <v>20985</v>
      </c>
      <c r="AT20" s="350">
        <f>PERCENTILE($M20:$AO20,0.9)</f>
        <v>41098.9</v>
      </c>
      <c r="AU20" s="351">
        <f>(Table144[[#This Row],[MP75]]-Table144[[#This Row],[MP25]])/Table144[[#This Row],[MP50]]</f>
        <v>5.352686308492201</v>
      </c>
      <c r="AV20" s="351">
        <v>2.81550158249622</v>
      </c>
      <c r="AW20" s="351">
        <f>(Table144[[#This Row],[MP25]]-Table144[[#This Row],[MP50]])/Table144[[#This Row],[MP50]]</f>
        <v>-0.29116117850953205</v>
      </c>
      <c r="AX20" s="351">
        <f>(Table144[[#This Row],[MP75]]-Table144[[#This Row],[MP50]])/Table144[[#This Row],[MP50]]</f>
        <v>5.0615251299826687</v>
      </c>
      <c r="AY20" s="352">
        <f>AVERAGE(Table144[[#This Row],[P1-1]:[P9-4]])</f>
        <v>32804.75</v>
      </c>
      <c r="AZ20" s="350">
        <f>_xlfn.STDEV.P(Table144[[#This Row],[P1-1]:[P9-4]])</f>
        <v>85033.250511459584</v>
      </c>
      <c r="BA20" s="128"/>
      <c r="BB20" s="233" t="str">
        <f>A18&amp;"*"&amp;A12&amp;"*"&amp;A19</f>
        <v>编码数据*调整后开发功能点AFP-DEV*总代码行数 Java</v>
      </c>
    </row>
    <row r="21" spans="1:54" s="114" customFormat="1" ht="0.2" customHeight="1">
      <c r="A21" s="22" t="s">
        <v>222</v>
      </c>
      <c r="B21" s="23"/>
      <c r="C21" s="23" t="s">
        <v>79</v>
      </c>
      <c r="D21" s="23" t="s">
        <v>61</v>
      </c>
      <c r="E21" s="23"/>
      <c r="F21" s="47"/>
      <c r="G21" s="23"/>
      <c r="H21" s="23"/>
      <c r="I21" s="23"/>
      <c r="J21" s="23"/>
      <c r="K21" s="23"/>
      <c r="L21" s="23"/>
      <c r="M21" s="393">
        <f t="shared" ref="M21:AL21" si="60">M84</f>
        <v>8002.3680000000004</v>
      </c>
      <c r="N21" s="393">
        <f t="shared" si="60"/>
        <v>0</v>
      </c>
      <c r="O21" s="330">
        <f t="shared" si="60"/>
        <v>0</v>
      </c>
      <c r="P21" s="330">
        <f t="shared" si="60"/>
        <v>0</v>
      </c>
      <c r="Q21" s="330">
        <f t="shared" si="60"/>
        <v>0</v>
      </c>
      <c r="R21" s="330">
        <f t="shared" si="60"/>
        <v>0</v>
      </c>
      <c r="S21" s="330">
        <f t="shared" si="60"/>
        <v>0</v>
      </c>
      <c r="T21" s="330">
        <f t="shared" si="60"/>
        <v>0</v>
      </c>
      <c r="U21" s="330">
        <f t="shared" si="60"/>
        <v>0</v>
      </c>
      <c r="V21" s="330">
        <f t="shared" si="60"/>
        <v>0</v>
      </c>
      <c r="W21" s="330">
        <f t="shared" si="60"/>
        <v>0</v>
      </c>
      <c r="X21" s="330">
        <f t="shared" si="60"/>
        <v>0</v>
      </c>
      <c r="Y21" s="330">
        <f t="shared" si="60"/>
        <v>0</v>
      </c>
      <c r="Z21" s="330">
        <f t="shared" si="60"/>
        <v>0</v>
      </c>
      <c r="AA21" s="330">
        <f t="shared" si="60"/>
        <v>0</v>
      </c>
      <c r="AB21" s="330">
        <f t="shared" si="60"/>
        <v>0</v>
      </c>
      <c r="AC21" s="330">
        <f t="shared" si="60"/>
        <v>0</v>
      </c>
      <c r="AD21" s="330">
        <f t="shared" si="60"/>
        <v>0</v>
      </c>
      <c r="AE21" s="330">
        <f t="shared" si="60"/>
        <v>0</v>
      </c>
      <c r="AF21" s="330">
        <f t="shared" si="60"/>
        <v>0</v>
      </c>
      <c r="AG21" s="330">
        <f t="shared" si="60"/>
        <v>0</v>
      </c>
      <c r="AH21" s="330">
        <f t="shared" si="60"/>
        <v>0</v>
      </c>
      <c r="AI21" s="330">
        <f t="shared" si="60"/>
        <v>0</v>
      </c>
      <c r="AJ21" s="330">
        <f t="shared" si="60"/>
        <v>0</v>
      </c>
      <c r="AK21" s="330">
        <f t="shared" si="60"/>
        <v>0</v>
      </c>
      <c r="AL21" s="330">
        <f t="shared" si="60"/>
        <v>0</v>
      </c>
      <c r="AM21" s="330">
        <f t="shared" ref="AM21" si="61">AM84</f>
        <v>0</v>
      </c>
      <c r="AN21" s="330">
        <f>AN84</f>
        <v>0</v>
      </c>
      <c r="AO21" s="361"/>
      <c r="AP21" s="350"/>
      <c r="AQ21" s="350"/>
      <c r="AR21" s="350"/>
      <c r="AS21" s="350"/>
      <c r="AT21" s="350"/>
      <c r="AU21" s="351"/>
      <c r="AV21" s="351"/>
      <c r="AW21" s="351" t="e">
        <f>(Table144[[#This Row],[MP25]]-Table144[[#This Row],[MP50]])/Table144[[#This Row],[MP50]]</f>
        <v>#DIV/0!</v>
      </c>
      <c r="AX21" s="351"/>
      <c r="AY21" s="352"/>
      <c r="AZ21" s="350"/>
      <c r="BA21" s="128"/>
      <c r="BB21" s="241"/>
    </row>
    <row r="22" spans="1:54" s="281" customFormat="1" ht="0.2" customHeight="1">
      <c r="A22" s="272" t="s">
        <v>224</v>
      </c>
      <c r="B22" s="278"/>
      <c r="C22" s="278" t="s">
        <v>97</v>
      </c>
      <c r="D22" s="278"/>
      <c r="E22" s="278"/>
      <c r="F22" s="278"/>
      <c r="G22" s="278"/>
      <c r="H22" s="278"/>
      <c r="I22" s="278"/>
      <c r="J22" s="278"/>
      <c r="K22" s="278"/>
      <c r="L22" s="278"/>
      <c r="M22" s="399">
        <f>(M20-M21)/M21</f>
        <v>-0.64560490094931899</v>
      </c>
      <c r="N22" s="399" t="e">
        <f t="shared" ref="N22:AK22" si="62">(N20-N21)/N21</f>
        <v>#DIV/0!</v>
      </c>
      <c r="O22" s="346" t="e">
        <f t="shared" si="62"/>
        <v>#DIV/0!</v>
      </c>
      <c r="P22" s="346" t="e">
        <f>(P20-P21)/P21</f>
        <v>#DIV/0!</v>
      </c>
      <c r="Q22" s="346" t="e">
        <f>(Q20-Q21)/Q21</f>
        <v>#DIV/0!</v>
      </c>
      <c r="R22" s="346" t="e">
        <f t="shared" si="62"/>
        <v>#DIV/0!</v>
      </c>
      <c r="S22" s="346" t="e">
        <f t="shared" si="62"/>
        <v>#DIV/0!</v>
      </c>
      <c r="T22" s="346" t="e">
        <f t="shared" si="62"/>
        <v>#DIV/0!</v>
      </c>
      <c r="U22" s="346" t="e">
        <f>(U20-U21)/U21</f>
        <v>#DIV/0!</v>
      </c>
      <c r="V22" s="346" t="e">
        <f t="shared" si="62"/>
        <v>#DIV/0!</v>
      </c>
      <c r="W22" s="346" t="e">
        <f t="shared" si="62"/>
        <v>#DIV/0!</v>
      </c>
      <c r="X22" s="346" t="e">
        <f t="shared" si="62"/>
        <v>#DIV/0!</v>
      </c>
      <c r="Y22" s="346" t="e">
        <f t="shared" si="62"/>
        <v>#DIV/0!</v>
      </c>
      <c r="Z22" s="346" t="e">
        <f>(Z20-Z21)/Z21</f>
        <v>#DIV/0!</v>
      </c>
      <c r="AA22" s="346" t="e">
        <f>(AA20-AA21)/AA21</f>
        <v>#DIV/0!</v>
      </c>
      <c r="AB22" s="346" t="e">
        <f t="shared" si="62"/>
        <v>#DIV/0!</v>
      </c>
      <c r="AC22" s="346" t="e">
        <f t="shared" si="62"/>
        <v>#DIV/0!</v>
      </c>
      <c r="AD22" s="346" t="e">
        <f>(AD20-AD21)/AD21</f>
        <v>#DIV/0!</v>
      </c>
      <c r="AE22" s="346" t="e">
        <f>(AE20-AE21)/AE21</f>
        <v>#DIV/0!</v>
      </c>
      <c r="AF22" s="346" t="e">
        <f t="shared" si="62"/>
        <v>#DIV/0!</v>
      </c>
      <c r="AG22" s="346" t="e">
        <f t="shared" si="62"/>
        <v>#DIV/0!</v>
      </c>
      <c r="AH22" s="346" t="e">
        <f t="shared" si="62"/>
        <v>#DIV/0!</v>
      </c>
      <c r="AI22" s="346" t="e">
        <f t="shared" si="62"/>
        <v>#DIV/0!</v>
      </c>
      <c r="AJ22" s="346" t="e">
        <f>(AJ20-AJ21)/AJ21</f>
        <v>#DIV/0!</v>
      </c>
      <c r="AK22" s="346" t="e">
        <f t="shared" si="62"/>
        <v>#DIV/0!</v>
      </c>
      <c r="AL22" s="346" t="e">
        <f>(AL20-AL21)/AL21</f>
        <v>#DIV/0!</v>
      </c>
      <c r="AM22" s="346" t="e">
        <f t="shared" ref="AM22" si="63">(AM20-AM21)/AM21</f>
        <v>#DIV/0!</v>
      </c>
      <c r="AN22" s="346" t="e">
        <f>(AN20-AN21)/AN21</f>
        <v>#DIV/0!</v>
      </c>
      <c r="AO22" s="361"/>
      <c r="AP22" s="362"/>
      <c r="AQ22" s="362"/>
      <c r="AR22" s="362"/>
      <c r="AS22" s="362"/>
      <c r="AT22" s="362"/>
      <c r="AU22" s="365"/>
      <c r="AV22" s="365"/>
      <c r="AW22" s="351" t="e">
        <f>(Table144[[#This Row],[MP25]]-Table144[[#This Row],[MP50]])/Table144[[#This Row],[MP50]]</f>
        <v>#DIV/0!</v>
      </c>
      <c r="AX22" s="365"/>
      <c r="AY22" s="366"/>
      <c r="AZ22" s="362"/>
      <c r="BA22" s="275"/>
      <c r="BB22" s="282"/>
    </row>
    <row r="23" spans="1:54" s="106" customFormat="1" ht="0.2" customHeight="1">
      <c r="A23" s="22" t="s">
        <v>82</v>
      </c>
      <c r="B23" s="23"/>
      <c r="C23" s="23"/>
      <c r="D23" s="23" t="s">
        <v>59</v>
      </c>
      <c r="E23" s="23"/>
      <c r="F23" s="47"/>
      <c r="G23" s="23"/>
      <c r="H23" s="23"/>
      <c r="I23" s="23"/>
      <c r="J23" s="23"/>
      <c r="K23" s="23"/>
      <c r="L23" s="23"/>
      <c r="M23" s="393">
        <f>M63</f>
        <v>8998</v>
      </c>
      <c r="N23" s="393">
        <f t="shared" ref="N23:O23" si="64">N63</f>
        <v>10517</v>
      </c>
      <c r="O23" s="330">
        <f t="shared" si="64"/>
        <v>44805</v>
      </c>
      <c r="P23" s="330">
        <f t="shared" ref="P23:AA23" si="65">P63</f>
        <v>45654</v>
      </c>
      <c r="Q23" s="330">
        <f t="shared" si="65"/>
        <v>50504</v>
      </c>
      <c r="R23" s="330">
        <f t="shared" si="65"/>
        <v>0</v>
      </c>
      <c r="S23" s="330">
        <f t="shared" si="65"/>
        <v>0</v>
      </c>
      <c r="T23" s="330">
        <f t="shared" si="65"/>
        <v>0</v>
      </c>
      <c r="U23" s="330">
        <f t="shared" si="65"/>
        <v>0</v>
      </c>
      <c r="V23" s="330">
        <f t="shared" si="65"/>
        <v>0</v>
      </c>
      <c r="W23" s="330">
        <f t="shared" si="65"/>
        <v>0</v>
      </c>
      <c r="X23" s="330">
        <f t="shared" si="65"/>
        <v>0</v>
      </c>
      <c r="Y23" s="330">
        <f t="shared" si="65"/>
        <v>0</v>
      </c>
      <c r="Z23" s="330">
        <f t="shared" si="65"/>
        <v>0</v>
      </c>
      <c r="AA23" s="330">
        <f t="shared" si="65"/>
        <v>0</v>
      </c>
      <c r="AB23" s="330">
        <f t="shared" ref="AB23:AC24" si="66">AB63</f>
        <v>0</v>
      </c>
      <c r="AC23" s="330">
        <f t="shared" si="66"/>
        <v>0</v>
      </c>
      <c r="AD23" s="330">
        <f t="shared" ref="AD23:AF24" si="67">AD63</f>
        <v>0</v>
      </c>
      <c r="AE23" s="330">
        <f t="shared" si="67"/>
        <v>0</v>
      </c>
      <c r="AF23" s="330">
        <f t="shared" si="67"/>
        <v>12122</v>
      </c>
      <c r="AG23" s="330">
        <f t="shared" ref="AG23:AI23" si="68">AG63</f>
        <v>8108</v>
      </c>
      <c r="AH23" s="330">
        <f t="shared" si="68"/>
        <v>9070</v>
      </c>
      <c r="AI23" s="330">
        <f t="shared" si="68"/>
        <v>12098</v>
      </c>
      <c r="AJ23" s="330">
        <f t="shared" ref="AJ23:AL24" si="69">AJ63</f>
        <v>12340</v>
      </c>
      <c r="AK23" s="330">
        <f t="shared" si="69"/>
        <v>69595</v>
      </c>
      <c r="AL23" s="330">
        <f t="shared" si="69"/>
        <v>146444</v>
      </c>
      <c r="AM23" s="330">
        <f t="shared" ref="AM23" si="70">AM63</f>
        <v>6444</v>
      </c>
      <c r="AN23" s="330">
        <f>AN63</f>
        <v>6611</v>
      </c>
      <c r="AO23" s="368"/>
      <c r="AP23" s="350">
        <f>PERCENTILE($M23:$AO23,0.1)</f>
        <v>0</v>
      </c>
      <c r="AQ23" s="350">
        <f>PERCENTILE($M23:$AO23,0.25)</f>
        <v>0</v>
      </c>
      <c r="AR23" s="350">
        <f>PERCENTILE($M23:$AO23,0.5)</f>
        <v>3222</v>
      </c>
      <c r="AS23" s="350">
        <f>PERCENTILE($M23:$AO23,0.75)</f>
        <v>12104</v>
      </c>
      <c r="AT23" s="350">
        <f>PERCENTILE($M23:$AO23,0.9)</f>
        <v>47109</v>
      </c>
      <c r="AU23" s="351">
        <f>(Table144[[#This Row],[MP75]]-Table144[[#This Row],[MP25]])/Table144[[#This Row],[MP50]]</f>
        <v>3.7566728739913096</v>
      </c>
      <c r="AV23" s="351" t="e">
        <v>#DIV/0!</v>
      </c>
      <c r="AW23" s="351">
        <f>(Table144[[#This Row],[MP25]]-Table144[[#This Row],[MP50]])/Table144[[#This Row],[MP50]]</f>
        <v>-1</v>
      </c>
      <c r="AX23" s="351">
        <f>(Table144[[#This Row],[MP75]]-Table144[[#This Row],[MP50]])/Table144[[#This Row],[MP50]]</f>
        <v>2.7566728739913096</v>
      </c>
      <c r="AY23" s="352">
        <f>AVERAGE(Table144[[#This Row],[P1-1]:[P9-4]])</f>
        <v>15832.5</v>
      </c>
      <c r="AZ23" s="350">
        <f>_xlfn.STDEV.P(Table144[[#This Row],[P1-1]:[P9-4]])</f>
        <v>30928.153924516275</v>
      </c>
      <c r="BA23" s="122"/>
      <c r="BB23" s="174"/>
    </row>
    <row r="24" spans="1:54" s="107" customFormat="1" ht="0.2" customHeight="1">
      <c r="A24" s="22" t="s">
        <v>83</v>
      </c>
      <c r="B24" s="23"/>
      <c r="C24" s="23"/>
      <c r="D24" s="23" t="s">
        <v>61</v>
      </c>
      <c r="E24" s="23"/>
      <c r="F24" s="47"/>
      <c r="G24" s="23"/>
      <c r="H24" s="23"/>
      <c r="I24" s="23"/>
      <c r="J24" s="23"/>
      <c r="K24" s="23"/>
      <c r="L24" s="23"/>
      <c r="M24" s="393">
        <f>M64</f>
        <v>1636</v>
      </c>
      <c r="N24" s="393">
        <f t="shared" ref="N24:O24" si="71">N64</f>
        <v>1519</v>
      </c>
      <c r="O24" s="330">
        <f t="shared" si="71"/>
        <v>44805</v>
      </c>
      <c r="P24" s="330">
        <f t="shared" ref="P24:AA24" si="72">P64</f>
        <v>849</v>
      </c>
      <c r="Q24" s="330">
        <f t="shared" si="72"/>
        <v>4850</v>
      </c>
      <c r="R24" s="330">
        <f t="shared" si="72"/>
        <v>0</v>
      </c>
      <c r="S24" s="330">
        <f t="shared" si="72"/>
        <v>0</v>
      </c>
      <c r="T24" s="330">
        <f t="shared" si="72"/>
        <v>0</v>
      </c>
      <c r="U24" s="330">
        <f t="shared" si="72"/>
        <v>0</v>
      </c>
      <c r="V24" s="330">
        <f t="shared" si="72"/>
        <v>0</v>
      </c>
      <c r="W24" s="330">
        <f t="shared" si="72"/>
        <v>0</v>
      </c>
      <c r="X24" s="330">
        <f t="shared" si="72"/>
        <v>0</v>
      </c>
      <c r="Y24" s="330">
        <f t="shared" si="72"/>
        <v>0</v>
      </c>
      <c r="Z24" s="330">
        <f t="shared" si="72"/>
        <v>0</v>
      </c>
      <c r="AA24" s="330">
        <f t="shared" si="72"/>
        <v>0</v>
      </c>
      <c r="AB24" s="330">
        <f t="shared" si="66"/>
        <v>0</v>
      </c>
      <c r="AC24" s="330">
        <f t="shared" si="66"/>
        <v>0</v>
      </c>
      <c r="AD24" s="330">
        <f t="shared" si="67"/>
        <v>0</v>
      </c>
      <c r="AE24" s="330">
        <f t="shared" si="67"/>
        <v>0</v>
      </c>
      <c r="AF24" s="330">
        <f t="shared" si="67"/>
        <v>12122</v>
      </c>
      <c r="AG24" s="330">
        <f t="shared" ref="AG24:AI24" si="73">AG64</f>
        <v>363</v>
      </c>
      <c r="AH24" s="330">
        <f t="shared" si="73"/>
        <v>962</v>
      </c>
      <c r="AI24" s="330">
        <f t="shared" si="73"/>
        <v>3028</v>
      </c>
      <c r="AJ24" s="330">
        <f t="shared" si="69"/>
        <v>242</v>
      </c>
      <c r="AK24" s="330">
        <f t="shared" si="69"/>
        <v>69595</v>
      </c>
      <c r="AL24" s="330">
        <f t="shared" si="69"/>
        <v>76849</v>
      </c>
      <c r="AM24" s="330">
        <f t="shared" ref="AM24:AN25" si="74">AM64</f>
        <v>6444</v>
      </c>
      <c r="AN24" s="330">
        <f>AN64</f>
        <v>167</v>
      </c>
      <c r="AO24" s="355"/>
      <c r="AP24" s="350">
        <f>PERCENTILE($M24:$AO24,0.1)</f>
        <v>0</v>
      </c>
      <c r="AQ24" s="350">
        <f>PERCENTILE($M24:$AO24,0.25)</f>
        <v>0</v>
      </c>
      <c r="AR24" s="350">
        <f>PERCENTILE($M24:$AO24,0.5)</f>
        <v>83.5</v>
      </c>
      <c r="AS24" s="350">
        <f>PERCENTILE($M24:$AO24,0.75)</f>
        <v>1984</v>
      </c>
      <c r="AT24" s="350">
        <f>PERCENTILE($M24:$AO24,0.9)</f>
        <v>21926.900000000023</v>
      </c>
      <c r="AU24" s="351">
        <f>(Table144[[#This Row],[MP75]]-Table144[[#This Row],[MP25]])/Table144[[#This Row],[MP50]]</f>
        <v>23.760479041916167</v>
      </c>
      <c r="AV24" s="351" t="e">
        <v>#DIV/0!</v>
      </c>
      <c r="AW24" s="351">
        <f>(Table144[[#This Row],[MP25]]-Table144[[#This Row],[MP50]])/Table144[[#This Row],[MP50]]</f>
        <v>-1</v>
      </c>
      <c r="AX24" s="351">
        <f>(Table144[[#This Row],[MP75]]-Table144[[#This Row],[MP50]])/Table144[[#This Row],[MP50]]</f>
        <v>22.760479041916167</v>
      </c>
      <c r="AY24" s="352">
        <f>AVERAGE(Table144[[#This Row],[P1-1]:[P9-4]])</f>
        <v>7979.6785714285716</v>
      </c>
      <c r="AZ24" s="350">
        <f>_xlfn.STDEV.P(Table144[[#This Row],[P1-1]:[P9-4]])</f>
        <v>20001.625751876076</v>
      </c>
      <c r="BA24" s="122"/>
      <c r="BB24" s="174"/>
    </row>
    <row r="25" spans="1:54" s="106" customFormat="1" ht="0.2" customHeight="1">
      <c r="A25" s="316" t="s">
        <v>243</v>
      </c>
      <c r="B25" s="23"/>
      <c r="C25" s="23"/>
      <c r="D25" s="284" t="s">
        <v>59</v>
      </c>
      <c r="E25" s="23"/>
      <c r="F25" s="47"/>
      <c r="G25" s="23"/>
      <c r="H25" s="23"/>
      <c r="I25" s="23"/>
      <c r="J25" s="23"/>
      <c r="K25" s="23"/>
      <c r="L25" s="23"/>
      <c r="M25" s="393">
        <f>M65</f>
        <v>0</v>
      </c>
      <c r="N25" s="393">
        <f t="shared" ref="N25:AL25" si="75">N65</f>
        <v>0</v>
      </c>
      <c r="O25" s="330">
        <f t="shared" si="75"/>
        <v>0</v>
      </c>
      <c r="P25" s="330">
        <f t="shared" si="75"/>
        <v>0</v>
      </c>
      <c r="Q25" s="330">
        <f t="shared" si="75"/>
        <v>0</v>
      </c>
      <c r="R25" s="330">
        <f t="shared" si="75"/>
        <v>0</v>
      </c>
      <c r="S25" s="330">
        <f t="shared" si="75"/>
        <v>0</v>
      </c>
      <c r="T25" s="330">
        <f t="shared" si="75"/>
        <v>0</v>
      </c>
      <c r="U25" s="330">
        <f t="shared" si="75"/>
        <v>3.1E-2</v>
      </c>
      <c r="V25" s="330">
        <f t="shared" si="75"/>
        <v>0</v>
      </c>
      <c r="W25" s="330">
        <f t="shared" si="75"/>
        <v>0</v>
      </c>
      <c r="X25" s="330">
        <f t="shared" si="75"/>
        <v>0</v>
      </c>
      <c r="Y25" s="330">
        <f t="shared" si="75"/>
        <v>0</v>
      </c>
      <c r="Z25" s="330">
        <f t="shared" si="75"/>
        <v>0</v>
      </c>
      <c r="AA25" s="330">
        <f t="shared" si="75"/>
        <v>0</v>
      </c>
      <c r="AB25" s="330">
        <f t="shared" si="75"/>
        <v>0</v>
      </c>
      <c r="AC25" s="330">
        <f t="shared" si="75"/>
        <v>0</v>
      </c>
      <c r="AD25" s="330">
        <f t="shared" si="75"/>
        <v>0</v>
      </c>
      <c r="AE25" s="330">
        <f t="shared" si="75"/>
        <v>0</v>
      </c>
      <c r="AF25" s="330">
        <f t="shared" si="75"/>
        <v>0</v>
      </c>
      <c r="AG25" s="330">
        <f t="shared" si="75"/>
        <v>0</v>
      </c>
      <c r="AH25" s="330">
        <f t="shared" si="75"/>
        <v>0</v>
      </c>
      <c r="AI25" s="330">
        <f t="shared" si="75"/>
        <v>0</v>
      </c>
      <c r="AJ25" s="330">
        <f t="shared" si="75"/>
        <v>6.9000000000000006E-2</v>
      </c>
      <c r="AK25" s="330">
        <f t="shared" si="75"/>
        <v>0</v>
      </c>
      <c r="AL25" s="330">
        <f t="shared" si="75"/>
        <v>0</v>
      </c>
      <c r="AM25" s="330">
        <f t="shared" si="74"/>
        <v>0</v>
      </c>
      <c r="AN25" s="330">
        <f t="shared" si="74"/>
        <v>0</v>
      </c>
      <c r="AO25" s="355"/>
      <c r="AP25" s="350"/>
      <c r="AQ25" s="350"/>
      <c r="AR25" s="350"/>
      <c r="AS25" s="350"/>
      <c r="AT25" s="350"/>
      <c r="AU25" s="351"/>
      <c r="AV25" s="351"/>
      <c r="AW25" s="351"/>
      <c r="AX25" s="351"/>
      <c r="AY25" s="352"/>
      <c r="AZ25" s="350"/>
      <c r="BA25" s="122"/>
      <c r="BB25" s="174"/>
    </row>
    <row r="26" spans="1:54" s="106" customFormat="1" ht="0.2" customHeight="1">
      <c r="A26" s="31" t="s">
        <v>84</v>
      </c>
      <c r="B26" s="23"/>
      <c r="C26" s="32" t="s">
        <v>85</v>
      </c>
      <c r="D26" s="32" t="s">
        <v>61</v>
      </c>
      <c r="E26" s="23"/>
      <c r="F26" s="47"/>
      <c r="G26" s="23"/>
      <c r="H26" s="23"/>
      <c r="I26" s="23"/>
      <c r="J26" s="23"/>
      <c r="K26" s="23"/>
      <c r="L26" s="23"/>
      <c r="M26" s="395">
        <f>(M20+M24)/M14</f>
        <v>26.61904761904762</v>
      </c>
      <c r="N26" s="395">
        <f t="shared" ref="N26:R26" si="76">(N20+N24)/N14</f>
        <v>45.18888888888889</v>
      </c>
      <c r="O26" s="340">
        <f t="shared" si="76"/>
        <v>61.069444444444443</v>
      </c>
      <c r="P26" s="340">
        <f>(P20+P24)/P14</f>
        <v>103.77777777777777</v>
      </c>
      <c r="Q26" s="340">
        <f>(Q20+Q24)/Q14</f>
        <v>114.55555555555556</v>
      </c>
      <c r="R26" s="340">
        <f t="shared" si="76"/>
        <v>83.231707317073173</v>
      </c>
      <c r="S26" s="340">
        <f t="shared" ref="S26:AF26" si="77">(S20+S24)/S14</f>
        <v>99.125</v>
      </c>
      <c r="T26" s="340">
        <f t="shared" si="77"/>
        <v>96.836363636363643</v>
      </c>
      <c r="U26" s="340">
        <f>(U20+U24)/U14</f>
        <v>455.44262295081967</v>
      </c>
      <c r="V26" s="340">
        <f t="shared" si="77"/>
        <v>41.55263157894737</v>
      </c>
      <c r="W26" s="340">
        <f t="shared" si="77"/>
        <v>59.933962264150942</v>
      </c>
      <c r="X26" s="340">
        <f t="shared" si="77"/>
        <v>15.125581395348837</v>
      </c>
      <c r="Y26" s="340">
        <f t="shared" si="77"/>
        <v>64.211477632173526</v>
      </c>
      <c r="Z26" s="340">
        <f>(Z20+Z24)/Z14</f>
        <v>96.6</v>
      </c>
      <c r="AA26" s="340">
        <f>(AA20+AA24)/AA14</f>
        <v>69.32692307692308</v>
      </c>
      <c r="AB26" s="369">
        <f t="shared" si="77"/>
        <v>129.37096635401429</v>
      </c>
      <c r="AC26" s="340">
        <f t="shared" si="77"/>
        <v>17.686567164179106</v>
      </c>
      <c r="AD26" s="340">
        <f>(AD20+AD24)/AD14</f>
        <v>137.05824284304049</v>
      </c>
      <c r="AE26" s="340">
        <f>(AE20+AE24)/AE14</f>
        <v>45.213114754098363</v>
      </c>
      <c r="AF26" s="340">
        <f t="shared" si="77"/>
        <v>35.487083722377839</v>
      </c>
      <c r="AG26" s="340">
        <f t="shared" ref="AG26:AI26" si="78">(AG20+AG24)/AG14</f>
        <v>70.509090909090915</v>
      </c>
      <c r="AH26" s="340">
        <f t="shared" si="78"/>
        <v>116.15523465703971</v>
      </c>
      <c r="AI26" s="340">
        <f t="shared" si="78"/>
        <v>122.84431845027169</v>
      </c>
      <c r="AJ26" s="340">
        <f>(AJ20+AJ24)/AJ14</f>
        <v>-105.42776203966005</v>
      </c>
      <c r="AK26" s="340">
        <f>(AK20+AK24)/AK14</f>
        <v>625.51857142857148</v>
      </c>
      <c r="AL26" s="340">
        <f>(AL20+AL24)/AL14</f>
        <v>2004.2</v>
      </c>
      <c r="AM26" s="340">
        <f t="shared" ref="AM26" si="79">(AM20+AM24)/AM14</f>
        <v>126.84545454545454</v>
      </c>
      <c r="AN26" s="340">
        <f>(AN20+AN24)/AN14</f>
        <v>45.228571428571428</v>
      </c>
      <c r="AO26" s="355"/>
      <c r="AP26" s="367">
        <f>PERCENTILE($M26:$AO26,0.1)</f>
        <v>23.939303482587068</v>
      </c>
      <c r="AQ26" s="367">
        <f>PERCENTILE($M26:$AO26,0.25)</f>
        <v>45.207058287795995</v>
      </c>
      <c r="AR26" s="367">
        <f>PERCENTILE($M26:$AO26,0.5)</f>
        <v>76.870399113082044</v>
      </c>
      <c r="AS26" s="367">
        <f>PERCENTILE($M26:$AO26,0.75)</f>
        <v>117.82750560534771</v>
      </c>
      <c r="AT26" s="367">
        <f>PERCENTILE($M26:$AO26,0.9)</f>
        <v>232.57355687537446</v>
      </c>
      <c r="AU26" s="365">
        <f>(Table144[[#This Row],[MP75]]-Table144[[#This Row],[MP25]])/Table144[[#This Row],[MP50]]</f>
        <v>0.94471276532234028</v>
      </c>
      <c r="AV26" s="365">
        <f>(Table144[[#This Row],[MP75]]-Table144[[#This Row],[MP25]])/Table144[[#This Row],[MP50]]/2</f>
        <v>0.47235638266117014</v>
      </c>
      <c r="AW26" s="365">
        <f>(Table144[[#This Row],[MP25]]-Table144[[#This Row],[MP50]])/Table144[[#This Row],[MP50]]</f>
        <v>-0.41190550837009354</v>
      </c>
      <c r="AX26" s="365">
        <f>(Table144[[#This Row],[MP75]]-Table144[[#This Row],[MP50]])/Table144[[#This Row],[MP50]]</f>
        <v>0.53280725695224673</v>
      </c>
      <c r="AY26" s="366">
        <f>AVERAGE(Table144[[#This Row],[P1-1]:[P9-4]])</f>
        <v>171.54594422694871</v>
      </c>
      <c r="AZ26" s="370">
        <f>_xlfn.STDEV.P(Table144[[#This Row],[P1-1]:[P9-4]])</f>
        <v>376.72410884862313</v>
      </c>
      <c r="BA26" s="128" t="s">
        <v>75</v>
      </c>
      <c r="BB26" s="174"/>
    </row>
    <row r="27" spans="1:54" s="106" customFormat="1" ht="0.2" customHeight="1">
      <c r="A27" s="249" t="s">
        <v>86</v>
      </c>
      <c r="B27" s="23"/>
      <c r="C27" s="23" t="s">
        <v>87</v>
      </c>
      <c r="D27" s="23" t="s">
        <v>59</v>
      </c>
      <c r="E27" s="23">
        <v>0</v>
      </c>
      <c r="F27" s="55">
        <v>14</v>
      </c>
      <c r="G27" s="56">
        <v>20.5</v>
      </c>
      <c r="H27" s="57">
        <v>27</v>
      </c>
      <c r="I27" s="73">
        <v>53</v>
      </c>
      <c r="J27" s="74">
        <v>134</v>
      </c>
      <c r="K27" s="57">
        <v>10000</v>
      </c>
      <c r="L27" s="23"/>
      <c r="M27" s="400">
        <f>M19/M11</f>
        <v>29.047192353643968</v>
      </c>
      <c r="N27" s="400">
        <f t="shared" ref="N27:O27" si="80">N19/N11</f>
        <v>24.487029624449086</v>
      </c>
      <c r="O27" s="321">
        <f t="shared" si="80"/>
        <v>41.866601114388722</v>
      </c>
      <c r="P27" s="321">
        <f t="shared" ref="P27:AF27" si="81">P19/P11</f>
        <v>35.262994086523499</v>
      </c>
      <c r="Q27" s="321">
        <f t="shared" si="81"/>
        <v>33.224826388888886</v>
      </c>
      <c r="R27" s="321">
        <f t="shared" si="81"/>
        <v>26.331018518518519</v>
      </c>
      <c r="S27" s="321">
        <f t="shared" si="81"/>
        <v>18.796471661054994</v>
      </c>
      <c r="T27" s="321">
        <f t="shared" si="81"/>
        <v>25.953661034306197</v>
      </c>
      <c r="U27" s="321">
        <f t="shared" si="81"/>
        <v>27.973586128666341</v>
      </c>
      <c r="V27" s="321">
        <f t="shared" si="81"/>
        <v>27.175409610353849</v>
      </c>
      <c r="W27" s="321">
        <f t="shared" si="81"/>
        <v>24.459863364645603</v>
      </c>
      <c r="X27" s="321">
        <f t="shared" si="81"/>
        <v>23.862171288243118</v>
      </c>
      <c r="Y27" s="321">
        <f t="shared" si="81"/>
        <v>24.44087721031315</v>
      </c>
      <c r="Z27" s="321">
        <f t="shared" si="81"/>
        <v>25.331753554502367</v>
      </c>
      <c r="AA27" s="321">
        <f t="shared" si="81"/>
        <v>27.128632923517472</v>
      </c>
      <c r="AB27" s="321">
        <f t="shared" si="81"/>
        <v>48.331766124171189</v>
      </c>
      <c r="AC27" s="321">
        <f t="shared" si="81"/>
        <v>45.7264065651297</v>
      </c>
      <c r="AD27" s="321">
        <f t="shared" si="81"/>
        <v>41.609706696749058</v>
      </c>
      <c r="AE27" s="321">
        <f t="shared" si="81"/>
        <v>40.380361162815625</v>
      </c>
      <c r="AF27" s="321">
        <f t="shared" si="81"/>
        <v>16.656029684601112</v>
      </c>
      <c r="AG27" s="321">
        <f t="shared" ref="AG27:AI27" si="82">AG19/AG11</f>
        <v>32.148829431438124</v>
      </c>
      <c r="AH27" s="321">
        <f t="shared" si="82"/>
        <v>31.775103203674629</v>
      </c>
      <c r="AI27" s="321">
        <f t="shared" si="82"/>
        <v>23.447683721656322</v>
      </c>
      <c r="AJ27" s="321">
        <f>AJ19/AJ11</f>
        <v>17.145980039061801</v>
      </c>
      <c r="AK27" s="321">
        <f>AK19/AK11</f>
        <v>259.16115411681915</v>
      </c>
      <c r="AL27" s="321">
        <f>AL19/AL11</f>
        <v>89.558278597514487</v>
      </c>
      <c r="AM27" s="321">
        <f t="shared" ref="AM27" si="83">AM19/AM11</f>
        <v>55.58663558663558</v>
      </c>
      <c r="AN27" s="321">
        <f>AN19/AN11</f>
        <v>50.019677292404559</v>
      </c>
      <c r="AO27" s="371"/>
      <c r="AP27" s="367">
        <f>PERCENTILE($M27:$AO27,0.1)</f>
        <v>22.052320103475925</v>
      </c>
      <c r="AQ27" s="367">
        <f>PERCENTILE($M27:$AO27,0.25)</f>
        <v>24.480238059498216</v>
      </c>
      <c r="AR27" s="367">
        <f>PERCENTILE($M27:$AO27,0.5)</f>
        <v>28.510389241155153</v>
      </c>
      <c r="AS27" s="367">
        <f>PERCENTILE($M27:$AO27,0.75)</f>
        <v>41.673930301158975</v>
      </c>
      <c r="AT27" s="367">
        <f>PERCENTILE($M27:$AO27,0.9)</f>
        <v>51.689764780673869</v>
      </c>
      <c r="AU27" s="365">
        <f>(Table144[[#This Row],[MP75]]-Table144[[#This Row],[MP25]])/Table144[[#This Row],[MP50]]</f>
        <v>0.60306760795960723</v>
      </c>
      <c r="AV27" s="365">
        <f>(Table144[[#This Row],[MP75]]-Table144[[#This Row],[MP25]])/Table144[[#This Row],[MP50]]/2</f>
        <v>0.30153380397980362</v>
      </c>
      <c r="AW27" s="365">
        <f>(Table144[[#This Row],[MP25]]-Table144[[#This Row],[MP50]])/Table144[[#This Row],[MP50]]</f>
        <v>-0.14135728374551113</v>
      </c>
      <c r="AX27" s="365">
        <f>(Table144[[#This Row],[MP75]]-Table144[[#This Row],[MP50]])/Table144[[#This Row],[MP50]]</f>
        <v>0.46171032421409608</v>
      </c>
      <c r="AY27" s="366">
        <f>AVERAGE(Table144[[#This Row],[P1-1]:[P9-4]])</f>
        <v>41.67463218159596</v>
      </c>
      <c r="AZ27" s="370">
        <f>_xlfn.STDEV.P(Table144[[#This Row],[P1-1]:[P9-4]])</f>
        <v>44.331555011015674</v>
      </c>
      <c r="BA27" s="122"/>
      <c r="BB27" s="174"/>
    </row>
    <row r="28" spans="1:54" s="108" customFormat="1" ht="0.2" customHeight="1">
      <c r="A28" s="249" t="s">
        <v>88</v>
      </c>
      <c r="B28" s="23"/>
      <c r="C28" s="23"/>
      <c r="D28" s="23" t="s">
        <v>59</v>
      </c>
      <c r="E28" s="23"/>
      <c r="F28" s="55"/>
      <c r="G28" s="56"/>
      <c r="H28" s="57"/>
      <c r="I28" s="73"/>
      <c r="J28" s="74"/>
      <c r="K28" s="57"/>
      <c r="L28" s="23"/>
      <c r="M28" s="400">
        <f>M23/M11</f>
        <v>22.396455595380328</v>
      </c>
      <c r="N28" s="400">
        <f t="shared" ref="N28:R28" si="84">N23/N11</f>
        <v>18.112961778051133</v>
      </c>
      <c r="O28" s="321">
        <f t="shared" si="84"/>
        <v>73.426745329400191</v>
      </c>
      <c r="P28" s="321">
        <f>P23/P11</f>
        <v>71.045751633986924</v>
      </c>
      <c r="Q28" s="321">
        <f>Q23/Q11</f>
        <v>73.067129629629619</v>
      </c>
      <c r="R28" s="321">
        <f t="shared" si="84"/>
        <v>0</v>
      </c>
      <c r="S28" s="321">
        <f t="shared" ref="S28:AF28" si="85">S23/S11</f>
        <v>0</v>
      </c>
      <c r="T28" s="321">
        <f t="shared" si="85"/>
        <v>0</v>
      </c>
      <c r="U28" s="321">
        <f t="shared" si="85"/>
        <v>0</v>
      </c>
      <c r="V28" s="321">
        <f t="shared" si="85"/>
        <v>0</v>
      </c>
      <c r="W28" s="321">
        <f t="shared" si="85"/>
        <v>0</v>
      </c>
      <c r="X28" s="321">
        <f t="shared" si="85"/>
        <v>0</v>
      </c>
      <c r="Y28" s="321">
        <f t="shared" si="85"/>
        <v>0</v>
      </c>
      <c r="Z28" s="321">
        <f t="shared" si="85"/>
        <v>0</v>
      </c>
      <c r="AA28" s="321">
        <f t="shared" si="85"/>
        <v>0</v>
      </c>
      <c r="AB28" s="321">
        <f t="shared" si="85"/>
        <v>0</v>
      </c>
      <c r="AC28" s="321">
        <f t="shared" si="85"/>
        <v>0</v>
      </c>
      <c r="AD28" s="321">
        <f t="shared" si="85"/>
        <v>0</v>
      </c>
      <c r="AE28" s="321">
        <f t="shared" si="85"/>
        <v>0</v>
      </c>
      <c r="AF28" s="321">
        <f t="shared" si="85"/>
        <v>4.4979591836734691</v>
      </c>
      <c r="AG28" s="321">
        <f t="shared" ref="AG28:AI28" si="86">AG23/AG11</f>
        <v>12.554192988975597</v>
      </c>
      <c r="AH28" s="321">
        <f t="shared" si="86"/>
        <v>13.183906041048898</v>
      </c>
      <c r="AI28" s="321">
        <f t="shared" si="86"/>
        <v>11.803848105217968</v>
      </c>
      <c r="AJ28" s="321">
        <f>AJ23/AJ11</f>
        <v>11.055564514684011</v>
      </c>
      <c r="AK28" s="321">
        <f>AK23/AK11</f>
        <v>48.97607318789585</v>
      </c>
      <c r="AL28" s="321">
        <f>AL23/AL11</f>
        <v>69.965658330004914</v>
      </c>
      <c r="AM28" s="321">
        <f t="shared" ref="AM28" si="87">AM23/AM11</f>
        <v>16.689976689976689</v>
      </c>
      <c r="AN28" s="321">
        <f>AN23/AN11</f>
        <v>14.454064454064453</v>
      </c>
      <c r="AO28" s="361"/>
      <c r="AP28" s="350">
        <f>PERCENTILE($M28:$AO28,0.1)</f>
        <v>0</v>
      </c>
      <c r="AQ28" s="350">
        <f>PERCENTILE($M28:$AO28,0.25)</f>
        <v>0</v>
      </c>
      <c r="AR28" s="350">
        <f>PERCENTILE($M28:$AO28,0.5)</f>
        <v>2.2489795918367346</v>
      </c>
      <c r="AS28" s="350">
        <f>PERCENTILE($M28:$AO28,0.75)</f>
        <v>17.045722961995299</v>
      </c>
      <c r="AT28" s="350">
        <f>PERCENTILE($M28:$AO28,0.9)</f>
        <v>70.289686321199511</v>
      </c>
      <c r="AU28" s="351">
        <f>(Table144[[#This Row],[MP75]]-Table144[[#This Row],[MP25]])/Table144[[#This Row],[MP50]]</f>
        <v>7.5793142027020846</v>
      </c>
      <c r="AV28" s="351" t="e">
        <v>#DIV/0!</v>
      </c>
      <c r="AW28" s="351">
        <f>(Table144[[#This Row],[MP25]]-Table144[[#This Row],[MP50]])/Table144[[#This Row],[MP50]]</f>
        <v>-1</v>
      </c>
      <c r="AX28" s="351">
        <f>(Table144[[#This Row],[MP75]]-Table144[[#This Row],[MP50]])/Table144[[#This Row],[MP50]]</f>
        <v>6.5793142027020846</v>
      </c>
      <c r="AY28" s="352">
        <f>AVERAGE(Table144[[#This Row],[P1-1]:[P9-4]])</f>
        <v>16.472510266499647</v>
      </c>
      <c r="AZ28" s="350">
        <f>_xlfn.STDEV.P(Table144[[#This Row],[P1-1]:[P9-4]])</f>
        <v>24.931611212870891</v>
      </c>
      <c r="BA28" s="221"/>
      <c r="BB28" s="233"/>
    </row>
    <row r="29" spans="1:54" s="106" customFormat="1" ht="0.2" customHeight="1">
      <c r="A29" s="24" t="s">
        <v>89</v>
      </c>
      <c r="B29" s="25"/>
      <c r="C29" s="26"/>
      <c r="D29" s="26"/>
      <c r="E29" s="26"/>
      <c r="F29" s="50"/>
      <c r="G29" s="51"/>
      <c r="H29" s="26"/>
      <c r="I29" s="69"/>
      <c r="J29" s="70"/>
      <c r="K29" s="26"/>
      <c r="L29" s="26"/>
      <c r="M29" s="397"/>
      <c r="N29" s="397"/>
      <c r="O29" s="342"/>
      <c r="P29" s="342"/>
      <c r="Q29" s="342"/>
      <c r="R29" s="343"/>
      <c r="S29" s="342"/>
      <c r="T29" s="343"/>
      <c r="U29" s="342"/>
      <c r="V29" s="343"/>
      <c r="W29" s="343"/>
      <c r="X29" s="321"/>
      <c r="Y29" s="342"/>
      <c r="Z29" s="342"/>
      <c r="AA29" s="342"/>
      <c r="AB29" s="342"/>
      <c r="AC29" s="342"/>
      <c r="AD29" s="342"/>
      <c r="AE29" s="342"/>
      <c r="AF29" s="342"/>
      <c r="AG29" s="342"/>
      <c r="AH29" s="342"/>
      <c r="AI29" s="342"/>
      <c r="AJ29" s="342"/>
      <c r="AK29" s="342"/>
      <c r="AL29" s="342"/>
      <c r="AM29" s="342"/>
      <c r="AN29" s="342"/>
      <c r="AO29" s="357"/>
      <c r="AP29" s="350" t="e">
        <f>PERCENTILE($M29:$AO29,0.1)</f>
        <v>#NUM!</v>
      </c>
      <c r="AQ29" s="350" t="e">
        <f>PERCENTILE($M29:$AO29,0.25)</f>
        <v>#NUM!</v>
      </c>
      <c r="AR29" s="350" t="e">
        <f>PERCENTILE($M29:$AO29,0.5)</f>
        <v>#NUM!</v>
      </c>
      <c r="AS29" s="350" t="e">
        <f>PERCENTILE($M29:$AO29,0.75)</f>
        <v>#NUM!</v>
      </c>
      <c r="AT29" s="350" t="e">
        <f>PERCENTILE($M29:$AO29,0.9)</f>
        <v>#NUM!</v>
      </c>
      <c r="AU29" s="351"/>
      <c r="AV29" s="351"/>
      <c r="AW29" s="351" t="e">
        <f>(Table144[[#This Row],[MP25]]-Table144[[#This Row],[MP50]])/Table144[[#This Row],[MP50]]</f>
        <v>#NUM!</v>
      </c>
      <c r="AX29" s="351"/>
      <c r="AY29" s="352"/>
      <c r="AZ29" s="356"/>
      <c r="BA29" s="122"/>
      <c r="BB29" s="174"/>
    </row>
    <row r="30" spans="1:54" s="109" customFormat="1" ht="0.2" customHeight="1">
      <c r="A30" s="33" t="s">
        <v>90</v>
      </c>
      <c r="B30" s="34"/>
      <c r="C30" s="34" t="s">
        <v>91</v>
      </c>
      <c r="D30" s="34" t="s">
        <v>61</v>
      </c>
      <c r="E30" s="34"/>
      <c r="F30" s="58"/>
      <c r="G30" s="34"/>
      <c r="H30" s="34"/>
      <c r="I30" s="34"/>
      <c r="J30" s="34"/>
      <c r="K30" s="34"/>
      <c r="L30" s="34"/>
      <c r="M30" s="393">
        <f>M37+M41</f>
        <v>111</v>
      </c>
      <c r="N30" s="393">
        <f t="shared" ref="N30:O30" si="88">N37+N41</f>
        <v>96</v>
      </c>
      <c r="O30" s="330">
        <f t="shared" si="88"/>
        <v>774</v>
      </c>
      <c r="P30" s="330">
        <f>P37+P41</f>
        <v>90</v>
      </c>
      <c r="Q30" s="330">
        <f>Q37+Q41</f>
        <v>115</v>
      </c>
      <c r="R30" s="330">
        <f t="shared" ref="R30:AF30" si="89">R37+R41</f>
        <v>56</v>
      </c>
      <c r="S30" s="330">
        <f t="shared" si="89"/>
        <v>1635</v>
      </c>
      <c r="T30" s="330">
        <f t="shared" si="89"/>
        <v>541</v>
      </c>
      <c r="U30" s="330">
        <f>U37+U41</f>
        <v>902</v>
      </c>
      <c r="V30" s="330">
        <f t="shared" si="89"/>
        <v>1346</v>
      </c>
      <c r="W30" s="330">
        <f t="shared" si="89"/>
        <v>365</v>
      </c>
      <c r="X30" s="330">
        <f t="shared" si="89"/>
        <v>182</v>
      </c>
      <c r="Y30" s="330">
        <f t="shared" si="89"/>
        <v>64</v>
      </c>
      <c r="Z30" s="330">
        <f>Z37+Z41</f>
        <v>352</v>
      </c>
      <c r="AA30" s="330">
        <f>AA37+AA41</f>
        <v>115</v>
      </c>
      <c r="AB30" s="330">
        <f t="shared" si="89"/>
        <v>2012</v>
      </c>
      <c r="AC30" s="330">
        <f t="shared" si="89"/>
        <v>582</v>
      </c>
      <c r="AD30" s="330">
        <f>AD37+AD41</f>
        <v>2298</v>
      </c>
      <c r="AE30" s="330">
        <f>AE37+AE41</f>
        <v>2305</v>
      </c>
      <c r="AF30" s="330">
        <f t="shared" si="89"/>
        <v>1012</v>
      </c>
      <c r="AG30" s="330">
        <f t="shared" ref="AG30:AI30" si="90">AG37+AG41</f>
        <v>142</v>
      </c>
      <c r="AH30" s="330">
        <f t="shared" si="90"/>
        <v>194</v>
      </c>
      <c r="AI30" s="330">
        <f t="shared" si="90"/>
        <v>298</v>
      </c>
      <c r="AJ30" s="330">
        <f>AJ37+AJ41</f>
        <v>172</v>
      </c>
      <c r="AK30" s="330">
        <f t="shared" ref="AK30" si="91">AK37+AK41</f>
        <v>1945</v>
      </c>
      <c r="AL30" s="330">
        <f>AL37+AL41</f>
        <v>562</v>
      </c>
      <c r="AM30" s="330">
        <f t="shared" ref="AM30" si="92">AM37+AM41</f>
        <v>290</v>
      </c>
      <c r="AN30" s="330">
        <f>AN37+AN41</f>
        <v>42</v>
      </c>
      <c r="AO30" s="372"/>
      <c r="AP30" s="350">
        <f>PERCENTILE($M30:$AO30,0.1)</f>
        <v>82.2</v>
      </c>
      <c r="AQ30" s="372">
        <f>PERCENTILE($M30:$AO30,0.25)</f>
        <v>115</v>
      </c>
      <c r="AR30" s="372">
        <f>PERCENTILE($M30:$AO30,0.5)</f>
        <v>325</v>
      </c>
      <c r="AS30" s="372">
        <f>PERCENTILE($M30:$AO30,0.75)</f>
        <v>929.5</v>
      </c>
      <c r="AT30" s="372">
        <f>PERCENTILE($M30:$AO30,0.9)</f>
        <v>1965.1000000000001</v>
      </c>
      <c r="AU30" s="351">
        <f>(Table144[[#This Row],[MP75]]-Table144[[#This Row],[MP25]])/Table144[[#This Row],[MP50]]</f>
        <v>2.506153846153846</v>
      </c>
      <c r="AV30" s="351">
        <v>1.2351190476190499</v>
      </c>
      <c r="AW30" s="351">
        <f>(Table144[[#This Row],[MP25]]-Table144[[#This Row],[MP50]])/Table144[[#This Row],[MP50]]</f>
        <v>-0.64615384615384619</v>
      </c>
      <c r="AX30" s="351">
        <f>(Table144[[#This Row],[MP75]]-Table144[[#This Row],[MP50]])/Table144[[#This Row],[MP50]]</f>
        <v>1.86</v>
      </c>
      <c r="AY30" s="352">
        <f>AVERAGE(Table144[[#This Row],[P1-1]:[P9-4]])</f>
        <v>664.21428571428567</v>
      </c>
      <c r="AZ30" s="350">
        <f>_xlfn.STDEV.P(Table144[[#This Row],[P1-1]:[P9-4]])</f>
        <v>721.02552744302318</v>
      </c>
      <c r="BA30" s="129"/>
      <c r="BB30" s="234"/>
    </row>
    <row r="31" spans="1:54" s="271" customFormat="1" ht="0.2" customHeight="1">
      <c r="A31" s="33" t="s">
        <v>225</v>
      </c>
      <c r="B31" s="34"/>
      <c r="C31" s="34" t="s">
        <v>91</v>
      </c>
      <c r="D31" s="34" t="s">
        <v>61</v>
      </c>
      <c r="E31" s="34"/>
      <c r="F31" s="58"/>
      <c r="G31" s="34"/>
      <c r="H31" s="34"/>
      <c r="I31" s="34"/>
      <c r="J31" s="34"/>
      <c r="K31" s="34"/>
      <c r="L31" s="34"/>
      <c r="M31" s="393">
        <f t="shared" ref="M31:AL31" si="93">M85</f>
        <v>156.81600000000003</v>
      </c>
      <c r="N31" s="393">
        <f t="shared" si="93"/>
        <v>0</v>
      </c>
      <c r="O31" s="330">
        <f t="shared" si="93"/>
        <v>0</v>
      </c>
      <c r="P31" s="330">
        <f t="shared" si="93"/>
        <v>0</v>
      </c>
      <c r="Q31" s="330">
        <f t="shared" si="93"/>
        <v>0</v>
      </c>
      <c r="R31" s="330">
        <f t="shared" si="93"/>
        <v>0</v>
      </c>
      <c r="S31" s="330">
        <f t="shared" si="93"/>
        <v>0</v>
      </c>
      <c r="T31" s="330">
        <f t="shared" si="93"/>
        <v>0</v>
      </c>
      <c r="U31" s="330">
        <f t="shared" si="93"/>
        <v>0</v>
      </c>
      <c r="V31" s="330">
        <f t="shared" si="93"/>
        <v>0</v>
      </c>
      <c r="W31" s="330">
        <f t="shared" si="93"/>
        <v>0</v>
      </c>
      <c r="X31" s="330">
        <f t="shared" si="93"/>
        <v>0</v>
      </c>
      <c r="Y31" s="330">
        <f t="shared" si="93"/>
        <v>0</v>
      </c>
      <c r="Z31" s="330">
        <f t="shared" si="93"/>
        <v>0</v>
      </c>
      <c r="AA31" s="330">
        <f t="shared" si="93"/>
        <v>0</v>
      </c>
      <c r="AB31" s="330">
        <f t="shared" si="93"/>
        <v>0</v>
      </c>
      <c r="AC31" s="330">
        <f t="shared" si="93"/>
        <v>0</v>
      </c>
      <c r="AD31" s="330">
        <f t="shared" si="93"/>
        <v>0</v>
      </c>
      <c r="AE31" s="330">
        <f t="shared" si="93"/>
        <v>0</v>
      </c>
      <c r="AF31" s="330">
        <f t="shared" si="93"/>
        <v>0</v>
      </c>
      <c r="AG31" s="330">
        <f t="shared" si="93"/>
        <v>0</v>
      </c>
      <c r="AH31" s="330">
        <f t="shared" si="93"/>
        <v>0</v>
      </c>
      <c r="AI31" s="330">
        <f t="shared" si="93"/>
        <v>0</v>
      </c>
      <c r="AJ31" s="330">
        <f t="shared" si="93"/>
        <v>0</v>
      </c>
      <c r="AK31" s="330">
        <f t="shared" si="93"/>
        <v>0</v>
      </c>
      <c r="AL31" s="330">
        <f t="shared" si="93"/>
        <v>0</v>
      </c>
      <c r="AM31" s="330">
        <f t="shared" ref="AM31" si="94">AM85</f>
        <v>0</v>
      </c>
      <c r="AN31" s="330">
        <f>AN85</f>
        <v>0</v>
      </c>
      <c r="AO31" s="372"/>
      <c r="AP31" s="350"/>
      <c r="AQ31" s="372"/>
      <c r="AR31" s="372"/>
      <c r="AS31" s="372"/>
      <c r="AT31" s="372"/>
      <c r="AU31" s="351"/>
      <c r="AV31" s="351"/>
      <c r="AW31" s="351" t="e">
        <f>(Table144[[#This Row],[MP25]]-Table144[[#This Row],[MP50]])/Table144[[#This Row],[MP50]]</f>
        <v>#DIV/0!</v>
      </c>
      <c r="AX31" s="351"/>
      <c r="AY31" s="352"/>
      <c r="AZ31" s="350"/>
      <c r="BA31" s="129"/>
      <c r="BB31" s="270"/>
    </row>
    <row r="32" spans="1:54" s="277" customFormat="1" ht="0.2" customHeight="1">
      <c r="A32" s="272" t="s">
        <v>226</v>
      </c>
      <c r="B32" s="273"/>
      <c r="C32" s="273" t="s">
        <v>97</v>
      </c>
      <c r="D32" s="273" t="s">
        <v>61</v>
      </c>
      <c r="E32" s="273"/>
      <c r="F32" s="273"/>
      <c r="G32" s="273"/>
      <c r="H32" s="273"/>
      <c r="I32" s="273"/>
      <c r="J32" s="273"/>
      <c r="K32" s="273"/>
      <c r="L32" s="273"/>
      <c r="M32" s="399">
        <f>(M30-M31)/M31</f>
        <v>-0.29216406489133778</v>
      </c>
      <c r="N32" s="399" t="e">
        <f t="shared" ref="N32:AK32" si="95">(N30-N31)/N31</f>
        <v>#DIV/0!</v>
      </c>
      <c r="O32" s="346" t="e">
        <f t="shared" si="95"/>
        <v>#DIV/0!</v>
      </c>
      <c r="P32" s="346" t="e">
        <f>(P30-P31)/P31</f>
        <v>#DIV/0!</v>
      </c>
      <c r="Q32" s="346" t="e">
        <f>(Q30-Q31)/Q31</f>
        <v>#DIV/0!</v>
      </c>
      <c r="R32" s="346" t="e">
        <f t="shared" si="95"/>
        <v>#DIV/0!</v>
      </c>
      <c r="S32" s="346" t="e">
        <f t="shared" si="95"/>
        <v>#DIV/0!</v>
      </c>
      <c r="T32" s="346" t="e">
        <f t="shared" si="95"/>
        <v>#DIV/0!</v>
      </c>
      <c r="U32" s="346" t="e">
        <f>(U30-U31)/U31</f>
        <v>#DIV/0!</v>
      </c>
      <c r="V32" s="346" t="e">
        <f t="shared" si="95"/>
        <v>#DIV/0!</v>
      </c>
      <c r="W32" s="346" t="e">
        <f t="shared" si="95"/>
        <v>#DIV/0!</v>
      </c>
      <c r="X32" s="346" t="e">
        <f t="shared" si="95"/>
        <v>#DIV/0!</v>
      </c>
      <c r="Y32" s="346" t="e">
        <f t="shared" si="95"/>
        <v>#DIV/0!</v>
      </c>
      <c r="Z32" s="346" t="e">
        <f>(Z30-Z31)/Z31</f>
        <v>#DIV/0!</v>
      </c>
      <c r="AA32" s="346" t="e">
        <f>(AA30-AA31)/AA31</f>
        <v>#DIV/0!</v>
      </c>
      <c r="AB32" s="346" t="e">
        <f t="shared" si="95"/>
        <v>#DIV/0!</v>
      </c>
      <c r="AC32" s="346" t="e">
        <f t="shared" si="95"/>
        <v>#DIV/0!</v>
      </c>
      <c r="AD32" s="346" t="e">
        <f>(AD30-AD31)/AD31</f>
        <v>#DIV/0!</v>
      </c>
      <c r="AE32" s="346" t="e">
        <f>(AE30-AE31)/AE31</f>
        <v>#DIV/0!</v>
      </c>
      <c r="AF32" s="346" t="e">
        <f t="shared" si="95"/>
        <v>#DIV/0!</v>
      </c>
      <c r="AG32" s="346" t="e">
        <f t="shared" si="95"/>
        <v>#DIV/0!</v>
      </c>
      <c r="AH32" s="346" t="e">
        <f t="shared" si="95"/>
        <v>#DIV/0!</v>
      </c>
      <c r="AI32" s="346" t="e">
        <f t="shared" si="95"/>
        <v>#DIV/0!</v>
      </c>
      <c r="AJ32" s="346" t="e">
        <f>(AJ30-AJ31)/AJ31</f>
        <v>#DIV/0!</v>
      </c>
      <c r="AK32" s="346" t="e">
        <f t="shared" si="95"/>
        <v>#DIV/0!</v>
      </c>
      <c r="AL32" s="346" t="e">
        <f>(AL30-AL31)/AL31</f>
        <v>#DIV/0!</v>
      </c>
      <c r="AM32" s="346" t="e">
        <f t="shared" ref="AM32" si="96">(AM30-AM31)/AM31</f>
        <v>#DIV/0!</v>
      </c>
      <c r="AN32" s="346" t="e">
        <f>(AN30-AN31)/AN31</f>
        <v>#DIV/0!</v>
      </c>
      <c r="AO32" s="373"/>
      <c r="AP32" s="362"/>
      <c r="AQ32" s="373"/>
      <c r="AR32" s="373"/>
      <c r="AS32" s="373"/>
      <c r="AT32" s="373"/>
      <c r="AU32" s="365"/>
      <c r="AV32" s="365"/>
      <c r="AW32" s="351" t="e">
        <f>(Table144[[#This Row],[MP25]]-Table144[[#This Row],[MP50]])/Table144[[#This Row],[MP50]]</f>
        <v>#DIV/0!</v>
      </c>
      <c r="AX32" s="365"/>
      <c r="AY32" s="366"/>
      <c r="AZ32" s="362"/>
      <c r="BA32" s="274"/>
      <c r="BB32" s="276"/>
    </row>
    <row r="33" spans="1:57" s="110" customFormat="1" ht="0.2" customHeight="1">
      <c r="A33" s="31" t="s">
        <v>92</v>
      </c>
      <c r="B33" s="23"/>
      <c r="C33" s="23" t="s">
        <v>93</v>
      </c>
      <c r="D33" s="30" t="s">
        <v>61</v>
      </c>
      <c r="E33" s="23">
        <v>100</v>
      </c>
      <c r="F33" s="55">
        <v>2</v>
      </c>
      <c r="G33" s="56">
        <v>1.5</v>
      </c>
      <c r="H33" s="57">
        <v>1.2</v>
      </c>
      <c r="I33" s="73">
        <v>0.8</v>
      </c>
      <c r="J33" s="74">
        <v>0.1</v>
      </c>
      <c r="K33" s="57">
        <v>0</v>
      </c>
      <c r="L33" s="75"/>
      <c r="M33" s="400">
        <f>M30/M12</f>
        <v>0.27628434886499403</v>
      </c>
      <c r="N33" s="400">
        <f t="shared" ref="N33:O33" si="97">N30/N12</f>
        <v>0.3138997969068314</v>
      </c>
      <c r="O33" s="321">
        <f t="shared" si="97"/>
        <v>1.2684365781710913</v>
      </c>
      <c r="P33" s="321">
        <f>P30/P12</f>
        <v>1.1764705882352942</v>
      </c>
      <c r="Q33" s="321">
        <f>Q30/Q12</f>
        <v>1.1831275720164609</v>
      </c>
      <c r="R33" s="321">
        <f t="shared" ref="R33:AF33" si="98">R30/R12</f>
        <v>2.0954315167383739</v>
      </c>
      <c r="S33" s="321">
        <f t="shared" si="98"/>
        <v>1.5719733024130511</v>
      </c>
      <c r="T33" s="321">
        <f t="shared" si="98"/>
        <v>3.085279169290009</v>
      </c>
      <c r="U33" s="321">
        <f>U30/U12</f>
        <v>6.5228458699249083</v>
      </c>
      <c r="V33" s="321">
        <f t="shared" si="98"/>
        <v>0.92661434668869624</v>
      </c>
      <c r="W33" s="321">
        <f t="shared" si="98"/>
        <v>0.8669833729216152</v>
      </c>
      <c r="X33" s="321">
        <f t="shared" si="98"/>
        <v>2.2469135802469138</v>
      </c>
      <c r="Y33" s="321">
        <f t="shared" si="98"/>
        <v>0.91428571428571426</v>
      </c>
      <c r="Z33" s="321">
        <f>Z30/Z12</f>
        <v>8.148148148148147</v>
      </c>
      <c r="AA33" s="321">
        <f>AA30/AA12</f>
        <v>1.506911224258916</v>
      </c>
      <c r="AB33" s="321">
        <f t="shared" si="98"/>
        <v>0.3593418614515661</v>
      </c>
      <c r="AC33" s="321">
        <f t="shared" si="98"/>
        <v>1.5329376141801472</v>
      </c>
      <c r="AD33" s="321">
        <f>AD30/AD12</f>
        <v>5.4769054769054772</v>
      </c>
      <c r="AE33" s="321">
        <f>AE30/AE12</f>
        <v>5.7032207237968553</v>
      </c>
      <c r="AF33" s="321">
        <f t="shared" si="98"/>
        <v>0.37551020408163266</v>
      </c>
      <c r="AG33" s="321">
        <f t="shared" ref="AG33:AI33" si="99">AG30/AG12</f>
        <v>2.3789157036246298</v>
      </c>
      <c r="AH33" s="321">
        <f t="shared" si="99"/>
        <v>2.4030719682893595</v>
      </c>
      <c r="AI33" s="321">
        <f t="shared" si="99"/>
        <v>2.293610463050705</v>
      </c>
      <c r="AJ33" s="321">
        <f>AJ30/AJ12</f>
        <v>1.153551059389101</v>
      </c>
      <c r="AK33" s="321">
        <f>AK30/AK12</f>
        <v>1.3687543983110486</v>
      </c>
      <c r="AL33" s="321">
        <f>AL30/AL12</f>
        <v>0.75451018262239655</v>
      </c>
      <c r="AM33" s="321">
        <f t="shared" ref="AM33" si="100">AM30/AM12</f>
        <v>0.75110075110075103</v>
      </c>
      <c r="AN33" s="321">
        <f>AN30/AN12</f>
        <v>0.58922558922558921</v>
      </c>
      <c r="AO33" s="355"/>
      <c r="AP33" s="367">
        <f t="shared" ref="AP33:AP45" si="101">PERCENTILE($M33:$AO33,0.1)</f>
        <v>0.37065970129261272</v>
      </c>
      <c r="AQ33" s="367">
        <f t="shared" ref="AQ33:AQ45" si="102">PERCENTILE($M33:$AO33,0.25)</f>
        <v>0.83886507534681054</v>
      </c>
      <c r="AR33" s="367">
        <f t="shared" ref="AR33:AR45" si="103">PERCENTILE($M33:$AO33,0.5)</f>
        <v>1.31859548824107</v>
      </c>
      <c r="AS33" s="367">
        <f t="shared" ref="AS33:AS45" si="104">PERCENTILE($M33:$AO33,0.75)</f>
        <v>2.3149367731941863</v>
      </c>
      <c r="AT33" s="367">
        <f t="shared" ref="AT33:AT45" si="105">PERCENTILE($M33:$AO33,0.9)</f>
        <v>5.5448000509728912</v>
      </c>
      <c r="AU33" s="365">
        <f>(Table144[[#This Row],[MP75]]-Table144[[#This Row],[MP25]])/Table144[[#This Row],[MP50]]</f>
        <v>1.1194272322411554</v>
      </c>
      <c r="AV33" s="365">
        <f>(Table144[[#This Row],[MP75]]-Table144[[#This Row],[MP25]])/Table144[[#This Row],[MP50]]/2</f>
        <v>0.55971361612057768</v>
      </c>
      <c r="AW33" s="365">
        <f>(Table144[[#This Row],[MP25]]-Table144[[#This Row],[MP50]])/Table144[[#This Row],[MP50]]</f>
        <v>-0.36381924340890326</v>
      </c>
      <c r="AX33" s="365">
        <f>(Table144[[#This Row],[MP75]]-Table144[[#This Row],[MP50]])/Table144[[#This Row],[MP50]]</f>
        <v>0.75560798883225211</v>
      </c>
      <c r="AY33" s="366">
        <f>AVERAGE(Table144[[#This Row],[P1-1]:[P9-4]])</f>
        <v>2.0444378973264388</v>
      </c>
      <c r="AZ33" s="362">
        <f>_xlfn.STDEV.P(Table144[[#This Row],[P1-1]:[P9-4]])</f>
        <v>1.974338372315426</v>
      </c>
      <c r="BA33" s="128" t="s">
        <v>75</v>
      </c>
      <c r="BB33" s="174"/>
    </row>
    <row r="34" spans="1:57" ht="0.2" customHeight="1">
      <c r="A34" s="22" t="s">
        <v>94</v>
      </c>
      <c r="B34" s="23"/>
      <c r="C34" s="23" t="s">
        <v>95</v>
      </c>
      <c r="D34" s="23" t="s">
        <v>61</v>
      </c>
      <c r="E34" s="23"/>
      <c r="F34" s="47"/>
      <c r="G34" s="23"/>
      <c r="H34" s="23"/>
      <c r="I34" s="23"/>
      <c r="J34" s="23"/>
      <c r="K34" s="23"/>
      <c r="L34" s="23"/>
      <c r="M34" s="393">
        <f>M38+M42</f>
        <v>12</v>
      </c>
      <c r="N34" s="393">
        <f t="shared" ref="N34:O34" si="106">N38+N42</f>
        <v>10</v>
      </c>
      <c r="O34" s="330">
        <f t="shared" si="106"/>
        <v>56</v>
      </c>
      <c r="P34" s="330">
        <f>P38+P42</f>
        <v>5</v>
      </c>
      <c r="Q34" s="330">
        <f>Q38+Q42</f>
        <v>5</v>
      </c>
      <c r="R34" s="330">
        <f t="shared" ref="R34:AF34" si="107">R38+R42</f>
        <v>2</v>
      </c>
      <c r="S34" s="330">
        <f t="shared" si="107"/>
        <v>18</v>
      </c>
      <c r="T34" s="330">
        <f t="shared" si="107"/>
        <v>12</v>
      </c>
      <c r="U34" s="330">
        <f>U38+U42</f>
        <v>9</v>
      </c>
      <c r="V34" s="330">
        <f t="shared" si="107"/>
        <v>90</v>
      </c>
      <c r="W34" s="330">
        <f t="shared" si="107"/>
        <v>17</v>
      </c>
      <c r="X34" s="330">
        <f t="shared" si="107"/>
        <v>12.5</v>
      </c>
      <c r="Y34" s="330">
        <f t="shared" si="107"/>
        <v>12</v>
      </c>
      <c r="Z34" s="330">
        <f>Z38+Z42</f>
        <v>25</v>
      </c>
      <c r="AA34" s="330">
        <f>AA38+AA42</f>
        <v>17</v>
      </c>
      <c r="AB34" s="330">
        <f t="shared" si="107"/>
        <v>81</v>
      </c>
      <c r="AC34" s="330">
        <f t="shared" si="107"/>
        <v>12</v>
      </c>
      <c r="AD34" s="330">
        <f>AD38+AD42</f>
        <v>19</v>
      </c>
      <c r="AE34" s="330">
        <f>AE38+AE42</f>
        <v>19.5</v>
      </c>
      <c r="AF34" s="330">
        <f t="shared" si="107"/>
        <v>270</v>
      </c>
      <c r="AG34" s="330">
        <f t="shared" ref="AG34:AI34" si="108">AG38+AG42</f>
        <v>6</v>
      </c>
      <c r="AH34" s="330">
        <f t="shared" si="108"/>
        <v>6</v>
      </c>
      <c r="AI34" s="330">
        <f t="shared" si="108"/>
        <v>4.375</v>
      </c>
      <c r="AJ34" s="330">
        <f>AJ38+AJ42</f>
        <v>6.875</v>
      </c>
      <c r="AK34" s="330">
        <f t="shared" ref="AK34" si="109">AK38+AK42</f>
        <v>30</v>
      </c>
      <c r="AL34" s="330">
        <f>AL38+AL42</f>
        <v>10</v>
      </c>
      <c r="AM34" s="330">
        <f t="shared" ref="AM34" si="110">AM38+AM42</f>
        <v>30</v>
      </c>
      <c r="AN34" s="330">
        <f>AN38+AN42</f>
        <v>5</v>
      </c>
      <c r="AO34" s="355"/>
      <c r="AP34" s="350">
        <f t="shared" si="101"/>
        <v>5</v>
      </c>
      <c r="AQ34" s="350">
        <f t="shared" si="102"/>
        <v>6.65625</v>
      </c>
      <c r="AR34" s="350">
        <f t="shared" si="103"/>
        <v>12</v>
      </c>
      <c r="AS34" s="350">
        <f t="shared" si="104"/>
        <v>20.875</v>
      </c>
      <c r="AT34" s="350">
        <f t="shared" si="105"/>
        <v>63.500000000000014</v>
      </c>
      <c r="AU34" s="351">
        <f>(Table144[[#This Row],[MP75]]-Table144[[#This Row],[MP25]])/Table144[[#This Row],[MP50]]</f>
        <v>1.1848958333333333</v>
      </c>
      <c r="AV34" s="351">
        <v>1</v>
      </c>
      <c r="AW34" s="351">
        <f>(Table144[[#This Row],[MP25]]-Table144[[#This Row],[MP50]])/Table144[[#This Row],[MP50]]</f>
        <v>-0.4453125</v>
      </c>
      <c r="AX34" s="351">
        <f>(Table144[[#This Row],[MP75]]-Table144[[#This Row],[MP50]])/Table144[[#This Row],[MP50]]</f>
        <v>0.73958333333333337</v>
      </c>
      <c r="AY34" s="352">
        <f>AVERAGE(Table144[[#This Row],[P1-1]:[P9-4]])</f>
        <v>28.651785714285715</v>
      </c>
      <c r="AZ34" s="350">
        <f>_xlfn.STDEV.P(Table144[[#This Row],[P1-1]:[P9-4]])</f>
        <v>51.063689629686365</v>
      </c>
      <c r="BA34" s="122"/>
      <c r="BB34" s="174"/>
      <c r="BC34" s="106"/>
      <c r="BD34" s="106"/>
      <c r="BE34" s="106"/>
    </row>
    <row r="35" spans="1:57" s="111" customFormat="1" ht="0.2" customHeight="1">
      <c r="A35" s="35" t="s">
        <v>96</v>
      </c>
      <c r="B35" s="36"/>
      <c r="C35" s="36" t="s">
        <v>97</v>
      </c>
      <c r="D35" s="36"/>
      <c r="E35" s="36">
        <v>1</v>
      </c>
      <c r="F35" s="59">
        <v>0.98</v>
      </c>
      <c r="G35" s="60">
        <v>0.95</v>
      </c>
      <c r="H35" s="61">
        <v>0.9</v>
      </c>
      <c r="I35" s="76">
        <v>0.5</v>
      </c>
      <c r="J35" s="77">
        <v>0.1</v>
      </c>
      <c r="K35" s="61">
        <v>0</v>
      </c>
      <c r="L35" s="78"/>
      <c r="M35" s="402">
        <f>M41/M30</f>
        <v>0</v>
      </c>
      <c r="N35" s="402">
        <f t="shared" ref="N35:O35" si="111">N41/N30</f>
        <v>0</v>
      </c>
      <c r="O35" s="347">
        <f t="shared" si="111"/>
        <v>5.6847545219638244E-2</v>
      </c>
      <c r="P35" s="347">
        <f>P41/P30</f>
        <v>0.1111111111111111</v>
      </c>
      <c r="Q35" s="347">
        <f>Q41/Q30</f>
        <v>0.17391304347826086</v>
      </c>
      <c r="R35" s="347">
        <f t="shared" ref="R35:AF35" si="112">R41/R30</f>
        <v>1</v>
      </c>
      <c r="S35" s="347">
        <f t="shared" si="112"/>
        <v>0.87645259938837916</v>
      </c>
      <c r="T35" s="347">
        <f t="shared" si="112"/>
        <v>0.66173752310536049</v>
      </c>
      <c r="U35" s="347">
        <f>U41/U30</f>
        <v>0.89356984478935697</v>
      </c>
      <c r="V35" s="347">
        <f t="shared" si="112"/>
        <v>0.90341753343239228</v>
      </c>
      <c r="W35" s="347">
        <f t="shared" si="112"/>
        <v>0.75342465753424659</v>
      </c>
      <c r="X35" s="347">
        <f t="shared" si="112"/>
        <v>1</v>
      </c>
      <c r="Y35" s="347">
        <f t="shared" si="112"/>
        <v>1</v>
      </c>
      <c r="Z35" s="347">
        <f>Z41/Z30</f>
        <v>0.98863636363636365</v>
      </c>
      <c r="AA35" s="347">
        <f>AA41/AA30</f>
        <v>1</v>
      </c>
      <c r="AB35" s="347">
        <f t="shared" si="112"/>
        <v>0.88618290258449306</v>
      </c>
      <c r="AC35" s="347">
        <f t="shared" si="112"/>
        <v>0.82474226804123707</v>
      </c>
      <c r="AD35" s="347">
        <f>AD41/AD30</f>
        <v>0.76588337684943431</v>
      </c>
      <c r="AE35" s="347">
        <f>AE41/AE30</f>
        <v>0.74533622559652923</v>
      </c>
      <c r="AF35" s="347">
        <f t="shared" si="112"/>
        <v>0</v>
      </c>
      <c r="AG35" s="347">
        <f t="shared" ref="AG35:AI35" si="113">AG41/AG30</f>
        <v>0</v>
      </c>
      <c r="AH35" s="347">
        <f t="shared" si="113"/>
        <v>0</v>
      </c>
      <c r="AI35" s="347">
        <f t="shared" si="113"/>
        <v>0</v>
      </c>
      <c r="AJ35" s="347">
        <f>AJ41/AJ30</f>
        <v>0</v>
      </c>
      <c r="AK35" s="347">
        <f t="shared" ref="AK35" si="114">AK41/AK30</f>
        <v>0</v>
      </c>
      <c r="AL35" s="347">
        <f>AL41/AL30</f>
        <v>0</v>
      </c>
      <c r="AM35" s="347">
        <f t="shared" ref="AM35" si="115">AM41/AM30</f>
        <v>0.15517241379310345</v>
      </c>
      <c r="AN35" s="347">
        <f>AN41/AN30</f>
        <v>0</v>
      </c>
      <c r="AO35" s="351"/>
      <c r="AP35" s="350">
        <f t="shared" si="101"/>
        <v>0</v>
      </c>
      <c r="AQ35" s="356">
        <f t="shared" si="102"/>
        <v>0</v>
      </c>
      <c r="AR35" s="356">
        <f t="shared" si="103"/>
        <v>0.41782528329181068</v>
      </c>
      <c r="AS35" s="356">
        <f t="shared" si="104"/>
        <v>0.88802963813570901</v>
      </c>
      <c r="AT35" s="356">
        <f t="shared" si="105"/>
        <v>1</v>
      </c>
      <c r="AU35" s="351">
        <f>(Table144[[#This Row],[MP75]]-Table144[[#This Row],[MP25]])/Table144[[#This Row],[MP50]]</f>
        <v>2.1253611824048138</v>
      </c>
      <c r="AV35" s="351" t="e">
        <v>#DIV/0!</v>
      </c>
      <c r="AW35" s="351">
        <f>(Table144[[#This Row],[MP25]]-Table144[[#This Row],[MP50]])/Table144[[#This Row],[MP50]]</f>
        <v>-1</v>
      </c>
      <c r="AX35" s="351">
        <f>(Table144[[#This Row],[MP75]]-Table144[[#This Row],[MP50]])/Table144[[#This Row],[MP50]]</f>
        <v>1.1253611824048138</v>
      </c>
      <c r="AY35" s="352">
        <f>AVERAGE(Table144[[#This Row],[P1-1]:[P9-4]])</f>
        <v>0.45701526459142527</v>
      </c>
      <c r="AZ35" s="350">
        <f>_xlfn.STDEV.P(Table144[[#This Row],[P1-1]:[P9-4]])</f>
        <v>0.43074308138787953</v>
      </c>
      <c r="BA35" s="131" t="s">
        <v>75</v>
      </c>
      <c r="BB35" s="237"/>
    </row>
    <row r="36" spans="1:57" ht="0.2" customHeight="1">
      <c r="A36" s="37" t="s">
        <v>98</v>
      </c>
      <c r="B36" s="38"/>
      <c r="C36" s="23"/>
      <c r="D36" s="23"/>
      <c r="E36" s="23"/>
      <c r="F36" s="47"/>
      <c r="G36" s="23"/>
      <c r="H36" s="23"/>
      <c r="I36" s="23"/>
      <c r="J36" s="23"/>
      <c r="K36" s="23"/>
      <c r="L36" s="23"/>
      <c r="M36" s="393"/>
      <c r="N36" s="393"/>
      <c r="O36" s="330"/>
      <c r="P36" s="330"/>
      <c r="Q36" s="330"/>
      <c r="R36" s="330"/>
      <c r="S36" s="330"/>
      <c r="T36" s="330"/>
      <c r="U36" s="330"/>
      <c r="V36" s="330"/>
      <c r="W36" s="330"/>
      <c r="X36" s="330"/>
      <c r="Y36" s="330"/>
      <c r="Z36" s="330"/>
      <c r="AA36" s="330"/>
      <c r="AB36" s="330"/>
      <c r="AC36" s="330"/>
      <c r="AD36" s="330"/>
      <c r="AE36" s="330"/>
      <c r="AF36" s="330"/>
      <c r="AG36" s="330"/>
      <c r="AH36" s="330"/>
      <c r="AI36" s="330"/>
      <c r="AJ36" s="330"/>
      <c r="AK36" s="330"/>
      <c r="AL36" s="330"/>
      <c r="AM36" s="330"/>
      <c r="AN36" s="330"/>
      <c r="AO36" s="355"/>
      <c r="AP36" s="350" t="e">
        <f t="shared" si="101"/>
        <v>#NUM!</v>
      </c>
      <c r="AQ36" s="350" t="e">
        <f t="shared" si="102"/>
        <v>#NUM!</v>
      </c>
      <c r="AR36" s="350" t="e">
        <f t="shared" si="103"/>
        <v>#NUM!</v>
      </c>
      <c r="AS36" s="350" t="e">
        <f t="shared" si="104"/>
        <v>#NUM!</v>
      </c>
      <c r="AT36" s="350" t="e">
        <f t="shared" si="105"/>
        <v>#NUM!</v>
      </c>
      <c r="AU36" s="351"/>
      <c r="AV36" s="351"/>
      <c r="AW36" s="351" t="e">
        <f>(Table144[[#This Row],[MP25]]-Table144[[#This Row],[MP50]])/Table144[[#This Row],[MP50]]</f>
        <v>#NUM!</v>
      </c>
      <c r="AX36" s="351"/>
      <c r="AY36" s="352"/>
      <c r="AZ36" s="356"/>
      <c r="BA36" s="122"/>
      <c r="BB36" s="174"/>
      <c r="BC36" s="106"/>
      <c r="BD36" s="106"/>
      <c r="BE36" s="106"/>
    </row>
    <row r="37" spans="1:57" s="107" customFormat="1" ht="0.2" customHeight="1">
      <c r="A37" s="22" t="s">
        <v>99</v>
      </c>
      <c r="B37" s="23"/>
      <c r="C37" s="23" t="s">
        <v>100</v>
      </c>
      <c r="D37" s="23" t="s">
        <v>61</v>
      </c>
      <c r="E37" s="23"/>
      <c r="F37" s="47"/>
      <c r="G37" s="23"/>
      <c r="H37" s="23"/>
      <c r="I37" s="23"/>
      <c r="J37" s="23"/>
      <c r="K37" s="23"/>
      <c r="L37" s="23"/>
      <c r="M37" s="393">
        <f>M67</f>
        <v>111</v>
      </c>
      <c r="N37" s="393">
        <f t="shared" ref="N37:R37" si="116">N67</f>
        <v>96</v>
      </c>
      <c r="O37" s="330">
        <f t="shared" si="116"/>
        <v>730</v>
      </c>
      <c r="P37" s="330">
        <f>P67</f>
        <v>80</v>
      </c>
      <c r="Q37" s="330">
        <f>Q67</f>
        <v>95</v>
      </c>
      <c r="R37" s="330">
        <f t="shared" si="116"/>
        <v>0</v>
      </c>
      <c r="S37" s="330">
        <f t="shared" ref="S37:AA37" si="117">S67</f>
        <v>202</v>
      </c>
      <c r="T37" s="330">
        <f t="shared" si="117"/>
        <v>183</v>
      </c>
      <c r="U37" s="330">
        <f t="shared" si="117"/>
        <v>96</v>
      </c>
      <c r="V37" s="330">
        <f t="shared" si="117"/>
        <v>130</v>
      </c>
      <c r="W37" s="330">
        <f t="shared" si="117"/>
        <v>90</v>
      </c>
      <c r="X37" s="330">
        <f t="shared" si="117"/>
        <v>0</v>
      </c>
      <c r="Y37" s="330">
        <f t="shared" si="117"/>
        <v>0</v>
      </c>
      <c r="Z37" s="330">
        <f t="shared" si="117"/>
        <v>4</v>
      </c>
      <c r="AA37" s="330">
        <f t="shared" si="117"/>
        <v>0</v>
      </c>
      <c r="AB37" s="330">
        <f t="shared" ref="AB37:AF38" si="118">AB67</f>
        <v>229</v>
      </c>
      <c r="AC37" s="330">
        <f t="shared" si="118"/>
        <v>102</v>
      </c>
      <c r="AD37" s="330">
        <f>AD67</f>
        <v>538</v>
      </c>
      <c r="AE37" s="330">
        <f>AE67</f>
        <v>587</v>
      </c>
      <c r="AF37" s="330">
        <f t="shared" si="118"/>
        <v>1012</v>
      </c>
      <c r="AG37" s="330">
        <f t="shared" ref="AG37:AI37" si="119">AG67</f>
        <v>142</v>
      </c>
      <c r="AH37" s="330">
        <f t="shared" si="119"/>
        <v>194</v>
      </c>
      <c r="AI37" s="330">
        <f t="shared" si="119"/>
        <v>298</v>
      </c>
      <c r="AJ37" s="330">
        <f t="shared" ref="AJ37:AL38" si="120">AJ67</f>
        <v>172</v>
      </c>
      <c r="AK37" s="330">
        <f t="shared" si="120"/>
        <v>1945</v>
      </c>
      <c r="AL37" s="330">
        <f t="shared" si="120"/>
        <v>562</v>
      </c>
      <c r="AM37" s="330">
        <f t="shared" ref="AM37" si="121">AM67</f>
        <v>245</v>
      </c>
      <c r="AN37" s="330">
        <f>AN67</f>
        <v>42</v>
      </c>
      <c r="AO37" s="355"/>
      <c r="AP37" s="350">
        <f t="shared" si="101"/>
        <v>0</v>
      </c>
      <c r="AQ37" s="350">
        <f t="shared" si="102"/>
        <v>87.5</v>
      </c>
      <c r="AR37" s="350">
        <f t="shared" si="103"/>
        <v>136</v>
      </c>
      <c r="AS37" s="350">
        <f t="shared" si="104"/>
        <v>258.25</v>
      </c>
      <c r="AT37" s="350">
        <f t="shared" si="105"/>
        <v>629.90000000000009</v>
      </c>
      <c r="AU37" s="351">
        <f>(Table144[[#This Row],[MP75]]-Table144[[#This Row],[MP25]])/Table144[[#This Row],[MP50]]</f>
        <v>1.255514705882353</v>
      </c>
      <c r="AV37" s="351">
        <v>0.60845588235294101</v>
      </c>
      <c r="AW37" s="351">
        <f>(Table144[[#This Row],[MP25]]-Table144[[#This Row],[MP50]])/Table144[[#This Row],[MP50]]</f>
        <v>-0.35661764705882354</v>
      </c>
      <c r="AX37" s="351">
        <f>(Table144[[#This Row],[MP75]]-Table144[[#This Row],[MP50]])/Table144[[#This Row],[MP50]]</f>
        <v>0.89889705882352944</v>
      </c>
      <c r="AY37" s="352">
        <f>AVERAGE(Table144[[#This Row],[P1-1]:[P9-4]])</f>
        <v>281.60714285714283</v>
      </c>
      <c r="AZ37" s="350">
        <f>_xlfn.STDEV.P(Table144[[#This Row],[P1-1]:[P9-4]])</f>
        <v>401.59337459725123</v>
      </c>
      <c r="BA37" s="122"/>
      <c r="BB37" s="238"/>
    </row>
    <row r="38" spans="1:57" ht="0.2" customHeight="1">
      <c r="A38" s="22" t="s">
        <v>101</v>
      </c>
      <c r="B38" s="23"/>
      <c r="C38" s="23" t="s">
        <v>102</v>
      </c>
      <c r="D38" s="23" t="s">
        <v>61</v>
      </c>
      <c r="E38" s="23"/>
      <c r="F38" s="47"/>
      <c r="G38" s="23"/>
      <c r="H38" s="23"/>
      <c r="I38" s="23"/>
      <c r="J38" s="23"/>
      <c r="K38" s="23"/>
      <c r="L38" s="23"/>
      <c r="M38" s="393">
        <f>M68</f>
        <v>12</v>
      </c>
      <c r="N38" s="393">
        <f t="shared" ref="N38:R38" si="122">N68</f>
        <v>10</v>
      </c>
      <c r="O38" s="330">
        <f t="shared" si="122"/>
        <v>51</v>
      </c>
      <c r="P38" s="330">
        <f>P68</f>
        <v>4</v>
      </c>
      <c r="Q38" s="330">
        <f>Q68</f>
        <v>4</v>
      </c>
      <c r="R38" s="330">
        <f t="shared" si="122"/>
        <v>0</v>
      </c>
      <c r="S38" s="330">
        <f t="shared" ref="S38:AA38" si="123">S68</f>
        <v>3</v>
      </c>
      <c r="T38" s="330">
        <f t="shared" si="123"/>
        <v>5</v>
      </c>
      <c r="U38" s="330">
        <f t="shared" si="123"/>
        <v>4</v>
      </c>
      <c r="V38" s="330">
        <f t="shared" si="123"/>
        <v>30</v>
      </c>
      <c r="W38" s="330">
        <f t="shared" si="123"/>
        <v>9</v>
      </c>
      <c r="X38" s="330">
        <f t="shared" si="123"/>
        <v>0</v>
      </c>
      <c r="Y38" s="330">
        <f t="shared" si="123"/>
        <v>0</v>
      </c>
      <c r="Z38" s="330">
        <f t="shared" si="123"/>
        <v>5</v>
      </c>
      <c r="AA38" s="330">
        <f t="shared" si="123"/>
        <v>0</v>
      </c>
      <c r="AB38" s="330">
        <f t="shared" si="118"/>
        <v>35</v>
      </c>
      <c r="AC38" s="330">
        <f t="shared" si="118"/>
        <v>9</v>
      </c>
      <c r="AD38" s="330">
        <f>AD68</f>
        <v>12</v>
      </c>
      <c r="AE38" s="330">
        <f>AE68</f>
        <v>12</v>
      </c>
      <c r="AF38" s="330">
        <f t="shared" si="118"/>
        <v>270</v>
      </c>
      <c r="AG38" s="330">
        <f t="shared" ref="AG38:AI38" si="124">AG68</f>
        <v>6</v>
      </c>
      <c r="AH38" s="330">
        <f t="shared" si="124"/>
        <v>6</v>
      </c>
      <c r="AI38" s="330">
        <f t="shared" si="124"/>
        <v>4.375</v>
      </c>
      <c r="AJ38" s="330">
        <f t="shared" si="120"/>
        <v>6.875</v>
      </c>
      <c r="AK38" s="330">
        <f t="shared" si="120"/>
        <v>30</v>
      </c>
      <c r="AL38" s="330">
        <f t="shared" si="120"/>
        <v>10</v>
      </c>
      <c r="AM38" s="330">
        <f t="shared" ref="AM38" si="125">AM68</f>
        <v>27</v>
      </c>
      <c r="AN38" s="330">
        <f>AN68</f>
        <v>5</v>
      </c>
      <c r="AO38" s="355"/>
      <c r="AP38" s="350">
        <f t="shared" si="101"/>
        <v>0</v>
      </c>
      <c r="AQ38" s="350">
        <f t="shared" si="102"/>
        <v>4</v>
      </c>
      <c r="AR38" s="350">
        <f t="shared" si="103"/>
        <v>6.4375</v>
      </c>
      <c r="AS38" s="350">
        <f t="shared" si="104"/>
        <v>12</v>
      </c>
      <c r="AT38" s="350">
        <f t="shared" si="105"/>
        <v>31.500000000000004</v>
      </c>
      <c r="AU38" s="351">
        <f>(Table144[[#This Row],[MP75]]-Table144[[#This Row],[MP25]])/Table144[[#This Row],[MP50]]</f>
        <v>1.2427184466019416</v>
      </c>
      <c r="AV38" s="351">
        <v>1.7</v>
      </c>
      <c r="AW38" s="351">
        <f>(Table144[[#This Row],[MP25]]-Table144[[#This Row],[MP50]])/Table144[[#This Row],[MP50]]</f>
        <v>-0.37864077669902912</v>
      </c>
      <c r="AX38" s="351">
        <f>(Table144[[#This Row],[MP75]]-Table144[[#This Row],[MP50]])/Table144[[#This Row],[MP50]]</f>
        <v>0.86407766990291257</v>
      </c>
      <c r="AY38" s="352">
        <f>AVERAGE(Table144[[#This Row],[P1-1]:[P9-4]])</f>
        <v>20.366071428571427</v>
      </c>
      <c r="AZ38" s="350">
        <f>_xlfn.STDEV.P(Table144[[#This Row],[P1-1]:[P9-4]])</f>
        <v>49.535576687675821</v>
      </c>
      <c r="BA38" s="122"/>
      <c r="BB38" s="174"/>
      <c r="BC38" s="106"/>
      <c r="BD38" s="106"/>
      <c r="BE38" s="106"/>
    </row>
    <row r="39" spans="1:57" ht="0.2" customHeight="1">
      <c r="A39" s="22" t="s">
        <v>103</v>
      </c>
      <c r="B39" s="23"/>
      <c r="C39" s="23" t="s">
        <v>104</v>
      </c>
      <c r="D39" s="23"/>
      <c r="E39" s="23"/>
      <c r="F39" s="47"/>
      <c r="G39" s="23"/>
      <c r="H39" s="23"/>
      <c r="I39" s="23"/>
      <c r="J39" s="23"/>
      <c r="K39" s="23"/>
      <c r="L39" s="23"/>
      <c r="M39" s="400">
        <f>M37/M38</f>
        <v>9.25</v>
      </c>
      <c r="N39" s="400">
        <f t="shared" ref="N39:R39" si="126">N37/N38</f>
        <v>9.6</v>
      </c>
      <c r="O39" s="321">
        <f t="shared" si="126"/>
        <v>14.313725490196079</v>
      </c>
      <c r="P39" s="321">
        <f>P37/P38</f>
        <v>20</v>
      </c>
      <c r="Q39" s="321">
        <f>Q37/Q38</f>
        <v>23.75</v>
      </c>
      <c r="R39" s="321" t="e">
        <f t="shared" si="126"/>
        <v>#DIV/0!</v>
      </c>
      <c r="S39" s="321">
        <f t="shared" ref="S39:X39" si="127">S37/S38</f>
        <v>67.333333333333329</v>
      </c>
      <c r="T39" s="321">
        <f t="shared" si="127"/>
        <v>36.6</v>
      </c>
      <c r="U39" s="321">
        <f>U37/U38</f>
        <v>24</v>
      </c>
      <c r="V39" s="321">
        <f t="shared" si="127"/>
        <v>4.333333333333333</v>
      </c>
      <c r="W39" s="321">
        <f t="shared" si="127"/>
        <v>10</v>
      </c>
      <c r="X39" s="321" t="e">
        <f t="shared" si="127"/>
        <v>#DIV/0!</v>
      </c>
      <c r="Y39" s="321">
        <f>Y37/Y34</f>
        <v>0</v>
      </c>
      <c r="Z39" s="321">
        <f t="shared" ref="Z39:AF39" si="128">Z37/Z38</f>
        <v>0.8</v>
      </c>
      <c r="AA39" s="321" t="e">
        <f t="shared" si="128"/>
        <v>#DIV/0!</v>
      </c>
      <c r="AB39" s="321">
        <f t="shared" si="128"/>
        <v>6.5428571428571427</v>
      </c>
      <c r="AC39" s="321">
        <f t="shared" si="128"/>
        <v>11.333333333333334</v>
      </c>
      <c r="AD39" s="321">
        <f t="shared" si="128"/>
        <v>44.833333333333336</v>
      </c>
      <c r="AE39" s="321">
        <f t="shared" si="128"/>
        <v>48.916666666666664</v>
      </c>
      <c r="AF39" s="321">
        <f t="shared" si="128"/>
        <v>3.748148148148148</v>
      </c>
      <c r="AG39" s="321">
        <f t="shared" ref="AG39:AI39" si="129">AG37/AG38</f>
        <v>23.666666666666668</v>
      </c>
      <c r="AH39" s="321">
        <f t="shared" si="129"/>
        <v>32.333333333333336</v>
      </c>
      <c r="AI39" s="321">
        <f t="shared" si="129"/>
        <v>68.114285714285714</v>
      </c>
      <c r="AJ39" s="321">
        <f>AJ37/AJ38</f>
        <v>25.018181818181819</v>
      </c>
      <c r="AK39" s="321">
        <f t="shared" ref="AK39" si="130">AK37/AK38</f>
        <v>64.833333333333329</v>
      </c>
      <c r="AL39" s="321">
        <f>AL37/AL38</f>
        <v>56.2</v>
      </c>
      <c r="AM39" s="321">
        <f t="shared" ref="AM39" si="131">AM37/AM38</f>
        <v>9.0740740740740744</v>
      </c>
      <c r="AN39" s="321">
        <f>AN37/AN38</f>
        <v>8.4</v>
      </c>
      <c r="AO39" s="355"/>
      <c r="AP39" s="350" t="e">
        <f t="shared" si="101"/>
        <v>#DIV/0!</v>
      </c>
      <c r="AQ39" s="350" t="e">
        <f t="shared" si="102"/>
        <v>#DIV/0!</v>
      </c>
      <c r="AR39" s="350" t="e">
        <f t="shared" si="103"/>
        <v>#DIV/0!</v>
      </c>
      <c r="AS39" s="350" t="e">
        <f t="shared" si="104"/>
        <v>#DIV/0!</v>
      </c>
      <c r="AT39" s="350" t="e">
        <f t="shared" si="105"/>
        <v>#DIV/0!</v>
      </c>
      <c r="AU39" s="351" t="e">
        <f>(Table144[[#This Row],[MP75]]-Table144[[#This Row],[MP25]])/Table144[[#This Row],[MP50]]</f>
        <v>#DIV/0!</v>
      </c>
      <c r="AV39" s="351" t="e">
        <v>#DIV/0!</v>
      </c>
      <c r="AW39" s="351" t="e">
        <f>(Table144[[#This Row],[MP25]]-Table144[[#This Row],[MP50]])/Table144[[#This Row],[MP50]]</f>
        <v>#DIV/0!</v>
      </c>
      <c r="AX39" s="351" t="e">
        <f>(Table144[[#This Row],[MP75]]-Table144[[#This Row],[MP50]])/Table144[[#This Row],[MP50]]</f>
        <v>#DIV/0!</v>
      </c>
      <c r="AY39" s="352" t="e">
        <f>AVERAGE(Table144[[#This Row],[P1-1]:[P9-4]])</f>
        <v>#DIV/0!</v>
      </c>
      <c r="AZ39" s="350" t="e">
        <f>_xlfn.STDEV.P(Table144[[#This Row],[P1-1]:[P9-4]])</f>
        <v>#DIV/0!</v>
      </c>
      <c r="BA39" s="122"/>
      <c r="BB39" s="174"/>
      <c r="BC39" s="106"/>
      <c r="BD39" s="106"/>
      <c r="BE39" s="106"/>
    </row>
    <row r="40" spans="1:57" s="112" customFormat="1" ht="0.2" customHeight="1">
      <c r="A40" s="37" t="s">
        <v>105</v>
      </c>
      <c r="B40" s="38"/>
      <c r="C40" s="23"/>
      <c r="D40" s="23"/>
      <c r="E40" s="23"/>
      <c r="F40" s="47"/>
      <c r="G40" s="23"/>
      <c r="H40" s="23"/>
      <c r="I40" s="23"/>
      <c r="J40" s="23"/>
      <c r="K40" s="23"/>
      <c r="L40" s="23"/>
      <c r="M40" s="393"/>
      <c r="N40" s="393"/>
      <c r="O40" s="330"/>
      <c r="P40" s="330"/>
      <c r="Q40" s="330"/>
      <c r="R40" s="330"/>
      <c r="S40" s="330"/>
      <c r="T40" s="330"/>
      <c r="U40" s="330"/>
      <c r="V40" s="330"/>
      <c r="W40" s="330"/>
      <c r="X40" s="330"/>
      <c r="Y40" s="330"/>
      <c r="Z40" s="330"/>
      <c r="AA40" s="330"/>
      <c r="AB40" s="330"/>
      <c r="AC40" s="330"/>
      <c r="AD40" s="330"/>
      <c r="AE40" s="330"/>
      <c r="AF40" s="330"/>
      <c r="AG40" s="330"/>
      <c r="AH40" s="330"/>
      <c r="AI40" s="330"/>
      <c r="AJ40" s="330"/>
      <c r="AK40" s="330"/>
      <c r="AL40" s="330"/>
      <c r="AM40" s="330"/>
      <c r="AN40" s="330"/>
      <c r="AO40" s="355"/>
      <c r="AP40" s="350" t="e">
        <f t="shared" si="101"/>
        <v>#NUM!</v>
      </c>
      <c r="AQ40" s="350" t="e">
        <f t="shared" si="102"/>
        <v>#NUM!</v>
      </c>
      <c r="AR40" s="350" t="e">
        <f t="shared" si="103"/>
        <v>#NUM!</v>
      </c>
      <c r="AS40" s="350" t="e">
        <f t="shared" si="104"/>
        <v>#NUM!</v>
      </c>
      <c r="AT40" s="350" t="e">
        <f t="shared" si="105"/>
        <v>#NUM!</v>
      </c>
      <c r="AU40" s="351"/>
      <c r="AV40" s="351"/>
      <c r="AW40" s="351" t="e">
        <f>(Table144[[#This Row],[MP25]]-Table144[[#This Row],[MP50]])/Table144[[#This Row],[MP50]]</f>
        <v>#NUM!</v>
      </c>
      <c r="AX40" s="351"/>
      <c r="AY40" s="352"/>
      <c r="AZ40" s="356"/>
      <c r="BA40" s="122"/>
      <c r="BB40" s="239"/>
    </row>
    <row r="41" spans="1:57" ht="0.2" customHeight="1">
      <c r="A41" s="22" t="s">
        <v>106</v>
      </c>
      <c r="B41" s="23"/>
      <c r="C41" s="23" t="s">
        <v>107</v>
      </c>
      <c r="D41" s="23" t="s">
        <v>61</v>
      </c>
      <c r="E41" s="23"/>
      <c r="F41" s="47"/>
      <c r="G41" s="23"/>
      <c r="H41" s="23"/>
      <c r="I41" s="23"/>
      <c r="J41" s="23"/>
      <c r="K41" s="23"/>
      <c r="L41" s="23"/>
      <c r="M41" s="393">
        <f>M70</f>
        <v>0</v>
      </c>
      <c r="N41" s="393">
        <f t="shared" ref="N41:R41" si="132">N70</f>
        <v>0</v>
      </c>
      <c r="O41" s="330">
        <f t="shared" si="132"/>
        <v>44</v>
      </c>
      <c r="P41" s="330">
        <f>P70</f>
        <v>10</v>
      </c>
      <c r="Q41" s="330">
        <f>Q70</f>
        <v>20</v>
      </c>
      <c r="R41" s="330">
        <f t="shared" si="132"/>
        <v>56</v>
      </c>
      <c r="S41" s="330">
        <f t="shared" ref="S41:AA41" si="133">S70</f>
        <v>1433</v>
      </c>
      <c r="T41" s="330">
        <f t="shared" si="133"/>
        <v>358</v>
      </c>
      <c r="U41" s="330">
        <f t="shared" si="133"/>
        <v>806</v>
      </c>
      <c r="V41" s="330">
        <f t="shared" si="133"/>
        <v>1216</v>
      </c>
      <c r="W41" s="330">
        <f t="shared" si="133"/>
        <v>275</v>
      </c>
      <c r="X41" s="330">
        <f t="shared" si="133"/>
        <v>182</v>
      </c>
      <c r="Y41" s="330">
        <f t="shared" si="133"/>
        <v>64</v>
      </c>
      <c r="Z41" s="330">
        <f t="shared" si="133"/>
        <v>348</v>
      </c>
      <c r="AA41" s="330">
        <f t="shared" si="133"/>
        <v>115</v>
      </c>
      <c r="AB41" s="330">
        <f t="shared" ref="AB41:AF42" si="134">AB70</f>
        <v>1783</v>
      </c>
      <c r="AC41" s="330">
        <f t="shared" si="134"/>
        <v>480</v>
      </c>
      <c r="AD41" s="330">
        <f>AD70</f>
        <v>1760</v>
      </c>
      <c r="AE41" s="330">
        <f>AE70</f>
        <v>1718</v>
      </c>
      <c r="AF41" s="330">
        <f t="shared" si="134"/>
        <v>0</v>
      </c>
      <c r="AG41" s="330">
        <f t="shared" ref="AG41:AL42" si="135">AG70</f>
        <v>0</v>
      </c>
      <c r="AH41" s="330">
        <f t="shared" si="135"/>
        <v>0</v>
      </c>
      <c r="AI41" s="330">
        <f t="shared" si="135"/>
        <v>0</v>
      </c>
      <c r="AJ41" s="330">
        <f t="shared" si="135"/>
        <v>0</v>
      </c>
      <c r="AK41" s="330">
        <f t="shared" si="135"/>
        <v>0</v>
      </c>
      <c r="AL41" s="330">
        <f t="shared" si="135"/>
        <v>0</v>
      </c>
      <c r="AM41" s="330">
        <f t="shared" ref="AM41" si="136">AM70</f>
        <v>45</v>
      </c>
      <c r="AN41" s="330">
        <f>AN70</f>
        <v>0</v>
      </c>
      <c r="AO41" s="355"/>
      <c r="AP41" s="350">
        <f t="shared" si="101"/>
        <v>0</v>
      </c>
      <c r="AQ41" s="350">
        <f t="shared" si="102"/>
        <v>0</v>
      </c>
      <c r="AR41" s="350">
        <f t="shared" si="103"/>
        <v>50.5</v>
      </c>
      <c r="AS41" s="350">
        <f t="shared" si="104"/>
        <v>388.5</v>
      </c>
      <c r="AT41" s="350">
        <f t="shared" si="105"/>
        <v>1518.5000000000002</v>
      </c>
      <c r="AU41" s="351">
        <f>(Table144[[#This Row],[MP75]]-Table144[[#This Row],[MP25]])/Table144[[#This Row],[MP50]]</f>
        <v>7.6930693069306928</v>
      </c>
      <c r="AV41" s="351">
        <v>3.3230337078651702</v>
      </c>
      <c r="AW41" s="351">
        <f>(Table144[[#This Row],[MP25]]-Table144[[#This Row],[MP50]])/Table144[[#This Row],[MP50]]</f>
        <v>-1</v>
      </c>
      <c r="AX41" s="351">
        <f>(Table144[[#This Row],[MP75]]-Table144[[#This Row],[MP50]])/Table144[[#This Row],[MP50]]</f>
        <v>6.6930693069306928</v>
      </c>
      <c r="AY41" s="352">
        <f>AVERAGE(Table144[[#This Row],[P1-1]:[P9-4]])</f>
        <v>382.60714285714283</v>
      </c>
      <c r="AZ41" s="350">
        <f>_xlfn.STDEV.P(Table144[[#This Row],[P1-1]:[P9-4]])</f>
        <v>595.3527969247499</v>
      </c>
      <c r="BA41" s="122"/>
      <c r="BB41" s="174"/>
      <c r="BC41" s="106"/>
      <c r="BD41" s="106"/>
      <c r="BE41" s="106"/>
    </row>
    <row r="42" spans="1:57" ht="0.2" customHeight="1">
      <c r="A42" s="22" t="s">
        <v>108</v>
      </c>
      <c r="B42" s="23"/>
      <c r="C42" s="23" t="s">
        <v>109</v>
      </c>
      <c r="D42" s="23" t="s">
        <v>61</v>
      </c>
      <c r="E42" s="23"/>
      <c r="F42" s="47"/>
      <c r="G42" s="23"/>
      <c r="H42" s="23"/>
      <c r="I42" s="23"/>
      <c r="J42" s="23"/>
      <c r="K42" s="23"/>
      <c r="L42" s="23"/>
      <c r="M42" s="393">
        <f>M71</f>
        <v>0</v>
      </c>
      <c r="N42" s="393">
        <f t="shared" ref="N42:R42" si="137">N71</f>
        <v>0</v>
      </c>
      <c r="O42" s="330">
        <f t="shared" si="137"/>
        <v>5</v>
      </c>
      <c r="P42" s="330">
        <f>P71</f>
        <v>1</v>
      </c>
      <c r="Q42" s="330">
        <f>Q71</f>
        <v>1</v>
      </c>
      <c r="R42" s="330">
        <f t="shared" si="137"/>
        <v>2</v>
      </c>
      <c r="S42" s="330">
        <f t="shared" ref="S42:AA42" si="138">S71</f>
        <v>15</v>
      </c>
      <c r="T42" s="330">
        <f t="shared" si="138"/>
        <v>7</v>
      </c>
      <c r="U42" s="330">
        <f t="shared" si="138"/>
        <v>5</v>
      </c>
      <c r="V42" s="330">
        <f t="shared" si="138"/>
        <v>60</v>
      </c>
      <c r="W42" s="330">
        <f t="shared" si="138"/>
        <v>8</v>
      </c>
      <c r="X42" s="330">
        <f t="shared" si="138"/>
        <v>12.5</v>
      </c>
      <c r="Y42" s="330">
        <f t="shared" si="138"/>
        <v>12</v>
      </c>
      <c r="Z42" s="330">
        <f t="shared" si="138"/>
        <v>20</v>
      </c>
      <c r="AA42" s="330">
        <f t="shared" si="138"/>
        <v>17</v>
      </c>
      <c r="AB42" s="330">
        <f t="shared" si="134"/>
        <v>46</v>
      </c>
      <c r="AC42" s="330">
        <f t="shared" si="134"/>
        <v>3</v>
      </c>
      <c r="AD42" s="330">
        <f>AD71</f>
        <v>7</v>
      </c>
      <c r="AE42" s="330">
        <f>AE71</f>
        <v>7.5</v>
      </c>
      <c r="AF42" s="330">
        <f t="shared" si="134"/>
        <v>0</v>
      </c>
      <c r="AG42" s="330">
        <f t="shared" si="135"/>
        <v>0</v>
      </c>
      <c r="AH42" s="330">
        <f t="shared" si="135"/>
        <v>0</v>
      </c>
      <c r="AI42" s="330">
        <f t="shared" si="135"/>
        <v>0</v>
      </c>
      <c r="AJ42" s="330">
        <f t="shared" si="135"/>
        <v>0</v>
      </c>
      <c r="AK42" s="330">
        <f t="shared" si="135"/>
        <v>0</v>
      </c>
      <c r="AL42" s="330">
        <f t="shared" si="135"/>
        <v>0</v>
      </c>
      <c r="AM42" s="330">
        <f t="shared" ref="AM42" si="139">AM71</f>
        <v>3</v>
      </c>
      <c r="AN42" s="330">
        <f>AN71</f>
        <v>0</v>
      </c>
      <c r="AO42" s="355"/>
      <c r="AP42" s="350">
        <f t="shared" si="101"/>
        <v>0</v>
      </c>
      <c r="AQ42" s="350">
        <f t="shared" si="102"/>
        <v>0</v>
      </c>
      <c r="AR42" s="350">
        <f t="shared" si="103"/>
        <v>3</v>
      </c>
      <c r="AS42" s="350">
        <f t="shared" si="104"/>
        <v>9</v>
      </c>
      <c r="AT42" s="350">
        <f t="shared" si="105"/>
        <v>17.900000000000002</v>
      </c>
      <c r="AU42" s="351">
        <f>(Table144[[#This Row],[MP75]]-Table144[[#This Row],[MP25]])/Table144[[#This Row],[MP50]]</f>
        <v>3</v>
      </c>
      <c r="AV42" s="351">
        <v>1.8</v>
      </c>
      <c r="AW42" s="351">
        <f>(Table144[[#This Row],[MP25]]-Table144[[#This Row],[MP50]])/Table144[[#This Row],[MP50]]</f>
        <v>-1</v>
      </c>
      <c r="AX42" s="351">
        <f>(Table144[[#This Row],[MP75]]-Table144[[#This Row],[MP50]])/Table144[[#This Row],[MP50]]</f>
        <v>2</v>
      </c>
      <c r="AY42" s="352">
        <f>AVERAGE(Table144[[#This Row],[P1-1]:[P9-4]])</f>
        <v>8.2857142857142865</v>
      </c>
      <c r="AZ42" s="350">
        <f>_xlfn.STDEV.P(Table144[[#This Row],[P1-1]:[P9-4]])</f>
        <v>13.758392614943752</v>
      </c>
      <c r="BA42" s="122"/>
      <c r="BB42" s="174"/>
      <c r="BC42" s="106"/>
      <c r="BD42" s="106"/>
      <c r="BE42" s="106"/>
    </row>
    <row r="43" spans="1:57" ht="0.2" customHeight="1">
      <c r="A43" s="22" t="s">
        <v>110</v>
      </c>
      <c r="B43" s="23"/>
      <c r="C43" s="23" t="s">
        <v>111</v>
      </c>
      <c r="D43" s="23"/>
      <c r="E43" s="23">
        <v>100</v>
      </c>
      <c r="F43" s="55">
        <v>25</v>
      </c>
      <c r="G43" s="56">
        <v>20</v>
      </c>
      <c r="H43" s="57">
        <v>15</v>
      </c>
      <c r="I43" s="73">
        <v>10</v>
      </c>
      <c r="J43" s="74">
        <v>5</v>
      </c>
      <c r="K43" s="57">
        <v>0</v>
      </c>
      <c r="L43" s="79"/>
      <c r="M43" s="400" t="e">
        <f>M41/M42</f>
        <v>#DIV/0!</v>
      </c>
      <c r="N43" s="400" t="e">
        <f t="shared" ref="N43:O43" si="140">N41/N42</f>
        <v>#DIV/0!</v>
      </c>
      <c r="O43" s="321">
        <f t="shared" si="140"/>
        <v>8.8000000000000007</v>
      </c>
      <c r="P43" s="321">
        <f>P41/P42</f>
        <v>10</v>
      </c>
      <c r="Q43" s="321">
        <f>Q41/Q42</f>
        <v>20</v>
      </c>
      <c r="R43" s="321">
        <f t="shared" ref="R43:AI43" si="141">R41/R42</f>
        <v>28</v>
      </c>
      <c r="S43" s="321">
        <f t="shared" si="141"/>
        <v>95.533333333333331</v>
      </c>
      <c r="T43" s="321">
        <f t="shared" si="141"/>
        <v>51.142857142857146</v>
      </c>
      <c r="U43" s="321">
        <f>U41/U42</f>
        <v>161.19999999999999</v>
      </c>
      <c r="V43" s="321">
        <f t="shared" si="141"/>
        <v>20.266666666666666</v>
      </c>
      <c r="W43" s="321">
        <f t="shared" si="141"/>
        <v>34.375</v>
      </c>
      <c r="X43" s="321">
        <f t="shared" si="141"/>
        <v>14.56</v>
      </c>
      <c r="Y43" s="321">
        <f t="shared" si="141"/>
        <v>5.333333333333333</v>
      </c>
      <c r="Z43" s="321">
        <f>Z41/Z42</f>
        <v>17.399999999999999</v>
      </c>
      <c r="AA43" s="321">
        <f>AA41/AA42</f>
        <v>6.7647058823529411</v>
      </c>
      <c r="AB43" s="321">
        <f t="shared" si="141"/>
        <v>38.760869565217391</v>
      </c>
      <c r="AC43" s="321">
        <f t="shared" si="141"/>
        <v>160</v>
      </c>
      <c r="AD43" s="321">
        <f>AD41/AD42</f>
        <v>251.42857142857142</v>
      </c>
      <c r="AE43" s="321">
        <f>AE41/AE42</f>
        <v>229.06666666666666</v>
      </c>
      <c r="AF43" s="321" t="e">
        <f t="shared" si="141"/>
        <v>#DIV/0!</v>
      </c>
      <c r="AG43" s="321" t="e">
        <f t="shared" si="141"/>
        <v>#DIV/0!</v>
      </c>
      <c r="AH43" s="321" t="e">
        <f t="shared" si="141"/>
        <v>#DIV/0!</v>
      </c>
      <c r="AI43" s="321" t="e">
        <f t="shared" si="141"/>
        <v>#DIV/0!</v>
      </c>
      <c r="AJ43" s="321" t="e">
        <f>AJ41/AJ42</f>
        <v>#DIV/0!</v>
      </c>
      <c r="AK43" s="321" t="e">
        <f t="shared" ref="AK43" si="142">AK41/AK42</f>
        <v>#DIV/0!</v>
      </c>
      <c r="AL43" s="321" t="e">
        <f>AL41/AL42</f>
        <v>#DIV/0!</v>
      </c>
      <c r="AM43" s="321">
        <f t="shared" ref="AM43" si="143">AM41/AM42</f>
        <v>15</v>
      </c>
      <c r="AN43" s="321" t="e">
        <f>AN41/AN42</f>
        <v>#DIV/0!</v>
      </c>
      <c r="AO43" s="355"/>
      <c r="AP43" s="350" t="e">
        <f t="shared" si="101"/>
        <v>#DIV/0!</v>
      </c>
      <c r="AQ43" s="350" t="e">
        <f t="shared" si="102"/>
        <v>#DIV/0!</v>
      </c>
      <c r="AR43" s="350" t="e">
        <f t="shared" si="103"/>
        <v>#DIV/0!</v>
      </c>
      <c r="AS43" s="350" t="e">
        <f t="shared" si="104"/>
        <v>#DIV/0!</v>
      </c>
      <c r="AT43" s="350" t="e">
        <f t="shared" si="105"/>
        <v>#DIV/0!</v>
      </c>
      <c r="AU43" s="351" t="e">
        <f>(Table144[[#This Row],[MP75]]-Table144[[#This Row],[MP25]])/Table144[[#This Row],[MP50]]</f>
        <v>#DIV/0!</v>
      </c>
      <c r="AV43" s="351" t="e">
        <v>#DIV/0!</v>
      </c>
      <c r="AW43" s="351" t="e">
        <f>(Table144[[#This Row],[MP25]]-Table144[[#This Row],[MP50]])/Table144[[#This Row],[MP50]]</f>
        <v>#DIV/0!</v>
      </c>
      <c r="AX43" s="351" t="e">
        <f>(Table144[[#This Row],[MP75]]-Table144[[#This Row],[MP50]])/Table144[[#This Row],[MP50]]</f>
        <v>#DIV/0!</v>
      </c>
      <c r="AY43" s="352" t="e">
        <f>AVERAGE(Table144[[#This Row],[P1-1]:[P9-4]])</f>
        <v>#DIV/0!</v>
      </c>
      <c r="AZ43" s="350" t="e">
        <f>_xlfn.STDEV.P(Table144[[#This Row],[P1-1]:[P9-4]])</f>
        <v>#DIV/0!</v>
      </c>
      <c r="BA43" s="122"/>
      <c r="BB43" s="174"/>
      <c r="BC43" s="106"/>
      <c r="BD43" s="106"/>
      <c r="BE43" s="106"/>
    </row>
    <row r="44" spans="1:57" s="113" customFormat="1" ht="15">
      <c r="A44" s="24" t="s">
        <v>112</v>
      </c>
      <c r="B44" s="25"/>
      <c r="C44" s="26"/>
      <c r="D44" s="26"/>
      <c r="E44" s="26"/>
      <c r="F44" s="50"/>
      <c r="G44" s="51"/>
      <c r="H44" s="26"/>
      <c r="I44" s="69"/>
      <c r="J44" s="70"/>
      <c r="K44" s="26"/>
      <c r="L44" s="26"/>
      <c r="M44" s="397"/>
      <c r="N44" s="397"/>
      <c r="O44" s="342"/>
      <c r="P44" s="342"/>
      <c r="Q44" s="342"/>
      <c r="R44" s="343"/>
      <c r="S44" s="342"/>
      <c r="T44" s="343"/>
      <c r="U44" s="342"/>
      <c r="V44" s="343"/>
      <c r="W44" s="343"/>
      <c r="X44" s="343"/>
      <c r="Y44" s="342"/>
      <c r="Z44" s="342"/>
      <c r="AA44" s="342"/>
      <c r="AB44" s="342"/>
      <c r="AC44" s="342" t="s">
        <v>248</v>
      </c>
      <c r="AD44" s="342"/>
      <c r="AE44" s="342"/>
      <c r="AF44" s="342"/>
      <c r="AG44" s="342"/>
      <c r="AH44" s="342"/>
      <c r="AI44" s="342"/>
      <c r="AJ44" s="342"/>
      <c r="AK44" s="342"/>
      <c r="AL44" s="342"/>
      <c r="AM44" s="342"/>
      <c r="AN44" s="342"/>
      <c r="AO44" s="355"/>
      <c r="AP44" s="350" t="e">
        <f t="shared" si="101"/>
        <v>#NUM!</v>
      </c>
      <c r="AQ44" s="350" t="e">
        <f t="shared" si="102"/>
        <v>#NUM!</v>
      </c>
      <c r="AR44" s="350" t="e">
        <f t="shared" si="103"/>
        <v>#NUM!</v>
      </c>
      <c r="AS44" s="350" t="e">
        <f t="shared" si="104"/>
        <v>#NUM!</v>
      </c>
      <c r="AT44" s="350" t="e">
        <f t="shared" si="105"/>
        <v>#NUM!</v>
      </c>
      <c r="AU44" s="351"/>
      <c r="AV44" s="351"/>
      <c r="AW44" s="351" t="e">
        <f>(Table144[[#This Row],[MP25]]-Table144[[#This Row],[MP50]])/Table144[[#This Row],[MP50]]</f>
        <v>#NUM!</v>
      </c>
      <c r="AX44" s="351"/>
      <c r="AY44" s="352"/>
      <c r="AZ44" s="356"/>
      <c r="BA44" s="133"/>
      <c r="BB44" s="240"/>
    </row>
    <row r="45" spans="1:57" ht="15">
      <c r="A45" s="22" t="s">
        <v>113</v>
      </c>
      <c r="B45" s="23"/>
      <c r="C45" s="23" t="s">
        <v>114</v>
      </c>
      <c r="D45" s="23" t="s">
        <v>61</v>
      </c>
      <c r="E45" s="23"/>
      <c r="F45" s="47"/>
      <c r="G45" s="23"/>
      <c r="H45" s="23"/>
      <c r="I45" s="23"/>
      <c r="J45" s="23"/>
      <c r="K45" s="23"/>
      <c r="L45" s="23"/>
      <c r="M45" s="393">
        <f>M73</f>
        <v>52</v>
      </c>
      <c r="N45" s="393">
        <f t="shared" ref="N45:R45" si="144">N73</f>
        <v>56</v>
      </c>
      <c r="O45" s="330">
        <f t="shared" si="144"/>
        <v>105</v>
      </c>
      <c r="P45" s="330">
        <f>P73</f>
        <v>12</v>
      </c>
      <c r="Q45" s="330">
        <f>Q73</f>
        <v>15</v>
      </c>
      <c r="R45" s="330">
        <f t="shared" si="144"/>
        <v>11</v>
      </c>
      <c r="S45" s="330">
        <f t="shared" ref="S45:AF45" si="145">S73</f>
        <v>142</v>
      </c>
      <c r="T45" s="330">
        <f t="shared" si="145"/>
        <v>94</v>
      </c>
      <c r="U45" s="330">
        <f t="shared" si="145"/>
        <v>53</v>
      </c>
      <c r="V45" s="330">
        <f t="shared" si="145"/>
        <v>53</v>
      </c>
      <c r="W45" s="330">
        <f t="shared" si="145"/>
        <v>48</v>
      </c>
      <c r="X45" s="330">
        <f t="shared" si="145"/>
        <v>32</v>
      </c>
      <c r="Y45" s="86">
        <f t="shared" si="145"/>
        <v>21</v>
      </c>
      <c r="Z45" s="86">
        <f t="shared" si="145"/>
        <v>14</v>
      </c>
      <c r="AA45" s="86">
        <f t="shared" si="145"/>
        <v>9</v>
      </c>
      <c r="AB45" s="86">
        <f t="shared" si="145"/>
        <v>33</v>
      </c>
      <c r="AC45" s="86">
        <f t="shared" si="145"/>
        <v>26</v>
      </c>
      <c r="AD45" s="86">
        <f t="shared" si="145"/>
        <v>28</v>
      </c>
      <c r="AE45" s="86">
        <f t="shared" si="145"/>
        <v>18</v>
      </c>
      <c r="AF45" s="86">
        <f t="shared" si="145"/>
        <v>424</v>
      </c>
      <c r="AG45" s="86">
        <f t="shared" ref="AG45:AI45" si="146">AG73</f>
        <v>20</v>
      </c>
      <c r="AH45" s="86">
        <f t="shared" si="146"/>
        <v>31</v>
      </c>
      <c r="AI45" s="86">
        <f t="shared" si="146"/>
        <v>19</v>
      </c>
      <c r="AJ45" s="86">
        <f>AJ73</f>
        <v>17</v>
      </c>
      <c r="AK45" s="86">
        <f>AK73</f>
        <v>376</v>
      </c>
      <c r="AL45" s="86">
        <f>AL73</f>
        <v>42</v>
      </c>
      <c r="AM45" s="86">
        <f t="shared" ref="AM45" si="147">AM73</f>
        <v>124</v>
      </c>
      <c r="AN45" s="86">
        <f>AN73</f>
        <v>8</v>
      </c>
      <c r="AO45" s="179"/>
      <c r="AP45" s="122">
        <f t="shared" si="101"/>
        <v>11.7</v>
      </c>
      <c r="AQ45" s="122">
        <f t="shared" si="102"/>
        <v>17.75</v>
      </c>
      <c r="AR45" s="122">
        <f t="shared" si="103"/>
        <v>31.5</v>
      </c>
      <c r="AS45" s="122">
        <f t="shared" si="104"/>
        <v>53.75</v>
      </c>
      <c r="AT45" s="122">
        <f t="shared" si="105"/>
        <v>129.4</v>
      </c>
      <c r="AU45" s="131">
        <f>(Table144[[#This Row],[MP75]]-Table144[[#This Row],[MP25]])/Table144[[#This Row],[MP50]]</f>
        <v>1.1428571428571428</v>
      </c>
      <c r="AV45" s="131">
        <v>0.90315315315315303</v>
      </c>
      <c r="AW45" s="131">
        <f>(Table144[[#This Row],[MP25]]-Table144[[#This Row],[MP50]])/Table144[[#This Row],[MP50]]</f>
        <v>-0.43650793650793651</v>
      </c>
      <c r="AX45" s="131">
        <f>(Table144[[#This Row],[MP75]]-Table144[[#This Row],[MP50]])/Table144[[#This Row],[MP50]]</f>
        <v>0.70634920634920639</v>
      </c>
      <c r="AY45" s="236">
        <f>AVERAGE(Table144[[#This Row],[P1-1]:[P9-4]])</f>
        <v>67.25</v>
      </c>
      <c r="AZ45" s="122">
        <f>_xlfn.STDEV.P(Table144[[#This Row],[P1-1]:[P9-4]])</f>
        <v>98.67465480051095</v>
      </c>
      <c r="BA45" s="122"/>
      <c r="BB45" s="174"/>
      <c r="BC45" s="106"/>
      <c r="BD45" s="106"/>
      <c r="BE45" s="106"/>
    </row>
    <row r="46" spans="1:57" ht="15">
      <c r="A46" s="283" t="s">
        <v>227</v>
      </c>
      <c r="B46" s="23"/>
      <c r="C46" s="23" t="s">
        <v>114</v>
      </c>
      <c r="D46" s="23" t="s">
        <v>61</v>
      </c>
      <c r="E46" s="23"/>
      <c r="F46" s="47"/>
      <c r="G46" s="23"/>
      <c r="H46" s="23"/>
      <c r="I46" s="23"/>
      <c r="J46" s="23"/>
      <c r="K46" s="23"/>
      <c r="L46" s="23"/>
      <c r="M46" s="393">
        <f t="shared" ref="M46:AL46" si="148">M86</f>
        <v>32.076000000000008</v>
      </c>
      <c r="N46" s="393">
        <f t="shared" si="148"/>
        <v>0</v>
      </c>
      <c r="O46" s="330">
        <f t="shared" si="148"/>
        <v>0</v>
      </c>
      <c r="P46" s="330">
        <f t="shared" si="148"/>
        <v>0</v>
      </c>
      <c r="Q46" s="330">
        <f t="shared" si="148"/>
        <v>0</v>
      </c>
      <c r="R46" s="330">
        <f t="shared" si="148"/>
        <v>0</v>
      </c>
      <c r="S46" s="330">
        <f t="shared" si="148"/>
        <v>0</v>
      </c>
      <c r="T46" s="330">
        <f t="shared" si="148"/>
        <v>0</v>
      </c>
      <c r="U46" s="330">
        <f t="shared" si="148"/>
        <v>0</v>
      </c>
      <c r="V46" s="330">
        <f t="shared" si="148"/>
        <v>0</v>
      </c>
      <c r="W46" s="330">
        <f t="shared" si="148"/>
        <v>0</v>
      </c>
      <c r="X46" s="330">
        <f t="shared" si="148"/>
        <v>0</v>
      </c>
      <c r="Y46" s="86">
        <f t="shared" si="148"/>
        <v>0</v>
      </c>
      <c r="Z46" s="86">
        <f t="shared" si="148"/>
        <v>0</v>
      </c>
      <c r="AA46" s="86">
        <f t="shared" si="148"/>
        <v>0</v>
      </c>
      <c r="AB46" s="86">
        <f t="shared" si="148"/>
        <v>0</v>
      </c>
      <c r="AC46" s="86">
        <f t="shared" si="148"/>
        <v>0</v>
      </c>
      <c r="AD46" s="86">
        <f t="shared" si="148"/>
        <v>0</v>
      </c>
      <c r="AE46" s="86">
        <f t="shared" si="148"/>
        <v>0</v>
      </c>
      <c r="AF46" s="86">
        <f t="shared" si="148"/>
        <v>0</v>
      </c>
      <c r="AG46" s="86">
        <f t="shared" si="148"/>
        <v>0</v>
      </c>
      <c r="AH46" s="86">
        <f t="shared" si="148"/>
        <v>0</v>
      </c>
      <c r="AI46" s="86">
        <f t="shared" si="148"/>
        <v>0</v>
      </c>
      <c r="AJ46" s="86">
        <f t="shared" si="148"/>
        <v>0</v>
      </c>
      <c r="AK46" s="86">
        <f t="shared" si="148"/>
        <v>0</v>
      </c>
      <c r="AL46" s="86">
        <f t="shared" si="148"/>
        <v>0</v>
      </c>
      <c r="AM46" s="86">
        <f t="shared" ref="AM46" si="149">AM86</f>
        <v>0</v>
      </c>
      <c r="AN46" s="86">
        <f>AN86</f>
        <v>0</v>
      </c>
      <c r="AO46" s="179"/>
      <c r="AP46" s="122"/>
      <c r="AQ46" s="122"/>
      <c r="AR46" s="122"/>
      <c r="AS46" s="122"/>
      <c r="AT46" s="122"/>
      <c r="AU46" s="131"/>
      <c r="AV46" s="131"/>
      <c r="AW46" s="131" t="e">
        <f>(Table144[[#This Row],[MP25]]-Table144[[#This Row],[MP50]])/Table144[[#This Row],[MP50]]</f>
        <v>#DIV/0!</v>
      </c>
      <c r="AX46" s="131"/>
      <c r="AY46" s="236"/>
      <c r="AZ46" s="122"/>
      <c r="BA46" s="122"/>
      <c r="BB46" s="174"/>
      <c r="BC46" s="106"/>
      <c r="BD46" s="106"/>
      <c r="BE46" s="106"/>
    </row>
    <row r="47" spans="1:57" ht="15">
      <c r="A47" s="272" t="s">
        <v>228</v>
      </c>
      <c r="B47" s="23"/>
      <c r="C47" s="284" t="s">
        <v>97</v>
      </c>
      <c r="D47" s="23" t="s">
        <v>61</v>
      </c>
      <c r="E47" s="23"/>
      <c r="F47" s="47"/>
      <c r="G47" s="23"/>
      <c r="H47" s="23"/>
      <c r="I47" s="23"/>
      <c r="J47" s="23"/>
      <c r="K47" s="23"/>
      <c r="L47" s="23"/>
      <c r="M47" s="399">
        <f>(M45-M46)/M46</f>
        <v>0.6211497692979171</v>
      </c>
      <c r="N47" s="399" t="e">
        <f t="shared" ref="N47:AK47" si="150">(N45-N46)/N46</f>
        <v>#DIV/0!</v>
      </c>
      <c r="O47" s="346" t="e">
        <f t="shared" si="150"/>
        <v>#DIV/0!</v>
      </c>
      <c r="P47" s="346" t="e">
        <f>(P45-P46)/P46</f>
        <v>#DIV/0!</v>
      </c>
      <c r="Q47" s="346" t="e">
        <f>(Q45-Q46)/Q46</f>
        <v>#DIV/0!</v>
      </c>
      <c r="R47" s="346" t="e">
        <f t="shared" si="150"/>
        <v>#DIV/0!</v>
      </c>
      <c r="S47" s="346" t="e">
        <f t="shared" si="150"/>
        <v>#DIV/0!</v>
      </c>
      <c r="T47" s="346" t="e">
        <f t="shared" si="150"/>
        <v>#DIV/0!</v>
      </c>
      <c r="U47" s="346" t="e">
        <f>(U45-U46)/U46</f>
        <v>#DIV/0!</v>
      </c>
      <c r="V47" s="346" t="e">
        <f t="shared" si="150"/>
        <v>#DIV/0!</v>
      </c>
      <c r="W47" s="346" t="e">
        <f t="shared" si="150"/>
        <v>#DIV/0!</v>
      </c>
      <c r="X47" s="346" t="e">
        <f t="shared" si="150"/>
        <v>#DIV/0!</v>
      </c>
      <c r="Y47" s="279" t="e">
        <f t="shared" si="150"/>
        <v>#DIV/0!</v>
      </c>
      <c r="Z47" s="279" t="e">
        <f>(Z45-Z46)/Z46</f>
        <v>#DIV/0!</v>
      </c>
      <c r="AA47" s="279" t="e">
        <f>(AA45-AA46)/AA46</f>
        <v>#DIV/0!</v>
      </c>
      <c r="AB47" s="279" t="e">
        <f t="shared" si="150"/>
        <v>#DIV/0!</v>
      </c>
      <c r="AC47" s="279" t="e">
        <f t="shared" si="150"/>
        <v>#DIV/0!</v>
      </c>
      <c r="AD47" s="279" t="e">
        <f>(AD45-AD46)/AD46</f>
        <v>#DIV/0!</v>
      </c>
      <c r="AE47" s="279" t="e">
        <f>(AE45-AE46)/AE46</f>
        <v>#DIV/0!</v>
      </c>
      <c r="AF47" s="279" t="e">
        <f t="shared" si="150"/>
        <v>#DIV/0!</v>
      </c>
      <c r="AG47" s="279" t="e">
        <f t="shared" si="150"/>
        <v>#DIV/0!</v>
      </c>
      <c r="AH47" s="279" t="e">
        <f t="shared" si="150"/>
        <v>#DIV/0!</v>
      </c>
      <c r="AI47" s="279" t="e">
        <f t="shared" si="150"/>
        <v>#DIV/0!</v>
      </c>
      <c r="AJ47" s="279" t="e">
        <f>(AJ45-AJ46)/AJ46</f>
        <v>#DIV/0!</v>
      </c>
      <c r="AK47" s="279" t="e">
        <f t="shared" si="150"/>
        <v>#DIV/0!</v>
      </c>
      <c r="AL47" s="279" t="e">
        <f>(AL45-AL46)/AL46</f>
        <v>#DIV/0!</v>
      </c>
      <c r="AM47" s="279" t="e">
        <f t="shared" ref="AM47" si="151">(AM45-AM46)/AM46</f>
        <v>#DIV/0!</v>
      </c>
      <c r="AN47" s="279" t="e">
        <f>(AN45-AN46)/AN46</f>
        <v>#DIV/0!</v>
      </c>
      <c r="AO47" s="179"/>
      <c r="AP47" s="122"/>
      <c r="AQ47" s="122"/>
      <c r="AR47" s="122"/>
      <c r="AS47" s="122"/>
      <c r="AT47" s="122"/>
      <c r="AU47" s="131"/>
      <c r="AV47" s="131"/>
      <c r="AW47" s="131" t="e">
        <f>(Table144[[#This Row],[MP25]]-Table144[[#This Row],[MP50]])/Table144[[#This Row],[MP50]]</f>
        <v>#DIV/0!</v>
      </c>
      <c r="AX47" s="131"/>
      <c r="AY47" s="236"/>
      <c r="AZ47" s="122"/>
      <c r="BA47" s="122"/>
      <c r="BB47" s="174"/>
      <c r="BC47" s="106"/>
      <c r="BD47" s="106"/>
      <c r="BE47" s="106"/>
    </row>
    <row r="48" spans="1:57" ht="15">
      <c r="A48" s="22" t="s">
        <v>115</v>
      </c>
      <c r="B48" s="23"/>
      <c r="C48" s="23" t="s">
        <v>116</v>
      </c>
      <c r="D48" s="23"/>
      <c r="E48" s="23"/>
      <c r="F48" s="47"/>
      <c r="G48" s="23"/>
      <c r="H48" s="23"/>
      <c r="I48" s="23"/>
      <c r="J48" s="23"/>
      <c r="K48" s="23"/>
      <c r="L48" s="23"/>
      <c r="M48" s="400">
        <f>M45/M34</f>
        <v>4.333333333333333</v>
      </c>
      <c r="N48" s="400">
        <f t="shared" ref="N48:O48" si="152">N45/N34</f>
        <v>5.6</v>
      </c>
      <c r="O48" s="321">
        <f t="shared" si="152"/>
        <v>1.875</v>
      </c>
      <c r="P48" s="321">
        <f>P45/P34</f>
        <v>2.4</v>
      </c>
      <c r="Q48" s="321">
        <f>Q45/Q34</f>
        <v>3</v>
      </c>
      <c r="R48" s="321">
        <f t="shared" ref="R48:AI48" si="153">R45/R34</f>
        <v>5.5</v>
      </c>
      <c r="S48" s="321">
        <f t="shared" si="153"/>
        <v>7.8888888888888893</v>
      </c>
      <c r="T48" s="321">
        <f t="shared" si="153"/>
        <v>7.833333333333333</v>
      </c>
      <c r="U48" s="321">
        <f>U45/U34</f>
        <v>5.8888888888888893</v>
      </c>
      <c r="V48" s="321">
        <f t="shared" si="153"/>
        <v>0.58888888888888891</v>
      </c>
      <c r="W48" s="321">
        <f t="shared" si="153"/>
        <v>2.8235294117647061</v>
      </c>
      <c r="X48" s="321">
        <f t="shared" si="153"/>
        <v>2.56</v>
      </c>
      <c r="Y48" s="91">
        <f t="shared" si="153"/>
        <v>1.75</v>
      </c>
      <c r="Z48" s="91">
        <f>Z45/Z34</f>
        <v>0.56000000000000005</v>
      </c>
      <c r="AA48" s="91">
        <f>AA45/AA34</f>
        <v>0.52941176470588236</v>
      </c>
      <c r="AB48" s="91">
        <f t="shared" si="153"/>
        <v>0.40740740740740738</v>
      </c>
      <c r="AC48" s="91">
        <f t="shared" si="153"/>
        <v>2.1666666666666665</v>
      </c>
      <c r="AD48" s="91">
        <f>AD45/AD34</f>
        <v>1.4736842105263157</v>
      </c>
      <c r="AE48" s="91">
        <f>AE45/AE34</f>
        <v>0.92307692307692313</v>
      </c>
      <c r="AF48" s="91">
        <f t="shared" si="153"/>
        <v>1.5703703703703704</v>
      </c>
      <c r="AG48" s="91">
        <f t="shared" si="153"/>
        <v>3.3333333333333335</v>
      </c>
      <c r="AH48" s="91">
        <f t="shared" si="153"/>
        <v>5.166666666666667</v>
      </c>
      <c r="AI48" s="91">
        <f t="shared" si="153"/>
        <v>4.3428571428571425</v>
      </c>
      <c r="AJ48" s="91">
        <f>AJ45/AJ34</f>
        <v>2.4727272727272727</v>
      </c>
      <c r="AK48" s="91">
        <f t="shared" ref="AK48" si="154">AK45/AK34</f>
        <v>12.533333333333333</v>
      </c>
      <c r="AL48" s="91">
        <f>AL45/AL34</f>
        <v>4.2</v>
      </c>
      <c r="AM48" s="91">
        <f t="shared" ref="AM48" si="155">AM45/AM34</f>
        <v>4.1333333333333337</v>
      </c>
      <c r="AN48" s="91">
        <f>AN45/AN34</f>
        <v>1.6</v>
      </c>
      <c r="AO48" s="218"/>
      <c r="AP48" s="122">
        <f>PERCENTILE($M48:$AO48,0.1)</f>
        <v>0.58022222222222231</v>
      </c>
      <c r="AQ48" s="122">
        <f>PERCENTILE($M48:$AO48,0.25)</f>
        <v>1.5925925925925926</v>
      </c>
      <c r="AR48" s="122">
        <f>PERCENTILE($M48:$AE48,0.5)</f>
        <v>2.4</v>
      </c>
      <c r="AS48" s="122">
        <f>PERCENTILE($M48:$AO48,0.75)</f>
        <v>4.5488095238095241</v>
      </c>
      <c r="AT48" s="122">
        <f>PERCENTILE($M48:$AO48,0.9)</f>
        <v>6.4722222222222241</v>
      </c>
      <c r="AU48" s="131">
        <f>(Table144[[#This Row],[MP75]]-Table144[[#This Row],[MP25]])/Table144[[#This Row],[MP50]]</f>
        <v>1.2317570546737215</v>
      </c>
      <c r="AV48" s="131" t="e">
        <v>#DIV/0!</v>
      </c>
      <c r="AW48" s="131">
        <f>(Table144[[#This Row],[MP25]]-Table144[[#This Row],[MP50]])/Table144[[#This Row],[MP50]]</f>
        <v>-0.33641975308641975</v>
      </c>
      <c r="AX48" s="131">
        <f>(Table144[[#This Row],[MP75]]-Table144[[#This Row],[MP50]])/Table144[[#This Row],[MP50]]</f>
        <v>0.89533730158730174</v>
      </c>
      <c r="AY48" s="236">
        <f>AVERAGE(Table144[[#This Row],[P1-1]:[P9-4]])</f>
        <v>3.4805261132179526</v>
      </c>
      <c r="AZ48" s="122">
        <f>_xlfn.STDEV.P(Table144[[#This Row],[P1-1]:[P9-4]])</f>
        <v>2.6977039178336017</v>
      </c>
      <c r="BA48" s="122" t="s">
        <v>50</v>
      </c>
      <c r="BB48" s="174"/>
      <c r="BC48" s="106"/>
      <c r="BD48" s="106"/>
      <c r="BE48" s="106"/>
    </row>
    <row r="49" spans="1:57" ht="15.75">
      <c r="A49" s="31" t="s">
        <v>117</v>
      </c>
      <c r="B49" s="23"/>
      <c r="C49" s="23" t="s">
        <v>118</v>
      </c>
      <c r="D49" s="23"/>
      <c r="E49" s="23">
        <v>0</v>
      </c>
      <c r="F49" s="55">
        <v>0.05</v>
      </c>
      <c r="G49" s="56">
        <v>0.15</v>
      </c>
      <c r="H49" s="57">
        <v>0.33</v>
      </c>
      <c r="I49" s="73">
        <v>0.62</v>
      </c>
      <c r="J49" s="74">
        <v>1.18</v>
      </c>
      <c r="K49" s="57">
        <v>100</v>
      </c>
      <c r="L49" s="75"/>
      <c r="M49" s="400">
        <f>M45/M12</f>
        <v>0.12943050577459181</v>
      </c>
      <c r="N49" s="400">
        <f t="shared" ref="N49:O49" si="156">N45/N12</f>
        <v>0.18310821486231832</v>
      </c>
      <c r="O49" s="387">
        <v>0.56000000000000005</v>
      </c>
      <c r="P49" s="387">
        <v>0.43</v>
      </c>
      <c r="Q49" s="387">
        <v>0.3</v>
      </c>
      <c r="R49" s="387">
        <v>0.56999999999999995</v>
      </c>
      <c r="S49" s="387">
        <v>0.4</v>
      </c>
      <c r="T49" s="387">
        <v>0.3</v>
      </c>
      <c r="U49" s="403">
        <v>0.2</v>
      </c>
      <c r="V49" s="387">
        <v>0.74</v>
      </c>
      <c r="W49" s="387">
        <v>0.7</v>
      </c>
      <c r="X49" s="387">
        <v>0.61</v>
      </c>
      <c r="Y49" s="385">
        <v>0.55000000000000004</v>
      </c>
      <c r="Z49" s="385">
        <v>0.54</v>
      </c>
      <c r="AA49" s="385">
        <v>0.54</v>
      </c>
      <c r="AB49" s="385">
        <v>0.48</v>
      </c>
      <c r="AC49" s="385">
        <v>0.46</v>
      </c>
      <c r="AD49" s="385">
        <v>0.45</v>
      </c>
      <c r="AE49" s="385">
        <v>0.41</v>
      </c>
      <c r="AF49" s="91">
        <v>0.4</v>
      </c>
      <c r="AG49" s="91">
        <v>0.38</v>
      </c>
      <c r="AH49" s="91">
        <v>0.36</v>
      </c>
      <c r="AI49" s="91">
        <v>0.23</v>
      </c>
      <c r="AJ49" s="91">
        <v>0.24</v>
      </c>
      <c r="AK49" s="91">
        <v>0.45</v>
      </c>
      <c r="AL49" s="91">
        <v>0.36</v>
      </c>
      <c r="AM49" s="91">
        <v>0.26</v>
      </c>
      <c r="AN49" s="91">
        <v>0.22</v>
      </c>
      <c r="AO49" s="179"/>
      <c r="AP49" s="253">
        <f>PERCENTILE($O49:$U49,0.1)</f>
        <v>0.26</v>
      </c>
      <c r="AQ49" s="386">
        <f>PERCENTILE($O49:$U49,0.25)</f>
        <v>0.3</v>
      </c>
      <c r="AR49" s="386">
        <f>PERCENTILE($O49:$U49,0.5)</f>
        <v>0.4</v>
      </c>
      <c r="AS49" s="386">
        <f>PERCENTILE($O49:$U49,0.75)</f>
        <v>0.495</v>
      </c>
      <c r="AT49" s="253">
        <f>PERCENTILE($O49:$U49,0.9)</f>
        <v>0.56400000000000006</v>
      </c>
      <c r="AU49" s="255">
        <f>(Table144[[#This Row],[MP75]]-Table144[[#This Row],[MP25]])/Table144[[#This Row],[MP50]]</f>
        <v>0.48749999999999999</v>
      </c>
      <c r="AV49" s="255">
        <f>(Table144[[#This Row],[MP75]]-Table144[[#This Row],[MP25]])/Table144[[#This Row],[MP50]]/2</f>
        <v>0.24374999999999999</v>
      </c>
      <c r="AW49" s="255">
        <f>(Table144[[#This Row],[MP25]]-Table144[[#This Row],[MP50]])/Table144[[#This Row],[MP50]]</f>
        <v>-0.25000000000000006</v>
      </c>
      <c r="AX49" s="255">
        <f>(Table144[[#This Row],[MP75]]-Table144[[#This Row],[MP50]])/Table144[[#This Row],[MP50]]</f>
        <v>0.23749999999999993</v>
      </c>
      <c r="AY49" s="309">
        <f>AVERAGE(Table144[[#This Row],[P1-1]:[P9-4]])</f>
        <v>0.40901924002274681</v>
      </c>
      <c r="AZ49" s="314">
        <f>_xlfn.STDEV.P(Table144[[#This Row],[P1-1]:[P9-4]])</f>
        <v>0.15468541697923799</v>
      </c>
      <c r="BA49" s="128" t="s">
        <v>75</v>
      </c>
      <c r="BB49" s="174"/>
      <c r="BC49" s="106"/>
      <c r="BD49" s="106"/>
      <c r="BE49" s="106"/>
    </row>
    <row r="50" spans="1:57" ht="25.15" customHeight="1">
      <c r="A50" s="27" t="s">
        <v>119</v>
      </c>
      <c r="B50" s="23"/>
      <c r="C50" s="23"/>
      <c r="D50" s="23"/>
      <c r="E50" s="23"/>
      <c r="F50" s="47"/>
      <c r="G50" s="23"/>
      <c r="H50" s="23"/>
      <c r="I50" s="23"/>
      <c r="J50" s="23"/>
      <c r="K50" s="23"/>
      <c r="L50" s="23"/>
      <c r="M50" s="333">
        <f>M74</f>
        <v>0</v>
      </c>
      <c r="N50" s="333">
        <f t="shared" ref="N50:AN50" si="157">N74</f>
        <v>0</v>
      </c>
      <c r="O50" s="333" t="str">
        <f t="shared" si="157"/>
        <v>截止到迭代11所有的投入</v>
      </c>
      <c r="P50" s="333">
        <f t="shared" si="157"/>
        <v>0</v>
      </c>
      <c r="Q50" s="333">
        <f t="shared" si="157"/>
        <v>0</v>
      </c>
      <c r="R50" s="333">
        <f t="shared" si="157"/>
        <v>0</v>
      </c>
      <c r="S50" s="333">
        <f t="shared" si="157"/>
        <v>0</v>
      </c>
      <c r="T50" s="333">
        <f t="shared" si="157"/>
        <v>0</v>
      </c>
      <c r="U50" s="333">
        <f t="shared" si="157"/>
        <v>8.19</v>
      </c>
      <c r="V50" s="333" t="str">
        <f t="shared" si="157"/>
        <v>5月12号</v>
      </c>
      <c r="W50" s="333" t="str">
        <f t="shared" si="157"/>
        <v>6月4号</v>
      </c>
      <c r="X50" s="333" t="str">
        <f t="shared" si="157"/>
        <v>6月29号</v>
      </c>
      <c r="Y50" s="47" t="str">
        <f t="shared" si="157"/>
        <v>7月13号</v>
      </c>
      <c r="Z50" s="47" t="str">
        <f t="shared" si="157"/>
        <v>7月27号</v>
      </c>
      <c r="AA50" s="47">
        <f t="shared" si="157"/>
        <v>44069</v>
      </c>
      <c r="AB50" s="47" t="str">
        <f t="shared" si="157"/>
        <v>6月29号</v>
      </c>
      <c r="AC50" s="47" t="str">
        <f t="shared" si="157"/>
        <v>7月13号</v>
      </c>
      <c r="AD50" s="47" t="str">
        <f t="shared" si="157"/>
        <v>7月31号（新增8，修改95 ）</v>
      </c>
      <c r="AE50" s="47" t="str">
        <f t="shared" si="157"/>
        <v>8月25号</v>
      </c>
      <c r="AF50" s="333">
        <f t="shared" si="157"/>
        <v>43951</v>
      </c>
      <c r="AG50" s="333">
        <f t="shared" si="157"/>
        <v>43981</v>
      </c>
      <c r="AH50" s="333">
        <f t="shared" si="157"/>
        <v>44012</v>
      </c>
      <c r="AI50" s="333">
        <f t="shared" si="157"/>
        <v>44030</v>
      </c>
      <c r="AJ50" s="333">
        <f t="shared" si="157"/>
        <v>44060</v>
      </c>
      <c r="AK50" s="333">
        <f t="shared" si="157"/>
        <v>44043</v>
      </c>
      <c r="AL50" s="333">
        <f t="shared" si="157"/>
        <v>44078</v>
      </c>
      <c r="AM50" s="333">
        <f t="shared" si="157"/>
        <v>44048</v>
      </c>
      <c r="AN50" s="333">
        <f t="shared" si="157"/>
        <v>44083</v>
      </c>
      <c r="AO50" s="355"/>
      <c r="AP50" s="122">
        <f>PERCENTILE($M50:$AO50,0.1)</f>
        <v>0</v>
      </c>
      <c r="AQ50" s="122">
        <f>PERCENTILE($M50:$AO50,0.25)</f>
        <v>0</v>
      </c>
      <c r="AR50" s="122">
        <f>PERCENTILE($M50:$AO50,0.5)</f>
        <v>43966</v>
      </c>
      <c r="AS50" s="122">
        <f>PERCENTILE($M50:$AO50,0.75)</f>
        <v>44046.75</v>
      </c>
      <c r="AT50" s="122">
        <f>PERCENTILE($M50:$AO50,0.9)</f>
        <v>44071.7</v>
      </c>
      <c r="AU50" s="131"/>
      <c r="AV50" s="131"/>
      <c r="AW50" s="131"/>
      <c r="AX50" s="131"/>
      <c r="AY50" s="236"/>
      <c r="AZ50" s="122"/>
      <c r="BA50" s="122"/>
      <c r="BB50" s="174"/>
      <c r="BC50" s="106"/>
      <c r="BD50" s="106"/>
      <c r="BE50" s="106"/>
    </row>
    <row r="51" spans="1:57" s="114" customFormat="1" ht="15.75">
      <c r="A51" s="39"/>
      <c r="B51" s="39"/>
      <c r="C51" s="39"/>
      <c r="D51" s="39"/>
      <c r="E51" s="39"/>
      <c r="F51" s="62"/>
      <c r="G51" s="63"/>
      <c r="H51" s="64"/>
      <c r="I51" s="80"/>
      <c r="J51" s="81"/>
      <c r="K51" s="64"/>
      <c r="L51" s="39"/>
      <c r="M51" s="64"/>
      <c r="N51" s="64"/>
      <c r="O51" s="64"/>
      <c r="P51" s="287"/>
      <c r="Q51" s="287"/>
      <c r="R51" s="64"/>
      <c r="S51" s="64"/>
      <c r="T51" s="64"/>
      <c r="U51" s="97"/>
      <c r="V51" s="64"/>
      <c r="W51" s="64"/>
      <c r="X51" s="64"/>
      <c r="Y51" s="64"/>
      <c r="Z51" s="97"/>
      <c r="AA51" s="97"/>
      <c r="AB51" s="181"/>
      <c r="AC51" s="204"/>
      <c r="AD51" s="97"/>
      <c r="AE51" s="97"/>
      <c r="AF51" s="334"/>
      <c r="AG51" s="334"/>
      <c r="AH51" s="334"/>
      <c r="AI51" s="334"/>
      <c r="AJ51" s="326"/>
      <c r="AK51" s="334"/>
      <c r="AL51" s="326"/>
      <c r="AM51" s="374"/>
      <c r="AN51" s="326"/>
      <c r="AO51" s="361"/>
      <c r="AP51" s="128"/>
      <c r="AQ51" s="128"/>
      <c r="AR51" s="128"/>
      <c r="AS51" s="128"/>
      <c r="AT51" s="128"/>
      <c r="AU51" s="226"/>
      <c r="AV51" s="226"/>
      <c r="AW51" s="226"/>
      <c r="AX51" s="226"/>
      <c r="AY51" s="310"/>
      <c r="AZ51" s="128"/>
      <c r="BA51" s="127"/>
      <c r="BB51" s="241"/>
    </row>
    <row r="52" spans="1:57" s="115" customFormat="1" ht="15">
      <c r="A52" s="40" t="s">
        <v>120</v>
      </c>
      <c r="B52" s="41"/>
      <c r="C52" s="41"/>
      <c r="D52" s="41"/>
      <c r="E52" s="41"/>
      <c r="F52" s="65"/>
      <c r="G52" s="63"/>
      <c r="H52" s="64"/>
      <c r="I52" s="80"/>
      <c r="J52" s="81"/>
      <c r="K52" s="64"/>
      <c r="L52" s="39"/>
      <c r="M52" s="64"/>
      <c r="N52" s="64"/>
      <c r="O52" s="64"/>
      <c r="P52" s="82"/>
      <c r="Q52" s="82"/>
      <c r="R52" s="64"/>
      <c r="S52" s="64"/>
      <c r="T52" s="64"/>
      <c r="U52" s="82"/>
      <c r="V52" s="64"/>
      <c r="W52" s="64"/>
      <c r="X52" s="64"/>
      <c r="Y52" s="64"/>
      <c r="Z52" s="82"/>
      <c r="AA52" s="82"/>
      <c r="AB52" s="195"/>
      <c r="AC52" s="195"/>
      <c r="AD52" s="82"/>
      <c r="AE52" s="82"/>
      <c r="AF52" s="334"/>
      <c r="AG52" s="334"/>
      <c r="AH52" s="334"/>
      <c r="AI52" s="334"/>
      <c r="AJ52" s="322"/>
      <c r="AK52" s="334"/>
      <c r="AL52" s="322"/>
      <c r="AM52" s="375"/>
      <c r="AN52" s="322"/>
      <c r="AO52" s="376"/>
      <c r="AP52" s="135" t="e">
        <f t="shared" ref="AP52:AP64" si="158">PERCENTILE($M52:$AO52,0.1)</f>
        <v>#NUM!</v>
      </c>
      <c r="AQ52" s="135" t="e">
        <f t="shared" ref="AQ52:AQ64" si="159">PERCENTILE($M52:$AO52,0.25)</f>
        <v>#NUM!</v>
      </c>
      <c r="AR52" s="135" t="e">
        <f t="shared" ref="AR52:AR64" si="160">PERCENTILE($M52:$AO52,0.5)</f>
        <v>#NUM!</v>
      </c>
      <c r="AS52" s="135" t="e">
        <f t="shared" ref="AS52:AS64" si="161">PERCENTILE($M52:$AO52,0.75)</f>
        <v>#NUM!</v>
      </c>
      <c r="AT52" s="135" t="e">
        <f t="shared" ref="AT52:AT64" si="162">PERCENTILE($M52:$AO52,0.9)</f>
        <v>#NUM!</v>
      </c>
      <c r="AU52" s="229"/>
      <c r="AV52" s="131"/>
      <c r="AW52" s="230"/>
      <c r="AX52" s="230"/>
      <c r="AY52" s="311"/>
      <c r="AZ52" s="135"/>
      <c r="BA52" s="135"/>
      <c r="BB52" s="135"/>
    </row>
    <row r="53" spans="1:57" ht="15">
      <c r="A53" s="25" t="s">
        <v>55</v>
      </c>
      <c r="B53" s="25"/>
      <c r="C53" s="26"/>
      <c r="D53" s="26"/>
      <c r="E53" s="26"/>
      <c r="F53" s="50"/>
      <c r="G53" s="51"/>
      <c r="H53" s="26"/>
      <c r="I53" s="69"/>
      <c r="J53" s="70"/>
      <c r="K53" s="26"/>
      <c r="L53" s="26"/>
      <c r="M53" s="250"/>
      <c r="N53" s="250"/>
      <c r="O53" s="250"/>
      <c r="P53" s="286"/>
      <c r="Q53" s="286"/>
      <c r="R53" s="95"/>
      <c r="S53" s="96"/>
      <c r="T53" s="95"/>
      <c r="U53" s="96"/>
      <c r="V53" s="95"/>
      <c r="W53" s="95"/>
      <c r="X53" s="103" t="s">
        <v>56</v>
      </c>
      <c r="Y53" s="96"/>
      <c r="Z53" s="286"/>
      <c r="AA53" s="286"/>
      <c r="AB53" s="286"/>
      <c r="AC53" s="286"/>
      <c r="AD53" s="286"/>
      <c r="AE53" s="286"/>
      <c r="AF53" s="377"/>
      <c r="AG53" s="377"/>
      <c r="AH53" s="377"/>
      <c r="AI53" s="377"/>
      <c r="AJ53" s="378"/>
      <c r="AK53" s="377"/>
      <c r="AL53" s="379"/>
      <c r="AM53" s="380"/>
      <c r="AN53" s="359"/>
      <c r="AO53" s="355"/>
      <c r="AP53" s="127" t="e">
        <f t="shared" si="158"/>
        <v>#NUM!</v>
      </c>
      <c r="AQ53" s="221" t="e">
        <f t="shared" si="159"/>
        <v>#NUM!</v>
      </c>
      <c r="AR53" s="221" t="e">
        <f t="shared" si="160"/>
        <v>#NUM!</v>
      </c>
      <c r="AS53" s="221" t="e">
        <f t="shared" si="161"/>
        <v>#NUM!</v>
      </c>
      <c r="AT53" s="221" t="e">
        <f t="shared" si="162"/>
        <v>#NUM!</v>
      </c>
      <c r="AU53" s="221"/>
      <c r="AV53" s="224"/>
      <c r="AW53" s="224"/>
      <c r="AX53" s="224"/>
      <c r="AY53" s="256"/>
      <c r="AZ53" s="221"/>
      <c r="BA53" s="127"/>
      <c r="BB53" s="127"/>
      <c r="BC53" s="106"/>
      <c r="BD53" s="106"/>
      <c r="BE53" s="106"/>
    </row>
    <row r="54" spans="1:57" ht="15">
      <c r="A54" s="32" t="s">
        <v>57</v>
      </c>
      <c r="B54" s="23"/>
      <c r="C54" s="23" t="s">
        <v>58</v>
      </c>
      <c r="D54" s="23" t="s">
        <v>59</v>
      </c>
      <c r="E54" s="23"/>
      <c r="F54" s="47"/>
      <c r="G54" s="23"/>
      <c r="H54" s="23"/>
      <c r="I54" s="23"/>
      <c r="J54" s="23"/>
      <c r="K54" s="23"/>
      <c r="L54" s="23"/>
      <c r="M54" s="322">
        <v>334.8</v>
      </c>
      <c r="N54" s="322">
        <v>707.4</v>
      </c>
      <c r="O54" s="322">
        <v>610.20000000000005</v>
      </c>
      <c r="P54" s="323">
        <v>642.6</v>
      </c>
      <c r="Q54" s="323">
        <v>691.2</v>
      </c>
      <c r="R54" s="322">
        <v>25.92</v>
      </c>
      <c r="S54" s="322">
        <v>1056</v>
      </c>
      <c r="T54" s="322">
        <v>1302</v>
      </c>
      <c r="U54" s="322">
        <v>1496</v>
      </c>
      <c r="V54" s="322">
        <v>1452.6</v>
      </c>
      <c r="W54" s="322">
        <v>1873.6</v>
      </c>
      <c r="X54" s="322">
        <v>1954.6</v>
      </c>
      <c r="Y54" s="82">
        <v>2024.6</v>
      </c>
      <c r="Z54" s="97">
        <v>2067.8000000000002</v>
      </c>
      <c r="AA54" s="82">
        <v>2154.1999999999998</v>
      </c>
      <c r="AB54" s="82">
        <v>4937.5</v>
      </c>
      <c r="AC54" s="82">
        <v>5272.3</v>
      </c>
      <c r="AD54" s="82">
        <v>5572</v>
      </c>
      <c r="AE54" s="82">
        <v>5863.6</v>
      </c>
      <c r="AF54" s="322">
        <v>1925</v>
      </c>
      <c r="AG54" s="322">
        <v>496.8</v>
      </c>
      <c r="AH54" s="322">
        <v>529.20000000000005</v>
      </c>
      <c r="AI54" s="322">
        <v>788.4</v>
      </c>
      <c r="AJ54" s="322">
        <v>858.6</v>
      </c>
      <c r="AK54" s="322">
        <v>1015</v>
      </c>
      <c r="AL54" s="322">
        <v>2065</v>
      </c>
      <c r="AM54" s="322">
        <v>351</v>
      </c>
      <c r="AN54" s="322">
        <v>415.8</v>
      </c>
      <c r="AO54" s="355"/>
      <c r="AP54" s="254">
        <f t="shared" si="158"/>
        <v>396.36</v>
      </c>
      <c r="AQ54" s="221">
        <f t="shared" si="159"/>
        <v>634.5</v>
      </c>
      <c r="AR54" s="221">
        <f t="shared" si="160"/>
        <v>1179</v>
      </c>
      <c r="AS54" s="221">
        <f t="shared" si="161"/>
        <v>2034.6999999999998</v>
      </c>
      <c r="AT54" s="221">
        <f t="shared" si="162"/>
        <v>5037.9400000000005</v>
      </c>
      <c r="AU54" s="221"/>
      <c r="AV54" s="224"/>
      <c r="AW54" s="224"/>
      <c r="AX54" s="224"/>
      <c r="AY54" s="256"/>
      <c r="AZ54" s="221"/>
      <c r="BA54" s="254"/>
      <c r="BB54" s="254"/>
      <c r="BC54" s="106"/>
      <c r="BD54" s="106"/>
      <c r="BE54" s="106"/>
    </row>
    <row r="55" spans="1:57" ht="15">
      <c r="A55" s="32" t="s">
        <v>60</v>
      </c>
      <c r="B55" s="23"/>
      <c r="C55" s="23" t="s">
        <v>58</v>
      </c>
      <c r="D55" s="23" t="s">
        <v>61</v>
      </c>
      <c r="E55" s="23"/>
      <c r="F55" s="47"/>
      <c r="G55" s="23"/>
      <c r="H55" s="23"/>
      <c r="I55" s="23"/>
      <c r="J55" s="23"/>
      <c r="K55" s="23"/>
      <c r="L55" s="23"/>
      <c r="M55" s="322">
        <v>334.8</v>
      </c>
      <c r="N55" s="322">
        <v>372.6</v>
      </c>
      <c r="O55" s="322">
        <v>610.20000000000005</v>
      </c>
      <c r="P55" s="322">
        <v>76.5</v>
      </c>
      <c r="Q55" s="322">
        <v>97.2</v>
      </c>
      <c r="R55" s="322">
        <v>25.92</v>
      </c>
      <c r="S55" s="322">
        <v>1030</v>
      </c>
      <c r="T55" s="322">
        <v>246</v>
      </c>
      <c r="U55" s="322">
        <v>194</v>
      </c>
      <c r="V55" s="322">
        <v>1452.6</v>
      </c>
      <c r="W55" s="322">
        <v>421</v>
      </c>
      <c r="X55" s="322">
        <v>81</v>
      </c>
      <c r="Y55" s="82">
        <v>70</v>
      </c>
      <c r="Z55" s="97">
        <v>43.2</v>
      </c>
      <c r="AA55" s="82">
        <v>86.4</v>
      </c>
      <c r="AB55" s="82">
        <v>4937.5</v>
      </c>
      <c r="AC55" s="82">
        <v>334.8</v>
      </c>
      <c r="AD55" s="82">
        <v>299.7</v>
      </c>
      <c r="AE55" s="82">
        <v>291.60000000000002</v>
      </c>
      <c r="AF55" s="322">
        <v>1925</v>
      </c>
      <c r="AG55" s="322">
        <v>59.4</v>
      </c>
      <c r="AH55" s="322">
        <v>108</v>
      </c>
      <c r="AI55" s="322">
        <v>151.19999999999999</v>
      </c>
      <c r="AJ55" s="326">
        <v>162</v>
      </c>
      <c r="AK55" s="322">
        <v>1015</v>
      </c>
      <c r="AL55" s="322">
        <v>1015</v>
      </c>
      <c r="AM55" s="322">
        <v>351</v>
      </c>
      <c r="AN55" s="322">
        <v>64.8</v>
      </c>
      <c r="AO55" s="355"/>
      <c r="AP55" s="254">
        <f t="shared" si="158"/>
        <v>63.18</v>
      </c>
      <c r="AQ55" s="221">
        <f t="shared" si="159"/>
        <v>85.050000000000011</v>
      </c>
      <c r="AR55" s="221">
        <f t="shared" si="160"/>
        <v>268.8</v>
      </c>
      <c r="AS55" s="221">
        <f t="shared" si="161"/>
        <v>468.3</v>
      </c>
      <c r="AT55" s="221">
        <f t="shared" si="162"/>
        <v>1156.7800000000002</v>
      </c>
      <c r="AU55" s="221"/>
      <c r="AV55" s="224"/>
      <c r="AW55" s="224"/>
      <c r="AX55" s="224"/>
      <c r="AY55" s="256"/>
      <c r="AZ55" s="221"/>
      <c r="BA55" s="254"/>
      <c r="BB55" s="254"/>
      <c r="BC55" s="106"/>
      <c r="BD55" s="106"/>
      <c r="BE55" s="106"/>
    </row>
    <row r="56" spans="1:57" ht="15">
      <c r="A56" s="30" t="s">
        <v>121</v>
      </c>
      <c r="B56" s="23"/>
      <c r="C56" s="23"/>
      <c r="D56" s="23" t="s">
        <v>61</v>
      </c>
      <c r="E56" s="23"/>
      <c r="F56" s="47"/>
      <c r="G56" s="23"/>
      <c r="H56" s="23"/>
      <c r="I56" s="23"/>
      <c r="J56" s="23"/>
      <c r="K56" s="23"/>
      <c r="L56" s="23"/>
      <c r="M56" s="322">
        <v>1</v>
      </c>
      <c r="N56" s="322">
        <v>0.68400000000000005</v>
      </c>
      <c r="O56" s="322">
        <v>1</v>
      </c>
      <c r="P56" s="322">
        <v>1</v>
      </c>
      <c r="Q56" s="322">
        <v>1</v>
      </c>
      <c r="R56" s="322">
        <v>0.91600000000000004</v>
      </c>
      <c r="S56" s="322">
        <v>0.9</v>
      </c>
      <c r="T56" s="322">
        <v>0.66</v>
      </c>
      <c r="U56" s="322">
        <v>0.66</v>
      </c>
      <c r="V56" s="322">
        <v>1</v>
      </c>
      <c r="W56" s="322">
        <v>1</v>
      </c>
      <c r="X56" s="322">
        <v>1</v>
      </c>
      <c r="Y56" s="82">
        <v>1</v>
      </c>
      <c r="Z56" s="97">
        <v>1</v>
      </c>
      <c r="AA56" s="82">
        <v>0.95799999999999996</v>
      </c>
      <c r="AB56" s="82">
        <v>0.9</v>
      </c>
      <c r="AC56" s="82">
        <v>0.9</v>
      </c>
      <c r="AD56" s="82">
        <v>1</v>
      </c>
      <c r="AE56" s="82">
        <v>1</v>
      </c>
      <c r="AF56" s="322">
        <v>1</v>
      </c>
      <c r="AG56" s="322">
        <v>1</v>
      </c>
      <c r="AH56" s="322">
        <v>1</v>
      </c>
      <c r="AI56" s="322">
        <v>1</v>
      </c>
      <c r="AJ56" s="326">
        <v>1</v>
      </c>
      <c r="AK56" s="322">
        <v>1</v>
      </c>
      <c r="AL56" s="322">
        <v>0.72399999999999998</v>
      </c>
      <c r="AM56" s="322">
        <v>1</v>
      </c>
      <c r="AN56" s="322">
        <v>1</v>
      </c>
      <c r="AO56" s="355"/>
      <c r="AP56" s="254">
        <f t="shared" si="158"/>
        <v>0.71199999999999997</v>
      </c>
      <c r="AQ56" s="221">
        <f t="shared" si="159"/>
        <v>0.91200000000000003</v>
      </c>
      <c r="AR56" s="221">
        <f t="shared" si="160"/>
        <v>1</v>
      </c>
      <c r="AS56" s="221">
        <f t="shared" si="161"/>
        <v>1</v>
      </c>
      <c r="AT56" s="221">
        <f t="shared" si="162"/>
        <v>1</v>
      </c>
      <c r="AU56" s="221"/>
      <c r="AV56" s="224"/>
      <c r="AW56" s="224"/>
      <c r="AX56" s="224"/>
      <c r="AY56" s="256"/>
      <c r="AZ56" s="221"/>
      <c r="BA56" s="254"/>
      <c r="BB56" s="254"/>
      <c r="BC56" s="106"/>
      <c r="BD56" s="106"/>
      <c r="BE56" s="106"/>
    </row>
    <row r="57" spans="1:57" ht="15">
      <c r="A57" s="42" t="s">
        <v>122</v>
      </c>
      <c r="B57" s="23"/>
      <c r="C57" s="23"/>
      <c r="D57" s="23" t="s">
        <v>61</v>
      </c>
      <c r="E57" s="23"/>
      <c r="F57" s="47"/>
      <c r="G57" s="23"/>
      <c r="H57" s="23"/>
      <c r="I57" s="23"/>
      <c r="J57" s="23"/>
      <c r="K57" s="23"/>
      <c r="L57" s="23"/>
      <c r="M57" s="322">
        <v>1</v>
      </c>
      <c r="N57" s="322">
        <v>1</v>
      </c>
      <c r="O57" s="322">
        <v>1</v>
      </c>
      <c r="P57" s="322">
        <v>1</v>
      </c>
      <c r="Q57" s="322">
        <v>1</v>
      </c>
      <c r="R57" s="322">
        <v>0.93799999999999994</v>
      </c>
      <c r="S57" s="322">
        <v>0.93500000000000005</v>
      </c>
      <c r="T57" s="322">
        <v>0.9</v>
      </c>
      <c r="U57" s="322">
        <v>0.9</v>
      </c>
      <c r="V57" s="322">
        <v>1</v>
      </c>
      <c r="W57" s="322">
        <v>1</v>
      </c>
      <c r="X57" s="322">
        <v>1</v>
      </c>
      <c r="Y57" s="82">
        <v>1</v>
      </c>
      <c r="Z57" s="97">
        <v>1</v>
      </c>
      <c r="AA57" s="82">
        <v>0.92200000000000004</v>
      </c>
      <c r="AB57" s="82">
        <v>0.9</v>
      </c>
      <c r="AC57" s="82">
        <v>0.9</v>
      </c>
      <c r="AD57" s="82">
        <v>1</v>
      </c>
      <c r="AE57" s="82">
        <v>0.99</v>
      </c>
      <c r="AF57" s="322">
        <v>1</v>
      </c>
      <c r="AG57" s="322">
        <v>0.77300000000000002</v>
      </c>
      <c r="AH57" s="322">
        <v>0.57499999999999996</v>
      </c>
      <c r="AI57" s="322">
        <v>0.66100000000000003</v>
      </c>
      <c r="AJ57" s="326">
        <v>0.70799999999999996</v>
      </c>
      <c r="AK57" s="322">
        <v>1</v>
      </c>
      <c r="AL57" s="322">
        <v>0.72399999999999998</v>
      </c>
      <c r="AM57" s="322">
        <v>1</v>
      </c>
      <c r="AN57" s="322">
        <v>1</v>
      </c>
      <c r="AO57" s="355"/>
      <c r="AP57" s="254">
        <f t="shared" si="158"/>
        <v>0.71919999999999995</v>
      </c>
      <c r="AQ57" s="221">
        <f t="shared" si="159"/>
        <v>0.9</v>
      </c>
      <c r="AR57" s="221">
        <f t="shared" si="160"/>
        <v>1</v>
      </c>
      <c r="AS57" s="221">
        <f t="shared" si="161"/>
        <v>1</v>
      </c>
      <c r="AT57" s="221">
        <f t="shared" si="162"/>
        <v>1</v>
      </c>
      <c r="AU57" s="221"/>
      <c r="AV57" s="224"/>
      <c r="AW57" s="224"/>
      <c r="AX57" s="224"/>
      <c r="AY57" s="256"/>
      <c r="AZ57" s="221"/>
      <c r="BA57" s="254"/>
      <c r="BB57" s="254"/>
      <c r="BC57" s="106"/>
      <c r="BD57" s="106"/>
      <c r="BE57" s="106"/>
    </row>
    <row r="58" spans="1:57" ht="15">
      <c r="A58" s="25" t="s">
        <v>69</v>
      </c>
      <c r="B58" s="25"/>
      <c r="C58" s="26"/>
      <c r="D58" s="26"/>
      <c r="E58" s="26"/>
      <c r="F58" s="50"/>
      <c r="G58" s="51"/>
      <c r="H58" s="26"/>
      <c r="I58" s="69"/>
      <c r="J58" s="70"/>
      <c r="K58" s="26"/>
      <c r="L58" s="26"/>
      <c r="M58" s="324"/>
      <c r="N58" s="322"/>
      <c r="O58" s="325"/>
      <c r="P58" s="322"/>
      <c r="Q58" s="322"/>
      <c r="R58" s="324"/>
      <c r="S58" s="322"/>
      <c r="T58" s="322"/>
      <c r="U58" s="322"/>
      <c r="V58" s="324"/>
      <c r="W58" s="322"/>
      <c r="X58" s="322"/>
      <c r="Y58" s="82"/>
      <c r="Z58" s="82"/>
      <c r="AA58" s="82"/>
      <c r="AB58" s="84"/>
      <c r="AC58" s="82"/>
      <c r="AD58" s="82"/>
      <c r="AE58" s="82"/>
      <c r="AF58" s="324"/>
      <c r="AG58" s="322"/>
      <c r="AH58" s="322"/>
      <c r="AI58" s="322"/>
      <c r="AJ58" s="322"/>
      <c r="AK58" s="324"/>
      <c r="AL58" s="322"/>
      <c r="AM58" s="324"/>
      <c r="AN58" s="322"/>
      <c r="AO58" s="355"/>
      <c r="AP58" s="254" t="e">
        <f t="shared" si="158"/>
        <v>#NUM!</v>
      </c>
      <c r="AQ58" s="221" t="e">
        <f t="shared" si="159"/>
        <v>#NUM!</v>
      </c>
      <c r="AR58" s="221" t="e">
        <f t="shared" si="160"/>
        <v>#NUM!</v>
      </c>
      <c r="AS58" s="221" t="e">
        <f t="shared" si="161"/>
        <v>#NUM!</v>
      </c>
      <c r="AT58" s="221" t="e">
        <f t="shared" si="162"/>
        <v>#NUM!</v>
      </c>
      <c r="AU58" s="221"/>
      <c r="AV58" s="224"/>
      <c r="AW58" s="224"/>
      <c r="AX58" s="224"/>
      <c r="AY58" s="256"/>
      <c r="AZ58" s="221"/>
      <c r="BA58" s="254"/>
      <c r="BB58" s="254"/>
      <c r="BC58" s="106"/>
      <c r="BD58" s="106"/>
      <c r="BE58" s="106"/>
    </row>
    <row r="59" spans="1:57" ht="24.75">
      <c r="A59" s="23" t="s">
        <v>70</v>
      </c>
      <c r="B59" s="23" t="s">
        <v>71</v>
      </c>
      <c r="C59" s="23" t="s">
        <v>72</v>
      </c>
      <c r="D59" s="23" t="s">
        <v>61</v>
      </c>
      <c r="E59" s="23"/>
      <c r="F59" s="47"/>
      <c r="G59" s="23"/>
      <c r="H59" s="23"/>
      <c r="I59" s="23"/>
      <c r="J59" s="23"/>
      <c r="K59" s="23"/>
      <c r="L59" s="23"/>
      <c r="M59" s="326">
        <v>168</v>
      </c>
      <c r="N59" s="326">
        <v>90</v>
      </c>
      <c r="O59" s="327">
        <f>946+155+51</f>
        <v>1152</v>
      </c>
      <c r="P59" s="328">
        <v>36</v>
      </c>
      <c r="Q59" s="328">
        <v>45</v>
      </c>
      <c r="R59" s="326">
        <v>9.84</v>
      </c>
      <c r="S59" s="326">
        <v>208</v>
      </c>
      <c r="T59" s="326">
        <v>55</v>
      </c>
      <c r="U59" s="326">
        <v>61</v>
      </c>
      <c r="V59" s="326">
        <v>950</v>
      </c>
      <c r="W59" s="326">
        <v>106</v>
      </c>
      <c r="X59" s="326">
        <v>53.75</v>
      </c>
      <c r="Y59" s="97">
        <v>44.26</v>
      </c>
      <c r="Z59" s="97">
        <v>30</v>
      </c>
      <c r="AA59" s="97">
        <v>52</v>
      </c>
      <c r="AB59" s="97">
        <v>2324.1999999999998</v>
      </c>
      <c r="AC59" s="97">
        <v>174.2</v>
      </c>
      <c r="AD59" s="97">
        <v>151.94999999999999</v>
      </c>
      <c r="AE59" s="97">
        <v>152.5</v>
      </c>
      <c r="AF59" s="326">
        <v>1606.5</v>
      </c>
      <c r="AG59" s="326">
        <v>27.5</v>
      </c>
      <c r="AH59" s="326">
        <v>44.32</v>
      </c>
      <c r="AI59" s="326">
        <v>42.33</v>
      </c>
      <c r="AJ59" s="326">
        <v>44.125</v>
      </c>
      <c r="AK59" s="326">
        <v>700</v>
      </c>
      <c r="AL59" s="326">
        <v>40</v>
      </c>
      <c r="AM59" s="326">
        <v>220</v>
      </c>
      <c r="AN59" s="326">
        <v>35</v>
      </c>
      <c r="AO59" s="355"/>
      <c r="AP59" s="254">
        <f t="shared" si="158"/>
        <v>33.5</v>
      </c>
      <c r="AQ59" s="221">
        <f t="shared" si="159"/>
        <v>43.676249999999996</v>
      </c>
      <c r="AR59" s="221">
        <f t="shared" si="160"/>
        <v>58</v>
      </c>
      <c r="AS59" s="221">
        <f t="shared" si="161"/>
        <v>182.64999999999998</v>
      </c>
      <c r="AT59" s="221">
        <f t="shared" si="162"/>
        <v>1010.6000000000001</v>
      </c>
      <c r="AU59" s="221"/>
      <c r="AV59" s="224"/>
      <c r="AW59" s="224"/>
      <c r="AX59" s="224"/>
      <c r="AY59" s="256"/>
      <c r="AZ59" s="221"/>
      <c r="BA59" s="254"/>
      <c r="BB59" s="254"/>
      <c r="BC59" s="106"/>
      <c r="BD59" s="106"/>
      <c r="BE59" s="106"/>
    </row>
    <row r="60" spans="1:57" ht="15">
      <c r="A60" s="25" t="s">
        <v>77</v>
      </c>
      <c r="B60" s="25"/>
      <c r="C60" s="26"/>
      <c r="D60" s="26"/>
      <c r="E60" s="26"/>
      <c r="F60" s="50"/>
      <c r="G60" s="51"/>
      <c r="H60" s="26"/>
      <c r="I60" s="69"/>
      <c r="J60" s="70"/>
      <c r="K60" s="26"/>
      <c r="L60" s="70"/>
      <c r="M60" s="324"/>
      <c r="N60" s="322"/>
      <c r="O60" s="325"/>
      <c r="P60" s="322"/>
      <c r="Q60" s="322"/>
      <c r="R60" s="324"/>
      <c r="S60" s="322"/>
      <c r="T60" s="322"/>
      <c r="U60" s="322"/>
      <c r="V60" s="324"/>
      <c r="W60" s="322"/>
      <c r="X60" s="322"/>
      <c r="Y60" s="82"/>
      <c r="Z60" s="82"/>
      <c r="AA60" s="82"/>
      <c r="AB60" s="84"/>
      <c r="AC60" s="82"/>
      <c r="AD60" s="82"/>
      <c r="AE60" s="82"/>
      <c r="AF60" s="324"/>
      <c r="AG60" s="322"/>
      <c r="AH60" s="322"/>
      <c r="AI60" s="322"/>
      <c r="AJ60" s="322"/>
      <c r="AK60" s="324"/>
      <c r="AL60" s="322"/>
      <c r="AM60" s="324"/>
      <c r="AN60" s="322"/>
      <c r="AO60" s="355"/>
      <c r="AP60" s="254" t="e">
        <f t="shared" si="158"/>
        <v>#NUM!</v>
      </c>
      <c r="AQ60" s="221" t="e">
        <f t="shared" si="159"/>
        <v>#NUM!</v>
      </c>
      <c r="AR60" s="221" t="e">
        <f t="shared" si="160"/>
        <v>#NUM!</v>
      </c>
      <c r="AS60" s="221" t="e">
        <f t="shared" si="161"/>
        <v>#NUM!</v>
      </c>
      <c r="AT60" s="221" t="e">
        <f t="shared" si="162"/>
        <v>#NUM!</v>
      </c>
      <c r="AU60" s="221"/>
      <c r="AV60" s="224"/>
      <c r="AW60" s="224"/>
      <c r="AX60" s="224"/>
      <c r="AY60" s="256"/>
      <c r="AZ60" s="221"/>
      <c r="BA60" s="254"/>
      <c r="BB60" s="254"/>
      <c r="BC60" s="106"/>
      <c r="BD60" s="106"/>
      <c r="BE60" s="106"/>
    </row>
    <row r="61" spans="1:57" ht="15">
      <c r="A61" s="23" t="s">
        <v>78</v>
      </c>
      <c r="B61" s="23"/>
      <c r="C61" s="23" t="s">
        <v>79</v>
      </c>
      <c r="D61" s="23" t="s">
        <v>59</v>
      </c>
      <c r="E61" s="23"/>
      <c r="F61" s="47"/>
      <c r="G61" s="23"/>
      <c r="H61" s="23"/>
      <c r="I61" s="23"/>
      <c r="J61" s="23"/>
      <c r="K61" s="23"/>
      <c r="L61" s="23"/>
      <c r="M61" s="329">
        <v>11670</v>
      </c>
      <c r="N61" s="329">
        <v>14218</v>
      </c>
      <c r="O61" s="329">
        <v>25547</v>
      </c>
      <c r="P61" s="323">
        <v>22660</v>
      </c>
      <c r="Q61" s="323">
        <v>22965</v>
      </c>
      <c r="R61" s="329">
        <v>819</v>
      </c>
      <c r="S61" s="329">
        <v>21437</v>
      </c>
      <c r="T61" s="329">
        <v>26763</v>
      </c>
      <c r="U61" s="329">
        <v>33144</v>
      </c>
      <c r="V61" s="329">
        <v>39475</v>
      </c>
      <c r="W61" s="329">
        <v>45828</v>
      </c>
      <c r="X61" s="329">
        <v>46641</v>
      </c>
      <c r="Y61" s="98">
        <v>49483</v>
      </c>
      <c r="Z61" s="98">
        <v>52381</v>
      </c>
      <c r="AA61" s="98">
        <v>55986</v>
      </c>
      <c r="AB61" s="98">
        <v>300684</v>
      </c>
      <c r="AC61" s="98">
        <v>303765</v>
      </c>
      <c r="AD61" s="98">
        <v>324589</v>
      </c>
      <c r="AE61" s="98">
        <v>331484</v>
      </c>
      <c r="AF61" s="329">
        <v>44888</v>
      </c>
      <c r="AG61" s="329">
        <f>3392+44871-27500</f>
        <v>20763</v>
      </c>
      <c r="AH61" s="329">
        <f>3437+46239-27816</f>
        <v>21860</v>
      </c>
      <c r="AI61" s="329">
        <f>3569+48521-28058</f>
        <v>24032</v>
      </c>
      <c r="AJ61" s="329">
        <f>3643+43574-28079</f>
        <v>19138</v>
      </c>
      <c r="AK61" s="329">
        <v>368268</v>
      </c>
      <c r="AL61" s="329">
        <v>187453</v>
      </c>
      <c r="AM61" s="329">
        <v>21462</v>
      </c>
      <c r="AN61" s="329">
        <v>22878</v>
      </c>
      <c r="AO61" s="355"/>
      <c r="AP61" s="254">
        <f t="shared" si="158"/>
        <v>17662</v>
      </c>
      <c r="AQ61" s="221">
        <f t="shared" si="159"/>
        <v>21760.5</v>
      </c>
      <c r="AR61" s="221">
        <f t="shared" si="160"/>
        <v>29953.5</v>
      </c>
      <c r="AS61" s="221">
        <f t="shared" si="161"/>
        <v>53282.25</v>
      </c>
      <c r="AT61" s="221">
        <f t="shared" si="162"/>
        <v>310012.2</v>
      </c>
      <c r="AU61" s="221"/>
      <c r="AV61" s="224"/>
      <c r="AW61" s="224"/>
      <c r="AX61" s="224"/>
      <c r="AY61" s="256"/>
      <c r="AZ61" s="221"/>
      <c r="BA61" s="254"/>
      <c r="BB61" s="254"/>
      <c r="BC61" s="106"/>
      <c r="BD61" s="106"/>
      <c r="BE61" s="106"/>
    </row>
    <row r="62" spans="1:57" ht="15">
      <c r="A62" s="23" t="s">
        <v>81</v>
      </c>
      <c r="B62" s="23"/>
      <c r="C62" s="23" t="s">
        <v>79</v>
      </c>
      <c r="D62" s="23" t="s">
        <v>61</v>
      </c>
      <c r="E62" s="23"/>
      <c r="F62" s="47"/>
      <c r="G62" s="23"/>
      <c r="H62" s="23"/>
      <c r="I62" s="23"/>
      <c r="J62" s="23"/>
      <c r="K62" s="23"/>
      <c r="L62" s="23"/>
      <c r="M62" s="329">
        <v>2836</v>
      </c>
      <c r="N62" s="329">
        <v>2548</v>
      </c>
      <c r="O62" s="329">
        <v>25547</v>
      </c>
      <c r="P62" s="329">
        <v>2887</v>
      </c>
      <c r="Q62" s="329">
        <v>305</v>
      </c>
      <c r="R62" s="329">
        <v>819</v>
      </c>
      <c r="S62" s="329">
        <v>20618</v>
      </c>
      <c r="T62" s="329">
        <v>5326</v>
      </c>
      <c r="U62" s="329">
        <v>27782</v>
      </c>
      <c r="V62" s="329">
        <v>39475</v>
      </c>
      <c r="W62" s="329">
        <v>6353</v>
      </c>
      <c r="X62" s="329">
        <v>813</v>
      </c>
      <c r="Y62" s="98">
        <v>2842</v>
      </c>
      <c r="Z62" s="98">
        <v>2898</v>
      </c>
      <c r="AA62" s="98">
        <v>3605</v>
      </c>
      <c r="AB62" s="98">
        <v>300684</v>
      </c>
      <c r="AC62" s="98">
        <v>3081</v>
      </c>
      <c r="AD62" s="98">
        <v>20826</v>
      </c>
      <c r="AE62" s="98">
        <v>6895</v>
      </c>
      <c r="AF62" s="329">
        <v>44888</v>
      </c>
      <c r="AG62" s="329">
        <v>1576</v>
      </c>
      <c r="AH62" s="329">
        <v>4186</v>
      </c>
      <c r="AI62" s="329">
        <f>AI61-AH61</f>
        <v>2172</v>
      </c>
      <c r="AJ62" s="329">
        <f>AJ61-AI61</f>
        <v>-4894</v>
      </c>
      <c r="AK62" s="329">
        <v>368268</v>
      </c>
      <c r="AL62" s="329">
        <v>3319</v>
      </c>
      <c r="AM62" s="329">
        <v>21462</v>
      </c>
      <c r="AN62" s="329">
        <v>1416</v>
      </c>
      <c r="AO62" s="355"/>
      <c r="AP62" s="254">
        <f t="shared" si="158"/>
        <v>817.2</v>
      </c>
      <c r="AQ62" s="221">
        <f t="shared" si="159"/>
        <v>2454</v>
      </c>
      <c r="AR62" s="221">
        <f t="shared" si="160"/>
        <v>3462</v>
      </c>
      <c r="AS62" s="221">
        <f t="shared" si="161"/>
        <v>20985</v>
      </c>
      <c r="AT62" s="221">
        <f t="shared" si="162"/>
        <v>41098.9</v>
      </c>
      <c r="AU62" s="221"/>
      <c r="AV62" s="224"/>
      <c r="AW62" s="224"/>
      <c r="AX62" s="224"/>
      <c r="AY62" s="256"/>
      <c r="AZ62" s="221"/>
      <c r="BA62" s="254"/>
      <c r="BB62" s="254"/>
      <c r="BC62" s="106"/>
      <c r="BD62" s="106"/>
      <c r="BE62" s="106"/>
    </row>
    <row r="63" spans="1:57" ht="15">
      <c r="A63" s="23" t="s">
        <v>82</v>
      </c>
      <c r="B63" s="23"/>
      <c r="C63" s="23"/>
      <c r="D63" s="23" t="s">
        <v>59</v>
      </c>
      <c r="E63" s="23"/>
      <c r="F63" s="47"/>
      <c r="G63" s="23"/>
      <c r="H63" s="23"/>
      <c r="I63" s="23"/>
      <c r="J63" s="23"/>
      <c r="K63" s="23"/>
      <c r="L63" s="23"/>
      <c r="M63" s="329">
        <v>8998</v>
      </c>
      <c r="N63" s="329">
        <v>10517</v>
      </c>
      <c r="O63" s="329">
        <v>44805</v>
      </c>
      <c r="P63" s="329">
        <v>45654</v>
      </c>
      <c r="Q63" s="329">
        <v>50504</v>
      </c>
      <c r="R63" s="329">
        <v>0</v>
      </c>
      <c r="S63" s="329">
        <v>0</v>
      </c>
      <c r="T63" s="329">
        <v>0</v>
      </c>
      <c r="U63" s="329">
        <v>0</v>
      </c>
      <c r="V63" s="329">
        <v>0</v>
      </c>
      <c r="W63" s="329">
        <v>0</v>
      </c>
      <c r="X63" s="329">
        <v>0</v>
      </c>
      <c r="Y63" s="98">
        <v>0</v>
      </c>
      <c r="Z63" s="98">
        <v>0</v>
      </c>
      <c r="AA63" s="98">
        <v>0</v>
      </c>
      <c r="AB63" s="98">
        <v>0</v>
      </c>
      <c r="AC63" s="98">
        <v>0</v>
      </c>
      <c r="AD63" s="98">
        <v>0</v>
      </c>
      <c r="AE63" s="98">
        <v>0</v>
      </c>
      <c r="AF63" s="329">
        <v>12122</v>
      </c>
      <c r="AG63" s="329">
        <v>8108</v>
      </c>
      <c r="AH63" s="329">
        <v>9070</v>
      </c>
      <c r="AI63" s="329">
        <v>12098</v>
      </c>
      <c r="AJ63" s="329">
        <v>12340</v>
      </c>
      <c r="AK63" s="329">
        <v>69595</v>
      </c>
      <c r="AL63" s="329">
        <v>146444</v>
      </c>
      <c r="AM63" s="329">
        <v>6444</v>
      </c>
      <c r="AN63" s="329">
        <v>6611</v>
      </c>
      <c r="AO63" s="355"/>
      <c r="AP63" s="254">
        <f t="shared" si="158"/>
        <v>0</v>
      </c>
      <c r="AQ63" s="221">
        <f t="shared" si="159"/>
        <v>0</v>
      </c>
      <c r="AR63" s="221">
        <f t="shared" si="160"/>
        <v>3222</v>
      </c>
      <c r="AS63" s="221">
        <f t="shared" si="161"/>
        <v>12104</v>
      </c>
      <c r="AT63" s="221">
        <f t="shared" si="162"/>
        <v>47109</v>
      </c>
      <c r="AU63" s="221"/>
      <c r="AV63" s="224"/>
      <c r="AW63" s="224"/>
      <c r="AX63" s="224"/>
      <c r="AY63" s="256"/>
      <c r="AZ63" s="221"/>
      <c r="BA63" s="254"/>
      <c r="BB63" s="254"/>
      <c r="BC63" s="106"/>
      <c r="BD63" s="106"/>
      <c r="BE63" s="106"/>
    </row>
    <row r="64" spans="1:57" ht="15">
      <c r="A64" s="43" t="s">
        <v>83</v>
      </c>
      <c r="B64" s="43"/>
      <c r="C64" s="43"/>
      <c r="D64" s="43" t="s">
        <v>61</v>
      </c>
      <c r="E64" s="23"/>
      <c r="F64" s="47"/>
      <c r="G64" s="23"/>
      <c r="H64" s="23"/>
      <c r="I64" s="23"/>
      <c r="J64" s="23"/>
      <c r="K64" s="23"/>
      <c r="L64" s="23"/>
      <c r="M64" s="329">
        <v>1636</v>
      </c>
      <c r="N64" s="329">
        <v>1519</v>
      </c>
      <c r="O64" s="329">
        <v>44805</v>
      </c>
      <c r="P64" s="329">
        <v>849</v>
      </c>
      <c r="Q64" s="329">
        <v>4850</v>
      </c>
      <c r="R64" s="329">
        <v>0</v>
      </c>
      <c r="S64" s="329">
        <v>0</v>
      </c>
      <c r="T64" s="329">
        <v>0</v>
      </c>
      <c r="U64" s="329">
        <v>0</v>
      </c>
      <c r="V64" s="329">
        <v>0</v>
      </c>
      <c r="W64" s="329">
        <v>0</v>
      </c>
      <c r="X64" s="329">
        <v>0</v>
      </c>
      <c r="Y64" s="98">
        <v>0</v>
      </c>
      <c r="Z64" s="98">
        <v>0</v>
      </c>
      <c r="AA64" s="98">
        <v>0</v>
      </c>
      <c r="AB64" s="98">
        <v>0</v>
      </c>
      <c r="AC64" s="98">
        <v>0</v>
      </c>
      <c r="AD64" s="98">
        <v>0</v>
      </c>
      <c r="AE64" s="98">
        <v>0</v>
      </c>
      <c r="AF64" s="329">
        <v>12122</v>
      </c>
      <c r="AG64" s="381">
        <v>363</v>
      </c>
      <c r="AH64" s="329">
        <f>AH63-AG63</f>
        <v>962</v>
      </c>
      <c r="AI64" s="329">
        <f>AI63-AH63</f>
        <v>3028</v>
      </c>
      <c r="AJ64" s="329">
        <f>AJ63-AI63</f>
        <v>242</v>
      </c>
      <c r="AK64" s="329">
        <v>69595</v>
      </c>
      <c r="AL64" s="329">
        <v>76849</v>
      </c>
      <c r="AM64" s="329">
        <v>6444</v>
      </c>
      <c r="AN64" s="329">
        <v>167</v>
      </c>
      <c r="AO64" s="355"/>
      <c r="AP64" s="254">
        <f t="shared" si="158"/>
        <v>0</v>
      </c>
      <c r="AQ64" s="221">
        <f t="shared" si="159"/>
        <v>0</v>
      </c>
      <c r="AR64" s="221">
        <f t="shared" si="160"/>
        <v>83.5</v>
      </c>
      <c r="AS64" s="221">
        <f t="shared" si="161"/>
        <v>1984</v>
      </c>
      <c r="AT64" s="221">
        <f t="shared" si="162"/>
        <v>21926.900000000023</v>
      </c>
      <c r="AU64" s="221"/>
      <c r="AV64" s="224"/>
      <c r="AW64" s="224"/>
      <c r="AX64" s="224"/>
      <c r="AY64" s="256"/>
      <c r="AZ64" s="221"/>
      <c r="BA64" s="254"/>
      <c r="BB64" s="254"/>
      <c r="BC64" s="106"/>
      <c r="BD64" s="106"/>
      <c r="BE64" s="106"/>
    </row>
    <row r="65" spans="1:57" ht="15">
      <c r="A65" s="319" t="s">
        <v>243</v>
      </c>
      <c r="B65" s="43"/>
      <c r="C65" s="43"/>
      <c r="D65" s="43"/>
      <c r="E65" s="23"/>
      <c r="F65" s="47"/>
      <c r="G65" s="23"/>
      <c r="H65" s="23"/>
      <c r="I65" s="23"/>
      <c r="J65" s="23"/>
      <c r="K65" s="23"/>
      <c r="L65" s="23"/>
      <c r="M65" s="330"/>
      <c r="N65" s="330"/>
      <c r="O65" s="330"/>
      <c r="P65" s="330"/>
      <c r="Q65" s="330"/>
      <c r="R65" s="330"/>
      <c r="S65" s="330"/>
      <c r="T65" s="330"/>
      <c r="U65" s="330">
        <v>3.1E-2</v>
      </c>
      <c r="V65" s="330"/>
      <c r="W65" s="330"/>
      <c r="X65" s="330"/>
      <c r="Y65" s="86"/>
      <c r="Z65" s="86"/>
      <c r="AA65" s="86"/>
      <c r="AB65" s="86"/>
      <c r="AC65" s="86"/>
      <c r="AD65" s="86"/>
      <c r="AE65" s="86"/>
      <c r="AF65" s="330"/>
      <c r="AG65" s="330"/>
      <c r="AH65" s="330"/>
      <c r="AI65" s="330"/>
      <c r="AJ65" s="330">
        <v>6.9000000000000006E-2</v>
      </c>
      <c r="AK65" s="330"/>
      <c r="AL65" s="330"/>
      <c r="AM65" s="330"/>
      <c r="AN65" s="330"/>
      <c r="AO65" s="355"/>
      <c r="AP65" s="254"/>
      <c r="AQ65" s="221"/>
      <c r="AR65" s="221"/>
      <c r="AS65" s="221"/>
      <c r="AT65" s="221"/>
      <c r="AU65" s="221"/>
      <c r="AV65" s="224"/>
      <c r="AW65" s="224"/>
      <c r="AX65" s="224"/>
      <c r="AY65" s="256"/>
      <c r="AZ65" s="221"/>
      <c r="BA65" s="254"/>
      <c r="BB65" s="254"/>
      <c r="BC65" s="106"/>
      <c r="BD65" s="106"/>
      <c r="BE65" s="106"/>
    </row>
    <row r="66" spans="1:57" ht="15">
      <c r="A66" s="38" t="s">
        <v>98</v>
      </c>
      <c r="B66" s="38"/>
      <c r="C66" s="23"/>
      <c r="D66" s="23"/>
      <c r="E66" s="23"/>
      <c r="F66" s="47"/>
      <c r="G66" s="23"/>
      <c r="H66" s="23"/>
      <c r="I66" s="23"/>
      <c r="J66" s="23"/>
      <c r="K66" s="23"/>
      <c r="L66" s="23"/>
      <c r="M66" s="322"/>
      <c r="N66" s="322"/>
      <c r="O66" s="322"/>
      <c r="P66" s="322"/>
      <c r="Q66" s="322"/>
      <c r="R66" s="322"/>
      <c r="S66" s="322"/>
      <c r="T66" s="322"/>
      <c r="U66" s="322"/>
      <c r="V66" s="322"/>
      <c r="W66" s="322"/>
      <c r="X66" s="322"/>
      <c r="Y66" s="82"/>
      <c r="Z66" s="82"/>
      <c r="AA66" s="82"/>
      <c r="AB66" s="82"/>
      <c r="AC66" s="82"/>
      <c r="AD66" s="82"/>
      <c r="AE66" s="82"/>
      <c r="AF66" s="322"/>
      <c r="AG66" s="322"/>
      <c r="AH66" s="322"/>
      <c r="AI66" s="322"/>
      <c r="AJ66" s="322"/>
      <c r="AK66" s="322"/>
      <c r="AL66" s="322"/>
      <c r="AM66" s="322"/>
      <c r="AN66" s="322"/>
      <c r="AO66" s="355"/>
      <c r="AP66" s="254" t="e">
        <f t="shared" ref="AP66:AP73" si="163">PERCENTILE($M66:$AO66,0.1)</f>
        <v>#NUM!</v>
      </c>
      <c r="AQ66" s="221" t="e">
        <f t="shared" ref="AQ66:AQ73" si="164">PERCENTILE($M66:$AO66,0.25)</f>
        <v>#NUM!</v>
      </c>
      <c r="AR66" s="221" t="e">
        <f t="shared" ref="AR66:AR73" si="165">PERCENTILE($M66:$AO66,0.5)</f>
        <v>#NUM!</v>
      </c>
      <c r="AS66" s="221" t="e">
        <f t="shared" ref="AS66:AS73" si="166">PERCENTILE($M66:$AO66,0.75)</f>
        <v>#NUM!</v>
      </c>
      <c r="AT66" s="221" t="e">
        <f t="shared" ref="AT66:AT73" si="167">PERCENTILE($M66:$AO66,0.9)</f>
        <v>#NUM!</v>
      </c>
      <c r="AU66" s="221"/>
      <c r="AV66" s="224"/>
      <c r="AW66" s="224"/>
      <c r="AX66" s="224"/>
      <c r="AY66" s="256"/>
      <c r="AZ66" s="221"/>
      <c r="BA66" s="254"/>
      <c r="BB66" s="254"/>
      <c r="BC66" s="106"/>
      <c r="BD66" s="106"/>
      <c r="BE66" s="106"/>
    </row>
    <row r="67" spans="1:57" ht="15">
      <c r="A67" s="23" t="s">
        <v>99</v>
      </c>
      <c r="B67" s="23"/>
      <c r="C67" s="23" t="s">
        <v>100</v>
      </c>
      <c r="D67" s="23" t="s">
        <v>61</v>
      </c>
      <c r="E67" s="23"/>
      <c r="F67" s="47"/>
      <c r="G67" s="23"/>
      <c r="H67" s="23"/>
      <c r="I67" s="23"/>
      <c r="J67" s="23"/>
      <c r="K67" s="23"/>
      <c r="L67" s="23"/>
      <c r="M67" s="331">
        <v>111</v>
      </c>
      <c r="N67" s="331">
        <v>96</v>
      </c>
      <c r="O67" s="331">
        <v>730</v>
      </c>
      <c r="P67" s="328">
        <v>80</v>
      </c>
      <c r="Q67" s="328">
        <v>95</v>
      </c>
      <c r="R67" s="331">
        <v>0</v>
      </c>
      <c r="S67" s="331">
        <v>202</v>
      </c>
      <c r="T67" s="331">
        <v>183</v>
      </c>
      <c r="U67" s="331">
        <v>96</v>
      </c>
      <c r="V67" s="331">
        <v>130</v>
      </c>
      <c r="W67" s="331">
        <v>90</v>
      </c>
      <c r="X67" s="331">
        <v>0</v>
      </c>
      <c r="Y67" s="99">
        <v>0</v>
      </c>
      <c r="Z67" s="99">
        <v>4</v>
      </c>
      <c r="AA67" s="99">
        <v>0</v>
      </c>
      <c r="AB67" s="99">
        <v>229</v>
      </c>
      <c r="AC67" s="99">
        <v>102</v>
      </c>
      <c r="AD67" s="99">
        <v>538</v>
      </c>
      <c r="AE67" s="99">
        <v>587</v>
      </c>
      <c r="AF67" s="331">
        <v>1012</v>
      </c>
      <c r="AG67" s="331">
        <v>142</v>
      </c>
      <c r="AH67" s="331">
        <v>194</v>
      </c>
      <c r="AI67" s="331">
        <v>298</v>
      </c>
      <c r="AJ67" s="331">
        <v>172</v>
      </c>
      <c r="AK67" s="331">
        <v>1945</v>
      </c>
      <c r="AL67" s="331">
        <v>562</v>
      </c>
      <c r="AM67" s="331">
        <v>245</v>
      </c>
      <c r="AN67" s="331">
        <v>42</v>
      </c>
      <c r="AO67" s="355"/>
      <c r="AP67" s="254">
        <f t="shared" si="163"/>
        <v>0</v>
      </c>
      <c r="AQ67" s="221">
        <f t="shared" si="164"/>
        <v>87.5</v>
      </c>
      <c r="AR67" s="221">
        <f t="shared" si="165"/>
        <v>136</v>
      </c>
      <c r="AS67" s="221">
        <f t="shared" si="166"/>
        <v>258.25</v>
      </c>
      <c r="AT67" s="221">
        <f t="shared" si="167"/>
        <v>629.90000000000009</v>
      </c>
      <c r="AU67" s="221"/>
      <c r="AV67" s="224"/>
      <c r="AW67" s="224"/>
      <c r="AX67" s="224"/>
      <c r="AY67" s="256"/>
      <c r="AZ67" s="221"/>
      <c r="BA67" s="254"/>
      <c r="BB67" s="254"/>
      <c r="BC67" s="106"/>
      <c r="BD67" s="106"/>
      <c r="BE67" s="106"/>
    </row>
    <row r="68" spans="1:57" ht="15">
      <c r="A68" s="23" t="s">
        <v>101</v>
      </c>
      <c r="B68" s="23"/>
      <c r="C68" s="23" t="s">
        <v>102</v>
      </c>
      <c r="D68" s="23" t="s">
        <v>61</v>
      </c>
      <c r="E68" s="23"/>
      <c r="F68" s="47"/>
      <c r="G68" s="23"/>
      <c r="H68" s="23"/>
      <c r="I68" s="23"/>
      <c r="J68" s="23"/>
      <c r="K68" s="23"/>
      <c r="L68" s="23"/>
      <c r="M68" s="331">
        <v>12</v>
      </c>
      <c r="N68" s="331">
        <v>10</v>
      </c>
      <c r="O68" s="331">
        <v>51</v>
      </c>
      <c r="P68" s="323">
        <v>4</v>
      </c>
      <c r="Q68" s="323">
        <v>4</v>
      </c>
      <c r="R68" s="331">
        <v>0</v>
      </c>
      <c r="S68" s="331">
        <v>3</v>
      </c>
      <c r="T68" s="331">
        <v>5</v>
      </c>
      <c r="U68" s="331">
        <v>4</v>
      </c>
      <c r="V68" s="331">
        <v>30</v>
      </c>
      <c r="W68" s="331">
        <v>9</v>
      </c>
      <c r="X68" s="331">
        <v>0</v>
      </c>
      <c r="Y68" s="99">
        <v>0</v>
      </c>
      <c r="Z68" s="99">
        <v>5</v>
      </c>
      <c r="AA68" s="99">
        <v>0</v>
      </c>
      <c r="AB68" s="99">
        <v>35</v>
      </c>
      <c r="AC68" s="99">
        <v>9</v>
      </c>
      <c r="AD68" s="99">
        <v>12</v>
      </c>
      <c r="AE68" s="99">
        <v>12</v>
      </c>
      <c r="AF68" s="331">
        <v>270</v>
      </c>
      <c r="AG68" s="331">
        <v>6</v>
      </c>
      <c r="AH68" s="331">
        <v>6</v>
      </c>
      <c r="AI68" s="331">
        <v>4.375</v>
      </c>
      <c r="AJ68" s="331">
        <v>6.875</v>
      </c>
      <c r="AK68" s="331">
        <v>30</v>
      </c>
      <c r="AL68" s="331">
        <v>10</v>
      </c>
      <c r="AM68" s="331">
        <v>27</v>
      </c>
      <c r="AN68" s="331">
        <v>5</v>
      </c>
      <c r="AO68" s="355"/>
      <c r="AP68" s="254">
        <f t="shared" si="163"/>
        <v>0</v>
      </c>
      <c r="AQ68" s="221">
        <f t="shared" si="164"/>
        <v>4</v>
      </c>
      <c r="AR68" s="221">
        <f t="shared" si="165"/>
        <v>6.4375</v>
      </c>
      <c r="AS68" s="221">
        <f t="shared" si="166"/>
        <v>12</v>
      </c>
      <c r="AT68" s="221">
        <f t="shared" si="167"/>
        <v>31.500000000000004</v>
      </c>
      <c r="AU68" s="221"/>
      <c r="AV68" s="224"/>
      <c r="AW68" s="224"/>
      <c r="AX68" s="224"/>
      <c r="AY68" s="256"/>
      <c r="AZ68" s="221"/>
      <c r="BA68" s="254"/>
      <c r="BB68" s="254"/>
      <c r="BC68" s="106"/>
      <c r="BD68" s="106"/>
      <c r="BE68" s="106"/>
    </row>
    <row r="69" spans="1:57" ht="15">
      <c r="A69" s="38" t="s">
        <v>105</v>
      </c>
      <c r="B69" s="38"/>
      <c r="C69" s="23"/>
      <c r="D69" s="23"/>
      <c r="E69" s="23"/>
      <c r="F69" s="47"/>
      <c r="G69" s="23"/>
      <c r="H69" s="23"/>
      <c r="I69" s="23"/>
      <c r="J69" s="23"/>
      <c r="K69" s="23"/>
      <c r="L69" s="23"/>
      <c r="M69" s="322"/>
      <c r="N69" s="322"/>
      <c r="O69" s="322"/>
      <c r="P69" s="322"/>
      <c r="Q69" s="322"/>
      <c r="R69" s="322"/>
      <c r="S69" s="322"/>
      <c r="T69" s="322"/>
      <c r="U69" s="322"/>
      <c r="V69" s="322"/>
      <c r="W69" s="322"/>
      <c r="X69" s="322"/>
      <c r="Y69" s="82"/>
      <c r="Z69" s="82"/>
      <c r="AA69" s="82"/>
      <c r="AB69" s="82"/>
      <c r="AC69" s="82"/>
      <c r="AD69" s="82"/>
      <c r="AE69" s="82"/>
      <c r="AF69" s="322"/>
      <c r="AG69" s="322"/>
      <c r="AH69" s="322"/>
      <c r="AI69" s="322"/>
      <c r="AJ69" s="322"/>
      <c r="AK69" s="322"/>
      <c r="AL69" s="322"/>
      <c r="AM69" s="322"/>
      <c r="AN69" s="322"/>
      <c r="AO69" s="355"/>
      <c r="AP69" s="254" t="e">
        <f t="shared" si="163"/>
        <v>#NUM!</v>
      </c>
      <c r="AQ69" s="221" t="e">
        <f t="shared" si="164"/>
        <v>#NUM!</v>
      </c>
      <c r="AR69" s="221" t="e">
        <f t="shared" si="165"/>
        <v>#NUM!</v>
      </c>
      <c r="AS69" s="221" t="e">
        <f t="shared" si="166"/>
        <v>#NUM!</v>
      </c>
      <c r="AT69" s="221" t="e">
        <f t="shared" si="167"/>
        <v>#NUM!</v>
      </c>
      <c r="AU69" s="221"/>
      <c r="AV69" s="224"/>
      <c r="AW69" s="224"/>
      <c r="AX69" s="224"/>
      <c r="AY69" s="256"/>
      <c r="AZ69" s="221"/>
      <c r="BA69" s="254"/>
      <c r="BB69" s="254"/>
      <c r="BC69" s="106"/>
      <c r="BD69" s="106"/>
      <c r="BE69" s="106"/>
    </row>
    <row r="70" spans="1:57" ht="15">
      <c r="A70" s="23" t="s">
        <v>106</v>
      </c>
      <c r="B70" s="23"/>
      <c r="C70" s="23" t="s">
        <v>107</v>
      </c>
      <c r="D70" s="23" t="s">
        <v>61</v>
      </c>
      <c r="E70" s="23"/>
      <c r="F70" s="47"/>
      <c r="G70" s="23"/>
      <c r="H70" s="23"/>
      <c r="I70" s="23"/>
      <c r="J70" s="23"/>
      <c r="K70" s="23"/>
      <c r="L70" s="23"/>
      <c r="M70" s="331">
        <v>0</v>
      </c>
      <c r="N70" s="331">
        <v>0</v>
      </c>
      <c r="O70" s="331">
        <v>44</v>
      </c>
      <c r="P70" s="328">
        <v>10</v>
      </c>
      <c r="Q70" s="328">
        <v>20</v>
      </c>
      <c r="R70" s="331">
        <v>56</v>
      </c>
      <c r="S70" s="331">
        <v>1433</v>
      </c>
      <c r="T70" s="331">
        <v>358</v>
      </c>
      <c r="U70" s="331">
        <v>806</v>
      </c>
      <c r="V70" s="331">
        <v>1216</v>
      </c>
      <c r="W70" s="331">
        <v>275</v>
      </c>
      <c r="X70" s="331">
        <v>182</v>
      </c>
      <c r="Y70" s="99">
        <v>64</v>
      </c>
      <c r="Z70" s="99">
        <v>348</v>
      </c>
      <c r="AA70" s="99">
        <v>115</v>
      </c>
      <c r="AB70" s="99">
        <v>1783</v>
      </c>
      <c r="AC70" s="99">
        <v>480</v>
      </c>
      <c r="AD70" s="99">
        <v>1760</v>
      </c>
      <c r="AE70" s="99">
        <v>1718</v>
      </c>
      <c r="AF70" s="331">
        <v>0</v>
      </c>
      <c r="AG70" s="331">
        <v>0</v>
      </c>
      <c r="AH70" s="331">
        <v>0</v>
      </c>
      <c r="AI70" s="331">
        <v>0</v>
      </c>
      <c r="AJ70" s="331">
        <v>0</v>
      </c>
      <c r="AK70" s="331">
        <v>0</v>
      </c>
      <c r="AL70" s="331">
        <v>0</v>
      </c>
      <c r="AM70" s="331">
        <v>45</v>
      </c>
      <c r="AN70" s="331">
        <v>0</v>
      </c>
      <c r="AO70" s="355"/>
      <c r="AP70" s="254">
        <f t="shared" si="163"/>
        <v>0</v>
      </c>
      <c r="AQ70" s="221">
        <f t="shared" si="164"/>
        <v>0</v>
      </c>
      <c r="AR70" s="221">
        <f t="shared" si="165"/>
        <v>50.5</v>
      </c>
      <c r="AS70" s="221">
        <f t="shared" si="166"/>
        <v>388.5</v>
      </c>
      <c r="AT70" s="221">
        <f t="shared" si="167"/>
        <v>1518.5000000000002</v>
      </c>
      <c r="AU70" s="221"/>
      <c r="AV70" s="224"/>
      <c r="AW70" s="224"/>
      <c r="AX70" s="224"/>
      <c r="AY70" s="256"/>
      <c r="AZ70" s="221"/>
      <c r="BA70" s="254"/>
      <c r="BB70" s="254"/>
      <c r="BC70" s="106"/>
      <c r="BD70" s="106"/>
      <c r="BE70" s="106"/>
    </row>
    <row r="71" spans="1:57" ht="15">
      <c r="A71" s="23" t="s">
        <v>108</v>
      </c>
      <c r="B71" s="23"/>
      <c r="C71" s="23" t="s">
        <v>109</v>
      </c>
      <c r="D71" s="23" t="s">
        <v>61</v>
      </c>
      <c r="E71" s="23"/>
      <c r="F71" s="47"/>
      <c r="G71" s="23"/>
      <c r="H71" s="23"/>
      <c r="I71" s="23"/>
      <c r="J71" s="23"/>
      <c r="K71" s="23"/>
      <c r="L71" s="23"/>
      <c r="M71" s="331">
        <v>0</v>
      </c>
      <c r="N71" s="331">
        <v>0</v>
      </c>
      <c r="O71" s="331">
        <v>5</v>
      </c>
      <c r="P71" s="323">
        <v>1</v>
      </c>
      <c r="Q71" s="323">
        <v>1</v>
      </c>
      <c r="R71" s="331">
        <v>2</v>
      </c>
      <c r="S71" s="331">
        <v>15</v>
      </c>
      <c r="T71" s="331">
        <v>7</v>
      </c>
      <c r="U71" s="331">
        <v>5</v>
      </c>
      <c r="V71" s="331">
        <v>60</v>
      </c>
      <c r="W71" s="331">
        <v>8</v>
      </c>
      <c r="X71" s="331">
        <v>12.5</v>
      </c>
      <c r="Y71" s="99">
        <v>12</v>
      </c>
      <c r="Z71" s="99">
        <v>20</v>
      </c>
      <c r="AA71" s="99">
        <v>17</v>
      </c>
      <c r="AB71" s="99">
        <v>46</v>
      </c>
      <c r="AC71" s="99">
        <v>3</v>
      </c>
      <c r="AD71" s="99">
        <v>7</v>
      </c>
      <c r="AE71" s="99">
        <v>7.5</v>
      </c>
      <c r="AF71" s="331">
        <v>0</v>
      </c>
      <c r="AG71" s="331">
        <v>0</v>
      </c>
      <c r="AH71" s="331">
        <v>0</v>
      </c>
      <c r="AI71" s="331">
        <v>0</v>
      </c>
      <c r="AJ71" s="331">
        <v>0</v>
      </c>
      <c r="AK71" s="331">
        <v>0</v>
      </c>
      <c r="AL71" s="331">
        <v>0</v>
      </c>
      <c r="AM71" s="331">
        <v>3</v>
      </c>
      <c r="AN71" s="331">
        <v>0</v>
      </c>
      <c r="AO71" s="355"/>
      <c r="AP71" s="254">
        <f t="shared" si="163"/>
        <v>0</v>
      </c>
      <c r="AQ71" s="221">
        <f t="shared" si="164"/>
        <v>0</v>
      </c>
      <c r="AR71" s="221">
        <f t="shared" si="165"/>
        <v>3</v>
      </c>
      <c r="AS71" s="221">
        <f t="shared" si="166"/>
        <v>9</v>
      </c>
      <c r="AT71" s="221">
        <f t="shared" si="167"/>
        <v>17.900000000000002</v>
      </c>
      <c r="AU71" s="221"/>
      <c r="AV71" s="224"/>
      <c r="AW71" s="224"/>
      <c r="AX71" s="224"/>
      <c r="AY71" s="256"/>
      <c r="AZ71" s="221"/>
      <c r="BA71" s="254"/>
      <c r="BB71" s="254"/>
      <c r="BC71" s="106"/>
      <c r="BD71" s="106"/>
      <c r="BE71" s="106"/>
    </row>
    <row r="72" spans="1:57" ht="15">
      <c r="A72" s="25" t="s">
        <v>112</v>
      </c>
      <c r="B72" s="25"/>
      <c r="C72" s="26"/>
      <c r="D72" s="26"/>
      <c r="E72" s="26"/>
      <c r="F72" s="50"/>
      <c r="G72" s="51"/>
      <c r="H72" s="26"/>
      <c r="I72" s="69"/>
      <c r="J72" s="70"/>
      <c r="K72" s="26"/>
      <c r="L72" s="26"/>
      <c r="M72" s="332"/>
      <c r="N72" s="331"/>
      <c r="O72" s="331"/>
      <c r="P72" s="331"/>
      <c r="Q72" s="331"/>
      <c r="R72" s="332"/>
      <c r="S72" s="331"/>
      <c r="T72" s="331"/>
      <c r="U72" s="331"/>
      <c r="V72" s="332"/>
      <c r="W72" s="331"/>
      <c r="X72" s="331"/>
      <c r="Y72" s="99"/>
      <c r="Z72" s="99"/>
      <c r="AA72" s="99"/>
      <c r="AB72" s="100"/>
      <c r="AC72" s="99"/>
      <c r="AD72" s="99"/>
      <c r="AE72" s="99"/>
      <c r="AF72" s="100"/>
      <c r="AG72" s="99"/>
      <c r="AH72" s="99"/>
      <c r="AI72" s="99"/>
      <c r="AJ72" s="99"/>
      <c r="AK72" s="100"/>
      <c r="AL72" s="99"/>
      <c r="AM72" s="100"/>
      <c r="AN72" s="99"/>
      <c r="AO72" s="215"/>
      <c r="AP72" s="254" t="e">
        <f t="shared" si="163"/>
        <v>#NUM!</v>
      </c>
      <c r="AQ72" s="221" t="e">
        <f t="shared" si="164"/>
        <v>#NUM!</v>
      </c>
      <c r="AR72" s="221" t="e">
        <f t="shared" si="165"/>
        <v>#NUM!</v>
      </c>
      <c r="AS72" s="221" t="e">
        <f t="shared" si="166"/>
        <v>#NUM!</v>
      </c>
      <c r="AT72" s="221" t="e">
        <f t="shared" si="167"/>
        <v>#NUM!</v>
      </c>
      <c r="AU72" s="221"/>
      <c r="AV72" s="224"/>
      <c r="AW72" s="224"/>
      <c r="AX72" s="224"/>
      <c r="AY72" s="256"/>
      <c r="AZ72" s="221"/>
      <c r="BA72" s="254"/>
      <c r="BB72" s="254"/>
      <c r="BC72" s="106"/>
      <c r="BD72" s="106"/>
      <c r="BE72" s="106"/>
    </row>
    <row r="73" spans="1:57" ht="15">
      <c r="A73" s="23" t="s">
        <v>113</v>
      </c>
      <c r="B73" s="23"/>
      <c r="C73" s="23" t="s">
        <v>114</v>
      </c>
      <c r="D73" s="23" t="s">
        <v>61</v>
      </c>
      <c r="E73" s="23"/>
      <c r="F73" s="47"/>
      <c r="G73" s="23"/>
      <c r="H73" s="23"/>
      <c r="I73" s="23"/>
      <c r="J73" s="23"/>
      <c r="K73" s="23"/>
      <c r="L73" s="23"/>
      <c r="M73" s="331">
        <v>52</v>
      </c>
      <c r="N73" s="331">
        <v>56</v>
      </c>
      <c r="O73" s="331">
        <v>105</v>
      </c>
      <c r="P73" s="328">
        <v>12</v>
      </c>
      <c r="Q73" s="328">
        <v>15</v>
      </c>
      <c r="R73" s="331">
        <v>11</v>
      </c>
      <c r="S73" s="331">
        <v>142</v>
      </c>
      <c r="T73" s="331">
        <v>94</v>
      </c>
      <c r="U73" s="331">
        <v>53</v>
      </c>
      <c r="V73" s="331">
        <v>53</v>
      </c>
      <c r="W73" s="331">
        <v>48</v>
      </c>
      <c r="X73" s="331">
        <v>32</v>
      </c>
      <c r="Y73" s="99">
        <v>21</v>
      </c>
      <c r="Z73" s="99">
        <v>14</v>
      </c>
      <c r="AA73" s="99">
        <v>9</v>
      </c>
      <c r="AB73" s="99">
        <v>33</v>
      </c>
      <c r="AC73" s="99">
        <v>26</v>
      </c>
      <c r="AD73" s="99">
        <v>28</v>
      </c>
      <c r="AE73" s="99">
        <v>18</v>
      </c>
      <c r="AF73" s="331">
        <v>424</v>
      </c>
      <c r="AG73" s="331">
        <v>20</v>
      </c>
      <c r="AH73" s="331">
        <v>31</v>
      </c>
      <c r="AI73" s="331">
        <v>19</v>
      </c>
      <c r="AJ73" s="331">
        <v>17</v>
      </c>
      <c r="AK73" s="331">
        <v>376</v>
      </c>
      <c r="AL73" s="331">
        <v>42</v>
      </c>
      <c r="AM73" s="331">
        <v>124</v>
      </c>
      <c r="AN73" s="331">
        <v>8</v>
      </c>
      <c r="AO73" s="355"/>
      <c r="AP73" s="353">
        <f t="shared" si="163"/>
        <v>11.7</v>
      </c>
      <c r="AQ73" s="350">
        <f t="shared" si="164"/>
        <v>17.75</v>
      </c>
      <c r="AR73" s="350">
        <f t="shared" si="165"/>
        <v>31.5</v>
      </c>
      <c r="AS73" s="350">
        <f t="shared" si="166"/>
        <v>53.75</v>
      </c>
      <c r="AT73" s="350">
        <f t="shared" si="167"/>
        <v>129.4</v>
      </c>
      <c r="AU73" s="221"/>
      <c r="AV73" s="224"/>
      <c r="AW73" s="224"/>
      <c r="AX73" s="224"/>
      <c r="AY73" s="256"/>
      <c r="AZ73" s="221"/>
      <c r="BA73" s="254"/>
      <c r="BB73" s="254"/>
      <c r="BC73" s="106"/>
      <c r="BD73" s="106"/>
      <c r="BE73" s="106"/>
    </row>
    <row r="74" spans="1:57" ht="37.15">
      <c r="A74" s="320" t="s">
        <v>244</v>
      </c>
      <c r="B74" s="23"/>
      <c r="C74" s="23"/>
      <c r="D74" s="23"/>
      <c r="E74" s="23"/>
      <c r="F74" s="47"/>
      <c r="G74" s="23"/>
      <c r="H74" s="23"/>
      <c r="I74" s="23"/>
      <c r="J74" s="23"/>
      <c r="K74" s="23"/>
      <c r="L74" s="23"/>
      <c r="M74" s="333"/>
      <c r="N74" s="333"/>
      <c r="O74" s="334" t="s">
        <v>123</v>
      </c>
      <c r="P74" s="322"/>
      <c r="Q74" s="322"/>
      <c r="R74" s="335"/>
      <c r="S74" s="335"/>
      <c r="T74" s="335"/>
      <c r="U74" s="333">
        <v>8.19</v>
      </c>
      <c r="V74" s="333" t="s">
        <v>124</v>
      </c>
      <c r="W74" s="333" t="s">
        <v>125</v>
      </c>
      <c r="X74" s="333" t="s">
        <v>126</v>
      </c>
      <c r="Y74" s="317" t="s">
        <v>127</v>
      </c>
      <c r="Z74" s="315" t="s">
        <v>234</v>
      </c>
      <c r="AA74" s="318">
        <v>44069</v>
      </c>
      <c r="AB74" s="317" t="s">
        <v>126</v>
      </c>
      <c r="AC74" s="317" t="s">
        <v>127</v>
      </c>
      <c r="AD74" s="315" t="s">
        <v>237</v>
      </c>
      <c r="AE74" s="315" t="s">
        <v>238</v>
      </c>
      <c r="AF74" s="382">
        <v>43951</v>
      </c>
      <c r="AG74" s="382">
        <v>43981</v>
      </c>
      <c r="AH74" s="382">
        <v>44012</v>
      </c>
      <c r="AI74" s="382">
        <v>44030</v>
      </c>
      <c r="AJ74" s="383">
        <v>44060</v>
      </c>
      <c r="AK74" s="383">
        <v>44043</v>
      </c>
      <c r="AL74" s="383">
        <v>44078</v>
      </c>
      <c r="AM74" s="384">
        <v>44048</v>
      </c>
      <c r="AN74" s="384">
        <v>44083</v>
      </c>
      <c r="AO74" s="355"/>
      <c r="AP74" s="353"/>
      <c r="AQ74" s="350"/>
      <c r="AR74" s="350"/>
      <c r="AS74" s="350"/>
      <c r="AT74" s="350"/>
      <c r="AU74" s="221"/>
      <c r="AV74" s="224"/>
      <c r="AW74" s="224"/>
      <c r="AX74" s="224"/>
      <c r="AY74" s="256"/>
      <c r="AZ74" s="221"/>
      <c r="BA74" s="254"/>
      <c r="BB74" s="254"/>
      <c r="BC74" s="106"/>
      <c r="BD74" s="106"/>
      <c r="BE74" s="106"/>
    </row>
    <row r="75" spans="1:57" ht="37.15">
      <c r="A75" s="40" t="s">
        <v>212</v>
      </c>
      <c r="B75" s="23"/>
      <c r="C75" s="23"/>
      <c r="D75" s="23"/>
      <c r="E75" s="23"/>
      <c r="F75" s="47"/>
      <c r="G75" s="23"/>
      <c r="H75" s="23"/>
      <c r="I75" s="23"/>
      <c r="J75" s="23"/>
      <c r="K75" s="23"/>
      <c r="L75" s="23"/>
      <c r="M75" s="99"/>
      <c r="N75" s="99"/>
      <c r="O75" s="263"/>
      <c r="P75" s="64"/>
      <c r="Q75" s="64"/>
      <c r="R75" s="99"/>
      <c r="S75" s="99"/>
      <c r="T75" s="99"/>
      <c r="U75" s="47">
        <v>8.19</v>
      </c>
      <c r="V75" s="99"/>
      <c r="W75" s="99"/>
      <c r="X75" s="99"/>
      <c r="Y75" s="99"/>
      <c r="Z75" s="64" t="s">
        <v>234</v>
      </c>
      <c r="AA75" s="288">
        <v>44069</v>
      </c>
      <c r="AB75" s="99"/>
      <c r="AC75" s="99"/>
      <c r="AD75" s="64" t="s">
        <v>237</v>
      </c>
      <c r="AE75" s="64" t="s">
        <v>238</v>
      </c>
      <c r="AF75" s="331"/>
      <c r="AG75" s="331"/>
      <c r="AH75" s="331"/>
      <c r="AI75" s="331"/>
      <c r="AJ75" s="383">
        <v>44060</v>
      </c>
      <c r="AK75" s="331"/>
      <c r="AL75" s="383">
        <v>44078</v>
      </c>
      <c r="AM75" s="331"/>
      <c r="AN75" s="384">
        <v>44083</v>
      </c>
      <c r="AO75" s="355"/>
      <c r="AP75" s="353"/>
      <c r="AQ75" s="350"/>
      <c r="AR75" s="350"/>
      <c r="AS75" s="350"/>
      <c r="AT75" s="350"/>
      <c r="AU75" s="221"/>
      <c r="AV75" s="224"/>
      <c r="AW75" s="224"/>
      <c r="AX75" s="224"/>
      <c r="AY75" s="256"/>
      <c r="AZ75" s="221"/>
      <c r="BA75" s="254"/>
      <c r="BB75" s="254"/>
      <c r="BC75" s="106"/>
      <c r="BD75" s="106"/>
      <c r="BE75" s="106"/>
    </row>
    <row r="76" spans="1:57" ht="15">
      <c r="A76" t="s">
        <v>213</v>
      </c>
      <c r="B76" s="23"/>
      <c r="C76" s="23"/>
      <c r="D76" s="23"/>
      <c r="E76" s="23"/>
      <c r="F76" s="47"/>
      <c r="G76" s="23"/>
      <c r="H76" s="23"/>
      <c r="I76" s="23"/>
      <c r="J76" s="23"/>
      <c r="K76" s="23"/>
      <c r="L76" s="23"/>
      <c r="M76" s="264">
        <f>[1]迭代2!$D$2</f>
        <v>20</v>
      </c>
      <c r="N76" s="99"/>
      <c r="O76" s="263"/>
      <c r="P76" s="263"/>
      <c r="Q76" s="263"/>
      <c r="R76" s="99"/>
      <c r="S76" s="99"/>
      <c r="T76" s="99"/>
      <c r="U76" s="99"/>
      <c r="V76" s="99"/>
      <c r="W76" s="99"/>
      <c r="X76" s="99"/>
      <c r="Y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M76" s="99"/>
      <c r="AO76" s="215"/>
      <c r="AP76" s="254"/>
      <c r="AQ76" s="221"/>
      <c r="AR76" s="221"/>
      <c r="AS76" s="221"/>
      <c r="AT76" s="221"/>
      <c r="AU76" s="221"/>
      <c r="AV76" s="224"/>
      <c r="AW76" s="224"/>
      <c r="AX76" s="224"/>
      <c r="AY76" s="256"/>
      <c r="AZ76" s="221"/>
      <c r="BA76" s="254"/>
      <c r="BB76" s="254"/>
      <c r="BC76" s="106"/>
      <c r="BD76" s="106"/>
      <c r="BE76" s="106"/>
    </row>
    <row r="77" spans="1:57" ht="15">
      <c r="A77" t="s">
        <v>214</v>
      </c>
      <c r="B77" s="23"/>
      <c r="C77" s="23"/>
      <c r="D77" s="23"/>
      <c r="E77" s="23"/>
      <c r="F77" s="47"/>
      <c r="G77" s="23"/>
      <c r="H77" s="23"/>
      <c r="I77" s="23"/>
      <c r="J77" s="23"/>
      <c r="K77" s="23"/>
      <c r="L77" s="23"/>
      <c r="M77" s="265">
        <f>M76*5.4*1.1</f>
        <v>118.80000000000001</v>
      </c>
      <c r="N77" s="99"/>
      <c r="O77" s="263"/>
      <c r="P77" s="263"/>
      <c r="Q77" s="263"/>
      <c r="R77" s="99"/>
      <c r="S77" s="99"/>
      <c r="T77" s="99"/>
      <c r="U77" s="99"/>
      <c r="V77" s="99"/>
      <c r="W77" s="99"/>
      <c r="X77" s="99"/>
      <c r="Y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M77" s="99"/>
      <c r="AO77" s="215"/>
      <c r="AP77" s="254"/>
      <c r="AQ77" s="221"/>
      <c r="AR77" s="221"/>
      <c r="AS77" s="221"/>
      <c r="AT77" s="221"/>
      <c r="AU77" s="221"/>
      <c r="AV77" s="224"/>
      <c r="AW77" s="224"/>
      <c r="AX77" s="224"/>
      <c r="AY77" s="256"/>
      <c r="AZ77" s="221"/>
      <c r="BA77" s="254"/>
      <c r="BB77" s="254"/>
      <c r="BC77" s="106"/>
      <c r="BD77" s="106"/>
      <c r="BE77" s="106"/>
    </row>
    <row r="78" spans="1:57" ht="15">
      <c r="A78" t="s">
        <v>51</v>
      </c>
      <c r="B78" s="23"/>
      <c r="C78" s="23"/>
      <c r="D78" s="23"/>
      <c r="E78" s="23"/>
      <c r="F78" s="47"/>
      <c r="G78" s="23"/>
      <c r="H78" s="23"/>
      <c r="I78" s="23"/>
      <c r="J78" s="23"/>
      <c r="K78" s="23"/>
      <c r="L78" s="23"/>
      <c r="M78" s="266">
        <v>1</v>
      </c>
      <c r="N78" s="99"/>
      <c r="O78" s="263"/>
      <c r="P78" s="263"/>
      <c r="Q78" s="263"/>
      <c r="R78" s="99"/>
      <c r="S78" s="99"/>
      <c r="T78" s="99"/>
      <c r="U78" s="99"/>
      <c r="V78" s="99"/>
      <c r="W78" s="99"/>
      <c r="X78" s="99"/>
      <c r="Y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M78" s="99"/>
      <c r="AO78" s="215"/>
      <c r="AP78" s="254"/>
      <c r="AQ78" s="221"/>
      <c r="AR78" s="221"/>
      <c r="AS78" s="221"/>
      <c r="AT78" s="221"/>
      <c r="AU78" s="221"/>
      <c r="AV78" s="224"/>
      <c r="AW78" s="224"/>
      <c r="AX78" s="224"/>
      <c r="AY78" s="256"/>
      <c r="AZ78" s="221"/>
      <c r="BA78" s="254"/>
      <c r="BB78" s="254"/>
      <c r="BC78" s="106"/>
      <c r="BD78" s="106"/>
      <c r="BE78" s="106"/>
    </row>
    <row r="79" spans="1:57" ht="15">
      <c r="A79" t="s">
        <v>65</v>
      </c>
      <c r="B79" s="23"/>
      <c r="C79" s="23"/>
      <c r="D79" s="23"/>
      <c r="E79" s="23"/>
      <c r="F79" s="47"/>
      <c r="G79" s="23"/>
      <c r="H79" s="23"/>
      <c r="I79" s="23"/>
      <c r="J79" s="23"/>
      <c r="K79" s="23"/>
      <c r="L79" s="23"/>
      <c r="M79" s="266">
        <f t="shared" ref="M79" si="168">M77*M78</f>
        <v>118.80000000000001</v>
      </c>
      <c r="N79" s="99"/>
      <c r="O79" s="263"/>
      <c r="P79" s="263"/>
      <c r="Q79" s="263"/>
      <c r="R79" s="99"/>
      <c r="S79" s="99"/>
      <c r="T79" s="99"/>
      <c r="U79" s="99"/>
      <c r="V79" s="99"/>
      <c r="W79" s="99"/>
      <c r="X79" s="99"/>
      <c r="Y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M79" s="99"/>
      <c r="AO79" s="215"/>
      <c r="AP79" s="254"/>
      <c r="AQ79" s="221"/>
      <c r="AR79" s="221"/>
      <c r="AS79" s="221"/>
      <c r="AT79" s="221"/>
      <c r="AU79" s="221"/>
      <c r="AV79" s="224"/>
      <c r="AW79" s="224"/>
      <c r="AX79" s="224"/>
      <c r="AY79" s="256"/>
      <c r="AZ79" s="221"/>
      <c r="BA79" s="254"/>
      <c r="BB79" s="254"/>
      <c r="BC79" s="106"/>
      <c r="BD79" s="106"/>
      <c r="BE79" s="106"/>
    </row>
    <row r="80" spans="1:57" ht="15">
      <c r="A80" t="s">
        <v>67</v>
      </c>
      <c r="B80" s="23"/>
      <c r="C80" s="23"/>
      <c r="D80" s="23"/>
      <c r="E80" s="23"/>
      <c r="F80" s="47"/>
      <c r="G80" s="23"/>
      <c r="H80" s="23"/>
      <c r="I80" s="23"/>
      <c r="J80" s="23"/>
      <c r="K80" s="23"/>
      <c r="L80" s="23"/>
      <c r="M80"/>
      <c r="N80" s="99"/>
      <c r="O80" s="263"/>
      <c r="P80" s="263"/>
      <c r="Q80" s="263"/>
      <c r="R80" s="99"/>
      <c r="S80" s="99"/>
      <c r="T80" s="99"/>
      <c r="U80" s="99"/>
      <c r="V80" s="99"/>
      <c r="W80" s="99"/>
      <c r="X80" s="99"/>
      <c r="Y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M80" s="99"/>
      <c r="AO80" s="215"/>
      <c r="AP80" s="254"/>
      <c r="AQ80" s="221"/>
      <c r="AR80" s="221"/>
      <c r="AS80" s="221"/>
      <c r="AT80" s="221"/>
      <c r="AU80" s="221"/>
      <c r="AV80" s="224"/>
      <c r="AW80" s="224"/>
      <c r="AX80" s="224"/>
      <c r="AY80" s="256"/>
      <c r="AZ80" s="221"/>
      <c r="BA80" s="254"/>
      <c r="BB80" s="254"/>
      <c r="BC80" s="106"/>
      <c r="BD80" s="106"/>
      <c r="BE80" s="106"/>
    </row>
    <row r="81" spans="1:57" ht="15">
      <c r="A81" t="s">
        <v>215</v>
      </c>
      <c r="B81" s="23"/>
      <c r="C81" s="23"/>
      <c r="D81" s="23"/>
      <c r="E81" s="23"/>
      <c r="F81" s="47"/>
      <c r="G81" s="23"/>
      <c r="H81" s="23"/>
      <c r="I81" s="23"/>
      <c r="J81" s="23"/>
      <c r="K81" s="23"/>
      <c r="L81" s="23"/>
      <c r="M81" s="266">
        <f>M79/生产率</f>
        <v>54.4954128440367</v>
      </c>
      <c r="N81" s="99"/>
      <c r="O81" s="263"/>
      <c r="P81" s="263"/>
      <c r="Q81" s="263"/>
      <c r="R81" s="99"/>
      <c r="S81" s="99"/>
      <c r="T81" s="99"/>
      <c r="U81" s="99"/>
      <c r="V81" s="99"/>
      <c r="W81" s="99"/>
      <c r="X81" s="99"/>
      <c r="Y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M81" s="99"/>
      <c r="AO81" s="215"/>
      <c r="AP81" s="254"/>
      <c r="AQ81" s="221"/>
      <c r="AR81" s="221"/>
      <c r="AS81" s="221"/>
      <c r="AT81" s="221"/>
      <c r="AU81" s="221"/>
      <c r="AV81" s="224"/>
      <c r="AW81" s="224"/>
      <c r="AX81" s="224"/>
      <c r="AY81" s="256"/>
      <c r="AZ81" s="221"/>
      <c r="BA81" s="254"/>
      <c r="BB81" s="254"/>
      <c r="BC81" s="106"/>
      <c r="BD81" s="106"/>
      <c r="BE81" s="106"/>
    </row>
    <row r="82" spans="1:57" ht="15">
      <c r="A82" t="s">
        <v>216</v>
      </c>
      <c r="B82" s="23"/>
      <c r="C82" s="23"/>
      <c r="D82" s="23"/>
      <c r="E82" s="23"/>
      <c r="F82" s="47"/>
      <c r="G82" s="23"/>
      <c r="H82" s="23"/>
      <c r="I82" s="23"/>
      <c r="J82" s="23"/>
      <c r="K82" s="23"/>
      <c r="L82" s="23"/>
      <c r="M82" s="267">
        <f>1.3*SQRT(M81/21.5)</f>
        <v>2.0696842552857597</v>
      </c>
      <c r="N82" s="99"/>
      <c r="O82" s="263"/>
      <c r="P82" s="263"/>
      <c r="Q82" s="263"/>
      <c r="R82" s="99"/>
      <c r="S82" s="99"/>
      <c r="T82" s="99"/>
      <c r="U82" s="99"/>
      <c r="V82" s="99"/>
      <c r="W82" s="99"/>
      <c r="X82" s="99"/>
      <c r="Y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M82" s="99"/>
      <c r="AO82" s="215"/>
      <c r="AP82" s="254"/>
      <c r="AQ82" s="221"/>
      <c r="AR82" s="221"/>
      <c r="AS82" s="221"/>
      <c r="AT82" s="221"/>
      <c r="AU82" s="221"/>
      <c r="AV82" s="224"/>
      <c r="AW82" s="224"/>
      <c r="AX82" s="224"/>
      <c r="AY82" s="256"/>
      <c r="AZ82" s="221"/>
      <c r="BA82" s="254"/>
      <c r="BB82" s="254"/>
      <c r="BC82" s="106"/>
      <c r="BD82" s="106"/>
      <c r="BE82" s="106"/>
    </row>
    <row r="83" spans="1:57" ht="15">
      <c r="A83" t="s">
        <v>217</v>
      </c>
      <c r="B83" s="23"/>
      <c r="C83" s="23"/>
      <c r="D83" s="23"/>
      <c r="E83" s="23"/>
      <c r="F83" s="47"/>
      <c r="G83" s="23"/>
      <c r="H83" s="23"/>
      <c r="I83" s="23"/>
      <c r="J83" s="23"/>
      <c r="K83" s="23"/>
      <c r="L83" s="23"/>
      <c r="M83" s="268"/>
      <c r="N83" s="99"/>
      <c r="O83" s="263"/>
      <c r="P83" s="263"/>
      <c r="Q83" s="263"/>
      <c r="R83" s="99"/>
      <c r="S83" s="99"/>
      <c r="T83" s="99"/>
      <c r="U83" s="99"/>
      <c r="V83" s="99"/>
      <c r="W83" s="99"/>
      <c r="X83" s="99"/>
      <c r="Y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M83" s="99"/>
      <c r="AO83" s="215"/>
      <c r="AP83" s="254"/>
      <c r="AQ83" s="221"/>
      <c r="AR83" s="221"/>
      <c r="AS83" s="221"/>
      <c r="AT83" s="221"/>
      <c r="AU83" s="221"/>
      <c r="AV83" s="224"/>
      <c r="AW83" s="224"/>
      <c r="AX83" s="224"/>
      <c r="AY83" s="256"/>
      <c r="AZ83" s="221"/>
      <c r="BA83" s="254"/>
      <c r="BB83" s="254"/>
      <c r="BC83" s="106"/>
      <c r="BD83" s="106"/>
      <c r="BE83" s="106"/>
    </row>
    <row r="84" spans="1:57" ht="15">
      <c r="A84" t="s">
        <v>218</v>
      </c>
      <c r="B84" s="23"/>
      <c r="C84" s="23"/>
      <c r="D84" s="23"/>
      <c r="E84" s="23"/>
      <c r="F84" s="47"/>
      <c r="G84" s="23"/>
      <c r="H84" s="23"/>
      <c r="I84" s="23"/>
      <c r="J84" s="23"/>
      <c r="K84" s="23"/>
      <c r="L84" s="23"/>
      <c r="M84" s="265">
        <f>M77*编码消耗率</f>
        <v>8002.3680000000004</v>
      </c>
      <c r="N84" s="99"/>
      <c r="O84" s="263"/>
      <c r="P84" s="263"/>
      <c r="Q84" s="263"/>
      <c r="R84" s="99"/>
      <c r="S84" s="99"/>
      <c r="T84" s="99"/>
      <c r="U84" s="99"/>
      <c r="V84" s="99"/>
      <c r="W84" s="99"/>
      <c r="X84" s="99"/>
      <c r="Y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M84" s="99"/>
      <c r="AO84" s="215"/>
      <c r="AP84" s="254"/>
      <c r="AQ84" s="221"/>
      <c r="AR84" s="221"/>
      <c r="AS84" s="221"/>
      <c r="AT84" s="221"/>
      <c r="AU84" s="221"/>
      <c r="AV84" s="224"/>
      <c r="AW84" s="224"/>
      <c r="AX84" s="224"/>
      <c r="AY84" s="256"/>
      <c r="AZ84" s="221"/>
      <c r="BA84" s="254"/>
      <c r="BB84" s="254"/>
      <c r="BC84" s="106"/>
      <c r="BD84" s="106"/>
      <c r="BE84" s="106"/>
    </row>
    <row r="85" spans="1:57" ht="15">
      <c r="A85" t="s">
        <v>219</v>
      </c>
      <c r="B85" s="23"/>
      <c r="C85" s="23"/>
      <c r="D85" s="23"/>
      <c r="E85" s="23"/>
      <c r="F85" s="47"/>
      <c r="G85" s="23"/>
      <c r="H85" s="23"/>
      <c r="I85" s="23"/>
      <c r="J85" s="23"/>
      <c r="K85" s="23"/>
      <c r="L85" s="23"/>
      <c r="M85" s="265">
        <f>M77*测试密度</f>
        <v>156.81600000000003</v>
      </c>
      <c r="N85" s="99"/>
      <c r="O85" s="263"/>
      <c r="P85" s="263"/>
      <c r="Q85" s="263"/>
      <c r="R85" s="99"/>
      <c r="S85" s="99"/>
      <c r="T85" s="99"/>
      <c r="U85" s="99"/>
      <c r="V85" s="99"/>
      <c r="W85" s="99"/>
      <c r="X85" s="99"/>
      <c r="Y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M85" s="99"/>
      <c r="AO85" s="215"/>
      <c r="AP85" s="254"/>
      <c r="AQ85" s="221"/>
      <c r="AR85" s="221"/>
      <c r="AS85" s="221"/>
      <c r="AT85" s="221"/>
      <c r="AU85" s="221"/>
      <c r="AV85" s="224"/>
      <c r="AW85" s="224"/>
      <c r="AX85" s="224"/>
      <c r="AY85" s="256"/>
      <c r="AZ85" s="221"/>
      <c r="BA85" s="254"/>
      <c r="BB85" s="254"/>
      <c r="BC85" s="106"/>
      <c r="BD85" s="106"/>
      <c r="BE85" s="106"/>
    </row>
    <row r="86" spans="1:57" ht="15">
      <c r="A86" t="s">
        <v>113</v>
      </c>
      <c r="B86" s="23"/>
      <c r="C86" s="23"/>
      <c r="D86" s="23"/>
      <c r="E86" s="23"/>
      <c r="F86" s="47"/>
      <c r="G86" s="23"/>
      <c r="H86" s="23"/>
      <c r="I86" s="23"/>
      <c r="J86" s="23"/>
      <c r="K86" s="23"/>
      <c r="L86" s="23"/>
      <c r="M86" s="265">
        <f>M77*测试缺陷密度</f>
        <v>32.076000000000008</v>
      </c>
      <c r="N86" s="99"/>
      <c r="O86" s="263"/>
      <c r="P86" s="263"/>
      <c r="Q86" s="263"/>
      <c r="R86" s="99"/>
      <c r="S86" s="99"/>
      <c r="T86" s="99"/>
      <c r="U86" s="99"/>
      <c r="V86" s="99"/>
      <c r="W86" s="99"/>
      <c r="X86" s="99"/>
      <c r="Y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M86" s="99"/>
      <c r="AO86" s="215"/>
      <c r="AP86" s="254"/>
      <c r="AQ86" s="221"/>
      <c r="AR86" s="221"/>
      <c r="AS86" s="221"/>
      <c r="AT86" s="221"/>
      <c r="AU86" s="221"/>
      <c r="AV86" s="224"/>
      <c r="AW86" s="224"/>
      <c r="AX86" s="224"/>
      <c r="AY86" s="256"/>
      <c r="AZ86" s="221"/>
      <c r="BA86" s="254"/>
      <c r="BB86" s="254"/>
      <c r="BC86" s="106"/>
      <c r="BD86" s="106"/>
      <c r="BE86" s="106"/>
    </row>
    <row r="87" spans="1:57" ht="15">
      <c r="A87" t="s">
        <v>220</v>
      </c>
      <c r="B87" s="23"/>
      <c r="C87" s="23"/>
      <c r="D87" s="23"/>
      <c r="E87" s="23"/>
      <c r="F87" s="47"/>
      <c r="G87" s="23"/>
      <c r="H87" s="23"/>
      <c r="I87" s="23"/>
      <c r="J87" s="23"/>
      <c r="K87" s="23"/>
      <c r="L87" s="23"/>
      <c r="M87" s="269"/>
      <c r="N87" s="99"/>
      <c r="O87" s="263"/>
      <c r="P87" s="263"/>
      <c r="Q87" s="263"/>
      <c r="R87" s="99"/>
      <c r="S87" s="99"/>
      <c r="T87" s="99"/>
      <c r="U87" s="99"/>
      <c r="V87" s="99"/>
      <c r="W87" s="99"/>
      <c r="X87" s="99"/>
      <c r="Y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M87" s="99"/>
      <c r="AO87" s="215"/>
      <c r="AP87" s="254"/>
      <c r="AQ87" s="221"/>
      <c r="AR87" s="221"/>
      <c r="AS87" s="221"/>
      <c r="AT87" s="221"/>
      <c r="AU87" s="221"/>
      <c r="AV87" s="224"/>
      <c r="AW87" s="224"/>
      <c r="AX87" s="224"/>
      <c r="AY87" s="256"/>
      <c r="AZ87" s="221"/>
      <c r="BA87" s="254"/>
      <c r="BB87" s="254"/>
      <c r="BC87" s="106"/>
      <c r="BD87" s="106"/>
      <c r="BE87" s="106"/>
    </row>
    <row r="88" spans="1:57" ht="24.75">
      <c r="A88" s="23" t="s">
        <v>211</v>
      </c>
      <c r="B88" s="23"/>
      <c r="C88" s="23"/>
      <c r="D88" s="23"/>
      <c r="E88" s="23"/>
      <c r="F88" s="48"/>
      <c r="G88" s="49"/>
      <c r="H88" s="47"/>
      <c r="I88" s="68"/>
      <c r="J88" s="30"/>
      <c r="K88" s="47"/>
      <c r="L88" s="23"/>
      <c r="M88" s="47"/>
      <c r="N88" s="47"/>
      <c r="O88" s="64" t="s">
        <v>123</v>
      </c>
      <c r="P88" s="64"/>
      <c r="Q88" s="64"/>
      <c r="R88" s="47"/>
      <c r="S88" s="47"/>
      <c r="T88" s="47"/>
      <c r="U88" s="47"/>
      <c r="V88" s="47" t="s">
        <v>124</v>
      </c>
      <c r="W88" s="47" t="s">
        <v>125</v>
      </c>
      <c r="X88" s="47" t="s">
        <v>126</v>
      </c>
      <c r="Y88" s="47" t="s">
        <v>127</v>
      </c>
      <c r="AB88" s="47" t="s">
        <v>126</v>
      </c>
      <c r="AC88" s="47" t="s">
        <v>127</v>
      </c>
      <c r="AD88" s="47"/>
      <c r="AE88" s="47"/>
      <c r="AF88" s="251">
        <v>43951</v>
      </c>
      <c r="AG88" s="251">
        <v>43981</v>
      </c>
      <c r="AH88" s="251">
        <v>44012</v>
      </c>
      <c r="AI88" s="251">
        <v>44030</v>
      </c>
      <c r="AJ88" s="251"/>
      <c r="AK88" s="251">
        <v>44042</v>
      </c>
      <c r="AM88" s="252">
        <v>44048</v>
      </c>
      <c r="AO88" s="215"/>
      <c r="AP88" s="254"/>
      <c r="AQ88" s="221"/>
      <c r="AR88" s="221"/>
      <c r="AS88" s="221"/>
      <c r="AT88" s="221"/>
      <c r="AU88" s="221"/>
      <c r="AV88" s="224"/>
      <c r="AW88" s="224"/>
      <c r="AX88" s="224"/>
      <c r="AY88" s="256"/>
      <c r="AZ88" s="221"/>
      <c r="BA88" s="254"/>
      <c r="BB88" s="254"/>
      <c r="BC88" s="106"/>
      <c r="BD88" s="106"/>
      <c r="BE88" s="106"/>
    </row>
    <row r="89" spans="1:57" ht="15">
      <c r="A89" s="221"/>
      <c r="B89" s="257"/>
      <c r="C89" s="257"/>
      <c r="D89" s="257"/>
      <c r="E89" s="257"/>
      <c r="F89" s="258"/>
      <c r="G89" s="221"/>
      <c r="H89" s="221"/>
      <c r="I89" s="221"/>
      <c r="J89" s="221"/>
      <c r="K89" s="221"/>
      <c r="L89" s="221"/>
      <c r="M89" s="259"/>
      <c r="N89" s="259"/>
      <c r="O89" s="64"/>
      <c r="P89" s="64"/>
      <c r="Q89" s="64"/>
      <c r="R89" s="215"/>
      <c r="S89" s="144"/>
      <c r="T89" s="144"/>
      <c r="U89" s="215"/>
      <c r="V89" s="215"/>
      <c r="W89" s="144"/>
      <c r="X89" s="144"/>
      <c r="Y89" s="215"/>
      <c r="AB89" s="215"/>
      <c r="AC89" s="144"/>
      <c r="AD89" s="144"/>
      <c r="AE89" s="144"/>
      <c r="AF89" s="259"/>
      <c r="AG89" s="259"/>
      <c r="AH89" s="259"/>
      <c r="AI89" s="259"/>
      <c r="AJ89" s="259"/>
      <c r="AK89" s="259"/>
      <c r="AM89" s="259"/>
      <c r="AO89" s="215"/>
      <c r="AP89" s="127"/>
      <c r="AQ89" s="260"/>
      <c r="AR89" s="260"/>
      <c r="AS89" s="260"/>
      <c r="AT89" s="260"/>
      <c r="AU89" s="260"/>
      <c r="AV89" s="261"/>
      <c r="AW89" s="261"/>
      <c r="AX89" s="261"/>
      <c r="AY89" s="262"/>
      <c r="AZ89" s="260"/>
      <c r="BA89" s="127"/>
      <c r="BB89" s="127"/>
      <c r="BC89" s="106"/>
      <c r="BD89" s="106"/>
      <c r="BE89" s="106"/>
    </row>
    <row r="90" spans="1:57" ht="15">
      <c r="A90" s="289"/>
      <c r="B90" s="290"/>
      <c r="C90" s="290"/>
      <c r="D90" s="290"/>
      <c r="E90" s="290"/>
      <c r="F90" s="291"/>
      <c r="G90" s="293"/>
      <c r="H90" s="293"/>
      <c r="I90" s="293"/>
      <c r="J90" s="293"/>
      <c r="K90" s="293"/>
      <c r="L90" s="293"/>
      <c r="M90" s="295"/>
      <c r="N90" s="296"/>
      <c r="O90" s="295"/>
      <c r="P90" s="297"/>
      <c r="Q90" s="297"/>
      <c r="R90" s="298"/>
      <c r="U90" s="299"/>
      <c r="V90" s="298"/>
      <c r="Y90" s="298"/>
      <c r="AB90" s="300"/>
      <c r="AC90" s="300"/>
      <c r="AD90" s="300"/>
      <c r="AE90" s="300"/>
      <c r="AF90" s="300"/>
      <c r="AG90" s="295"/>
      <c r="AH90" s="295"/>
      <c r="AI90" s="295"/>
      <c r="AJ90" s="295"/>
      <c r="AK90" s="295"/>
      <c r="AM90" s="306"/>
      <c r="AO90" s="301"/>
      <c r="AP90" s="293"/>
      <c r="AQ90" s="302"/>
      <c r="AR90" s="302"/>
      <c r="AS90" s="302"/>
      <c r="AT90" s="302"/>
      <c r="AU90" s="302"/>
      <c r="AV90" s="303"/>
      <c r="AW90" s="303"/>
      <c r="AX90" s="303"/>
      <c r="AY90" s="312"/>
      <c r="AZ90" s="302"/>
      <c r="BA90" s="293"/>
      <c r="BB90" s="304"/>
    </row>
    <row r="91" spans="1:57" ht="15">
      <c r="A91" s="289"/>
      <c r="B91" s="290"/>
      <c r="C91" s="290"/>
      <c r="D91" s="290"/>
      <c r="E91" s="290"/>
      <c r="F91" s="292"/>
      <c r="G91" s="294"/>
      <c r="H91" s="294"/>
      <c r="I91" s="294"/>
      <c r="J91" s="294"/>
      <c r="K91" s="294"/>
      <c r="L91" s="294"/>
      <c r="M91" s="295"/>
      <c r="N91" s="296"/>
      <c r="O91" s="295"/>
      <c r="P91" s="297"/>
      <c r="Q91" s="297"/>
      <c r="R91" s="298"/>
      <c r="U91" s="299"/>
      <c r="V91" s="298"/>
      <c r="Y91" s="298"/>
      <c r="AB91" s="300"/>
      <c r="AC91" s="300"/>
      <c r="AD91" s="300"/>
      <c r="AE91" s="300"/>
      <c r="AF91" s="300"/>
      <c r="AG91" s="295"/>
      <c r="AH91" s="295"/>
      <c r="AI91" s="295"/>
      <c r="AJ91" s="295"/>
      <c r="AK91" s="295"/>
      <c r="AM91" s="306"/>
      <c r="AO91" s="301"/>
      <c r="AP91" s="294"/>
      <c r="AQ91" s="302"/>
      <c r="AR91" s="302"/>
      <c r="AS91" s="302"/>
      <c r="AT91" s="302"/>
      <c r="AU91" s="302"/>
      <c r="AV91" s="303"/>
      <c r="AW91" s="303"/>
      <c r="AX91" s="303"/>
      <c r="AY91" s="312"/>
      <c r="AZ91" s="302"/>
      <c r="BA91" s="294"/>
      <c r="BB91" s="305"/>
    </row>
    <row r="92" spans="1:57" ht="15">
      <c r="A92" s="289"/>
      <c r="B92" s="290"/>
      <c r="C92" s="290"/>
      <c r="D92" s="290"/>
      <c r="E92" s="290"/>
      <c r="F92" s="292"/>
      <c r="G92" s="294"/>
      <c r="H92" s="294"/>
      <c r="I92" s="294"/>
      <c r="J92" s="294"/>
      <c r="K92" s="294"/>
      <c r="L92" s="294"/>
      <c r="M92" s="295"/>
      <c r="N92" s="296"/>
      <c r="O92" s="295"/>
      <c r="P92" s="297"/>
      <c r="Q92" s="297"/>
      <c r="R92" s="298"/>
      <c r="U92" s="299"/>
      <c r="V92" s="298"/>
      <c r="Y92" s="298"/>
      <c r="AB92" s="300"/>
      <c r="AC92" s="300"/>
      <c r="AD92" s="300"/>
      <c r="AE92" s="300"/>
      <c r="AF92" s="300"/>
      <c r="AG92" s="295"/>
      <c r="AH92" s="295"/>
      <c r="AI92" s="295"/>
      <c r="AJ92" s="295"/>
      <c r="AK92" s="295"/>
      <c r="AM92" s="306"/>
      <c r="AO92" s="301"/>
      <c r="AP92" s="294"/>
      <c r="AQ92" s="302"/>
      <c r="AR92" s="302"/>
      <c r="AS92" s="302"/>
      <c r="AT92" s="302"/>
      <c r="AU92" s="302"/>
      <c r="AV92" s="303"/>
      <c r="AW92" s="303"/>
      <c r="AX92" s="303"/>
      <c r="AY92" s="312"/>
      <c r="AZ92" s="302"/>
      <c r="BA92" s="294"/>
      <c r="BB92" s="305"/>
    </row>
    <row r="93" spans="1:57" ht="15">
      <c r="A93" s="289"/>
      <c r="B93" s="290"/>
      <c r="C93" s="290"/>
      <c r="D93" s="290"/>
      <c r="E93" s="290"/>
      <c r="F93" s="292"/>
      <c r="G93" s="294"/>
      <c r="H93" s="294"/>
      <c r="I93" s="294"/>
      <c r="J93" s="294"/>
      <c r="K93" s="294"/>
      <c r="L93" s="294"/>
      <c r="M93" s="295"/>
      <c r="N93" s="296"/>
      <c r="O93" s="295"/>
      <c r="P93" s="297"/>
      <c r="Q93" s="297"/>
      <c r="R93" s="298"/>
      <c r="U93" s="299"/>
      <c r="V93" s="298"/>
      <c r="Y93" s="298"/>
      <c r="AB93" s="300"/>
      <c r="AC93" s="300"/>
      <c r="AD93" s="300"/>
      <c r="AE93" s="300"/>
      <c r="AF93" s="300"/>
      <c r="AG93" s="295"/>
      <c r="AH93" s="295"/>
      <c r="AI93" s="295"/>
      <c r="AJ93" s="295"/>
      <c r="AK93" s="295"/>
      <c r="AM93" s="306"/>
      <c r="AO93" s="301"/>
      <c r="AP93" s="294"/>
      <c r="AQ93" s="302"/>
      <c r="AR93" s="302"/>
      <c r="AS93" s="302"/>
      <c r="AT93" s="302"/>
      <c r="AU93" s="302"/>
      <c r="AV93" s="303"/>
      <c r="AW93" s="303"/>
      <c r="AX93" s="303"/>
      <c r="AY93" s="312"/>
      <c r="AZ93" s="302"/>
      <c r="BA93" s="294"/>
      <c r="BB93" s="305"/>
    </row>
    <row r="94" spans="1:57" ht="15">
      <c r="A94" s="289"/>
      <c r="B94" s="290"/>
      <c r="C94" s="290"/>
      <c r="D94" s="290"/>
      <c r="E94" s="290"/>
      <c r="F94" s="292"/>
      <c r="G94" s="294"/>
      <c r="H94" s="294"/>
      <c r="I94" s="294"/>
      <c r="J94" s="294"/>
      <c r="K94" s="294"/>
      <c r="L94" s="294"/>
      <c r="M94" s="295"/>
      <c r="N94" s="296"/>
      <c r="O94" s="295"/>
      <c r="P94" s="297"/>
      <c r="Q94" s="297"/>
      <c r="R94" s="298"/>
      <c r="U94" s="299"/>
      <c r="V94" s="298"/>
      <c r="Y94" s="298"/>
      <c r="AB94" s="300"/>
      <c r="AC94" s="300"/>
      <c r="AD94" s="300"/>
      <c r="AE94" s="300"/>
      <c r="AF94" s="300"/>
      <c r="AG94" s="295"/>
      <c r="AH94" s="295"/>
      <c r="AI94" s="295"/>
      <c r="AJ94" s="295"/>
      <c r="AK94" s="295"/>
      <c r="AM94" s="306"/>
      <c r="AO94" s="301"/>
      <c r="AP94" s="294"/>
      <c r="AQ94" s="302"/>
      <c r="AR94" s="302"/>
      <c r="AS94" s="302"/>
      <c r="AT94" s="302"/>
      <c r="AU94" s="302"/>
      <c r="AV94" s="303"/>
      <c r="AW94" s="303"/>
      <c r="AX94" s="303"/>
      <c r="AY94" s="312"/>
      <c r="AZ94" s="302"/>
      <c r="BA94" s="294"/>
      <c r="BB94" s="305"/>
    </row>
    <row r="95" spans="1:57" ht="15">
      <c r="A95" s="289"/>
      <c r="B95" s="290"/>
      <c r="C95" s="290"/>
      <c r="D95" s="290"/>
      <c r="E95" s="290"/>
      <c r="F95" s="292"/>
      <c r="G95" s="294"/>
      <c r="H95" s="294"/>
      <c r="I95" s="294"/>
      <c r="J95" s="294"/>
      <c r="K95" s="294"/>
      <c r="L95" s="294"/>
      <c r="M95" s="295"/>
      <c r="N95" s="296"/>
      <c r="O95" s="295"/>
      <c r="P95" s="297"/>
      <c r="Q95" s="297"/>
      <c r="R95" s="298"/>
      <c r="U95" s="299"/>
      <c r="V95" s="298"/>
      <c r="Y95" s="298"/>
      <c r="AB95" s="300"/>
      <c r="AC95" s="300"/>
      <c r="AD95" s="300"/>
      <c r="AE95" s="300"/>
      <c r="AF95" s="300"/>
      <c r="AG95" s="295"/>
      <c r="AH95" s="295"/>
      <c r="AI95" s="295"/>
      <c r="AJ95" s="295"/>
      <c r="AK95" s="295"/>
      <c r="AM95" s="306"/>
      <c r="AO95" s="301"/>
      <c r="AP95" s="294"/>
      <c r="AQ95" s="302"/>
      <c r="AR95" s="302"/>
      <c r="AS95" s="302"/>
      <c r="AT95" s="302"/>
      <c r="AU95" s="302"/>
      <c r="AV95" s="303"/>
      <c r="AW95" s="303"/>
      <c r="AX95" s="303"/>
      <c r="AY95" s="312"/>
      <c r="AZ95" s="302"/>
      <c r="BA95" s="294"/>
      <c r="BB95" s="305"/>
    </row>
    <row r="96" spans="1:57" ht="15">
      <c r="A96" s="289"/>
      <c r="B96" s="290"/>
      <c r="C96" s="290"/>
      <c r="D96" s="290"/>
      <c r="E96" s="290"/>
      <c r="F96" s="292"/>
      <c r="G96" s="294"/>
      <c r="H96" s="294"/>
      <c r="I96" s="294"/>
      <c r="J96" s="294"/>
      <c r="K96" s="294"/>
      <c r="L96" s="294"/>
      <c r="M96" s="295"/>
      <c r="N96" s="296"/>
      <c r="O96" s="295"/>
      <c r="P96" s="297"/>
      <c r="Q96" s="297"/>
      <c r="R96" s="298"/>
      <c r="U96" s="299"/>
      <c r="V96" s="298"/>
      <c r="Y96" s="298"/>
      <c r="AB96" s="300"/>
      <c r="AC96" s="300"/>
      <c r="AD96" s="300"/>
      <c r="AE96" s="300"/>
      <c r="AF96" s="300"/>
      <c r="AG96" s="295"/>
      <c r="AH96" s="295"/>
      <c r="AI96" s="295"/>
      <c r="AJ96" s="295"/>
      <c r="AK96" s="295"/>
      <c r="AM96" s="306"/>
      <c r="AO96" s="301"/>
      <c r="AP96" s="294"/>
      <c r="AQ96" s="302"/>
      <c r="AR96" s="302"/>
      <c r="AS96" s="302"/>
      <c r="AT96" s="302"/>
      <c r="AU96" s="302"/>
      <c r="AV96" s="303"/>
      <c r="AW96" s="303"/>
      <c r="AX96" s="303"/>
      <c r="AY96" s="312"/>
      <c r="AZ96" s="302"/>
      <c r="BA96" s="294"/>
      <c r="BB96" s="305"/>
    </row>
    <row r="97" spans="1:54" ht="15">
      <c r="A97" s="289"/>
      <c r="B97" s="290"/>
      <c r="C97" s="290"/>
      <c r="D97" s="290"/>
      <c r="E97" s="290"/>
      <c r="F97" s="292"/>
      <c r="G97" s="294"/>
      <c r="H97" s="294"/>
      <c r="I97" s="294"/>
      <c r="J97" s="294"/>
      <c r="K97" s="294"/>
      <c r="L97" s="294"/>
      <c r="M97" s="295"/>
      <c r="N97" s="296"/>
      <c r="O97" s="295"/>
      <c r="P97" s="297"/>
      <c r="Q97" s="297"/>
      <c r="R97" s="298"/>
      <c r="U97" s="299"/>
      <c r="V97" s="298"/>
      <c r="Y97" s="298"/>
      <c r="AB97" s="300"/>
      <c r="AC97" s="300"/>
      <c r="AD97" s="300"/>
      <c r="AE97" s="300"/>
      <c r="AF97" s="300"/>
      <c r="AG97" s="295"/>
      <c r="AH97" s="295"/>
      <c r="AI97" s="295"/>
      <c r="AJ97" s="295"/>
      <c r="AK97" s="295"/>
      <c r="AM97" s="306"/>
      <c r="AO97" s="301"/>
      <c r="AP97" s="294"/>
      <c r="AQ97" s="302"/>
      <c r="AR97" s="302"/>
      <c r="AS97" s="302"/>
      <c r="AT97" s="302"/>
      <c r="AU97" s="302"/>
      <c r="AV97" s="303"/>
      <c r="AW97" s="303"/>
      <c r="AX97" s="303"/>
      <c r="AY97" s="312"/>
      <c r="AZ97" s="302"/>
      <c r="BA97" s="294"/>
      <c r="BB97" s="305"/>
    </row>
    <row r="98" spans="1:54" ht="15">
      <c r="A98" s="289"/>
      <c r="B98" s="290"/>
      <c r="C98" s="290"/>
      <c r="D98" s="290"/>
      <c r="E98" s="290"/>
      <c r="F98" s="291"/>
      <c r="G98" s="293"/>
      <c r="H98" s="293"/>
      <c r="I98" s="293"/>
      <c r="J98" s="293"/>
      <c r="K98" s="293"/>
      <c r="L98" s="293"/>
      <c r="M98" s="295"/>
      <c r="N98" s="296"/>
      <c r="O98" s="295"/>
      <c r="P98" s="297"/>
      <c r="Q98" s="297"/>
      <c r="R98" s="298"/>
      <c r="U98" s="299"/>
      <c r="V98" s="298"/>
      <c r="Y98" s="298"/>
      <c r="Z98" s="299"/>
      <c r="AA98" s="299"/>
      <c r="AB98" s="300"/>
      <c r="AC98" s="300"/>
      <c r="AD98" s="300"/>
      <c r="AE98" s="300"/>
      <c r="AF98" s="300"/>
      <c r="AG98" s="295"/>
      <c r="AH98" s="295"/>
      <c r="AI98" s="295"/>
      <c r="AJ98" s="295"/>
      <c r="AK98" s="295"/>
      <c r="AM98" s="306"/>
      <c r="AO98" s="301"/>
      <c r="AP98" s="293"/>
      <c r="AQ98" s="302"/>
      <c r="AR98" s="302"/>
      <c r="AS98" s="302"/>
      <c r="AT98" s="302"/>
      <c r="AU98" s="302"/>
      <c r="AV98" s="303"/>
      <c r="AW98" s="303"/>
      <c r="AX98" s="303"/>
      <c r="AY98" s="312"/>
      <c r="AZ98" s="302"/>
      <c r="BA98" s="293"/>
      <c r="BB98" s="304"/>
    </row>
    <row r="99" spans="1:54" ht="15">
      <c r="A99" s="289"/>
      <c r="B99" s="290"/>
      <c r="C99" s="290"/>
      <c r="D99" s="290"/>
      <c r="E99" s="290"/>
      <c r="F99" s="292"/>
      <c r="G99" s="294"/>
      <c r="H99" s="294"/>
      <c r="I99" s="294"/>
      <c r="J99" s="294"/>
      <c r="K99" s="294"/>
      <c r="L99" s="294"/>
      <c r="M99" s="295"/>
      <c r="N99" s="296"/>
      <c r="O99" s="295"/>
      <c r="P99" s="297"/>
      <c r="Q99" s="297"/>
      <c r="R99" s="298"/>
      <c r="U99" s="299"/>
      <c r="V99" s="298"/>
      <c r="Y99" s="298"/>
      <c r="Z99" s="299"/>
      <c r="AA99" s="299"/>
      <c r="AB99" s="300"/>
      <c r="AC99" s="300"/>
      <c r="AD99" s="300"/>
      <c r="AE99" s="300"/>
      <c r="AF99" s="300"/>
      <c r="AG99" s="295"/>
      <c r="AH99" s="295"/>
      <c r="AI99" s="295"/>
      <c r="AJ99" s="295"/>
      <c r="AK99" s="295"/>
      <c r="AM99" s="306"/>
      <c r="AO99" s="301"/>
      <c r="AP99" s="294"/>
      <c r="AQ99" s="302"/>
      <c r="AR99" s="302"/>
      <c r="AS99" s="302"/>
      <c r="AT99" s="302"/>
      <c r="AU99" s="302"/>
      <c r="AV99" s="303"/>
      <c r="AW99" s="303"/>
      <c r="AX99" s="303"/>
      <c r="AY99" s="312"/>
      <c r="AZ99" s="302"/>
      <c r="BA99" s="294"/>
      <c r="BB99" s="305"/>
    </row>
    <row r="100" spans="1:54" ht="15">
      <c r="A100" s="289"/>
      <c r="B100" s="290"/>
      <c r="C100" s="290"/>
      <c r="D100" s="290"/>
      <c r="E100" s="290"/>
      <c r="F100" s="292"/>
      <c r="G100" s="294"/>
      <c r="H100" s="294"/>
      <c r="I100" s="294"/>
      <c r="J100" s="294"/>
      <c r="K100" s="294"/>
      <c r="L100" s="294"/>
      <c r="M100" s="295"/>
      <c r="N100" s="296"/>
      <c r="O100" s="295"/>
      <c r="P100" s="297"/>
      <c r="Q100" s="297"/>
      <c r="R100" s="298"/>
      <c r="U100" s="299"/>
      <c r="V100" s="298"/>
      <c r="Y100" s="298"/>
      <c r="Z100" s="299"/>
      <c r="AA100" s="299"/>
      <c r="AB100" s="300"/>
      <c r="AC100" s="300"/>
      <c r="AD100" s="300"/>
      <c r="AE100" s="300"/>
      <c r="AF100" s="300"/>
      <c r="AG100" s="295"/>
      <c r="AH100" s="295"/>
      <c r="AI100" s="295"/>
      <c r="AJ100" s="295"/>
      <c r="AK100" s="295"/>
      <c r="AM100" s="306"/>
      <c r="AO100" s="301"/>
      <c r="AP100" s="294"/>
      <c r="AQ100" s="302"/>
      <c r="AR100" s="302"/>
      <c r="AS100" s="302"/>
      <c r="AT100" s="302"/>
      <c r="AU100" s="302"/>
      <c r="AV100" s="303"/>
      <c r="AW100" s="303"/>
      <c r="AX100" s="303"/>
      <c r="AY100" s="312"/>
      <c r="AZ100" s="302"/>
      <c r="BA100" s="294"/>
      <c r="BB100" s="305"/>
    </row>
    <row r="101" spans="1:54" ht="15">
      <c r="A101" s="289"/>
      <c r="B101" s="290"/>
      <c r="C101" s="290"/>
      <c r="D101" s="290"/>
      <c r="E101" s="290"/>
      <c r="F101" s="292"/>
      <c r="G101" s="294"/>
      <c r="H101" s="294"/>
      <c r="I101" s="294"/>
      <c r="J101" s="294"/>
      <c r="K101" s="294"/>
      <c r="L101" s="294"/>
      <c r="M101" s="295"/>
      <c r="N101" s="296"/>
      <c r="O101" s="295"/>
      <c r="P101" s="297"/>
      <c r="Q101" s="297"/>
      <c r="R101" s="298"/>
      <c r="U101" s="299"/>
      <c r="V101" s="298"/>
      <c r="Y101" s="298"/>
      <c r="Z101" s="299"/>
      <c r="AA101" s="299"/>
      <c r="AB101" s="300"/>
      <c r="AC101" s="300"/>
      <c r="AD101" s="300"/>
      <c r="AE101" s="300"/>
      <c r="AF101" s="300"/>
      <c r="AG101" s="295"/>
      <c r="AH101" s="295"/>
      <c r="AI101" s="295"/>
      <c r="AJ101" s="295"/>
      <c r="AK101" s="295"/>
      <c r="AM101" s="306"/>
      <c r="AO101" s="301"/>
      <c r="AP101" s="294"/>
      <c r="AQ101" s="302"/>
      <c r="AR101" s="302"/>
      <c r="AS101" s="302"/>
      <c r="AT101" s="302"/>
      <c r="AU101" s="302"/>
      <c r="AV101" s="303"/>
      <c r="AW101" s="303"/>
      <c r="AX101" s="303"/>
      <c r="AY101" s="312"/>
      <c r="AZ101" s="302"/>
      <c r="BA101" s="294"/>
      <c r="BB101" s="305"/>
    </row>
    <row r="102" spans="1:54" ht="15">
      <c r="A102" s="289"/>
      <c r="B102" s="290"/>
      <c r="C102" s="290"/>
      <c r="D102" s="290"/>
      <c r="E102" s="290"/>
      <c r="F102" s="292"/>
      <c r="G102" s="294"/>
      <c r="H102" s="294"/>
      <c r="I102" s="294"/>
      <c r="J102" s="294"/>
      <c r="K102" s="294"/>
      <c r="L102" s="294"/>
      <c r="M102" s="295"/>
      <c r="N102" s="296"/>
      <c r="O102" s="295"/>
      <c r="P102" s="297"/>
      <c r="Q102" s="297"/>
      <c r="R102" s="298"/>
      <c r="U102" s="299"/>
      <c r="V102" s="298"/>
      <c r="Y102" s="298"/>
      <c r="Z102" s="299"/>
      <c r="AA102" s="299"/>
      <c r="AB102" s="300"/>
      <c r="AC102" s="300"/>
      <c r="AD102" s="300"/>
      <c r="AE102" s="300"/>
      <c r="AF102" s="300"/>
      <c r="AG102" s="295"/>
      <c r="AH102" s="295"/>
      <c r="AI102" s="295"/>
      <c r="AJ102" s="295"/>
      <c r="AK102" s="295"/>
      <c r="AM102" s="306"/>
      <c r="AO102" s="301"/>
      <c r="AP102" s="294"/>
      <c r="AQ102" s="302"/>
      <c r="AR102" s="302"/>
      <c r="AS102" s="302"/>
      <c r="AT102" s="302"/>
      <c r="AU102" s="302"/>
      <c r="AV102" s="303"/>
      <c r="AW102" s="303"/>
      <c r="AX102" s="303"/>
      <c r="AY102" s="312"/>
      <c r="AZ102" s="302"/>
      <c r="BA102" s="294"/>
      <c r="BB102" s="305"/>
    </row>
    <row r="103" spans="1:54" ht="15">
      <c r="A103" s="289"/>
      <c r="B103" s="290"/>
      <c r="C103" s="290"/>
      <c r="D103" s="290"/>
      <c r="E103" s="290"/>
      <c r="F103" s="292"/>
      <c r="G103" s="294"/>
      <c r="H103" s="294"/>
      <c r="I103" s="294"/>
      <c r="J103" s="294"/>
      <c r="K103" s="294"/>
      <c r="L103" s="294"/>
      <c r="M103" s="295"/>
      <c r="N103" s="296"/>
      <c r="O103" s="295"/>
      <c r="P103" s="297"/>
      <c r="Q103" s="297"/>
      <c r="R103" s="298"/>
      <c r="U103" s="299"/>
      <c r="V103" s="298"/>
      <c r="Y103" s="298"/>
      <c r="Z103" s="299"/>
      <c r="AA103" s="299"/>
      <c r="AB103" s="300"/>
      <c r="AC103" s="300"/>
      <c r="AD103" s="300"/>
      <c r="AE103" s="300"/>
      <c r="AF103" s="300"/>
      <c r="AG103" s="295"/>
      <c r="AH103" s="295"/>
      <c r="AI103" s="295"/>
      <c r="AJ103" s="295"/>
      <c r="AK103" s="295"/>
      <c r="AM103" s="306"/>
      <c r="AO103" s="301"/>
      <c r="AP103" s="294"/>
      <c r="AQ103" s="302"/>
      <c r="AR103" s="302"/>
      <c r="AS103" s="302"/>
      <c r="AT103" s="302"/>
      <c r="AU103" s="302"/>
      <c r="AV103" s="303"/>
      <c r="AW103" s="303"/>
      <c r="AX103" s="303"/>
      <c r="AY103" s="312"/>
      <c r="AZ103" s="302"/>
      <c r="BA103" s="294"/>
      <c r="BB103" s="305"/>
    </row>
    <row r="104" spans="1:54" ht="15">
      <c r="A104" s="289"/>
      <c r="B104" s="290"/>
      <c r="C104" s="290"/>
      <c r="D104" s="290"/>
      <c r="E104" s="290"/>
      <c r="F104" s="292"/>
      <c r="G104" s="294"/>
      <c r="H104" s="294"/>
      <c r="I104" s="294"/>
      <c r="J104" s="294"/>
      <c r="K104" s="294"/>
      <c r="L104" s="294"/>
      <c r="M104" s="295"/>
      <c r="N104" s="296"/>
      <c r="O104" s="295"/>
      <c r="P104" s="297"/>
      <c r="Q104" s="297"/>
      <c r="R104" s="298"/>
      <c r="U104" s="299"/>
      <c r="V104" s="298"/>
      <c r="Y104" s="298"/>
      <c r="Z104" s="299"/>
      <c r="AA104" s="299"/>
      <c r="AB104" s="300"/>
      <c r="AC104" s="300"/>
      <c r="AD104" s="300"/>
      <c r="AE104" s="300"/>
      <c r="AF104" s="300"/>
      <c r="AG104" s="295"/>
      <c r="AH104" s="295"/>
      <c r="AI104" s="295"/>
      <c r="AJ104" s="295"/>
      <c r="AK104" s="295"/>
      <c r="AM104" s="306"/>
      <c r="AO104" s="301"/>
      <c r="AP104" s="294"/>
      <c r="AQ104" s="302"/>
      <c r="AR104" s="302"/>
      <c r="AS104" s="302"/>
      <c r="AT104" s="302"/>
      <c r="AU104" s="302"/>
      <c r="AV104" s="303"/>
      <c r="AW104" s="303"/>
      <c r="AX104" s="303"/>
      <c r="AY104" s="312"/>
      <c r="AZ104" s="302"/>
      <c r="BA104" s="294"/>
      <c r="BB104" s="305"/>
    </row>
    <row r="105" spans="1:54" ht="15">
      <c r="A105" s="289"/>
      <c r="B105" s="290"/>
      <c r="C105" s="290"/>
      <c r="D105" s="290"/>
      <c r="E105" s="290"/>
      <c r="F105" s="292"/>
      <c r="G105" s="294"/>
      <c r="H105" s="294"/>
      <c r="I105" s="294"/>
      <c r="J105" s="294"/>
      <c r="K105" s="294"/>
      <c r="L105" s="294"/>
      <c r="M105" s="295"/>
      <c r="N105" s="296"/>
      <c r="O105" s="295"/>
      <c r="P105" s="297"/>
      <c r="Q105" s="297"/>
      <c r="R105" s="298"/>
      <c r="U105" s="299"/>
      <c r="V105" s="298"/>
      <c r="Y105" s="298"/>
      <c r="Z105" s="299"/>
      <c r="AA105" s="299"/>
      <c r="AB105" s="300"/>
      <c r="AC105" s="300"/>
      <c r="AD105" s="300"/>
      <c r="AE105" s="300"/>
      <c r="AF105" s="300"/>
      <c r="AG105" s="295"/>
      <c r="AH105" s="295"/>
      <c r="AI105" s="295"/>
      <c r="AJ105" s="295"/>
      <c r="AK105" s="295"/>
      <c r="AM105" s="306"/>
      <c r="AO105" s="301"/>
      <c r="AP105" s="294"/>
      <c r="AQ105" s="302"/>
      <c r="AR105" s="302"/>
      <c r="AS105" s="302"/>
      <c r="AT105" s="302"/>
      <c r="AU105" s="302"/>
      <c r="AV105" s="303"/>
      <c r="AW105" s="303"/>
      <c r="AX105" s="303"/>
      <c r="AY105" s="312"/>
      <c r="AZ105" s="302"/>
      <c r="BA105" s="294"/>
      <c r="BB105" s="305"/>
    </row>
    <row r="106" spans="1:54" ht="15">
      <c r="A106" s="289"/>
      <c r="B106" s="290"/>
      <c r="C106" s="290"/>
      <c r="D106" s="290"/>
      <c r="E106" s="290"/>
      <c r="F106" s="292"/>
      <c r="G106" s="294"/>
      <c r="H106" s="294"/>
      <c r="I106" s="294"/>
      <c r="J106" s="294"/>
      <c r="K106" s="294"/>
      <c r="L106" s="294"/>
      <c r="M106" s="295"/>
      <c r="N106" s="296"/>
      <c r="O106" s="295"/>
      <c r="P106" s="297"/>
      <c r="Q106" s="297"/>
      <c r="R106" s="298"/>
      <c r="U106" s="299"/>
      <c r="V106" s="298"/>
      <c r="Y106" s="298"/>
      <c r="Z106" s="299"/>
      <c r="AA106" s="299"/>
      <c r="AB106" s="300"/>
      <c r="AC106" s="300"/>
      <c r="AD106" s="300"/>
      <c r="AE106" s="300"/>
      <c r="AF106" s="300"/>
      <c r="AG106" s="295"/>
      <c r="AH106" s="295"/>
      <c r="AI106" s="295"/>
      <c r="AJ106" s="295"/>
      <c r="AK106" s="295"/>
      <c r="AM106" s="306"/>
      <c r="AO106" s="301"/>
      <c r="AP106" s="294"/>
      <c r="AQ106" s="302"/>
      <c r="AR106" s="302"/>
      <c r="AS106" s="302"/>
      <c r="AT106" s="302"/>
      <c r="AU106" s="302"/>
      <c r="AV106" s="303"/>
      <c r="AW106" s="303"/>
      <c r="AX106" s="303"/>
      <c r="AY106" s="312"/>
      <c r="AZ106" s="302"/>
      <c r="BA106" s="294"/>
      <c r="BB106" s="305"/>
    </row>
    <row r="107" spans="1:54" ht="15">
      <c r="A107" s="289"/>
      <c r="B107" s="290"/>
      <c r="C107" s="290"/>
      <c r="D107" s="290"/>
      <c r="E107" s="290"/>
      <c r="F107" s="292"/>
      <c r="G107" s="294"/>
      <c r="H107" s="294"/>
      <c r="I107" s="294"/>
      <c r="J107" s="294"/>
      <c r="K107" s="294"/>
      <c r="L107" s="294"/>
      <c r="M107" s="295"/>
      <c r="N107" s="296"/>
      <c r="O107" s="295"/>
      <c r="P107" s="297"/>
      <c r="Q107" s="297"/>
      <c r="R107" s="298"/>
      <c r="U107" s="299"/>
      <c r="V107" s="298"/>
      <c r="Y107" s="298"/>
      <c r="Z107" s="299"/>
      <c r="AA107" s="299"/>
      <c r="AB107" s="300"/>
      <c r="AC107" s="300"/>
      <c r="AD107" s="300"/>
      <c r="AE107" s="300"/>
      <c r="AF107" s="300"/>
      <c r="AG107" s="295"/>
      <c r="AH107" s="295"/>
      <c r="AI107" s="295"/>
      <c r="AJ107" s="295"/>
      <c r="AK107" s="295"/>
      <c r="AM107" s="306"/>
      <c r="AO107" s="301"/>
      <c r="AP107" s="294"/>
      <c r="AQ107" s="302"/>
      <c r="AR107" s="302"/>
      <c r="AS107" s="302"/>
      <c r="AT107" s="302"/>
      <c r="AU107" s="302"/>
      <c r="AV107" s="303"/>
      <c r="AW107" s="303"/>
      <c r="AX107" s="303"/>
      <c r="AY107" s="312"/>
      <c r="AZ107" s="302"/>
      <c r="BA107" s="294"/>
      <c r="BB107" s="305"/>
    </row>
    <row r="108" spans="1:54" ht="15">
      <c r="A108" s="289"/>
      <c r="B108" s="290"/>
      <c r="C108" s="290"/>
      <c r="D108" s="290"/>
      <c r="E108" s="290"/>
      <c r="F108" s="292"/>
      <c r="G108" s="294"/>
      <c r="H108" s="294"/>
      <c r="I108" s="294"/>
      <c r="J108" s="294"/>
      <c r="K108" s="294"/>
      <c r="L108" s="294"/>
      <c r="M108" s="295"/>
      <c r="N108" s="296"/>
      <c r="O108" s="295"/>
      <c r="P108" s="297"/>
      <c r="Q108" s="297"/>
      <c r="R108" s="298"/>
      <c r="U108" s="299"/>
      <c r="V108" s="298"/>
      <c r="Y108" s="298"/>
      <c r="Z108" s="299"/>
      <c r="AA108" s="299"/>
      <c r="AB108" s="300"/>
      <c r="AC108" s="300"/>
      <c r="AD108" s="300"/>
      <c r="AE108" s="300"/>
      <c r="AF108" s="300"/>
      <c r="AG108" s="295"/>
      <c r="AH108" s="295"/>
      <c r="AI108" s="295"/>
      <c r="AJ108" s="295"/>
      <c r="AK108" s="295"/>
      <c r="AM108" s="306"/>
      <c r="AO108" s="301"/>
      <c r="AP108" s="294"/>
      <c r="AQ108" s="302"/>
      <c r="AR108" s="302"/>
      <c r="AS108" s="302"/>
      <c r="AT108" s="302"/>
      <c r="AU108" s="302"/>
      <c r="AV108" s="303"/>
      <c r="AW108" s="303"/>
      <c r="AX108" s="303"/>
      <c r="AY108" s="312"/>
      <c r="AZ108" s="302"/>
      <c r="BA108" s="294"/>
      <c r="BB108" s="305"/>
    </row>
    <row r="109" spans="1:54" ht="15">
      <c r="A109" s="289"/>
      <c r="B109" s="290"/>
      <c r="C109" s="290"/>
      <c r="D109" s="290"/>
      <c r="E109" s="290"/>
      <c r="F109" s="292"/>
      <c r="G109" s="294"/>
      <c r="H109" s="294"/>
      <c r="I109" s="294"/>
      <c r="J109" s="294"/>
      <c r="K109" s="294"/>
      <c r="L109" s="294"/>
      <c r="M109" s="295"/>
      <c r="N109" s="296"/>
      <c r="O109" s="295"/>
      <c r="P109" s="297"/>
      <c r="Q109" s="297"/>
      <c r="R109" s="298"/>
      <c r="U109" s="299"/>
      <c r="V109" s="298"/>
      <c r="Y109" s="298"/>
      <c r="Z109" s="299"/>
      <c r="AA109" s="299"/>
      <c r="AB109" s="300"/>
      <c r="AC109" s="300"/>
      <c r="AD109" s="300"/>
      <c r="AE109" s="300"/>
      <c r="AF109" s="300"/>
      <c r="AG109" s="295"/>
      <c r="AH109" s="295"/>
      <c r="AI109" s="295"/>
      <c r="AJ109" s="295"/>
      <c r="AK109" s="295"/>
      <c r="AM109" s="306"/>
      <c r="AO109" s="301"/>
      <c r="AP109" s="294"/>
      <c r="AQ109" s="302"/>
      <c r="AR109" s="302"/>
      <c r="AS109" s="302"/>
      <c r="AT109" s="302"/>
      <c r="AU109" s="302"/>
      <c r="AV109" s="303"/>
      <c r="AW109" s="303"/>
      <c r="AX109" s="303"/>
      <c r="AY109" s="312"/>
      <c r="AZ109" s="302"/>
      <c r="BA109" s="294"/>
      <c r="BB109" s="305"/>
    </row>
    <row r="110" spans="1:54" ht="15">
      <c r="A110" s="289"/>
      <c r="B110" s="290"/>
      <c r="C110" s="290"/>
      <c r="D110" s="290"/>
      <c r="E110" s="290"/>
      <c r="F110" s="292"/>
      <c r="G110" s="294"/>
      <c r="H110" s="294"/>
      <c r="I110" s="294"/>
      <c r="J110" s="294"/>
      <c r="K110" s="294"/>
      <c r="L110" s="294"/>
      <c r="M110" s="295"/>
      <c r="N110" s="296"/>
      <c r="O110" s="295"/>
      <c r="P110" s="297"/>
      <c r="Q110" s="297"/>
      <c r="R110" s="298"/>
      <c r="U110" s="299"/>
      <c r="V110" s="298"/>
      <c r="Y110" s="298"/>
      <c r="Z110" s="299"/>
      <c r="AA110" s="299"/>
      <c r="AB110" s="300"/>
      <c r="AC110" s="300"/>
      <c r="AD110" s="300"/>
      <c r="AE110" s="300"/>
      <c r="AF110" s="300"/>
      <c r="AG110" s="295"/>
      <c r="AH110" s="295"/>
      <c r="AI110" s="295"/>
      <c r="AJ110" s="295"/>
      <c r="AK110" s="295"/>
      <c r="AM110" s="306"/>
      <c r="AO110" s="301"/>
      <c r="AP110" s="294"/>
      <c r="AQ110" s="302"/>
      <c r="AR110" s="302"/>
      <c r="AS110" s="302"/>
      <c r="AT110" s="302"/>
      <c r="AU110" s="302"/>
      <c r="AV110" s="303"/>
      <c r="AW110" s="303"/>
      <c r="AX110" s="303"/>
      <c r="AY110" s="312"/>
      <c r="AZ110" s="302"/>
      <c r="BA110" s="294"/>
      <c r="BB110" s="305"/>
    </row>
    <row r="111" spans="1:54" ht="15">
      <c r="A111" s="289"/>
      <c r="B111" s="290"/>
      <c r="C111" s="290"/>
      <c r="D111" s="290"/>
      <c r="E111" s="290"/>
      <c r="F111" s="292"/>
      <c r="G111" s="294"/>
      <c r="H111" s="294"/>
      <c r="I111" s="294"/>
      <c r="J111" s="294"/>
      <c r="K111" s="294"/>
      <c r="L111" s="294"/>
      <c r="M111" s="295"/>
      <c r="N111" s="296"/>
      <c r="O111" s="295"/>
      <c r="P111" s="297"/>
      <c r="Q111" s="297"/>
      <c r="R111" s="298"/>
      <c r="U111" s="299"/>
      <c r="V111" s="298"/>
      <c r="Y111" s="298"/>
      <c r="Z111" s="299"/>
      <c r="AA111" s="299"/>
      <c r="AB111" s="300"/>
      <c r="AC111" s="300"/>
      <c r="AD111" s="300"/>
      <c r="AE111" s="300"/>
      <c r="AF111" s="300"/>
      <c r="AG111" s="295"/>
      <c r="AH111" s="295"/>
      <c r="AI111" s="295"/>
      <c r="AJ111" s="295"/>
      <c r="AK111" s="295"/>
      <c r="AM111" s="306"/>
      <c r="AO111" s="301"/>
      <c r="AP111" s="294"/>
      <c r="AQ111" s="302"/>
      <c r="AR111" s="302"/>
      <c r="AS111" s="302"/>
      <c r="AT111" s="302"/>
      <c r="AU111" s="302"/>
      <c r="AV111" s="303"/>
      <c r="AW111" s="303"/>
      <c r="AX111" s="303"/>
      <c r="AY111" s="312"/>
      <c r="AZ111" s="302"/>
      <c r="BA111" s="294"/>
      <c r="BB111" s="305"/>
    </row>
    <row r="112" spans="1:54" ht="15">
      <c r="A112" s="289"/>
      <c r="B112" s="290"/>
      <c r="C112" s="290"/>
      <c r="D112" s="290"/>
      <c r="E112" s="290"/>
      <c r="F112" s="292"/>
      <c r="G112" s="294"/>
      <c r="H112" s="294"/>
      <c r="I112" s="294"/>
      <c r="J112" s="294"/>
      <c r="K112" s="294"/>
      <c r="L112" s="294"/>
      <c r="M112" s="295"/>
      <c r="N112" s="296"/>
      <c r="O112" s="295"/>
      <c r="P112" s="297"/>
      <c r="Q112" s="297"/>
      <c r="R112" s="298"/>
      <c r="U112" s="299"/>
      <c r="V112" s="298"/>
      <c r="Y112" s="298"/>
      <c r="Z112" s="299"/>
      <c r="AA112" s="299"/>
      <c r="AB112" s="300"/>
      <c r="AC112" s="300"/>
      <c r="AD112" s="300"/>
      <c r="AE112" s="300"/>
      <c r="AF112" s="300"/>
      <c r="AG112" s="295"/>
      <c r="AH112" s="295"/>
      <c r="AI112" s="295"/>
      <c r="AJ112" s="295"/>
      <c r="AK112" s="295"/>
      <c r="AM112" s="306"/>
      <c r="AO112" s="301"/>
      <c r="AP112" s="294"/>
      <c r="AQ112" s="302"/>
      <c r="AR112" s="302"/>
      <c r="AS112" s="302"/>
      <c r="AT112" s="302"/>
      <c r="AU112" s="302"/>
      <c r="AV112" s="303"/>
      <c r="AW112" s="303"/>
      <c r="AX112" s="303"/>
      <c r="AY112" s="312"/>
      <c r="AZ112" s="302"/>
      <c r="BA112" s="294"/>
      <c r="BB112" s="305"/>
    </row>
    <row r="113" spans="1:54" ht="15">
      <c r="A113" s="289"/>
      <c r="B113" s="290"/>
      <c r="C113" s="290"/>
      <c r="D113" s="290"/>
      <c r="E113" s="290"/>
      <c r="F113" s="292"/>
      <c r="G113" s="294"/>
      <c r="H113" s="294"/>
      <c r="I113" s="294"/>
      <c r="J113" s="294"/>
      <c r="K113" s="294"/>
      <c r="L113" s="294"/>
      <c r="M113" s="295"/>
      <c r="N113" s="296"/>
      <c r="O113" s="295"/>
      <c r="P113" s="297"/>
      <c r="Q113" s="297"/>
      <c r="R113" s="298"/>
      <c r="U113" s="299"/>
      <c r="V113" s="298"/>
      <c r="Y113" s="298"/>
      <c r="Z113" s="299"/>
      <c r="AA113" s="299"/>
      <c r="AB113" s="300"/>
      <c r="AC113" s="300"/>
      <c r="AD113" s="300"/>
      <c r="AE113" s="300"/>
      <c r="AF113" s="300"/>
      <c r="AG113" s="295"/>
      <c r="AH113" s="295"/>
      <c r="AI113" s="295"/>
      <c r="AJ113" s="295"/>
      <c r="AK113" s="295"/>
      <c r="AM113" s="306"/>
      <c r="AO113" s="301"/>
      <c r="AP113" s="294"/>
      <c r="AQ113" s="302"/>
      <c r="AR113" s="302"/>
      <c r="AS113" s="302"/>
      <c r="AT113" s="302"/>
      <c r="AU113" s="302"/>
      <c r="AV113" s="303"/>
      <c r="AW113" s="303"/>
      <c r="AX113" s="303"/>
      <c r="AY113" s="312"/>
      <c r="AZ113" s="302"/>
      <c r="BA113" s="294"/>
      <c r="BB113" s="305"/>
    </row>
    <row r="114" spans="1:54" ht="15">
      <c r="A114" s="289"/>
      <c r="B114" s="290"/>
      <c r="C114" s="290"/>
      <c r="D114" s="290"/>
      <c r="E114" s="290"/>
      <c r="F114" s="292"/>
      <c r="G114" s="294"/>
      <c r="H114" s="294"/>
      <c r="I114" s="294"/>
      <c r="J114" s="294"/>
      <c r="K114" s="294"/>
      <c r="L114" s="294"/>
      <c r="M114" s="295"/>
      <c r="N114" s="296"/>
      <c r="O114" s="295"/>
      <c r="P114" s="297"/>
      <c r="Q114" s="297"/>
      <c r="R114" s="298"/>
      <c r="U114" s="299"/>
      <c r="V114" s="298"/>
      <c r="Y114" s="298"/>
      <c r="Z114" s="299"/>
      <c r="AA114" s="299"/>
      <c r="AB114" s="300"/>
      <c r="AC114" s="300"/>
      <c r="AD114" s="300"/>
      <c r="AE114" s="300"/>
      <c r="AF114" s="300"/>
      <c r="AG114" s="295"/>
      <c r="AH114" s="295"/>
      <c r="AI114" s="295"/>
      <c r="AJ114" s="295"/>
      <c r="AK114" s="295"/>
      <c r="AM114" s="306"/>
      <c r="AO114" s="301"/>
      <c r="AP114" s="294"/>
      <c r="AQ114" s="302"/>
      <c r="AR114" s="302"/>
      <c r="AS114" s="302"/>
      <c r="AT114" s="302"/>
      <c r="AU114" s="302"/>
      <c r="AV114" s="303"/>
      <c r="AW114" s="303"/>
      <c r="AX114" s="303"/>
      <c r="AY114" s="312"/>
      <c r="AZ114" s="302"/>
      <c r="BA114" s="294"/>
      <c r="BB114" s="305"/>
    </row>
    <row r="115" spans="1:54" ht="15">
      <c r="A115" s="289"/>
      <c r="B115" s="290"/>
      <c r="C115" s="290"/>
      <c r="D115" s="290"/>
      <c r="E115" s="290"/>
      <c r="F115" s="292"/>
      <c r="G115" s="294"/>
      <c r="H115" s="294"/>
      <c r="I115" s="294"/>
      <c r="J115" s="294"/>
      <c r="K115" s="294"/>
      <c r="L115" s="294"/>
      <c r="M115" s="295"/>
      <c r="N115" s="296"/>
      <c r="O115" s="295"/>
      <c r="P115" s="297"/>
      <c r="Q115" s="297"/>
      <c r="R115" s="298"/>
      <c r="U115" s="299"/>
      <c r="V115" s="298"/>
      <c r="Y115" s="298"/>
      <c r="Z115" s="299"/>
      <c r="AA115" s="299"/>
      <c r="AB115" s="300"/>
      <c r="AC115" s="300"/>
      <c r="AD115" s="300"/>
      <c r="AE115" s="300"/>
      <c r="AF115" s="300"/>
      <c r="AG115" s="295"/>
      <c r="AH115" s="295"/>
      <c r="AI115" s="295"/>
      <c r="AJ115" s="295"/>
      <c r="AK115" s="295"/>
      <c r="AM115" s="306"/>
      <c r="AO115" s="301"/>
      <c r="AP115" s="294"/>
      <c r="AQ115" s="302"/>
      <c r="AR115" s="302"/>
      <c r="AS115" s="302"/>
      <c r="AT115" s="302"/>
      <c r="AU115" s="302"/>
      <c r="AV115" s="303"/>
      <c r="AW115" s="303"/>
      <c r="AX115" s="303"/>
      <c r="AY115" s="312"/>
      <c r="AZ115" s="302"/>
      <c r="BA115" s="294"/>
      <c r="BB115" s="305"/>
    </row>
    <row r="116" spans="1:54" ht="15">
      <c r="A116" s="289"/>
      <c r="B116" s="290"/>
      <c r="C116" s="290"/>
      <c r="D116" s="290"/>
      <c r="E116" s="290"/>
      <c r="F116" s="292"/>
      <c r="G116" s="294"/>
      <c r="H116" s="294"/>
      <c r="I116" s="294"/>
      <c r="J116" s="294"/>
      <c r="K116" s="294"/>
      <c r="L116" s="294"/>
      <c r="M116" s="295"/>
      <c r="N116" s="296"/>
      <c r="O116" s="295"/>
      <c r="P116" s="297"/>
      <c r="Q116" s="297"/>
      <c r="R116" s="298"/>
      <c r="U116" s="299"/>
      <c r="V116" s="298"/>
      <c r="Y116" s="298"/>
      <c r="Z116" s="299"/>
      <c r="AA116" s="299"/>
      <c r="AB116" s="300"/>
      <c r="AC116" s="300"/>
      <c r="AD116" s="300"/>
      <c r="AE116" s="300"/>
      <c r="AF116" s="300"/>
      <c r="AG116" s="295"/>
      <c r="AH116" s="295"/>
      <c r="AI116" s="295"/>
      <c r="AJ116" s="295"/>
      <c r="AK116" s="295"/>
      <c r="AM116" s="306"/>
      <c r="AO116" s="301"/>
      <c r="AP116" s="294"/>
      <c r="AQ116" s="302"/>
      <c r="AR116" s="302"/>
      <c r="AS116" s="302"/>
      <c r="AT116" s="302"/>
      <c r="AU116" s="302"/>
      <c r="AV116" s="303"/>
      <c r="AW116" s="303"/>
      <c r="AX116" s="303"/>
      <c r="AY116" s="312"/>
      <c r="AZ116" s="302"/>
      <c r="BA116" s="294"/>
      <c r="BB116" s="305"/>
    </row>
    <row r="117" spans="1:54" ht="15">
      <c r="A117" s="289"/>
      <c r="B117" s="290"/>
      <c r="C117" s="290"/>
      <c r="D117" s="290"/>
      <c r="E117" s="290"/>
      <c r="F117" s="292"/>
      <c r="G117" s="294"/>
      <c r="H117" s="294"/>
      <c r="I117" s="294"/>
      <c r="J117" s="294"/>
      <c r="K117" s="294"/>
      <c r="L117" s="294"/>
      <c r="M117" s="295"/>
      <c r="N117" s="296"/>
      <c r="O117" s="295"/>
      <c r="P117" s="297"/>
      <c r="Q117" s="297"/>
      <c r="R117" s="298"/>
      <c r="U117" s="299"/>
      <c r="V117" s="298"/>
      <c r="Y117" s="298"/>
      <c r="Z117" s="299"/>
      <c r="AA117" s="299"/>
      <c r="AB117" s="300"/>
      <c r="AC117" s="300"/>
      <c r="AD117" s="300"/>
      <c r="AE117" s="300"/>
      <c r="AF117" s="300"/>
      <c r="AG117" s="295"/>
      <c r="AH117" s="295"/>
      <c r="AI117" s="295"/>
      <c r="AJ117" s="295"/>
      <c r="AK117" s="295"/>
      <c r="AL117" s="306"/>
      <c r="AM117" s="306"/>
      <c r="AO117" s="301"/>
      <c r="AP117" s="294"/>
      <c r="AQ117" s="302"/>
      <c r="AR117" s="302"/>
      <c r="AS117" s="302"/>
      <c r="AT117" s="302"/>
      <c r="AU117" s="302"/>
      <c r="AV117" s="303"/>
      <c r="AW117" s="303"/>
      <c r="AX117" s="303"/>
      <c r="AY117" s="312"/>
      <c r="AZ117" s="302"/>
      <c r="BA117" s="294"/>
      <c r="BB117" s="305"/>
    </row>
    <row r="118" spans="1:54" ht="15">
      <c r="A118" s="289"/>
      <c r="B118" s="290"/>
      <c r="C118" s="290"/>
      <c r="D118" s="290"/>
      <c r="E118" s="290"/>
      <c r="F118" s="292"/>
      <c r="G118" s="294"/>
      <c r="H118" s="294"/>
      <c r="I118" s="294"/>
      <c r="J118" s="294"/>
      <c r="K118" s="294"/>
      <c r="L118" s="294"/>
      <c r="M118" s="295"/>
      <c r="N118" s="296"/>
      <c r="O118" s="295"/>
      <c r="P118" s="297"/>
      <c r="Q118" s="297"/>
      <c r="R118" s="298"/>
      <c r="U118" s="299"/>
      <c r="V118" s="298"/>
      <c r="Y118" s="298"/>
      <c r="Z118" s="299"/>
      <c r="AA118" s="299"/>
      <c r="AB118" s="300"/>
      <c r="AC118" s="300"/>
      <c r="AD118" s="300"/>
      <c r="AE118" s="300"/>
      <c r="AF118" s="300"/>
      <c r="AG118" s="295"/>
      <c r="AH118" s="295"/>
      <c r="AI118" s="295"/>
      <c r="AJ118" s="295"/>
      <c r="AK118" s="295"/>
      <c r="AL118" s="306"/>
      <c r="AM118" s="306"/>
      <c r="AO118" s="301"/>
      <c r="AP118" s="294"/>
      <c r="AQ118" s="302"/>
      <c r="AR118" s="302"/>
      <c r="AS118" s="302"/>
      <c r="AT118" s="302"/>
      <c r="AU118" s="302"/>
      <c r="AV118" s="303"/>
      <c r="AW118" s="303"/>
      <c r="AX118" s="303"/>
      <c r="AY118" s="312"/>
      <c r="AZ118" s="302"/>
      <c r="BA118" s="294"/>
      <c r="BB118" s="305"/>
    </row>
    <row r="119" spans="1:54" ht="15">
      <c r="A119" s="289"/>
      <c r="B119" s="290"/>
      <c r="C119" s="290"/>
      <c r="D119" s="290"/>
      <c r="E119" s="290"/>
      <c r="F119" s="292"/>
      <c r="G119" s="294"/>
      <c r="H119" s="294"/>
      <c r="I119" s="294"/>
      <c r="J119" s="294"/>
      <c r="K119" s="294"/>
      <c r="L119" s="294"/>
      <c r="M119" s="295"/>
      <c r="N119" s="296"/>
      <c r="O119" s="295"/>
      <c r="P119" s="297"/>
      <c r="Q119" s="297"/>
      <c r="R119" s="298"/>
      <c r="U119" s="299"/>
      <c r="V119" s="298"/>
      <c r="Y119" s="298"/>
      <c r="Z119" s="299"/>
      <c r="AA119" s="299"/>
      <c r="AB119" s="300"/>
      <c r="AC119" s="300"/>
      <c r="AD119" s="300"/>
      <c r="AE119" s="300"/>
      <c r="AF119" s="300"/>
      <c r="AG119" s="295"/>
      <c r="AH119" s="295"/>
      <c r="AI119" s="295"/>
      <c r="AJ119" s="295"/>
      <c r="AK119" s="295"/>
      <c r="AL119" s="306"/>
      <c r="AM119" s="306"/>
      <c r="AO119" s="301"/>
      <c r="AP119" s="294"/>
      <c r="AQ119" s="302"/>
      <c r="AR119" s="302"/>
      <c r="AS119" s="302"/>
      <c r="AT119" s="302"/>
      <c r="AU119" s="302"/>
      <c r="AV119" s="303"/>
      <c r="AW119" s="303"/>
      <c r="AX119" s="303"/>
      <c r="AY119" s="312"/>
      <c r="AZ119" s="302"/>
      <c r="BA119" s="294"/>
      <c r="BB119" s="305"/>
    </row>
    <row r="120" spans="1:54" ht="15">
      <c r="A120" s="289"/>
      <c r="B120" s="290"/>
      <c r="C120" s="290"/>
      <c r="D120" s="290"/>
      <c r="E120" s="290"/>
      <c r="F120" s="292"/>
      <c r="G120" s="294"/>
      <c r="H120" s="294"/>
      <c r="I120" s="294"/>
      <c r="J120" s="294"/>
      <c r="K120" s="294"/>
      <c r="L120" s="294"/>
      <c r="M120" s="295"/>
      <c r="N120" s="296"/>
      <c r="O120" s="295"/>
      <c r="P120" s="297"/>
      <c r="Q120" s="297"/>
      <c r="R120" s="298"/>
      <c r="U120" s="299"/>
      <c r="V120" s="298"/>
      <c r="Y120" s="298"/>
      <c r="Z120" s="299"/>
      <c r="AA120" s="299"/>
      <c r="AB120" s="300"/>
      <c r="AC120" s="300"/>
      <c r="AD120" s="300"/>
      <c r="AE120" s="300"/>
      <c r="AF120" s="300"/>
      <c r="AG120" s="295"/>
      <c r="AH120" s="295"/>
      <c r="AI120" s="295"/>
      <c r="AJ120" s="295"/>
      <c r="AK120" s="295"/>
      <c r="AL120" s="306"/>
      <c r="AM120" s="306"/>
      <c r="AO120" s="301"/>
      <c r="AP120" s="294"/>
      <c r="AQ120" s="302"/>
      <c r="AR120" s="302"/>
      <c r="AS120" s="302"/>
      <c r="AT120" s="302"/>
      <c r="AU120" s="302"/>
      <c r="AV120" s="303"/>
      <c r="AW120" s="303"/>
      <c r="AX120" s="303"/>
      <c r="AY120" s="312"/>
      <c r="AZ120" s="302"/>
      <c r="BA120" s="294"/>
      <c r="BB120" s="305"/>
    </row>
    <row r="121" spans="1:54" ht="15">
      <c r="A121" s="289"/>
      <c r="B121" s="290"/>
      <c r="C121" s="290"/>
      <c r="D121" s="290"/>
      <c r="E121" s="290"/>
      <c r="F121" s="292"/>
      <c r="G121" s="294"/>
      <c r="H121" s="294"/>
      <c r="I121" s="294"/>
      <c r="J121" s="294"/>
      <c r="K121" s="294"/>
      <c r="L121" s="294"/>
      <c r="M121" s="295"/>
      <c r="N121" s="296"/>
      <c r="O121" s="295"/>
      <c r="P121" s="297"/>
      <c r="Q121" s="297"/>
      <c r="R121" s="298"/>
      <c r="U121" s="299"/>
      <c r="V121" s="298"/>
      <c r="Y121" s="298"/>
      <c r="Z121" s="299"/>
      <c r="AA121" s="299"/>
      <c r="AB121" s="300"/>
      <c r="AC121" s="300"/>
      <c r="AD121" s="300"/>
      <c r="AE121" s="300"/>
      <c r="AF121" s="300"/>
      <c r="AG121" s="295"/>
      <c r="AH121" s="295"/>
      <c r="AI121" s="295"/>
      <c r="AJ121" s="295"/>
      <c r="AK121" s="295"/>
      <c r="AL121" s="306"/>
      <c r="AM121" s="306"/>
      <c r="AO121" s="301"/>
      <c r="AP121" s="294"/>
      <c r="AQ121" s="302"/>
      <c r="AR121" s="302"/>
      <c r="AS121" s="302"/>
      <c r="AT121" s="302"/>
      <c r="AU121" s="302"/>
      <c r="AV121" s="303"/>
      <c r="AW121" s="303"/>
      <c r="AX121" s="303"/>
      <c r="AY121" s="312"/>
      <c r="AZ121" s="302"/>
      <c r="BA121" s="294"/>
      <c r="BB121" s="305"/>
    </row>
    <row r="122" spans="1:54" ht="15">
      <c r="A122" s="289"/>
      <c r="B122" s="290"/>
      <c r="C122" s="290"/>
      <c r="D122" s="290"/>
      <c r="E122" s="290"/>
      <c r="F122" s="292"/>
      <c r="G122" s="294"/>
      <c r="H122" s="294"/>
      <c r="I122" s="294"/>
      <c r="J122" s="294"/>
      <c r="K122" s="294"/>
      <c r="L122" s="294"/>
      <c r="M122" s="295"/>
      <c r="N122" s="296"/>
      <c r="O122" s="295"/>
      <c r="P122" s="297"/>
      <c r="Q122" s="297"/>
      <c r="R122" s="298"/>
      <c r="U122" s="299"/>
      <c r="V122" s="298"/>
      <c r="Y122" s="298"/>
      <c r="Z122" s="299"/>
      <c r="AA122" s="299"/>
      <c r="AB122" s="300"/>
      <c r="AC122" s="300"/>
      <c r="AD122" s="300"/>
      <c r="AE122" s="300"/>
      <c r="AF122" s="300"/>
      <c r="AG122" s="295"/>
      <c r="AH122" s="295"/>
      <c r="AI122" s="295"/>
      <c r="AJ122" s="295"/>
      <c r="AK122" s="295"/>
      <c r="AL122" s="306"/>
      <c r="AM122" s="306"/>
      <c r="AO122" s="301"/>
      <c r="AP122" s="294"/>
      <c r="AQ122" s="302"/>
      <c r="AR122" s="302"/>
      <c r="AS122" s="302"/>
      <c r="AT122" s="302"/>
      <c r="AU122" s="302"/>
      <c r="AV122" s="303"/>
      <c r="AW122" s="303"/>
      <c r="AX122" s="303"/>
      <c r="AY122" s="312"/>
      <c r="AZ122" s="302"/>
      <c r="BA122" s="294"/>
      <c r="BB122" s="305"/>
    </row>
    <row r="123" spans="1:54" ht="15">
      <c r="A123" s="289"/>
      <c r="B123" s="290"/>
      <c r="C123" s="290"/>
      <c r="D123" s="290"/>
      <c r="E123" s="290"/>
      <c r="F123" s="292"/>
      <c r="G123" s="294"/>
      <c r="H123" s="294"/>
      <c r="I123" s="294"/>
      <c r="J123" s="294"/>
      <c r="K123" s="294"/>
      <c r="L123" s="294"/>
      <c r="M123" s="295"/>
      <c r="N123" s="296"/>
      <c r="O123" s="295"/>
      <c r="P123" s="297"/>
      <c r="Q123" s="297"/>
      <c r="R123" s="298"/>
      <c r="U123" s="299"/>
      <c r="V123" s="298"/>
      <c r="Y123" s="298"/>
      <c r="Z123" s="299"/>
      <c r="AA123" s="299"/>
      <c r="AB123" s="300"/>
      <c r="AC123" s="300"/>
      <c r="AD123" s="300"/>
      <c r="AE123" s="300"/>
      <c r="AF123" s="300"/>
      <c r="AG123" s="295"/>
      <c r="AH123" s="295"/>
      <c r="AI123" s="295"/>
      <c r="AJ123" s="295"/>
      <c r="AK123" s="295"/>
      <c r="AL123" s="306"/>
      <c r="AM123" s="306"/>
      <c r="AO123" s="301"/>
      <c r="AP123" s="294"/>
      <c r="AQ123" s="302"/>
      <c r="AR123" s="302"/>
      <c r="AS123" s="302"/>
      <c r="AT123" s="302"/>
      <c r="AU123" s="302"/>
      <c r="AV123" s="303"/>
      <c r="AW123" s="303"/>
      <c r="AX123" s="303"/>
      <c r="AY123" s="312"/>
      <c r="AZ123" s="302"/>
      <c r="BA123" s="294"/>
      <c r="BB123" s="305"/>
    </row>
    <row r="124" spans="1:54" ht="15">
      <c r="A124" s="289"/>
      <c r="B124" s="290"/>
      <c r="C124" s="290"/>
      <c r="D124" s="290"/>
      <c r="E124" s="290"/>
      <c r="F124" s="292"/>
      <c r="G124" s="294"/>
      <c r="H124" s="294"/>
      <c r="I124" s="294"/>
      <c r="J124" s="294"/>
      <c r="K124" s="294"/>
      <c r="L124" s="294"/>
      <c r="M124" s="295"/>
      <c r="N124" s="296"/>
      <c r="O124" s="295"/>
      <c r="P124" s="297"/>
      <c r="Q124" s="297"/>
      <c r="R124" s="298"/>
      <c r="U124" s="299"/>
      <c r="V124" s="298"/>
      <c r="Y124" s="298"/>
      <c r="Z124" s="299"/>
      <c r="AA124" s="299"/>
      <c r="AB124" s="300"/>
      <c r="AC124" s="300"/>
      <c r="AD124" s="300"/>
      <c r="AE124" s="300"/>
      <c r="AF124" s="300"/>
      <c r="AG124" s="295"/>
      <c r="AH124" s="295"/>
      <c r="AI124" s="295"/>
      <c r="AJ124" s="295"/>
      <c r="AK124" s="295"/>
      <c r="AL124" s="306"/>
      <c r="AM124" s="306"/>
      <c r="AO124" s="301"/>
      <c r="AP124" s="294"/>
      <c r="AQ124" s="302"/>
      <c r="AR124" s="302"/>
      <c r="AS124" s="302"/>
      <c r="AT124" s="302"/>
      <c r="AU124" s="302"/>
      <c r="AV124" s="303"/>
      <c r="AW124" s="303"/>
      <c r="AX124" s="303"/>
      <c r="AY124" s="312"/>
      <c r="AZ124" s="302"/>
      <c r="BA124" s="294"/>
      <c r="BB124" s="305"/>
    </row>
    <row r="125" spans="1:54" ht="15">
      <c r="A125" s="289"/>
      <c r="B125" s="290"/>
      <c r="C125" s="290"/>
      <c r="D125" s="290"/>
      <c r="E125" s="290"/>
      <c r="F125" s="292"/>
      <c r="G125" s="294"/>
      <c r="H125" s="294"/>
      <c r="I125" s="294"/>
      <c r="J125" s="294"/>
      <c r="K125" s="294"/>
      <c r="L125" s="294"/>
      <c r="M125" s="295"/>
      <c r="N125" s="296"/>
      <c r="O125" s="295"/>
      <c r="P125" s="297"/>
      <c r="Q125" s="297"/>
      <c r="R125" s="298"/>
      <c r="U125" s="299"/>
      <c r="V125" s="298"/>
      <c r="Y125" s="298"/>
      <c r="Z125" s="299"/>
      <c r="AA125" s="299"/>
      <c r="AB125" s="300"/>
      <c r="AC125" s="300"/>
      <c r="AD125" s="300"/>
      <c r="AE125" s="300"/>
      <c r="AF125" s="300"/>
      <c r="AG125" s="295"/>
      <c r="AH125" s="295"/>
      <c r="AI125" s="295"/>
      <c r="AJ125" s="295"/>
      <c r="AK125" s="295"/>
      <c r="AL125" s="306"/>
      <c r="AM125" s="306"/>
      <c r="AO125" s="301"/>
      <c r="AP125" s="294"/>
      <c r="AQ125" s="302"/>
      <c r="AR125" s="302"/>
      <c r="AS125" s="302"/>
      <c r="AT125" s="302"/>
      <c r="AU125" s="302"/>
      <c r="AV125" s="303"/>
      <c r="AW125" s="303"/>
      <c r="AX125" s="303"/>
      <c r="AY125" s="312"/>
      <c r="AZ125" s="302"/>
      <c r="BA125" s="294"/>
      <c r="BB125" s="305"/>
    </row>
    <row r="126" spans="1:54" ht="15">
      <c r="A126" s="289"/>
      <c r="B126" s="290"/>
      <c r="C126" s="290"/>
      <c r="D126" s="290"/>
      <c r="E126" s="290"/>
      <c r="F126" s="292"/>
      <c r="G126" s="294"/>
      <c r="H126" s="294"/>
      <c r="I126" s="294"/>
      <c r="J126" s="294"/>
      <c r="K126" s="294"/>
      <c r="L126" s="294"/>
      <c r="M126" s="295"/>
      <c r="N126" s="296"/>
      <c r="O126" s="295"/>
      <c r="P126" s="297"/>
      <c r="Q126" s="297"/>
      <c r="R126" s="298"/>
      <c r="U126" s="299"/>
      <c r="V126" s="298"/>
      <c r="Y126" s="298"/>
      <c r="Z126" s="299"/>
      <c r="AA126" s="299"/>
      <c r="AB126" s="300"/>
      <c r="AC126" s="300"/>
      <c r="AD126" s="300"/>
      <c r="AE126" s="300"/>
      <c r="AF126" s="300"/>
      <c r="AG126" s="295"/>
      <c r="AH126" s="295"/>
      <c r="AI126" s="295"/>
      <c r="AJ126" s="295"/>
      <c r="AK126" s="295"/>
      <c r="AL126" s="306"/>
      <c r="AM126" s="306"/>
      <c r="AO126" s="301"/>
      <c r="AP126" s="294"/>
      <c r="AQ126" s="302"/>
      <c r="AR126" s="302"/>
      <c r="AS126" s="302"/>
      <c r="AT126" s="302"/>
      <c r="AU126" s="302"/>
      <c r="AV126" s="303"/>
      <c r="AW126" s="303"/>
      <c r="AX126" s="303"/>
      <c r="AY126" s="312"/>
      <c r="AZ126" s="302"/>
      <c r="BA126" s="294"/>
      <c r="BB126" s="305"/>
    </row>
    <row r="127" spans="1:54" ht="15">
      <c r="A127" s="289"/>
      <c r="B127" s="290"/>
      <c r="C127" s="290"/>
      <c r="D127" s="290"/>
      <c r="E127" s="290"/>
      <c r="F127" s="292"/>
      <c r="G127" s="294"/>
      <c r="H127" s="294"/>
      <c r="I127" s="294"/>
      <c r="J127" s="294"/>
      <c r="K127" s="294"/>
      <c r="L127" s="294"/>
      <c r="M127" s="295"/>
      <c r="N127" s="296"/>
      <c r="O127" s="295"/>
      <c r="P127" s="297"/>
      <c r="Q127" s="297"/>
      <c r="R127" s="298"/>
      <c r="U127" s="299"/>
      <c r="V127" s="298"/>
      <c r="Y127" s="298"/>
      <c r="Z127" s="299"/>
      <c r="AA127" s="299"/>
      <c r="AB127" s="300"/>
      <c r="AC127" s="300"/>
      <c r="AD127" s="300"/>
      <c r="AE127" s="300"/>
      <c r="AF127" s="300"/>
      <c r="AG127" s="295"/>
      <c r="AH127" s="295"/>
      <c r="AI127" s="295"/>
      <c r="AJ127" s="295"/>
      <c r="AK127" s="295"/>
      <c r="AL127" s="306"/>
      <c r="AM127" s="306"/>
      <c r="AO127" s="301"/>
      <c r="AP127" s="294"/>
      <c r="AQ127" s="302"/>
      <c r="AR127" s="302"/>
      <c r="AS127" s="302"/>
      <c r="AT127" s="302"/>
      <c r="AU127" s="302"/>
      <c r="AV127" s="303"/>
      <c r="AW127" s="303"/>
      <c r="AX127" s="303"/>
      <c r="AY127" s="312"/>
      <c r="AZ127" s="302"/>
      <c r="BA127" s="294"/>
      <c r="BB127" s="305"/>
    </row>
    <row r="128" spans="1:54" ht="15">
      <c r="A128" s="289"/>
      <c r="B128" s="290"/>
      <c r="C128" s="290"/>
      <c r="D128" s="290"/>
      <c r="E128" s="290"/>
      <c r="F128" s="292"/>
      <c r="G128" s="294"/>
      <c r="H128" s="294"/>
      <c r="I128" s="294"/>
      <c r="J128" s="294"/>
      <c r="K128" s="294"/>
      <c r="L128" s="294"/>
      <c r="M128" s="295"/>
      <c r="N128" s="296"/>
      <c r="O128" s="295"/>
      <c r="P128" s="297"/>
      <c r="Q128" s="297"/>
      <c r="R128" s="298"/>
      <c r="U128" s="299"/>
      <c r="V128" s="298"/>
      <c r="Y128" s="298"/>
      <c r="Z128" s="299"/>
      <c r="AA128" s="299"/>
      <c r="AB128" s="300"/>
      <c r="AC128" s="300"/>
      <c r="AD128" s="300"/>
      <c r="AE128" s="300"/>
      <c r="AF128" s="300"/>
      <c r="AG128" s="295"/>
      <c r="AH128" s="295"/>
      <c r="AI128" s="295"/>
      <c r="AJ128" s="295"/>
      <c r="AK128" s="295"/>
      <c r="AL128" s="306"/>
      <c r="AM128" s="306"/>
      <c r="AO128" s="301"/>
      <c r="AP128" s="294"/>
      <c r="AQ128" s="302"/>
      <c r="AR128" s="302"/>
      <c r="AS128" s="302"/>
      <c r="AT128" s="302"/>
      <c r="AU128" s="302"/>
      <c r="AV128" s="303"/>
      <c r="AW128" s="303"/>
      <c r="AX128" s="303"/>
      <c r="AY128" s="312"/>
      <c r="AZ128" s="302"/>
      <c r="BA128" s="294"/>
      <c r="BB128" s="305"/>
    </row>
    <row r="129" spans="1:54" ht="15">
      <c r="A129" s="289"/>
      <c r="B129" s="290"/>
      <c r="C129" s="290"/>
      <c r="D129" s="290"/>
      <c r="E129" s="290"/>
      <c r="F129" s="292"/>
      <c r="G129" s="294"/>
      <c r="H129" s="294"/>
      <c r="I129" s="294"/>
      <c r="J129" s="294"/>
      <c r="K129" s="294"/>
      <c r="L129" s="294"/>
      <c r="M129" s="295"/>
      <c r="N129" s="296"/>
      <c r="O129" s="295"/>
      <c r="P129" s="297"/>
      <c r="Q129" s="297"/>
      <c r="R129" s="298"/>
      <c r="U129" s="299"/>
      <c r="V129" s="298"/>
      <c r="Y129" s="298"/>
      <c r="Z129" s="299"/>
      <c r="AA129" s="299"/>
      <c r="AB129" s="300"/>
      <c r="AC129" s="300"/>
      <c r="AD129" s="300"/>
      <c r="AE129" s="300"/>
      <c r="AF129" s="300"/>
      <c r="AG129" s="295"/>
      <c r="AH129" s="295"/>
      <c r="AI129" s="295"/>
      <c r="AJ129" s="295"/>
      <c r="AK129" s="295"/>
      <c r="AL129" s="306"/>
      <c r="AM129" s="306"/>
      <c r="AO129" s="301"/>
      <c r="AP129" s="294"/>
      <c r="AQ129" s="302"/>
      <c r="AR129" s="302"/>
      <c r="AS129" s="302"/>
      <c r="AT129" s="302"/>
      <c r="AU129" s="302"/>
      <c r="AV129" s="303"/>
      <c r="AW129" s="303"/>
      <c r="AX129" s="303"/>
      <c r="AY129" s="312"/>
      <c r="AZ129" s="302"/>
      <c r="BA129" s="294"/>
      <c r="BB129" s="305"/>
    </row>
    <row r="130" spans="1:54" ht="15">
      <c r="A130" s="289"/>
      <c r="B130" s="290"/>
      <c r="C130" s="290"/>
      <c r="D130" s="290"/>
      <c r="E130" s="290"/>
      <c r="F130" s="292"/>
      <c r="G130" s="294"/>
      <c r="H130" s="294"/>
      <c r="I130" s="294"/>
      <c r="J130" s="294"/>
      <c r="K130" s="294"/>
      <c r="L130" s="294"/>
      <c r="M130" s="295"/>
      <c r="N130" s="296"/>
      <c r="O130" s="295"/>
      <c r="P130" s="297"/>
      <c r="Q130" s="297"/>
      <c r="R130" s="298"/>
      <c r="U130" s="299"/>
      <c r="V130" s="298"/>
      <c r="Y130" s="298"/>
      <c r="Z130" s="299"/>
      <c r="AA130" s="299"/>
      <c r="AB130" s="300"/>
      <c r="AC130" s="300"/>
      <c r="AD130" s="300"/>
      <c r="AE130" s="300"/>
      <c r="AF130" s="300"/>
      <c r="AG130" s="295"/>
      <c r="AH130" s="295"/>
      <c r="AI130" s="295"/>
      <c r="AJ130" s="295"/>
      <c r="AK130" s="295"/>
      <c r="AL130" s="306"/>
      <c r="AM130" s="306"/>
      <c r="AO130" s="301"/>
      <c r="AP130" s="294"/>
      <c r="AQ130" s="302"/>
      <c r="AR130" s="302"/>
      <c r="AS130" s="302"/>
      <c r="AT130" s="302"/>
      <c r="AU130" s="302"/>
      <c r="AV130" s="303"/>
      <c r="AW130" s="303"/>
      <c r="AX130" s="303"/>
      <c r="AY130" s="312"/>
      <c r="AZ130" s="302"/>
      <c r="BA130" s="294"/>
      <c r="BB130" s="305"/>
    </row>
    <row r="131" spans="1:54" ht="15">
      <c r="A131" s="289"/>
      <c r="B131" s="290"/>
      <c r="C131" s="290"/>
      <c r="D131" s="290"/>
      <c r="E131" s="290"/>
      <c r="F131" s="292"/>
      <c r="G131" s="294"/>
      <c r="H131" s="294"/>
      <c r="I131" s="294"/>
      <c r="J131" s="294"/>
      <c r="K131" s="294"/>
      <c r="L131" s="294"/>
      <c r="M131" s="295"/>
      <c r="N131" s="296"/>
      <c r="O131" s="295"/>
      <c r="P131" s="297"/>
      <c r="Q131" s="297"/>
      <c r="R131" s="298"/>
      <c r="U131" s="299"/>
      <c r="V131" s="298"/>
      <c r="Y131" s="298"/>
      <c r="Z131" s="299"/>
      <c r="AA131" s="299"/>
      <c r="AB131" s="300"/>
      <c r="AC131" s="300"/>
      <c r="AD131" s="300"/>
      <c r="AE131" s="300"/>
      <c r="AF131" s="300"/>
      <c r="AG131" s="295"/>
      <c r="AH131" s="295"/>
      <c r="AI131" s="295"/>
      <c r="AJ131" s="295"/>
      <c r="AK131" s="295"/>
      <c r="AL131" s="306"/>
      <c r="AM131" s="306"/>
      <c r="AO131" s="301"/>
      <c r="AP131" s="294"/>
      <c r="AQ131" s="302"/>
      <c r="AR131" s="302"/>
      <c r="AS131" s="302"/>
      <c r="AT131" s="302"/>
      <c r="AU131" s="302"/>
      <c r="AV131" s="303"/>
      <c r="AW131" s="303"/>
      <c r="AX131" s="303"/>
      <c r="AY131" s="312"/>
      <c r="AZ131" s="302"/>
      <c r="BA131" s="294"/>
      <c r="BB131" s="305"/>
    </row>
    <row r="132" spans="1:54" ht="15">
      <c r="A132" s="289"/>
      <c r="B132" s="290"/>
      <c r="C132" s="290"/>
      <c r="D132" s="290"/>
      <c r="E132" s="290"/>
      <c r="F132" s="292"/>
      <c r="G132" s="294"/>
      <c r="H132" s="294"/>
      <c r="I132" s="294"/>
      <c r="J132" s="294"/>
      <c r="K132" s="294"/>
      <c r="L132" s="294"/>
      <c r="M132" s="295"/>
      <c r="N132" s="296"/>
      <c r="O132" s="295"/>
      <c r="P132" s="297"/>
      <c r="Q132" s="297"/>
      <c r="R132" s="298"/>
      <c r="U132" s="299"/>
      <c r="V132" s="298"/>
      <c r="Y132" s="298"/>
      <c r="Z132" s="299"/>
      <c r="AA132" s="299"/>
      <c r="AB132" s="300"/>
      <c r="AC132" s="300"/>
      <c r="AD132" s="300"/>
      <c r="AE132" s="300"/>
      <c r="AF132" s="300"/>
      <c r="AG132" s="295"/>
      <c r="AH132" s="295"/>
      <c r="AI132" s="295"/>
      <c r="AJ132" s="295"/>
      <c r="AK132" s="295"/>
      <c r="AL132" s="306"/>
      <c r="AM132" s="306"/>
      <c r="AO132" s="301"/>
      <c r="AP132" s="294"/>
      <c r="AQ132" s="302"/>
      <c r="AR132" s="302"/>
      <c r="AS132" s="302"/>
      <c r="AT132" s="302"/>
      <c r="AU132" s="302"/>
      <c r="AV132" s="303"/>
      <c r="AW132" s="303"/>
      <c r="AX132" s="303"/>
      <c r="AY132" s="312"/>
      <c r="AZ132" s="302"/>
      <c r="BA132" s="294"/>
      <c r="BB132" s="305"/>
    </row>
    <row r="133" spans="1:54" ht="15">
      <c r="A133" s="289"/>
      <c r="B133" s="290"/>
      <c r="C133" s="290"/>
      <c r="D133" s="290"/>
      <c r="E133" s="290"/>
      <c r="F133" s="292"/>
      <c r="G133" s="294"/>
      <c r="H133" s="294"/>
      <c r="I133" s="294"/>
      <c r="J133" s="294"/>
      <c r="K133" s="294"/>
      <c r="L133" s="294"/>
      <c r="M133" s="295"/>
      <c r="N133" s="296"/>
      <c r="O133" s="295"/>
      <c r="P133" s="297"/>
      <c r="Q133" s="297"/>
      <c r="R133" s="298"/>
      <c r="U133" s="299"/>
      <c r="V133" s="298"/>
      <c r="Y133" s="298"/>
      <c r="Z133" s="299"/>
      <c r="AA133" s="299"/>
      <c r="AB133" s="300"/>
      <c r="AC133" s="300"/>
      <c r="AD133" s="300"/>
      <c r="AE133" s="300"/>
      <c r="AF133" s="300"/>
      <c r="AG133" s="295"/>
      <c r="AH133" s="295"/>
      <c r="AI133" s="295"/>
      <c r="AJ133" s="295"/>
      <c r="AK133" s="295"/>
      <c r="AL133" s="306"/>
      <c r="AM133" s="306"/>
      <c r="AO133" s="301"/>
      <c r="AP133" s="294"/>
      <c r="AQ133" s="302"/>
      <c r="AR133" s="302"/>
      <c r="AS133" s="302"/>
      <c r="AT133" s="302"/>
      <c r="AU133" s="302"/>
      <c r="AV133" s="303"/>
      <c r="AW133" s="303"/>
      <c r="AX133" s="303"/>
      <c r="AY133" s="312"/>
      <c r="AZ133" s="302"/>
      <c r="BA133" s="294"/>
      <c r="BB133" s="305"/>
    </row>
    <row r="134" spans="1:54" ht="15">
      <c r="A134" s="289"/>
      <c r="B134" s="290"/>
      <c r="C134" s="290"/>
      <c r="D134" s="290"/>
      <c r="E134" s="290"/>
      <c r="F134" s="292"/>
      <c r="G134" s="294"/>
      <c r="H134" s="294"/>
      <c r="I134" s="294"/>
      <c r="J134" s="294"/>
      <c r="K134" s="294"/>
      <c r="L134" s="294"/>
      <c r="M134" s="295"/>
      <c r="N134" s="296"/>
      <c r="O134" s="295"/>
      <c r="P134" s="297"/>
      <c r="Q134" s="297"/>
      <c r="R134" s="298"/>
      <c r="U134" s="299"/>
      <c r="V134" s="298"/>
      <c r="Y134" s="298"/>
      <c r="Z134" s="299"/>
      <c r="AA134" s="299"/>
      <c r="AB134" s="300"/>
      <c r="AC134" s="300"/>
      <c r="AD134" s="300"/>
      <c r="AE134" s="300"/>
      <c r="AF134" s="300"/>
      <c r="AG134" s="295"/>
      <c r="AH134" s="295"/>
      <c r="AI134" s="295"/>
      <c r="AJ134" s="295"/>
      <c r="AK134" s="295"/>
      <c r="AL134" s="306"/>
      <c r="AM134" s="306"/>
      <c r="AO134" s="301"/>
      <c r="AP134" s="294"/>
      <c r="AQ134" s="302"/>
      <c r="AR134" s="302"/>
      <c r="AS134" s="302"/>
      <c r="AT134" s="302"/>
      <c r="AU134" s="302"/>
      <c r="AV134" s="303"/>
      <c r="AW134" s="303"/>
      <c r="AX134" s="303"/>
      <c r="AY134" s="312"/>
      <c r="AZ134" s="302"/>
      <c r="BA134" s="294"/>
      <c r="BB134" s="305"/>
    </row>
    <row r="135" spans="1:54" ht="15">
      <c r="A135" s="289"/>
      <c r="B135" s="290"/>
      <c r="C135" s="290"/>
      <c r="D135" s="290"/>
      <c r="E135" s="290"/>
      <c r="F135" s="292"/>
      <c r="G135" s="294"/>
      <c r="H135" s="294"/>
      <c r="I135" s="294"/>
      <c r="J135" s="294"/>
      <c r="K135" s="294"/>
      <c r="L135" s="294"/>
      <c r="M135" s="295"/>
      <c r="N135" s="296"/>
      <c r="O135" s="295"/>
      <c r="P135" s="297"/>
      <c r="Q135" s="297"/>
      <c r="R135" s="298"/>
      <c r="U135" s="299"/>
      <c r="V135" s="298"/>
      <c r="Y135" s="298"/>
      <c r="Z135" s="299"/>
      <c r="AA135" s="299"/>
      <c r="AB135" s="300"/>
      <c r="AC135" s="300"/>
      <c r="AD135" s="300"/>
      <c r="AE135" s="300"/>
      <c r="AF135" s="300"/>
      <c r="AG135" s="295"/>
      <c r="AH135" s="295"/>
      <c r="AI135" s="295"/>
      <c r="AJ135" s="295"/>
      <c r="AK135" s="295"/>
      <c r="AL135" s="306"/>
      <c r="AM135" s="306"/>
      <c r="AO135" s="301"/>
      <c r="AP135" s="294"/>
      <c r="AQ135" s="302"/>
      <c r="AR135" s="302"/>
      <c r="AS135" s="302"/>
      <c r="AT135" s="302"/>
      <c r="AU135" s="302"/>
      <c r="AV135" s="303"/>
      <c r="AW135" s="303"/>
      <c r="AX135" s="303"/>
      <c r="AY135" s="312"/>
      <c r="AZ135" s="302"/>
      <c r="BA135" s="294"/>
      <c r="BB135" s="305"/>
    </row>
    <row r="136" spans="1:54" ht="15">
      <c r="A136" s="289"/>
      <c r="B136" s="290"/>
      <c r="C136" s="290"/>
      <c r="D136" s="290"/>
      <c r="E136" s="290"/>
      <c r="F136" s="292"/>
      <c r="G136" s="294"/>
      <c r="H136" s="294"/>
      <c r="I136" s="294"/>
      <c r="J136" s="294"/>
      <c r="K136" s="294"/>
      <c r="L136" s="294"/>
      <c r="M136" s="295"/>
      <c r="N136" s="296"/>
      <c r="O136" s="295"/>
      <c r="P136" s="297"/>
      <c r="Q136" s="297"/>
      <c r="R136" s="298"/>
      <c r="U136" s="299"/>
      <c r="V136" s="298"/>
      <c r="Y136" s="298"/>
      <c r="Z136" s="299"/>
      <c r="AA136" s="299"/>
      <c r="AB136" s="300"/>
      <c r="AC136" s="300"/>
      <c r="AD136" s="300"/>
      <c r="AE136" s="300"/>
      <c r="AF136" s="300"/>
      <c r="AG136" s="295"/>
      <c r="AH136" s="295"/>
      <c r="AI136" s="295"/>
      <c r="AJ136" s="295"/>
      <c r="AK136" s="295"/>
      <c r="AL136" s="306"/>
      <c r="AM136" s="306"/>
      <c r="AO136" s="301"/>
      <c r="AP136" s="294"/>
      <c r="AQ136" s="302"/>
      <c r="AR136" s="302"/>
      <c r="AS136" s="302"/>
      <c r="AT136" s="302"/>
      <c r="AU136" s="302"/>
      <c r="AV136" s="303"/>
      <c r="AW136" s="303"/>
      <c r="AX136" s="303"/>
      <c r="AY136" s="312"/>
      <c r="AZ136" s="302"/>
      <c r="BA136" s="294"/>
      <c r="BB136" s="305"/>
    </row>
    <row r="137" spans="1:54" ht="15">
      <c r="A137" s="289"/>
      <c r="B137" s="290"/>
      <c r="C137" s="290"/>
      <c r="D137" s="290"/>
      <c r="E137" s="290"/>
      <c r="F137" s="292"/>
      <c r="G137" s="294"/>
      <c r="H137" s="294"/>
      <c r="I137" s="294"/>
      <c r="J137" s="294"/>
      <c r="K137" s="294"/>
      <c r="L137" s="294"/>
      <c r="M137" s="295"/>
      <c r="N137" s="296"/>
      <c r="O137" s="295"/>
      <c r="P137" s="297"/>
      <c r="Q137" s="297"/>
      <c r="R137" s="298"/>
      <c r="U137" s="299"/>
      <c r="V137" s="298"/>
      <c r="Y137" s="298"/>
      <c r="Z137" s="299"/>
      <c r="AA137" s="299"/>
      <c r="AB137" s="300"/>
      <c r="AC137" s="300"/>
      <c r="AD137" s="300"/>
      <c r="AE137" s="300"/>
      <c r="AF137" s="300"/>
      <c r="AG137" s="295"/>
      <c r="AH137" s="295"/>
      <c r="AI137" s="295"/>
      <c r="AJ137" s="295"/>
      <c r="AK137" s="295"/>
      <c r="AL137" s="306"/>
      <c r="AM137" s="306"/>
      <c r="AO137" s="301"/>
      <c r="AP137" s="294"/>
      <c r="AQ137" s="302"/>
      <c r="AR137" s="302"/>
      <c r="AS137" s="302"/>
      <c r="AT137" s="302"/>
      <c r="AU137" s="302"/>
      <c r="AV137" s="303"/>
      <c r="AW137" s="303"/>
      <c r="AX137" s="303"/>
      <c r="AY137" s="312"/>
      <c r="AZ137" s="302"/>
      <c r="BA137" s="294"/>
      <c r="BB137" s="305"/>
    </row>
    <row r="138" spans="1:54" ht="15">
      <c r="A138" s="289"/>
      <c r="B138" s="290"/>
      <c r="C138" s="290"/>
      <c r="D138" s="290"/>
      <c r="E138" s="290"/>
      <c r="F138" s="292"/>
      <c r="G138" s="294"/>
      <c r="H138" s="294"/>
      <c r="I138" s="294"/>
      <c r="J138" s="294"/>
      <c r="K138" s="294"/>
      <c r="L138" s="294"/>
      <c r="M138" s="295"/>
      <c r="N138" s="296"/>
      <c r="O138" s="295"/>
      <c r="P138" s="297"/>
      <c r="Q138" s="297"/>
      <c r="R138" s="298"/>
      <c r="U138" s="299"/>
      <c r="V138" s="298"/>
      <c r="Y138" s="298"/>
      <c r="Z138" s="299"/>
      <c r="AA138" s="299"/>
      <c r="AB138" s="300"/>
      <c r="AC138" s="300"/>
      <c r="AD138" s="300"/>
      <c r="AE138" s="300"/>
      <c r="AF138" s="300"/>
      <c r="AG138" s="295"/>
      <c r="AH138" s="295"/>
      <c r="AI138" s="295"/>
      <c r="AJ138" s="295"/>
      <c r="AK138" s="295"/>
      <c r="AL138" s="306"/>
      <c r="AM138" s="306"/>
      <c r="AO138" s="301"/>
      <c r="AP138" s="294"/>
      <c r="AQ138" s="302"/>
      <c r="AR138" s="302"/>
      <c r="AS138" s="302"/>
      <c r="AT138" s="302"/>
      <c r="AU138" s="302"/>
      <c r="AV138" s="303"/>
      <c r="AW138" s="303"/>
      <c r="AX138" s="303"/>
      <c r="AY138" s="312"/>
      <c r="AZ138" s="302"/>
      <c r="BA138" s="294"/>
      <c r="BB138" s="305"/>
    </row>
    <row r="139" spans="1:54" ht="15">
      <c r="A139" s="289"/>
      <c r="B139" s="290"/>
      <c r="C139" s="290"/>
      <c r="D139" s="290"/>
      <c r="E139" s="290"/>
      <c r="F139" s="292"/>
      <c r="G139" s="294"/>
      <c r="H139" s="294"/>
      <c r="I139" s="294"/>
      <c r="J139" s="294"/>
      <c r="K139" s="294"/>
      <c r="L139" s="294"/>
      <c r="M139" s="295"/>
      <c r="N139" s="296"/>
      <c r="O139" s="295"/>
      <c r="P139" s="297"/>
      <c r="Q139" s="297"/>
      <c r="R139" s="298"/>
      <c r="U139" s="299"/>
      <c r="V139" s="298"/>
      <c r="Y139" s="298"/>
      <c r="Z139" s="299"/>
      <c r="AA139" s="299"/>
      <c r="AB139" s="300"/>
      <c r="AC139" s="300"/>
      <c r="AD139" s="300"/>
      <c r="AE139" s="300"/>
      <c r="AF139" s="300"/>
      <c r="AG139" s="295"/>
      <c r="AH139" s="295"/>
      <c r="AI139" s="295"/>
      <c r="AJ139" s="295"/>
      <c r="AK139" s="295"/>
      <c r="AL139" s="306"/>
      <c r="AM139" s="306"/>
      <c r="AO139" s="301"/>
      <c r="AP139" s="294"/>
      <c r="AQ139" s="302"/>
      <c r="AR139" s="302"/>
      <c r="AS139" s="302"/>
      <c r="AT139" s="302"/>
      <c r="AU139" s="302"/>
      <c r="AV139" s="303"/>
      <c r="AW139" s="303"/>
      <c r="AX139" s="303"/>
      <c r="AY139" s="312"/>
      <c r="AZ139" s="302"/>
      <c r="BA139" s="294"/>
      <c r="BB139" s="305"/>
    </row>
    <row r="140" spans="1:54" ht="15">
      <c r="A140" s="289"/>
      <c r="B140" s="290"/>
      <c r="C140" s="290"/>
      <c r="D140" s="290"/>
      <c r="E140" s="290"/>
      <c r="F140" s="292"/>
      <c r="G140" s="294"/>
      <c r="H140" s="294"/>
      <c r="I140" s="294"/>
      <c r="J140" s="294"/>
      <c r="K140" s="294"/>
      <c r="L140" s="294"/>
      <c r="M140" s="295"/>
      <c r="N140" s="296"/>
      <c r="O140" s="295"/>
      <c r="P140" s="297"/>
      <c r="Q140" s="297"/>
      <c r="R140" s="298"/>
      <c r="U140" s="299"/>
      <c r="V140" s="298"/>
      <c r="Y140" s="298"/>
      <c r="Z140" s="299"/>
      <c r="AA140" s="299"/>
      <c r="AB140" s="300"/>
      <c r="AC140" s="300"/>
      <c r="AD140" s="300"/>
      <c r="AE140" s="300"/>
      <c r="AF140" s="300"/>
      <c r="AG140" s="295"/>
      <c r="AH140" s="295"/>
      <c r="AI140" s="295"/>
      <c r="AJ140" s="295"/>
      <c r="AK140" s="295"/>
      <c r="AL140" s="306"/>
      <c r="AM140" s="306"/>
      <c r="AO140" s="301"/>
      <c r="AP140" s="294"/>
      <c r="AQ140" s="302"/>
      <c r="AR140" s="302"/>
      <c r="AS140" s="302"/>
      <c r="AT140" s="302"/>
      <c r="AU140" s="302"/>
      <c r="AV140" s="303"/>
      <c r="AW140" s="303"/>
      <c r="AX140" s="303"/>
      <c r="AY140" s="312"/>
      <c r="AZ140" s="302"/>
      <c r="BA140" s="294"/>
      <c r="BB140" s="305"/>
    </row>
    <row r="141" spans="1:54" ht="15">
      <c r="A141" s="289"/>
      <c r="B141" s="290"/>
      <c r="C141" s="290"/>
      <c r="D141" s="290"/>
      <c r="E141" s="290"/>
      <c r="F141" s="292"/>
      <c r="G141" s="294"/>
      <c r="H141" s="294"/>
      <c r="I141" s="294"/>
      <c r="J141" s="294"/>
      <c r="K141" s="294"/>
      <c r="L141" s="294"/>
      <c r="M141" s="295"/>
      <c r="N141" s="296"/>
      <c r="O141" s="295"/>
      <c r="P141" s="297"/>
      <c r="Q141" s="297"/>
      <c r="R141" s="298"/>
      <c r="U141" s="299"/>
      <c r="V141" s="298"/>
      <c r="Y141" s="298"/>
      <c r="Z141" s="299"/>
      <c r="AA141" s="299"/>
      <c r="AB141" s="300"/>
      <c r="AC141" s="300"/>
      <c r="AD141" s="300"/>
      <c r="AE141" s="300"/>
      <c r="AF141" s="300"/>
      <c r="AG141" s="295"/>
      <c r="AH141" s="295"/>
      <c r="AI141" s="295"/>
      <c r="AJ141" s="295"/>
      <c r="AK141" s="295"/>
      <c r="AL141" s="306"/>
      <c r="AM141" s="306"/>
      <c r="AO141" s="301"/>
      <c r="AP141" s="294"/>
      <c r="AQ141" s="302"/>
      <c r="AR141" s="302"/>
      <c r="AS141" s="302"/>
      <c r="AT141" s="302"/>
      <c r="AU141" s="302"/>
      <c r="AV141" s="303"/>
      <c r="AW141" s="303"/>
      <c r="AX141" s="303"/>
      <c r="AY141" s="312"/>
      <c r="AZ141" s="302"/>
      <c r="BA141" s="294"/>
      <c r="BB141" s="305"/>
    </row>
    <row r="142" spans="1:54" ht="15">
      <c r="A142" s="289"/>
      <c r="B142" s="290"/>
      <c r="C142" s="290"/>
      <c r="D142" s="290"/>
      <c r="E142" s="290"/>
      <c r="F142" s="292"/>
      <c r="G142" s="294"/>
      <c r="H142" s="294"/>
      <c r="I142" s="294"/>
      <c r="J142" s="294"/>
      <c r="K142" s="294"/>
      <c r="L142" s="294"/>
      <c r="M142" s="295"/>
      <c r="N142" s="296"/>
      <c r="O142" s="295"/>
      <c r="P142" s="297"/>
      <c r="Q142" s="297"/>
      <c r="R142" s="298"/>
      <c r="U142" s="299"/>
      <c r="V142" s="298"/>
      <c r="Y142" s="298"/>
      <c r="Z142" s="299"/>
      <c r="AA142" s="299"/>
      <c r="AB142" s="300"/>
      <c r="AC142" s="300"/>
      <c r="AD142" s="300"/>
      <c r="AE142" s="300"/>
      <c r="AF142" s="300"/>
      <c r="AG142" s="295"/>
      <c r="AH142" s="295"/>
      <c r="AI142" s="295"/>
      <c r="AJ142" s="295"/>
      <c r="AK142" s="295"/>
      <c r="AL142" s="306"/>
      <c r="AM142" s="306"/>
      <c r="AO142" s="301"/>
      <c r="AP142" s="294"/>
      <c r="AQ142" s="302"/>
      <c r="AR142" s="302"/>
      <c r="AS142" s="302"/>
      <c r="AT142" s="302"/>
      <c r="AU142" s="302"/>
      <c r="AV142" s="303"/>
      <c r="AW142" s="303"/>
      <c r="AX142" s="303"/>
      <c r="AY142" s="312"/>
      <c r="AZ142" s="302"/>
      <c r="BA142" s="294"/>
      <c r="BB142" s="305"/>
    </row>
    <row r="143" spans="1:54" ht="15">
      <c r="A143" s="289"/>
      <c r="B143" s="290"/>
      <c r="C143" s="290"/>
      <c r="D143" s="290"/>
      <c r="E143" s="290"/>
      <c r="F143" s="292"/>
      <c r="G143" s="294"/>
      <c r="H143" s="294"/>
      <c r="I143" s="294"/>
      <c r="J143" s="294"/>
      <c r="K143" s="294"/>
      <c r="L143" s="294"/>
      <c r="M143" s="295"/>
      <c r="N143" s="296"/>
      <c r="O143" s="295"/>
      <c r="P143" s="297"/>
      <c r="Q143" s="297"/>
      <c r="R143" s="298"/>
      <c r="U143" s="299"/>
      <c r="V143" s="298"/>
      <c r="Y143" s="298"/>
      <c r="Z143" s="299"/>
      <c r="AA143" s="299"/>
      <c r="AB143" s="300"/>
      <c r="AC143" s="300"/>
      <c r="AD143" s="300"/>
      <c r="AE143" s="300"/>
      <c r="AF143" s="300"/>
      <c r="AG143" s="295"/>
      <c r="AH143" s="295"/>
      <c r="AI143" s="295"/>
      <c r="AJ143" s="295"/>
      <c r="AK143" s="295"/>
      <c r="AL143" s="306"/>
      <c r="AM143" s="306"/>
      <c r="AO143" s="301"/>
      <c r="AP143" s="294"/>
      <c r="AQ143" s="302"/>
      <c r="AR143" s="302"/>
      <c r="AS143" s="302"/>
      <c r="AT143" s="302"/>
      <c r="AU143" s="302"/>
      <c r="AV143" s="303"/>
      <c r="AW143" s="303"/>
      <c r="AX143" s="303"/>
      <c r="AY143" s="312"/>
      <c r="AZ143" s="302"/>
      <c r="BA143" s="294"/>
      <c r="BB143" s="305"/>
    </row>
    <row r="144" spans="1:54" ht="15">
      <c r="A144" s="289"/>
      <c r="B144" s="290"/>
      <c r="C144" s="290"/>
      <c r="D144" s="290"/>
      <c r="E144" s="290"/>
      <c r="F144" s="292"/>
      <c r="G144" s="294"/>
      <c r="H144" s="294"/>
      <c r="I144" s="294"/>
      <c r="J144" s="294"/>
      <c r="K144" s="294"/>
      <c r="L144" s="294"/>
      <c r="M144" s="295"/>
      <c r="N144" s="296"/>
      <c r="O144" s="295"/>
      <c r="P144" s="297"/>
      <c r="Q144" s="297"/>
      <c r="R144" s="298"/>
      <c r="U144" s="299"/>
      <c r="V144" s="298"/>
      <c r="Y144" s="298"/>
      <c r="Z144" s="299"/>
      <c r="AA144" s="299"/>
      <c r="AB144" s="300"/>
      <c r="AC144" s="300"/>
      <c r="AD144" s="300"/>
      <c r="AE144" s="300"/>
      <c r="AF144" s="300"/>
      <c r="AG144" s="295"/>
      <c r="AH144" s="295"/>
      <c r="AI144" s="295"/>
      <c r="AJ144" s="295"/>
      <c r="AK144" s="295"/>
      <c r="AL144" s="306"/>
      <c r="AM144" s="306"/>
      <c r="AO144" s="301"/>
      <c r="AP144" s="294"/>
      <c r="AQ144" s="302"/>
      <c r="AR144" s="302"/>
      <c r="AS144" s="302"/>
      <c r="AT144" s="302"/>
      <c r="AU144" s="302"/>
      <c r="AV144" s="303"/>
      <c r="AW144" s="303"/>
      <c r="AX144" s="303"/>
      <c r="AY144" s="312"/>
      <c r="AZ144" s="302"/>
      <c r="BA144" s="294"/>
      <c r="BB144" s="305"/>
    </row>
    <row r="145" spans="1:54" ht="15">
      <c r="A145" s="289"/>
      <c r="B145" s="290"/>
      <c r="C145" s="290"/>
      <c r="D145" s="290"/>
      <c r="E145" s="290"/>
      <c r="F145" s="292"/>
      <c r="G145" s="294"/>
      <c r="H145" s="294"/>
      <c r="I145" s="294"/>
      <c r="J145" s="294"/>
      <c r="K145" s="294"/>
      <c r="L145" s="294"/>
      <c r="M145" s="295"/>
      <c r="N145" s="296"/>
      <c r="O145" s="295"/>
      <c r="P145" s="297"/>
      <c r="Q145" s="297"/>
      <c r="R145" s="298"/>
      <c r="U145" s="299"/>
      <c r="V145" s="298"/>
      <c r="Y145" s="298"/>
      <c r="Z145" s="299"/>
      <c r="AA145" s="299"/>
      <c r="AB145" s="300"/>
      <c r="AC145" s="300"/>
      <c r="AD145" s="300"/>
      <c r="AE145" s="300"/>
      <c r="AF145" s="300"/>
      <c r="AG145" s="295"/>
      <c r="AH145" s="295"/>
      <c r="AI145" s="295"/>
      <c r="AJ145" s="295"/>
      <c r="AK145" s="295"/>
      <c r="AL145" s="306"/>
      <c r="AM145" s="306"/>
      <c r="AO145" s="301"/>
      <c r="AP145" s="294"/>
      <c r="AQ145" s="302"/>
      <c r="AR145" s="302"/>
      <c r="AS145" s="302"/>
      <c r="AT145" s="302"/>
      <c r="AU145" s="302"/>
      <c r="AV145" s="303"/>
      <c r="AW145" s="303"/>
      <c r="AX145" s="303"/>
      <c r="AY145" s="312"/>
      <c r="AZ145" s="302"/>
      <c r="BA145" s="294"/>
      <c r="BB145" s="305"/>
    </row>
    <row r="146" spans="1:54" ht="15">
      <c r="A146" s="289"/>
      <c r="B146" s="290"/>
      <c r="C146" s="290"/>
      <c r="D146" s="290"/>
      <c r="E146" s="290"/>
      <c r="F146" s="292"/>
      <c r="G146" s="294"/>
      <c r="H146" s="294"/>
      <c r="I146" s="294"/>
      <c r="J146" s="294"/>
      <c r="K146" s="294"/>
      <c r="L146" s="294"/>
      <c r="M146" s="295"/>
      <c r="N146" s="296"/>
      <c r="O146" s="295"/>
      <c r="P146" s="297"/>
      <c r="Q146" s="297"/>
      <c r="R146" s="298"/>
      <c r="U146" s="299"/>
      <c r="V146" s="298"/>
      <c r="Y146" s="298"/>
      <c r="Z146" s="299"/>
      <c r="AA146" s="299"/>
      <c r="AB146" s="300"/>
      <c r="AC146" s="300"/>
      <c r="AD146" s="300"/>
      <c r="AE146" s="300"/>
      <c r="AF146" s="300"/>
      <c r="AG146" s="295"/>
      <c r="AH146" s="295"/>
      <c r="AI146" s="295"/>
      <c r="AJ146" s="295"/>
      <c r="AK146" s="295"/>
      <c r="AL146" s="306"/>
      <c r="AM146" s="306"/>
      <c r="AO146" s="301"/>
      <c r="AP146" s="294"/>
      <c r="AQ146" s="302"/>
      <c r="AR146" s="302"/>
      <c r="AS146" s="302"/>
      <c r="AT146" s="302"/>
      <c r="AU146" s="302"/>
      <c r="AV146" s="303"/>
      <c r="AW146" s="303"/>
      <c r="AX146" s="303"/>
      <c r="AY146" s="312"/>
      <c r="AZ146" s="302"/>
      <c r="BA146" s="294"/>
      <c r="BB146" s="305"/>
    </row>
    <row r="147" spans="1:54" ht="15">
      <c r="A147" s="289"/>
      <c r="B147" s="290"/>
      <c r="C147" s="290"/>
      <c r="D147" s="290"/>
      <c r="E147" s="290"/>
      <c r="F147" s="292"/>
      <c r="G147" s="294"/>
      <c r="H147" s="294"/>
      <c r="I147" s="294"/>
      <c r="J147" s="294"/>
      <c r="K147" s="294"/>
      <c r="L147" s="294"/>
      <c r="M147" s="295"/>
      <c r="N147" s="296"/>
      <c r="O147" s="295"/>
      <c r="P147" s="297"/>
      <c r="Q147" s="297"/>
      <c r="R147" s="298"/>
      <c r="U147" s="299"/>
      <c r="V147" s="298"/>
      <c r="Y147" s="298"/>
      <c r="Z147" s="299"/>
      <c r="AA147" s="299"/>
      <c r="AB147" s="300"/>
      <c r="AC147" s="300"/>
      <c r="AD147" s="300"/>
      <c r="AE147" s="300"/>
      <c r="AF147" s="300"/>
      <c r="AG147" s="295"/>
      <c r="AH147" s="295"/>
      <c r="AI147" s="295"/>
      <c r="AJ147" s="295"/>
      <c r="AK147" s="295"/>
      <c r="AL147" s="306"/>
      <c r="AM147" s="306"/>
      <c r="AO147" s="301"/>
      <c r="AP147" s="294"/>
      <c r="AQ147" s="302"/>
      <c r="AR147" s="302"/>
      <c r="AS147" s="302"/>
      <c r="AT147" s="302"/>
      <c r="AU147" s="302"/>
      <c r="AV147" s="303"/>
      <c r="AW147" s="303"/>
      <c r="AX147" s="303"/>
      <c r="AY147" s="312"/>
      <c r="AZ147" s="302"/>
      <c r="BA147" s="294"/>
      <c r="BB147" s="305"/>
    </row>
    <row r="148" spans="1:54" ht="15">
      <c r="A148" s="289"/>
      <c r="B148" s="290"/>
      <c r="C148" s="290"/>
      <c r="D148" s="290"/>
      <c r="E148" s="290"/>
      <c r="F148" s="292"/>
      <c r="G148" s="294"/>
      <c r="H148" s="294"/>
      <c r="I148" s="294"/>
      <c r="J148" s="294"/>
      <c r="K148" s="294"/>
      <c r="L148" s="294"/>
      <c r="M148" s="295"/>
      <c r="N148" s="296"/>
      <c r="O148" s="295"/>
      <c r="P148" s="297"/>
      <c r="Q148" s="297"/>
      <c r="R148" s="298"/>
      <c r="U148" s="299"/>
      <c r="V148" s="298"/>
      <c r="Y148" s="298"/>
      <c r="Z148" s="299"/>
      <c r="AA148" s="299"/>
      <c r="AB148" s="300"/>
      <c r="AC148" s="300"/>
      <c r="AD148" s="300"/>
      <c r="AE148" s="300"/>
      <c r="AF148" s="300"/>
      <c r="AG148" s="295"/>
      <c r="AH148" s="295"/>
      <c r="AI148" s="295"/>
      <c r="AJ148" s="295"/>
      <c r="AK148" s="295"/>
      <c r="AL148" s="306"/>
      <c r="AM148" s="306"/>
      <c r="AO148" s="301"/>
      <c r="AP148" s="294"/>
      <c r="AQ148" s="302"/>
      <c r="AR148" s="302"/>
      <c r="AS148" s="302"/>
      <c r="AT148" s="302"/>
      <c r="AU148" s="302"/>
      <c r="AV148" s="303"/>
      <c r="AW148" s="303"/>
      <c r="AX148" s="303"/>
      <c r="AY148" s="312"/>
      <c r="AZ148" s="302"/>
      <c r="BA148" s="294"/>
      <c r="BB148" s="305"/>
    </row>
    <row r="149" spans="1:54" ht="15">
      <c r="A149" s="289"/>
      <c r="B149" s="290"/>
      <c r="C149" s="290"/>
      <c r="D149" s="290"/>
      <c r="E149" s="290"/>
      <c r="F149" s="292"/>
      <c r="G149" s="294"/>
      <c r="H149" s="294"/>
      <c r="I149" s="294"/>
      <c r="J149" s="294"/>
      <c r="K149" s="294"/>
      <c r="L149" s="294"/>
      <c r="M149" s="295"/>
      <c r="N149" s="296"/>
      <c r="O149" s="295"/>
      <c r="P149" s="297"/>
      <c r="Q149" s="297"/>
      <c r="R149" s="298"/>
      <c r="U149" s="299"/>
      <c r="V149" s="298"/>
      <c r="Y149" s="298"/>
      <c r="Z149" s="299"/>
      <c r="AA149" s="299"/>
      <c r="AB149" s="300"/>
      <c r="AC149" s="300"/>
      <c r="AD149" s="300"/>
      <c r="AE149" s="300"/>
      <c r="AF149" s="300"/>
      <c r="AG149" s="295"/>
      <c r="AH149" s="295"/>
      <c r="AI149" s="295"/>
      <c r="AJ149" s="295"/>
      <c r="AK149" s="295"/>
      <c r="AL149" s="306"/>
      <c r="AM149" s="306"/>
      <c r="AO149" s="301"/>
      <c r="AP149" s="294"/>
      <c r="AQ149" s="302"/>
      <c r="AR149" s="302"/>
      <c r="AS149" s="302"/>
      <c r="AT149" s="302"/>
      <c r="AU149" s="302"/>
      <c r="AV149" s="303"/>
      <c r="AW149" s="303"/>
      <c r="AX149" s="303"/>
      <c r="AY149" s="312"/>
      <c r="AZ149" s="302"/>
      <c r="BA149" s="294"/>
      <c r="BB149" s="305"/>
    </row>
    <row r="150" spans="1:54" ht="15">
      <c r="A150" s="289"/>
      <c r="B150" s="290"/>
      <c r="C150" s="290"/>
      <c r="D150" s="290"/>
      <c r="E150" s="290"/>
      <c r="F150" s="292"/>
      <c r="G150" s="294"/>
      <c r="H150" s="294"/>
      <c r="I150" s="294"/>
      <c r="J150" s="294"/>
      <c r="K150" s="294"/>
      <c r="L150" s="294"/>
      <c r="M150" s="295"/>
      <c r="N150" s="296"/>
      <c r="O150" s="295"/>
      <c r="P150" s="297"/>
      <c r="Q150" s="297"/>
      <c r="R150" s="298"/>
      <c r="U150" s="299"/>
      <c r="V150" s="298"/>
      <c r="Y150" s="298"/>
      <c r="Z150" s="299"/>
      <c r="AA150" s="299"/>
      <c r="AB150" s="300"/>
      <c r="AC150" s="300"/>
      <c r="AD150" s="300"/>
      <c r="AE150" s="300"/>
      <c r="AF150" s="300"/>
      <c r="AG150" s="295"/>
      <c r="AH150" s="295"/>
      <c r="AI150" s="295"/>
      <c r="AJ150" s="295"/>
      <c r="AK150" s="295"/>
      <c r="AL150" s="306"/>
      <c r="AM150" s="306"/>
      <c r="AO150" s="301"/>
      <c r="AP150" s="294"/>
      <c r="AQ150" s="302"/>
      <c r="AR150" s="302"/>
      <c r="AS150" s="302"/>
      <c r="AT150" s="302"/>
      <c r="AU150" s="302"/>
      <c r="AV150" s="303"/>
      <c r="AW150" s="303"/>
      <c r="AX150" s="303"/>
      <c r="AY150" s="312"/>
      <c r="AZ150" s="302"/>
      <c r="BA150" s="294"/>
      <c r="BB150" s="305"/>
    </row>
    <row r="151" spans="1:54" ht="15">
      <c r="A151" s="289"/>
      <c r="B151" s="290"/>
      <c r="C151" s="290"/>
      <c r="D151" s="290"/>
      <c r="E151" s="290"/>
      <c r="F151" s="292"/>
      <c r="G151" s="294"/>
      <c r="H151" s="294"/>
      <c r="I151" s="294"/>
      <c r="J151" s="294"/>
      <c r="K151" s="294"/>
      <c r="L151" s="294"/>
      <c r="M151" s="295"/>
      <c r="N151" s="296"/>
      <c r="O151" s="295"/>
      <c r="P151" s="297"/>
      <c r="Q151" s="297"/>
      <c r="R151" s="298"/>
      <c r="U151" s="299"/>
      <c r="V151" s="298"/>
      <c r="Y151" s="298"/>
      <c r="Z151" s="299"/>
      <c r="AA151" s="299"/>
      <c r="AB151" s="300"/>
      <c r="AC151" s="300"/>
      <c r="AD151" s="300"/>
      <c r="AE151" s="300"/>
      <c r="AF151" s="300"/>
      <c r="AG151" s="295"/>
      <c r="AH151" s="295"/>
      <c r="AI151" s="295"/>
      <c r="AJ151" s="295"/>
      <c r="AK151" s="295"/>
      <c r="AL151" s="306"/>
      <c r="AM151" s="306"/>
      <c r="AO151" s="301"/>
      <c r="AP151" s="294"/>
      <c r="AQ151" s="302"/>
      <c r="AR151" s="302"/>
      <c r="AS151" s="302"/>
      <c r="AT151" s="302"/>
      <c r="AU151" s="302"/>
      <c r="AV151" s="303"/>
      <c r="AW151" s="303"/>
      <c r="AX151" s="303"/>
      <c r="AY151" s="312"/>
      <c r="AZ151" s="302"/>
      <c r="BA151" s="294"/>
      <c r="BB151" s="305"/>
    </row>
    <row r="152" spans="1:54" ht="15">
      <c r="A152" s="289"/>
      <c r="B152" s="290"/>
      <c r="C152" s="290"/>
      <c r="D152" s="290"/>
      <c r="E152" s="290"/>
      <c r="F152" s="292"/>
      <c r="G152" s="294"/>
      <c r="H152" s="294"/>
      <c r="I152" s="294"/>
      <c r="J152" s="294"/>
      <c r="K152" s="294"/>
      <c r="L152" s="294"/>
      <c r="M152" s="295"/>
      <c r="N152" s="296"/>
      <c r="O152" s="295"/>
      <c r="P152" s="297"/>
      <c r="Q152" s="297"/>
      <c r="R152" s="298"/>
      <c r="U152" s="299"/>
      <c r="V152" s="298"/>
      <c r="Y152" s="298"/>
      <c r="Z152" s="299"/>
      <c r="AA152" s="299"/>
      <c r="AB152" s="300"/>
      <c r="AC152" s="300"/>
      <c r="AD152" s="300"/>
      <c r="AE152" s="300"/>
      <c r="AF152" s="300"/>
      <c r="AG152" s="295"/>
      <c r="AH152" s="295"/>
      <c r="AI152" s="295"/>
      <c r="AJ152" s="295"/>
      <c r="AK152" s="295"/>
      <c r="AL152" s="306"/>
      <c r="AM152" s="306"/>
      <c r="AO152" s="301"/>
      <c r="AP152" s="294"/>
      <c r="AQ152" s="302"/>
      <c r="AR152" s="302"/>
      <c r="AS152" s="302"/>
      <c r="AT152" s="302"/>
      <c r="AU152" s="302"/>
      <c r="AV152" s="303"/>
      <c r="AW152" s="303"/>
      <c r="AX152" s="303"/>
      <c r="AY152" s="312"/>
      <c r="AZ152" s="302"/>
      <c r="BA152" s="294"/>
      <c r="BB152" s="305"/>
    </row>
    <row r="153" spans="1:54" ht="15">
      <c r="A153" s="289"/>
      <c r="B153" s="290"/>
      <c r="C153" s="290"/>
      <c r="D153" s="290"/>
      <c r="E153" s="290"/>
      <c r="F153" s="292"/>
      <c r="G153" s="294"/>
      <c r="H153" s="294"/>
      <c r="I153" s="294"/>
      <c r="J153" s="294"/>
      <c r="K153" s="294"/>
      <c r="L153" s="294"/>
      <c r="M153" s="295"/>
      <c r="N153" s="296"/>
      <c r="O153" s="295"/>
      <c r="P153" s="297"/>
      <c r="Q153" s="297"/>
      <c r="R153" s="298"/>
      <c r="U153" s="299"/>
      <c r="V153" s="298"/>
      <c r="Y153" s="298"/>
      <c r="Z153" s="299"/>
      <c r="AA153" s="299"/>
      <c r="AB153" s="300"/>
      <c r="AC153" s="300"/>
      <c r="AD153" s="300"/>
      <c r="AE153" s="300"/>
      <c r="AF153" s="300"/>
      <c r="AG153" s="295"/>
      <c r="AH153" s="295"/>
      <c r="AI153" s="295"/>
      <c r="AJ153" s="295"/>
      <c r="AK153" s="295"/>
      <c r="AL153" s="306"/>
      <c r="AM153" s="306"/>
      <c r="AO153" s="301"/>
      <c r="AP153" s="294"/>
      <c r="AQ153" s="302"/>
      <c r="AR153" s="302"/>
      <c r="AS153" s="302"/>
      <c r="AT153" s="302"/>
      <c r="AU153" s="302"/>
      <c r="AV153" s="303"/>
      <c r="AW153" s="303"/>
      <c r="AX153" s="303"/>
      <c r="AY153" s="312"/>
      <c r="AZ153" s="302"/>
      <c r="BA153" s="294"/>
      <c r="BB153" s="305"/>
    </row>
    <row r="154" spans="1:54" ht="15">
      <c r="A154" s="289"/>
      <c r="B154" s="290"/>
      <c r="C154" s="290"/>
      <c r="D154" s="290"/>
      <c r="E154" s="290"/>
      <c r="F154" s="292"/>
      <c r="G154" s="294"/>
      <c r="H154" s="294"/>
      <c r="I154" s="294"/>
      <c r="J154" s="294"/>
      <c r="K154" s="294"/>
      <c r="L154" s="294"/>
      <c r="M154" s="295"/>
      <c r="N154" s="296"/>
      <c r="O154" s="295"/>
      <c r="P154" s="297"/>
      <c r="Q154" s="297"/>
      <c r="R154" s="298"/>
      <c r="U154" s="299"/>
      <c r="V154" s="298"/>
      <c r="Y154" s="298"/>
      <c r="Z154" s="299"/>
      <c r="AA154" s="299"/>
      <c r="AB154" s="300"/>
      <c r="AC154" s="300"/>
      <c r="AD154" s="300"/>
      <c r="AE154" s="300"/>
      <c r="AF154" s="300"/>
      <c r="AG154" s="295"/>
      <c r="AH154" s="295"/>
      <c r="AI154" s="295"/>
      <c r="AJ154" s="295"/>
      <c r="AK154" s="295"/>
      <c r="AL154" s="306"/>
      <c r="AM154" s="306"/>
      <c r="AO154" s="301"/>
      <c r="AP154" s="294"/>
      <c r="AQ154" s="302"/>
      <c r="AR154" s="302"/>
      <c r="AS154" s="302"/>
      <c r="AT154" s="302"/>
      <c r="AU154" s="302"/>
      <c r="AV154" s="303"/>
      <c r="AW154" s="303"/>
      <c r="AX154" s="303"/>
      <c r="AY154" s="312"/>
      <c r="AZ154" s="302"/>
      <c r="BA154" s="294"/>
      <c r="BB154" s="305"/>
    </row>
    <row r="155" spans="1:54" ht="15">
      <c r="A155" s="289"/>
      <c r="B155" s="290"/>
      <c r="C155" s="290"/>
      <c r="D155" s="290"/>
      <c r="E155" s="290"/>
      <c r="F155" s="292"/>
      <c r="G155" s="294"/>
      <c r="H155" s="294"/>
      <c r="I155" s="294"/>
      <c r="J155" s="294"/>
      <c r="K155" s="294"/>
      <c r="L155" s="294"/>
      <c r="M155" s="295"/>
      <c r="N155" s="296"/>
      <c r="O155" s="295"/>
      <c r="P155" s="297"/>
      <c r="Q155" s="297"/>
      <c r="R155" s="298"/>
      <c r="U155" s="299"/>
      <c r="V155" s="298"/>
      <c r="Y155" s="298"/>
      <c r="Z155" s="299"/>
      <c r="AA155" s="299"/>
      <c r="AB155" s="300"/>
      <c r="AC155" s="300"/>
      <c r="AD155" s="300"/>
      <c r="AE155" s="300"/>
      <c r="AF155" s="300"/>
      <c r="AG155" s="295"/>
      <c r="AH155" s="295"/>
      <c r="AI155" s="295"/>
      <c r="AJ155" s="295"/>
      <c r="AK155" s="295"/>
      <c r="AL155" s="306"/>
      <c r="AM155" s="306"/>
      <c r="AO155" s="301"/>
      <c r="AP155" s="294"/>
      <c r="AQ155" s="302"/>
      <c r="AR155" s="302"/>
      <c r="AS155" s="302"/>
      <c r="AT155" s="302"/>
      <c r="AU155" s="302"/>
      <c r="AV155" s="303"/>
      <c r="AW155" s="303"/>
      <c r="AX155" s="303"/>
      <c r="AY155" s="312"/>
      <c r="AZ155" s="302"/>
      <c r="BA155" s="294"/>
      <c r="BB155" s="305"/>
    </row>
    <row r="156" spans="1:54" ht="15">
      <c r="A156" s="289"/>
      <c r="B156" s="290"/>
      <c r="C156" s="290"/>
      <c r="D156" s="290"/>
      <c r="E156" s="290"/>
      <c r="F156" s="292"/>
      <c r="G156" s="294"/>
      <c r="H156" s="294"/>
      <c r="I156" s="294"/>
      <c r="J156" s="294"/>
      <c r="K156" s="294"/>
      <c r="L156" s="294"/>
      <c r="M156" s="295"/>
      <c r="N156" s="296"/>
      <c r="O156" s="295"/>
      <c r="P156" s="297"/>
      <c r="Q156" s="297"/>
      <c r="R156" s="298"/>
      <c r="U156" s="299"/>
      <c r="V156" s="298"/>
      <c r="Y156" s="298"/>
      <c r="Z156" s="299"/>
      <c r="AA156" s="299"/>
      <c r="AB156" s="300"/>
      <c r="AC156" s="300"/>
      <c r="AD156" s="300"/>
      <c r="AE156" s="300"/>
      <c r="AF156" s="300"/>
      <c r="AG156" s="295"/>
      <c r="AH156" s="295"/>
      <c r="AI156" s="295"/>
      <c r="AJ156" s="295"/>
      <c r="AK156" s="295"/>
      <c r="AL156" s="306"/>
      <c r="AM156" s="306"/>
      <c r="AO156" s="301"/>
      <c r="AP156" s="294"/>
      <c r="AQ156" s="302"/>
      <c r="AR156" s="302"/>
      <c r="AS156" s="302"/>
      <c r="AT156" s="302"/>
      <c r="AU156" s="302"/>
      <c r="AV156" s="303"/>
      <c r="AW156" s="303"/>
      <c r="AX156" s="303"/>
      <c r="AY156" s="312"/>
      <c r="AZ156" s="302"/>
      <c r="BA156" s="294"/>
      <c r="BB156" s="305"/>
    </row>
    <row r="157" spans="1:54" ht="15">
      <c r="A157" s="289"/>
      <c r="B157" s="290"/>
      <c r="C157" s="290"/>
      <c r="D157" s="290"/>
      <c r="E157" s="290"/>
      <c r="F157" s="292"/>
      <c r="G157" s="294"/>
      <c r="H157" s="294"/>
      <c r="I157" s="294"/>
      <c r="J157" s="294"/>
      <c r="K157" s="294"/>
      <c r="L157" s="294"/>
      <c r="M157" s="295"/>
      <c r="N157" s="296"/>
      <c r="O157" s="295"/>
      <c r="P157" s="297"/>
      <c r="Q157" s="297"/>
      <c r="R157" s="298"/>
      <c r="U157" s="299"/>
      <c r="V157" s="298"/>
      <c r="Y157" s="298"/>
      <c r="Z157" s="299"/>
      <c r="AA157" s="299"/>
      <c r="AB157" s="300"/>
      <c r="AC157" s="300"/>
      <c r="AD157" s="300"/>
      <c r="AE157" s="300"/>
      <c r="AF157" s="300"/>
      <c r="AG157" s="295"/>
      <c r="AH157" s="295"/>
      <c r="AI157" s="295"/>
      <c r="AJ157" s="295"/>
      <c r="AK157" s="295"/>
      <c r="AL157" s="306"/>
      <c r="AM157" s="306"/>
      <c r="AO157" s="301"/>
      <c r="AP157" s="294"/>
      <c r="AQ157" s="302"/>
      <c r="AR157" s="302"/>
      <c r="AS157" s="302"/>
      <c r="AT157" s="302"/>
      <c r="AU157" s="302"/>
      <c r="AV157" s="303"/>
      <c r="AW157" s="303"/>
      <c r="AX157" s="303"/>
      <c r="AY157" s="312"/>
      <c r="AZ157" s="302"/>
      <c r="BA157" s="294"/>
      <c r="BB157" s="305"/>
    </row>
    <row r="158" spans="1:54" ht="15">
      <c r="A158" s="289"/>
      <c r="B158" s="290"/>
      <c r="C158" s="290"/>
      <c r="D158" s="290"/>
      <c r="E158" s="290"/>
      <c r="F158" s="292"/>
      <c r="G158" s="294"/>
      <c r="H158" s="294"/>
      <c r="I158" s="294"/>
      <c r="J158" s="294"/>
      <c r="K158" s="294"/>
      <c r="L158" s="294"/>
      <c r="M158" s="295"/>
      <c r="N158" s="296"/>
      <c r="O158" s="295"/>
      <c r="P158" s="297"/>
      <c r="Q158" s="297"/>
      <c r="R158" s="298"/>
      <c r="U158" s="299"/>
      <c r="V158" s="298"/>
      <c r="Y158" s="298"/>
      <c r="Z158" s="299"/>
      <c r="AA158" s="299"/>
      <c r="AB158" s="300"/>
      <c r="AC158" s="300"/>
      <c r="AD158" s="300"/>
      <c r="AE158" s="300"/>
      <c r="AF158" s="300"/>
      <c r="AG158" s="295"/>
      <c r="AH158" s="295"/>
      <c r="AI158" s="295"/>
      <c r="AJ158" s="295"/>
      <c r="AK158" s="295"/>
      <c r="AL158" s="306"/>
      <c r="AM158" s="306"/>
      <c r="AO158" s="301"/>
      <c r="AP158" s="294"/>
      <c r="AQ158" s="302"/>
      <c r="AR158" s="302"/>
      <c r="AS158" s="302"/>
      <c r="AT158" s="302"/>
      <c r="AU158" s="302"/>
      <c r="AV158" s="303"/>
      <c r="AW158" s="303"/>
      <c r="AX158" s="303"/>
      <c r="AY158" s="312"/>
      <c r="AZ158" s="302"/>
      <c r="BA158" s="294"/>
      <c r="BB158" s="305"/>
    </row>
  </sheetData>
  <sheetProtection formatCells="0" insertHyperlinks="0" autoFilter="0"/>
  <phoneticPr fontId="59" type="noConversion"/>
  <conditionalFormatting sqref="M9:M10 M35 M49">
    <cfRule type="cellIs" dxfId="1336" priority="967" operator="between">
      <formula>$F9</formula>
      <formula>$G9</formula>
    </cfRule>
    <cfRule type="cellIs" dxfId="1335" priority="968" operator="between">
      <formula>$E9</formula>
      <formula>$F9</formula>
    </cfRule>
    <cfRule type="cellIs" dxfId="1334" priority="965" operator="between">
      <formula>$H9</formula>
      <formula>$I9</formula>
    </cfRule>
    <cfRule type="cellIs" dxfId="1333" priority="966" operator="between">
      <formula>$G9</formula>
      <formula>$H9</formula>
    </cfRule>
  </conditionalFormatting>
  <conditionalFormatting sqref="M9:M10 M35">
    <cfRule type="cellIs" dxfId="1332" priority="963" operator="between">
      <formula>$J9</formula>
      <formula>$K9</formula>
    </cfRule>
    <cfRule type="cellIs" dxfId="1331" priority="964" operator="between">
      <formula>$I9</formula>
      <formula>$J9</formula>
    </cfRule>
  </conditionalFormatting>
  <conditionalFormatting sqref="M15">
    <cfRule type="cellIs" dxfId="1330" priority="459" operator="between">
      <formula>$J15</formula>
      <formula>$K15</formula>
    </cfRule>
    <cfRule type="cellIs" dxfId="1329" priority="460" operator="between">
      <formula>$I15</formula>
      <formula>$J15</formula>
    </cfRule>
    <cfRule type="cellIs" dxfId="1328" priority="461" operator="between">
      <formula>$H15</formula>
      <formula>$I15</formula>
    </cfRule>
    <cfRule type="cellIs" dxfId="1327" priority="462" operator="between">
      <formula>$G15</formula>
      <formula>$H15</formula>
    </cfRule>
    <cfRule type="cellIs" dxfId="1326" priority="463" operator="between">
      <formula>$F15</formula>
      <formula>$G15</formula>
    </cfRule>
    <cfRule type="cellIs" dxfId="1325" priority="464" operator="between">
      <formula>$E15</formula>
      <formula>$F15</formula>
    </cfRule>
  </conditionalFormatting>
  <conditionalFormatting sqref="M17">
    <cfRule type="cellIs" dxfId="1324" priority="957" operator="between">
      <formula>$J17</formula>
      <formula>$K17</formula>
    </cfRule>
    <cfRule type="cellIs" dxfId="1323" priority="961" operator="between">
      <formula>$F17</formula>
      <formula>$G17</formula>
    </cfRule>
    <cfRule type="cellIs" dxfId="1322" priority="962" operator="between">
      <formula>$E17</formula>
      <formula>$F17</formula>
    </cfRule>
    <cfRule type="cellIs" dxfId="1321" priority="960" operator="between">
      <formula>$G17</formula>
      <formula>$H17</formula>
    </cfRule>
    <cfRule type="cellIs" dxfId="1320" priority="959" operator="between">
      <formula>$H17</formula>
      <formula>$I17</formula>
    </cfRule>
    <cfRule type="cellIs" dxfId="1319" priority="958" operator="between">
      <formula>$I17</formula>
      <formula>$J17</formula>
    </cfRule>
  </conditionalFormatting>
  <conditionalFormatting sqref="M26">
    <cfRule type="cellIs" dxfId="1318" priority="941" operator="between">
      <formula>$H26</formula>
      <formula>$I26</formula>
    </cfRule>
    <cfRule type="cellIs" dxfId="1317" priority="942" operator="between">
      <formula>$G26</formula>
      <formula>$H26</formula>
    </cfRule>
    <cfRule type="cellIs" dxfId="1316" priority="943" operator="between">
      <formula>$F26</formula>
      <formula>$G26</formula>
    </cfRule>
    <cfRule type="cellIs" dxfId="1315" priority="944" operator="between">
      <formula>$E26</formula>
      <formula>$F26</formula>
    </cfRule>
  </conditionalFormatting>
  <conditionalFormatting sqref="M26:M28">
    <cfRule type="cellIs" dxfId="1314" priority="939" operator="between">
      <formula>$J26</formula>
      <formula>$K26</formula>
    </cfRule>
    <cfRule type="cellIs" dxfId="1313" priority="940" operator="between">
      <formula>$I26</formula>
      <formula>$J26</formula>
    </cfRule>
  </conditionalFormatting>
  <conditionalFormatting sqref="M27:M28 M43 M48">
    <cfRule type="cellIs" dxfId="1312" priority="948" operator="between">
      <formula>$G27</formula>
      <formula>$H27</formula>
    </cfRule>
    <cfRule type="cellIs" dxfId="1311" priority="949" operator="between">
      <formula>$F27</formula>
      <formula>$G27</formula>
    </cfRule>
    <cfRule type="cellIs" dxfId="1310" priority="950" operator="between">
      <formula>$E27</formula>
      <formula>$F27</formula>
    </cfRule>
  </conditionalFormatting>
  <conditionalFormatting sqref="M33">
    <cfRule type="cellIs" dxfId="1309" priority="951" operator="between">
      <formula>$J33</formula>
      <formula>$K33</formula>
    </cfRule>
    <cfRule type="cellIs" dxfId="1308" priority="952" operator="between">
      <formula>$I33</formula>
      <formula>$J33</formula>
    </cfRule>
    <cfRule type="cellIs" dxfId="1307" priority="953" operator="between">
      <formula>$H33</formula>
      <formula>$I33</formula>
    </cfRule>
    <cfRule type="cellIs" dxfId="1306" priority="955" operator="between">
      <formula>$F33</formula>
      <formula>$G33</formula>
    </cfRule>
    <cfRule type="cellIs" dxfId="1305" priority="956" operator="between">
      <formula>$E33</formula>
      <formula>$F33</formula>
    </cfRule>
    <cfRule type="cellIs" dxfId="1304" priority="954" operator="between">
      <formula>$G33</formula>
      <formula>$H33</formula>
    </cfRule>
  </conditionalFormatting>
  <conditionalFormatting sqref="M39">
    <cfRule type="cellIs" dxfId="1303" priority="969" operator="between">
      <formula>$J39</formula>
      <formula>$K39</formula>
    </cfRule>
    <cfRule type="cellIs" dxfId="1302" priority="974" operator="between">
      <formula>$E39</formula>
      <formula>$F39</formula>
    </cfRule>
    <cfRule type="cellIs" dxfId="1301" priority="970" operator="between">
      <formula>$I39</formula>
      <formula>$J39</formula>
    </cfRule>
    <cfRule type="cellIs" dxfId="1300" priority="973" operator="between">
      <formula>$F39</formula>
      <formula>$G39</formula>
    </cfRule>
    <cfRule type="cellIs" dxfId="1299" priority="972" operator="between">
      <formula>$G39</formula>
      <formula>$H39</formula>
    </cfRule>
    <cfRule type="cellIs" dxfId="1298" priority="971" operator="between">
      <formula>$H39</formula>
      <formula>$I39</formula>
    </cfRule>
  </conditionalFormatting>
  <conditionalFormatting sqref="M43 M48 M27:M28">
    <cfRule type="cellIs" dxfId="1297" priority="947" operator="between">
      <formula>$H27</formula>
      <formula>$I27</formula>
    </cfRule>
  </conditionalFormatting>
  <conditionalFormatting sqref="M43 M48:M49">
    <cfRule type="cellIs" dxfId="1296" priority="946" operator="between">
      <formula>$I43</formula>
      <formula>$J43</formula>
    </cfRule>
    <cfRule type="cellIs" dxfId="1295" priority="945" operator="between">
      <formula>$J43</formula>
      <formula>$K43</formula>
    </cfRule>
  </conditionalFormatting>
  <conditionalFormatting sqref="N9:N10 N35 N49">
    <cfRule type="cellIs" dxfId="1294" priority="930" operator="between">
      <formula>$G9</formula>
      <formula>$H9</formula>
    </cfRule>
    <cfRule type="cellIs" dxfId="1293" priority="932" operator="between">
      <formula>$E9</formula>
      <formula>$F9</formula>
    </cfRule>
    <cfRule type="cellIs" dxfId="1292" priority="931" operator="between">
      <formula>$F9</formula>
      <formula>$G9</formula>
    </cfRule>
    <cfRule type="cellIs" dxfId="1291" priority="929" operator="between">
      <formula>$H9</formula>
      <formula>$I9</formula>
    </cfRule>
  </conditionalFormatting>
  <conditionalFormatting sqref="N9:N10 N35">
    <cfRule type="cellIs" dxfId="1290" priority="927" operator="between">
      <formula>$J9</formula>
      <formula>$K9</formula>
    </cfRule>
    <cfRule type="cellIs" dxfId="1289" priority="928" operator="between">
      <formula>$I9</formula>
      <formula>$J9</formula>
    </cfRule>
  </conditionalFormatting>
  <conditionalFormatting sqref="N17">
    <cfRule type="cellIs" dxfId="1288" priority="925" operator="between">
      <formula>$F17</formula>
      <formula>$G17</formula>
    </cfRule>
    <cfRule type="cellIs" dxfId="1287" priority="926" operator="between">
      <formula>$E17</formula>
      <formula>$F17</formula>
    </cfRule>
    <cfRule type="cellIs" dxfId="1286" priority="924" operator="between">
      <formula>$G17</formula>
      <formula>$H17</formula>
    </cfRule>
    <cfRule type="cellIs" dxfId="1285" priority="923" operator="between">
      <formula>$H17</formula>
      <formula>$I17</formula>
    </cfRule>
    <cfRule type="cellIs" dxfId="1284" priority="922" operator="between">
      <formula>$I17</formula>
      <formula>$J17</formula>
    </cfRule>
    <cfRule type="cellIs" dxfId="1283" priority="921" operator="between">
      <formula>$J17</formula>
      <formula>$K17</formula>
    </cfRule>
  </conditionalFormatting>
  <conditionalFormatting sqref="N26">
    <cfRule type="cellIs" dxfId="1282" priority="908" operator="between">
      <formula>$E26</formula>
      <formula>$F26</formula>
    </cfRule>
    <cfRule type="cellIs" dxfId="1281" priority="907" operator="between">
      <formula>$F26</formula>
      <formula>$G26</formula>
    </cfRule>
    <cfRule type="cellIs" dxfId="1280" priority="906" operator="between">
      <formula>$G26</formula>
      <formula>$H26</formula>
    </cfRule>
    <cfRule type="cellIs" dxfId="1279" priority="905" operator="between">
      <formula>$H26</formula>
      <formula>$I26</formula>
    </cfRule>
  </conditionalFormatting>
  <conditionalFormatting sqref="N26:N28">
    <cfRule type="cellIs" dxfId="1278" priority="904" operator="between">
      <formula>$I26</formula>
      <formula>$J26</formula>
    </cfRule>
    <cfRule type="cellIs" dxfId="1277" priority="903" operator="between">
      <formula>$J26</formula>
      <formula>$K26</formula>
    </cfRule>
  </conditionalFormatting>
  <conditionalFormatting sqref="N27:N28 N43 N48">
    <cfRule type="cellIs" dxfId="1276" priority="914" operator="between">
      <formula>$E27</formula>
      <formula>$F27</formula>
    </cfRule>
    <cfRule type="cellIs" dxfId="1275" priority="913" operator="between">
      <formula>$F27</formula>
      <formula>$G27</formula>
    </cfRule>
    <cfRule type="cellIs" dxfId="1274" priority="912" operator="between">
      <formula>$G27</formula>
      <formula>$H27</formula>
    </cfRule>
  </conditionalFormatting>
  <conditionalFormatting sqref="N33">
    <cfRule type="cellIs" dxfId="1273" priority="918" operator="between">
      <formula>$G33</formula>
      <formula>$H33</formula>
    </cfRule>
    <cfRule type="cellIs" dxfId="1272" priority="916" operator="between">
      <formula>$I33</formula>
      <formula>$J33</formula>
    </cfRule>
    <cfRule type="cellIs" dxfId="1271" priority="915" operator="between">
      <formula>$J33</formula>
      <formula>$K33</formula>
    </cfRule>
    <cfRule type="cellIs" dxfId="1270" priority="917" operator="between">
      <formula>$H33</formula>
      <formula>$I33</formula>
    </cfRule>
    <cfRule type="cellIs" dxfId="1269" priority="920" operator="between">
      <formula>$E33</formula>
      <formula>$F33</formula>
    </cfRule>
    <cfRule type="cellIs" dxfId="1268" priority="919" operator="between">
      <formula>$F33</formula>
      <formula>$G33</formula>
    </cfRule>
  </conditionalFormatting>
  <conditionalFormatting sqref="N39">
    <cfRule type="cellIs" dxfId="1267" priority="937" operator="between">
      <formula>$F39</formula>
      <formula>$G39</formula>
    </cfRule>
    <cfRule type="cellIs" dxfId="1266" priority="934" operator="between">
      <formula>$I39</formula>
      <formula>$J39</formula>
    </cfRule>
    <cfRule type="cellIs" dxfId="1265" priority="935" operator="between">
      <formula>$H39</formula>
      <formula>$I39</formula>
    </cfRule>
    <cfRule type="cellIs" dxfId="1264" priority="936" operator="between">
      <formula>$G39</formula>
      <formula>$H39</formula>
    </cfRule>
    <cfRule type="cellIs" dxfId="1263" priority="933" operator="between">
      <formula>$J39</formula>
      <formula>$K39</formula>
    </cfRule>
    <cfRule type="cellIs" dxfId="1262" priority="938" operator="between">
      <formula>$E39</formula>
      <formula>$F39</formula>
    </cfRule>
  </conditionalFormatting>
  <conditionalFormatting sqref="N43 N48 N27:N28">
    <cfRule type="cellIs" dxfId="1261" priority="911" operator="between">
      <formula>$H27</formula>
      <formula>$I27</formula>
    </cfRule>
  </conditionalFormatting>
  <conditionalFormatting sqref="N43 N48:N49">
    <cfRule type="cellIs" dxfId="1260" priority="909" operator="between">
      <formula>$J43</formula>
      <formula>$K43</formula>
    </cfRule>
    <cfRule type="cellIs" dxfId="1259" priority="910" operator="between">
      <formula>$I43</formula>
      <formula>$J43</formula>
    </cfRule>
  </conditionalFormatting>
  <conditionalFormatting sqref="N15:O15 R15:T15 V15:Y15 AB15:AC15 AF15:AI15 AK15 AM15">
    <cfRule type="cellIs" dxfId="1258" priority="454" operator="between">
      <formula>$I15</formula>
      <formula>$J15</formula>
    </cfRule>
    <cfRule type="cellIs" dxfId="1257" priority="455" operator="between">
      <formula>$H15</formula>
      <formula>$I15</formula>
    </cfRule>
    <cfRule type="cellIs" dxfId="1256" priority="456" operator="between">
      <formula>$G15</formula>
      <formula>$H15</formula>
    </cfRule>
    <cfRule type="cellIs" dxfId="1255" priority="457" operator="between">
      <formula>$F15</formula>
      <formula>$G15</formula>
    </cfRule>
    <cfRule type="cellIs" dxfId="1254" priority="453" operator="between">
      <formula>$J15</formula>
      <formula>$K15</formula>
    </cfRule>
    <cfRule type="cellIs" dxfId="1253" priority="458" operator="between">
      <formula>$E15</formula>
      <formula>$F15</formula>
    </cfRule>
  </conditionalFormatting>
  <conditionalFormatting sqref="O9:O10 O35 O49">
    <cfRule type="cellIs" dxfId="1252" priority="786" operator="between">
      <formula>$G9</formula>
      <formula>$H9</formula>
    </cfRule>
    <cfRule type="cellIs" dxfId="1251" priority="787" operator="between">
      <formula>$F9</formula>
      <formula>$G9</formula>
    </cfRule>
    <cfRule type="cellIs" dxfId="1250" priority="785" operator="between">
      <formula>$H9</formula>
      <formula>$I9</formula>
    </cfRule>
    <cfRule type="cellIs" dxfId="1249" priority="788" operator="between">
      <formula>$E9</formula>
      <formula>$F9</formula>
    </cfRule>
  </conditionalFormatting>
  <conditionalFormatting sqref="O9:O10 O35">
    <cfRule type="cellIs" dxfId="1248" priority="783" operator="between">
      <formula>$J9</formula>
      <formula>$K9</formula>
    </cfRule>
    <cfRule type="cellIs" dxfId="1247" priority="784" operator="between">
      <formula>$I9</formula>
      <formula>$J9</formula>
    </cfRule>
  </conditionalFormatting>
  <conditionalFormatting sqref="O17">
    <cfRule type="cellIs" dxfId="1246" priority="781" operator="between">
      <formula>$F17</formula>
      <formula>$G17</formula>
    </cfRule>
    <cfRule type="cellIs" dxfId="1245" priority="777" operator="between">
      <formula>$J17</formula>
      <formula>$K17</formula>
    </cfRule>
    <cfRule type="cellIs" dxfId="1244" priority="779" operator="between">
      <formula>$H17</formula>
      <formula>$I17</formula>
    </cfRule>
    <cfRule type="cellIs" dxfId="1243" priority="778" operator="between">
      <formula>$I17</formula>
      <formula>$J17</formula>
    </cfRule>
    <cfRule type="cellIs" dxfId="1242" priority="782" operator="between">
      <formula>$E17</formula>
      <formula>$F17</formula>
    </cfRule>
    <cfRule type="cellIs" dxfId="1241" priority="780" operator="between">
      <formula>$G17</formula>
      <formula>$H17</formula>
    </cfRule>
  </conditionalFormatting>
  <conditionalFormatting sqref="O26">
    <cfRule type="cellIs" dxfId="1240" priority="762" operator="between">
      <formula>$G26</formula>
      <formula>$H26</formula>
    </cfRule>
    <cfRule type="cellIs" dxfId="1239" priority="763" operator="between">
      <formula>$F26</formula>
      <formula>$G26</formula>
    </cfRule>
    <cfRule type="cellIs" dxfId="1238" priority="761" operator="between">
      <formula>$H26</formula>
      <formula>$I26</formula>
    </cfRule>
    <cfRule type="cellIs" dxfId="1237" priority="764" operator="between">
      <formula>$E26</formula>
      <formula>$F26</formula>
    </cfRule>
  </conditionalFormatting>
  <conditionalFormatting sqref="O26:O28">
    <cfRule type="cellIs" dxfId="1236" priority="760" operator="between">
      <formula>$I26</formula>
      <formula>$J26</formula>
    </cfRule>
    <cfRule type="cellIs" dxfId="1235" priority="759" operator="between">
      <formula>$J26</formula>
      <formula>$K26</formula>
    </cfRule>
  </conditionalFormatting>
  <conditionalFormatting sqref="O27:O28 O43 O48">
    <cfRule type="cellIs" dxfId="1234" priority="770" operator="between">
      <formula>$E27</formula>
      <formula>$F27</formula>
    </cfRule>
    <cfRule type="cellIs" dxfId="1233" priority="768" operator="between">
      <formula>$G27</formula>
      <formula>$H27</formula>
    </cfRule>
    <cfRule type="cellIs" dxfId="1232" priority="769" operator="between">
      <formula>$F27</formula>
      <formula>$G27</formula>
    </cfRule>
  </conditionalFormatting>
  <conditionalFormatting sqref="O33">
    <cfRule type="cellIs" dxfId="1231" priority="771" operator="between">
      <formula>$J33</formula>
      <formula>$K33</formula>
    </cfRule>
    <cfRule type="cellIs" dxfId="1230" priority="775" operator="between">
      <formula>$F33</formula>
      <formula>$G33</formula>
    </cfRule>
    <cfRule type="cellIs" dxfId="1229" priority="772" operator="between">
      <formula>$I33</formula>
      <formula>$J33</formula>
    </cfRule>
    <cfRule type="cellIs" dxfId="1228" priority="773" operator="between">
      <formula>$H33</formula>
      <formula>$I33</formula>
    </cfRule>
    <cfRule type="cellIs" dxfId="1227" priority="774" operator="between">
      <formula>$G33</formula>
      <formula>$H33</formula>
    </cfRule>
    <cfRule type="cellIs" dxfId="1226" priority="776" operator="between">
      <formula>$E33</formula>
      <formula>$F33</formula>
    </cfRule>
  </conditionalFormatting>
  <conditionalFormatting sqref="O39">
    <cfRule type="cellIs" dxfId="1225" priority="789" operator="between">
      <formula>$J39</formula>
      <formula>$K39</formula>
    </cfRule>
    <cfRule type="cellIs" dxfId="1224" priority="791" operator="between">
      <formula>$H39</formula>
      <formula>$I39</formula>
    </cfRule>
    <cfRule type="cellIs" dxfId="1223" priority="793" operator="between">
      <formula>$F39</formula>
      <formula>$G39</formula>
    </cfRule>
    <cfRule type="cellIs" dxfId="1222" priority="792" operator="between">
      <formula>$G39</formula>
      <formula>$H39</formula>
    </cfRule>
    <cfRule type="cellIs" dxfId="1221" priority="790" operator="between">
      <formula>$I39</formula>
      <formula>$J39</formula>
    </cfRule>
    <cfRule type="cellIs" dxfId="1220" priority="794" operator="between">
      <formula>$E39</formula>
      <formula>$F39</formula>
    </cfRule>
  </conditionalFormatting>
  <conditionalFormatting sqref="O43 O48 O27:O28">
    <cfRule type="cellIs" dxfId="1219" priority="767" operator="between">
      <formula>$H27</formula>
      <formula>$I27</formula>
    </cfRule>
  </conditionalFormatting>
  <conditionalFormatting sqref="O43 O48:O49">
    <cfRule type="cellIs" dxfId="1218" priority="766" operator="between">
      <formula>$I43</formula>
      <formula>$J43</formula>
    </cfRule>
    <cfRule type="cellIs" dxfId="1217" priority="765" operator="between">
      <formula>$J43</formula>
      <formula>$K43</formula>
    </cfRule>
  </conditionalFormatting>
  <conditionalFormatting sqref="P9:P10 P35 P49">
    <cfRule type="cellIs" dxfId="1216" priority="422" operator="between">
      <formula>$E9</formula>
      <formula>$F9</formula>
    </cfRule>
    <cfRule type="cellIs" dxfId="1215" priority="419" operator="between">
      <formula>$H9</formula>
      <formula>$I9</formula>
    </cfRule>
    <cfRule type="cellIs" dxfId="1214" priority="420" operator="between">
      <formula>$G9</formula>
      <formula>$H9</formula>
    </cfRule>
    <cfRule type="cellIs" dxfId="1213" priority="421" operator="between">
      <formula>$F9</formula>
      <formula>$G9</formula>
    </cfRule>
  </conditionalFormatting>
  <conditionalFormatting sqref="P9:P10 P35">
    <cfRule type="cellIs" dxfId="1212" priority="417" operator="between">
      <formula>$J9</formula>
      <formula>$K9</formula>
    </cfRule>
    <cfRule type="cellIs" dxfId="1211" priority="418" operator="between">
      <formula>$I9</formula>
      <formula>$J9</formula>
    </cfRule>
  </conditionalFormatting>
  <conditionalFormatting sqref="P15">
    <cfRule type="cellIs" dxfId="1210" priority="392" operator="between">
      <formula>$E15</formula>
      <formula>$F15</formula>
    </cfRule>
    <cfRule type="cellIs" dxfId="1209" priority="391" operator="between">
      <formula>$F15</formula>
      <formula>$G15</formula>
    </cfRule>
    <cfRule type="cellIs" dxfId="1208" priority="390" operator="between">
      <formula>$G15</formula>
      <formula>$H15</formula>
    </cfRule>
    <cfRule type="cellIs" dxfId="1207" priority="388" operator="between">
      <formula>$I15</formula>
      <formula>$J15</formula>
    </cfRule>
    <cfRule type="cellIs" dxfId="1206" priority="387" operator="between">
      <formula>$J15</formula>
      <formula>$K15</formula>
    </cfRule>
    <cfRule type="cellIs" dxfId="1205" priority="389" operator="between">
      <formula>$H15</formula>
      <formula>$I15</formula>
    </cfRule>
  </conditionalFormatting>
  <conditionalFormatting sqref="P17">
    <cfRule type="cellIs" dxfId="1204" priority="415" operator="between">
      <formula>$F17</formula>
      <formula>$G17</formula>
    </cfRule>
    <cfRule type="cellIs" dxfId="1203" priority="414" operator="between">
      <formula>$G17</formula>
      <formula>$H17</formula>
    </cfRule>
    <cfRule type="cellIs" dxfId="1202" priority="413" operator="between">
      <formula>$H17</formula>
      <formula>$I17</formula>
    </cfRule>
    <cfRule type="cellIs" dxfId="1201" priority="411" operator="between">
      <formula>$J17</formula>
      <formula>$K17</formula>
    </cfRule>
    <cfRule type="cellIs" dxfId="1200" priority="412" operator="between">
      <formula>$I17</formula>
      <formula>$J17</formula>
    </cfRule>
    <cfRule type="cellIs" dxfId="1199" priority="416" operator="between">
      <formula>$E17</formula>
      <formula>$F17</formula>
    </cfRule>
  </conditionalFormatting>
  <conditionalFormatting sqref="P26">
    <cfRule type="cellIs" dxfId="1198" priority="396" operator="between">
      <formula>$G26</formula>
      <formula>$H26</formula>
    </cfRule>
    <cfRule type="cellIs" dxfId="1197" priority="398" operator="between">
      <formula>$E26</formula>
      <formula>$F26</formula>
    </cfRule>
    <cfRule type="cellIs" dxfId="1196" priority="397" operator="between">
      <formula>$F26</formula>
      <formula>$G26</formula>
    </cfRule>
    <cfRule type="cellIs" dxfId="1195" priority="395" operator="between">
      <formula>$H26</formula>
      <formula>$I26</formula>
    </cfRule>
  </conditionalFormatting>
  <conditionalFormatting sqref="P26:P28">
    <cfRule type="cellIs" dxfId="1194" priority="393" operator="between">
      <formula>$J26</formula>
      <formula>$K26</formula>
    </cfRule>
    <cfRule type="cellIs" dxfId="1193" priority="394" operator="between">
      <formula>$I26</formula>
      <formula>$J26</formula>
    </cfRule>
  </conditionalFormatting>
  <conditionalFormatting sqref="P27:P28 P43 P48">
    <cfRule type="cellIs" dxfId="1192" priority="403" operator="between">
      <formula>$F27</formula>
      <formula>$G27</formula>
    </cfRule>
    <cfRule type="cellIs" dxfId="1191" priority="404" operator="between">
      <formula>$E27</formula>
      <formula>$F27</formula>
    </cfRule>
    <cfRule type="cellIs" dxfId="1190" priority="402" operator="between">
      <formula>$G27</formula>
      <formula>$H27</formula>
    </cfRule>
  </conditionalFormatting>
  <conditionalFormatting sqref="P33">
    <cfRule type="cellIs" dxfId="1189" priority="408" operator="between">
      <formula>$G33</formula>
      <formula>$H33</formula>
    </cfRule>
    <cfRule type="cellIs" dxfId="1188" priority="405" operator="between">
      <formula>$J33</formula>
      <formula>$K33</formula>
    </cfRule>
    <cfRule type="cellIs" dxfId="1187" priority="410" operator="between">
      <formula>$E33</formula>
      <formula>$F33</formula>
    </cfRule>
    <cfRule type="cellIs" dxfId="1186" priority="407" operator="between">
      <formula>$H33</formula>
      <formula>$I33</formula>
    </cfRule>
    <cfRule type="cellIs" dxfId="1185" priority="409" operator="between">
      <formula>$F33</formula>
      <formula>$G33</formula>
    </cfRule>
    <cfRule type="cellIs" dxfId="1184" priority="406" operator="between">
      <formula>$I33</formula>
      <formula>$J33</formula>
    </cfRule>
  </conditionalFormatting>
  <conditionalFormatting sqref="P39">
    <cfRule type="cellIs" dxfId="1183" priority="428" operator="between">
      <formula>$E39</formula>
      <formula>$F39</formula>
    </cfRule>
    <cfRule type="cellIs" dxfId="1182" priority="425" operator="between">
      <formula>$H39</formula>
      <formula>$I39</formula>
    </cfRule>
    <cfRule type="cellIs" dxfId="1181" priority="427" operator="between">
      <formula>$F39</formula>
      <formula>$G39</formula>
    </cfRule>
    <cfRule type="cellIs" dxfId="1180" priority="426" operator="between">
      <formula>$G39</formula>
      <formula>$H39</formula>
    </cfRule>
    <cfRule type="cellIs" dxfId="1179" priority="424" operator="between">
      <formula>$I39</formula>
      <formula>$J39</formula>
    </cfRule>
    <cfRule type="cellIs" dxfId="1178" priority="423" operator="between">
      <formula>$J39</formula>
      <formula>$K39</formula>
    </cfRule>
  </conditionalFormatting>
  <conditionalFormatting sqref="P43 P48 P27:P28">
    <cfRule type="cellIs" dxfId="1177" priority="401" operator="between">
      <formula>$H27</formula>
      <formula>$I27</formula>
    </cfRule>
  </conditionalFormatting>
  <conditionalFormatting sqref="P43 P48:P49">
    <cfRule type="cellIs" dxfId="1176" priority="400" operator="between">
      <formula>$I43</formula>
      <formula>$J43</formula>
    </cfRule>
    <cfRule type="cellIs" dxfId="1175" priority="399" operator="between">
      <formula>$J43</formula>
      <formula>$K43</formula>
    </cfRule>
  </conditionalFormatting>
  <conditionalFormatting sqref="Q9:Q10 Q35 Q49">
    <cfRule type="cellIs" dxfId="1174" priority="378" operator="between">
      <formula>$G9</formula>
      <formula>$H9</formula>
    </cfRule>
    <cfRule type="cellIs" dxfId="1173" priority="379" operator="between">
      <formula>$F9</formula>
      <formula>$G9</formula>
    </cfRule>
    <cfRule type="cellIs" dxfId="1172" priority="380" operator="between">
      <formula>$E9</formula>
      <formula>$F9</formula>
    </cfRule>
    <cfRule type="cellIs" dxfId="1171" priority="377" operator="between">
      <formula>$H9</formula>
      <formula>$I9</formula>
    </cfRule>
  </conditionalFormatting>
  <conditionalFormatting sqref="Q9:Q10 Q35">
    <cfRule type="cellIs" dxfId="1170" priority="375" operator="between">
      <formula>$J9</formula>
      <formula>$K9</formula>
    </cfRule>
    <cfRule type="cellIs" dxfId="1169" priority="376" operator="between">
      <formula>$I9</formula>
      <formula>$J9</formula>
    </cfRule>
  </conditionalFormatting>
  <conditionalFormatting sqref="Q15">
    <cfRule type="cellIs" dxfId="1168" priority="349" operator="between">
      <formula>$F15</formula>
      <formula>$G15</formula>
    </cfRule>
    <cfRule type="cellIs" dxfId="1167" priority="345" operator="between">
      <formula>$J15</formula>
      <formula>$K15</formula>
    </cfRule>
    <cfRule type="cellIs" dxfId="1166" priority="346" operator="between">
      <formula>$I15</formula>
      <formula>$J15</formula>
    </cfRule>
    <cfRule type="cellIs" dxfId="1165" priority="348" operator="between">
      <formula>$G15</formula>
      <formula>$H15</formula>
    </cfRule>
    <cfRule type="cellIs" dxfId="1164" priority="347" operator="between">
      <formula>$H15</formula>
      <formula>$I15</formula>
    </cfRule>
    <cfRule type="cellIs" dxfId="1163" priority="350" operator="between">
      <formula>$E15</formula>
      <formula>$F15</formula>
    </cfRule>
  </conditionalFormatting>
  <conditionalFormatting sqref="Q17">
    <cfRule type="cellIs" dxfId="1162" priority="373" operator="between">
      <formula>$F17</formula>
      <formula>$G17</formula>
    </cfRule>
    <cfRule type="cellIs" dxfId="1161" priority="374" operator="between">
      <formula>$E17</formula>
      <formula>$F17</formula>
    </cfRule>
    <cfRule type="cellIs" dxfId="1160" priority="372" operator="between">
      <formula>$G17</formula>
      <formula>$H17</formula>
    </cfRule>
    <cfRule type="cellIs" dxfId="1159" priority="371" operator="between">
      <formula>$H17</formula>
      <formula>$I17</formula>
    </cfRule>
    <cfRule type="cellIs" dxfId="1158" priority="370" operator="between">
      <formula>$I17</formula>
      <formula>$J17</formula>
    </cfRule>
    <cfRule type="cellIs" dxfId="1157" priority="369" operator="between">
      <formula>$J17</formula>
      <formula>$K17</formula>
    </cfRule>
  </conditionalFormatting>
  <conditionalFormatting sqref="Q26">
    <cfRule type="cellIs" dxfId="1156" priority="356" operator="between">
      <formula>$E26</formula>
      <formula>$F26</formula>
    </cfRule>
    <cfRule type="cellIs" dxfId="1155" priority="355" operator="between">
      <formula>$F26</formula>
      <formula>$G26</formula>
    </cfRule>
    <cfRule type="cellIs" dxfId="1154" priority="354" operator="between">
      <formula>$G26</formula>
      <formula>$H26</formula>
    </cfRule>
    <cfRule type="cellIs" dxfId="1153" priority="353" operator="between">
      <formula>$H26</formula>
      <formula>$I26</formula>
    </cfRule>
  </conditionalFormatting>
  <conditionalFormatting sqref="Q26:Q28">
    <cfRule type="cellIs" dxfId="1152" priority="351" operator="between">
      <formula>$J26</formula>
      <formula>$K26</formula>
    </cfRule>
    <cfRule type="cellIs" dxfId="1151" priority="352" operator="between">
      <formula>$I26</formula>
      <formula>$J26</formula>
    </cfRule>
  </conditionalFormatting>
  <conditionalFormatting sqref="Q27:Q28 Q43 Q48">
    <cfRule type="cellIs" dxfId="1150" priority="362" operator="between">
      <formula>$E27</formula>
      <formula>$F27</formula>
    </cfRule>
    <cfRule type="cellIs" dxfId="1149" priority="361" operator="between">
      <formula>$F27</formula>
      <formula>$G27</formula>
    </cfRule>
    <cfRule type="cellIs" dxfId="1148" priority="360" operator="between">
      <formula>$G27</formula>
      <formula>$H27</formula>
    </cfRule>
  </conditionalFormatting>
  <conditionalFormatting sqref="Q33">
    <cfRule type="cellIs" dxfId="1147" priority="367" operator="between">
      <formula>$F33</formula>
      <formula>$G33</formula>
    </cfRule>
    <cfRule type="cellIs" dxfId="1146" priority="366" operator="between">
      <formula>$G33</formula>
      <formula>$H33</formula>
    </cfRule>
    <cfRule type="cellIs" dxfId="1145" priority="365" operator="between">
      <formula>$H33</formula>
      <formula>$I33</formula>
    </cfRule>
    <cfRule type="cellIs" dxfId="1144" priority="368" operator="between">
      <formula>$E33</formula>
      <formula>$F33</formula>
    </cfRule>
    <cfRule type="cellIs" dxfId="1143" priority="363" operator="between">
      <formula>$J33</formula>
      <formula>$K33</formula>
    </cfRule>
    <cfRule type="cellIs" dxfId="1142" priority="364" operator="between">
      <formula>$I33</formula>
      <formula>$J33</formula>
    </cfRule>
  </conditionalFormatting>
  <conditionalFormatting sqref="Q39">
    <cfRule type="cellIs" dxfId="1141" priority="384" operator="between">
      <formula>$G39</formula>
      <formula>$H39</formula>
    </cfRule>
    <cfRule type="cellIs" dxfId="1140" priority="383" operator="between">
      <formula>$H39</formula>
      <formula>$I39</formula>
    </cfRule>
    <cfRule type="cellIs" dxfId="1139" priority="382" operator="between">
      <formula>$I39</formula>
      <formula>$J39</formula>
    </cfRule>
    <cfRule type="cellIs" dxfId="1138" priority="381" operator="between">
      <formula>$J39</formula>
      <formula>$K39</formula>
    </cfRule>
    <cfRule type="cellIs" dxfId="1137" priority="386" operator="between">
      <formula>$E39</formula>
      <formula>$F39</formula>
    </cfRule>
    <cfRule type="cellIs" dxfId="1136" priority="385" operator="between">
      <formula>$F39</formula>
      <formula>$G39</formula>
    </cfRule>
  </conditionalFormatting>
  <conditionalFormatting sqref="Q43 Q48 Q27:Q28">
    <cfRule type="cellIs" dxfId="1135" priority="359" operator="between">
      <formula>$H27</formula>
      <formula>$I27</formula>
    </cfRule>
  </conditionalFormatting>
  <conditionalFormatting sqref="Q43 Q48:Q49">
    <cfRule type="cellIs" dxfId="1134" priority="358" operator="between">
      <formula>$I43</formula>
      <formula>$J43</formula>
    </cfRule>
    <cfRule type="cellIs" dxfId="1133" priority="357" operator="between">
      <formula>$J43</formula>
      <formula>$K43</formula>
    </cfRule>
  </conditionalFormatting>
  <conditionalFormatting sqref="R26">
    <cfRule type="cellIs" dxfId="1132" priority="1102" operator="between">
      <formula>$I26</formula>
      <formula>$J26</formula>
    </cfRule>
    <cfRule type="cellIs" dxfId="1131" priority="1101" operator="between">
      <formula>$J26</formula>
      <formula>$K26</formula>
    </cfRule>
    <cfRule type="cellIs" dxfId="1130" priority="1106" operator="between">
      <formula>$E26</formula>
      <formula>$F26</formula>
    </cfRule>
    <cfRule type="cellIs" dxfId="1129" priority="1105" operator="between">
      <formula>$F26</formula>
      <formula>$G26</formula>
    </cfRule>
    <cfRule type="cellIs" dxfId="1128" priority="1104" operator="between">
      <formula>$G26</formula>
      <formula>$H26</formula>
    </cfRule>
    <cfRule type="cellIs" dxfId="1127" priority="1103" operator="between">
      <formula>$H26</formula>
      <formula>$I26</formula>
    </cfRule>
  </conditionalFormatting>
  <conditionalFormatting sqref="R9:T10 V9:Y10 R17 W17:Y17 R33 Y33 R35:T35 V35:Y35 R39:T39 R43:T43 R49">
    <cfRule type="cellIs" dxfId="1126" priority="1047" operator="between">
      <formula>$J9</formula>
      <formula>$K9</formula>
    </cfRule>
    <cfRule type="cellIs" dxfId="1125" priority="1052" operator="between">
      <formula>$E9</formula>
      <formula>$F9</formula>
    </cfRule>
    <cfRule type="cellIs" dxfId="1124" priority="1048" operator="between">
      <formula>$I9</formula>
      <formula>$J9</formula>
    </cfRule>
    <cfRule type="cellIs" dxfId="1123" priority="1049" operator="between">
      <formula>$H9</formula>
      <formula>$I9</formula>
    </cfRule>
    <cfRule type="cellIs" dxfId="1122" priority="1051" operator="between">
      <formula>$F9</formula>
      <formula>$G9</formula>
    </cfRule>
    <cfRule type="cellIs" dxfId="1121" priority="1050" operator="between">
      <formula>$G9</formula>
      <formula>$H9</formula>
    </cfRule>
  </conditionalFormatting>
  <conditionalFormatting sqref="R27:T28 V39:W39 Y39 V43:Y43 R48:T48 V48 Y48 V27:Y28">
    <cfRule type="cellIs" dxfId="1120" priority="1019" operator="between">
      <formula>$H27</formula>
      <formula>$I27</formula>
    </cfRule>
  </conditionalFormatting>
  <conditionalFormatting sqref="R27:T28 V39:W39 Y39 V43:Y43 R48:T48 V48 Y48">
    <cfRule type="cellIs" dxfId="1119" priority="1017" operator="between">
      <formula>$J27</formula>
      <formula>$K27</formula>
    </cfRule>
    <cfRule type="cellIs" dxfId="1118" priority="1018" operator="between">
      <formula>$I27</formula>
      <formula>$J27</formula>
    </cfRule>
  </conditionalFormatting>
  <conditionalFormatting sqref="R27:T28 V27:Y28 V39:W39 Y39 V43:Y43 R48:T48 V48 Y48">
    <cfRule type="cellIs" dxfId="1117" priority="1020" operator="between">
      <formula>$G27</formula>
      <formula>$H27</formula>
    </cfRule>
    <cfRule type="cellIs" dxfId="1116" priority="1021" operator="between">
      <formula>$F27</formula>
      <formula>$G27</formula>
    </cfRule>
    <cfRule type="cellIs" dxfId="1115" priority="1022" operator="between">
      <formula>$E27</formula>
      <formula>$F27</formula>
    </cfRule>
  </conditionalFormatting>
  <conditionalFormatting sqref="S17:T17 V17">
    <cfRule type="cellIs" dxfId="1114" priority="1083" operator="between">
      <formula>$J17</formula>
      <formula>$K17</formula>
    </cfRule>
    <cfRule type="cellIs" dxfId="1113" priority="1087" operator="between">
      <formula>$F17</formula>
      <formula>$G17</formula>
    </cfRule>
    <cfRule type="cellIs" dxfId="1112" priority="1088" operator="between">
      <formula>$E17</formula>
      <formula>$F17</formula>
    </cfRule>
    <cfRule type="cellIs" dxfId="1111" priority="1086" operator="between">
      <formula>$G17</formula>
      <formula>$H17</formula>
    </cfRule>
    <cfRule type="cellIs" dxfId="1110" priority="1084" operator="between">
      <formula>$I17</formula>
      <formula>$J17</formula>
    </cfRule>
    <cfRule type="cellIs" dxfId="1109" priority="1085" operator="between">
      <formula>$H17</formula>
      <formula>$I17</formula>
    </cfRule>
  </conditionalFormatting>
  <conditionalFormatting sqref="S26:T26 V26:Y26">
    <cfRule type="cellIs" dxfId="1108" priority="1016" operator="between">
      <formula>$E26</formula>
      <formula>$F26</formula>
    </cfRule>
    <cfRule type="cellIs" dxfId="1107" priority="1015" operator="between">
      <formula>$F26</formula>
      <formula>$G26</formula>
    </cfRule>
    <cfRule type="cellIs" dxfId="1106" priority="1014" operator="between">
      <formula>$G26</formula>
      <formula>$H26</formula>
    </cfRule>
    <cfRule type="cellIs" dxfId="1105" priority="1013" operator="between">
      <formula>$H26</formula>
      <formula>$I26</formula>
    </cfRule>
  </conditionalFormatting>
  <conditionalFormatting sqref="S26:T26 V26:Y28">
    <cfRule type="cellIs" dxfId="1104" priority="1012" operator="between">
      <formula>$I26</formula>
      <formula>$J26</formula>
    </cfRule>
    <cfRule type="cellIs" dxfId="1103" priority="1011" operator="between">
      <formula>$J26</formula>
      <formula>$K26</formula>
    </cfRule>
  </conditionalFormatting>
  <conditionalFormatting sqref="S33:T33 V33">
    <cfRule type="cellIs" dxfId="1102" priority="1082" operator="between">
      <formula>$E33</formula>
      <formula>$F33</formula>
    </cfRule>
    <cfRule type="cellIs" dxfId="1101" priority="1081" operator="between">
      <formula>$F33</formula>
      <formula>$G33</formula>
    </cfRule>
    <cfRule type="cellIs" dxfId="1100" priority="1077" operator="between">
      <formula>$J33</formula>
      <formula>$K33</formula>
    </cfRule>
    <cfRule type="cellIs" dxfId="1099" priority="1078" operator="between">
      <formula>$I33</formula>
      <formula>$J33</formula>
    </cfRule>
    <cfRule type="cellIs" dxfId="1098" priority="1079" operator="between">
      <formula>$H33</formula>
      <formula>$I33</formula>
    </cfRule>
    <cfRule type="cellIs" dxfId="1097" priority="1080" operator="between">
      <formula>$G33</formula>
      <formula>$H33</formula>
    </cfRule>
  </conditionalFormatting>
  <conditionalFormatting sqref="S49:T49">
    <cfRule type="cellIs" dxfId="1096" priority="1075" operator="between">
      <formula>$F49</formula>
      <formula>$G49</formula>
    </cfRule>
    <cfRule type="cellIs" dxfId="1095" priority="1071" operator="between">
      <formula>$J49</formula>
      <formula>$K49</formula>
    </cfRule>
    <cfRule type="cellIs" dxfId="1094" priority="1072" operator="between">
      <formula>$I49</formula>
      <formula>$J49</formula>
    </cfRule>
    <cfRule type="cellIs" dxfId="1093" priority="1073" operator="between">
      <formula>$H49</formula>
      <formula>$I49</formula>
    </cfRule>
    <cfRule type="cellIs" dxfId="1092" priority="1074" operator="between">
      <formula>$G49</formula>
      <formula>$H49</formula>
    </cfRule>
    <cfRule type="cellIs" dxfId="1091" priority="1076" operator="between">
      <formula>$E49</formula>
      <formula>$F49</formula>
    </cfRule>
  </conditionalFormatting>
  <conditionalFormatting sqref="U9:U10 U35 U49">
    <cfRule type="cellIs" dxfId="1090" priority="338" operator="between">
      <formula>$E9</formula>
      <formula>$F9</formula>
    </cfRule>
    <cfRule type="cellIs" dxfId="1089" priority="337" operator="between">
      <formula>$F9</formula>
      <formula>$G9</formula>
    </cfRule>
    <cfRule type="cellIs" dxfId="1088" priority="336" operator="between">
      <formula>$G9</formula>
      <formula>$H9</formula>
    </cfRule>
    <cfRule type="cellIs" dxfId="1087" priority="335" operator="between">
      <formula>$H9</formula>
      <formula>$I9</formula>
    </cfRule>
  </conditionalFormatting>
  <conditionalFormatting sqref="U9:U10 U35">
    <cfRule type="cellIs" dxfId="1086" priority="333" operator="between">
      <formula>$J9</formula>
      <formula>$K9</formula>
    </cfRule>
    <cfRule type="cellIs" dxfId="1085" priority="334" operator="between">
      <formula>$I9</formula>
      <formula>$J9</formula>
    </cfRule>
  </conditionalFormatting>
  <conditionalFormatting sqref="U15">
    <cfRule type="cellIs" dxfId="1084" priority="307" operator="between">
      <formula>$F15</formula>
      <formula>$G15</formula>
    </cfRule>
    <cfRule type="cellIs" dxfId="1083" priority="303" operator="between">
      <formula>$J15</formula>
      <formula>$K15</formula>
    </cfRule>
    <cfRule type="cellIs" dxfId="1082" priority="304" operator="between">
      <formula>$I15</formula>
      <formula>$J15</formula>
    </cfRule>
    <cfRule type="cellIs" dxfId="1081" priority="305" operator="between">
      <formula>$H15</formula>
      <formula>$I15</formula>
    </cfRule>
    <cfRule type="cellIs" dxfId="1080" priority="306" operator="between">
      <formula>$G15</formula>
      <formula>$H15</formula>
    </cfRule>
    <cfRule type="cellIs" dxfId="1079" priority="308" operator="between">
      <formula>$E15</formula>
      <formula>$F15</formula>
    </cfRule>
  </conditionalFormatting>
  <conditionalFormatting sqref="U17">
    <cfRule type="cellIs" dxfId="1078" priority="327" operator="between">
      <formula>$J17</formula>
      <formula>$K17</formula>
    </cfRule>
    <cfRule type="cellIs" dxfId="1077" priority="332" operator="between">
      <formula>$E17</formula>
      <formula>$F17</formula>
    </cfRule>
    <cfRule type="cellIs" dxfId="1076" priority="331" operator="between">
      <formula>$F17</formula>
      <formula>$G17</formula>
    </cfRule>
    <cfRule type="cellIs" dxfId="1075" priority="330" operator="between">
      <formula>$G17</formula>
      <formula>$H17</formula>
    </cfRule>
    <cfRule type="cellIs" dxfId="1074" priority="329" operator="between">
      <formula>$H17</formula>
      <formula>$I17</formula>
    </cfRule>
    <cfRule type="cellIs" dxfId="1073" priority="328" operator="between">
      <formula>$I17</formula>
      <formula>$J17</formula>
    </cfRule>
  </conditionalFormatting>
  <conditionalFormatting sqref="U26">
    <cfRule type="cellIs" dxfId="1072" priority="311" operator="between">
      <formula>$H26</formula>
      <formula>$I26</formula>
    </cfRule>
    <cfRule type="cellIs" dxfId="1071" priority="312" operator="between">
      <formula>$G26</formula>
      <formula>$H26</formula>
    </cfRule>
    <cfRule type="cellIs" dxfId="1070" priority="313" operator="between">
      <formula>$F26</formula>
      <formula>$G26</formula>
    </cfRule>
    <cfRule type="cellIs" dxfId="1069" priority="314" operator="between">
      <formula>$E26</formula>
      <formula>$F26</formula>
    </cfRule>
  </conditionalFormatting>
  <conditionalFormatting sqref="U26:U28">
    <cfRule type="cellIs" dxfId="1068" priority="310" operator="between">
      <formula>$I26</formula>
      <formula>$J26</formula>
    </cfRule>
    <cfRule type="cellIs" dxfId="1067" priority="309" operator="between">
      <formula>$J26</formula>
      <formula>$K26</formula>
    </cfRule>
  </conditionalFormatting>
  <conditionalFormatting sqref="U27:U28 U43 U48">
    <cfRule type="cellIs" dxfId="1066" priority="318" operator="between">
      <formula>$G27</formula>
      <formula>$H27</formula>
    </cfRule>
    <cfRule type="cellIs" dxfId="1065" priority="320" operator="between">
      <formula>$E27</formula>
      <formula>$F27</formula>
    </cfRule>
    <cfRule type="cellIs" dxfId="1064" priority="319" operator="between">
      <formula>$F27</formula>
      <formula>$G27</formula>
    </cfRule>
  </conditionalFormatting>
  <conditionalFormatting sqref="U33">
    <cfRule type="cellIs" dxfId="1063" priority="323" operator="between">
      <formula>$H33</formula>
      <formula>$I33</formula>
    </cfRule>
    <cfRule type="cellIs" dxfId="1062" priority="322" operator="between">
      <formula>$I33</formula>
      <formula>$J33</formula>
    </cfRule>
    <cfRule type="cellIs" dxfId="1061" priority="324" operator="between">
      <formula>$G33</formula>
      <formula>$H33</formula>
    </cfRule>
    <cfRule type="cellIs" dxfId="1060" priority="325" operator="between">
      <formula>$F33</formula>
      <formula>$G33</formula>
    </cfRule>
    <cfRule type="cellIs" dxfId="1059" priority="326" operator="between">
      <formula>$E33</formula>
      <formula>$F33</formula>
    </cfRule>
    <cfRule type="cellIs" dxfId="1058" priority="321" operator="between">
      <formula>$J33</formula>
      <formula>$K33</formula>
    </cfRule>
  </conditionalFormatting>
  <conditionalFormatting sqref="U39">
    <cfRule type="cellIs" dxfId="1057" priority="343" operator="between">
      <formula>$F39</formula>
      <formula>$G39</formula>
    </cfRule>
    <cfRule type="cellIs" dxfId="1056" priority="342" operator="between">
      <formula>$G39</formula>
      <formula>$H39</formula>
    </cfRule>
    <cfRule type="cellIs" dxfId="1055" priority="341" operator="between">
      <formula>$H39</formula>
      <formula>$I39</formula>
    </cfRule>
    <cfRule type="cellIs" dxfId="1054" priority="339" operator="between">
      <formula>$J39</formula>
      <formula>$K39</formula>
    </cfRule>
    <cfRule type="cellIs" dxfId="1053" priority="344" operator="between">
      <formula>$E39</formula>
      <formula>$F39</formula>
    </cfRule>
    <cfRule type="cellIs" dxfId="1052" priority="340" operator="between">
      <formula>$I39</formula>
      <formula>$J39</formula>
    </cfRule>
  </conditionalFormatting>
  <conditionalFormatting sqref="U43 U48 U27:U28">
    <cfRule type="cellIs" dxfId="1051" priority="317" operator="between">
      <formula>$H27</formula>
      <formula>$I27</formula>
    </cfRule>
  </conditionalFormatting>
  <conditionalFormatting sqref="U43 U48:U49">
    <cfRule type="cellIs" dxfId="1050" priority="316" operator="between">
      <formula>$I43</formula>
      <formula>$J43</formula>
    </cfRule>
    <cfRule type="cellIs" dxfId="1049" priority="315" operator="between">
      <formula>$J43</formula>
      <formula>$K43</formula>
    </cfRule>
  </conditionalFormatting>
  <conditionalFormatting sqref="V49:AE49">
    <cfRule type="cellIs" dxfId="1048" priority="5" operator="between">
      <formula>$J49</formula>
      <formula>$K49</formula>
    </cfRule>
    <cfRule type="cellIs" dxfId="1047" priority="6" operator="between">
      <formula>$I49</formula>
      <formula>$J49</formula>
    </cfRule>
  </conditionalFormatting>
  <conditionalFormatting sqref="W48">
    <cfRule type="cellIs" dxfId="1046" priority="1035" operator="between">
      <formula>$J48</formula>
      <formula>$K48</formula>
    </cfRule>
    <cfRule type="cellIs" dxfId="1045" priority="1036" operator="between">
      <formula>$I48</formula>
      <formula>$J48</formula>
    </cfRule>
    <cfRule type="cellIs" dxfId="1044" priority="1055" operator="between">
      <formula>$H48</formula>
      <formula>$I48</formula>
    </cfRule>
    <cfRule type="cellIs" dxfId="1043" priority="1056" operator="between">
      <formula>$G48</formula>
      <formula>$H48</formula>
    </cfRule>
    <cfRule type="cellIs" dxfId="1042" priority="1057" operator="between">
      <formula>$F48</formula>
      <formula>$G48</formula>
    </cfRule>
    <cfRule type="cellIs" dxfId="1041" priority="1058" operator="between">
      <formula>$E48</formula>
      <formula>$F48</formula>
    </cfRule>
  </conditionalFormatting>
  <conditionalFormatting sqref="W33:X33">
    <cfRule type="cellIs" dxfId="1040" priority="1046" operator="between">
      <formula>$E33</formula>
      <formula>$F33</formula>
    </cfRule>
    <cfRule type="cellIs" dxfId="1039" priority="1043" operator="between">
      <formula>$H33</formula>
      <formula>$I33</formula>
    </cfRule>
    <cfRule type="cellIs" dxfId="1038" priority="1045" operator="between">
      <formula>$F33</formula>
      <formula>$G33</formula>
    </cfRule>
    <cfRule type="cellIs" dxfId="1037" priority="1044" operator="between">
      <formula>$G33</formula>
      <formula>$H33</formula>
    </cfRule>
    <cfRule type="cellIs" dxfId="1036" priority="1041" operator="between">
      <formula>$J33</formula>
      <formula>$K33</formula>
    </cfRule>
    <cfRule type="cellIs" dxfId="1035" priority="1042" operator="between">
      <formula>$I33</formula>
      <formula>$J33</formula>
    </cfRule>
  </conditionalFormatting>
  <conditionalFormatting sqref="X39">
    <cfRule type="cellIs" dxfId="1034" priority="1099" operator="between">
      <formula>$F39</formula>
      <formula>$G39</formula>
    </cfRule>
    <cfRule type="cellIs" dxfId="1033" priority="1098" operator="between">
      <formula>$G39</formula>
      <formula>$H39</formula>
    </cfRule>
    <cfRule type="cellIs" dxfId="1032" priority="1097" operator="between">
      <formula>$H39</formula>
      <formula>$I39</formula>
    </cfRule>
    <cfRule type="cellIs" dxfId="1031" priority="1096" operator="between">
      <formula>$I39</formula>
      <formula>$J39</formula>
    </cfRule>
    <cfRule type="cellIs" dxfId="1030" priority="1095" operator="between">
      <formula>$J39</formula>
      <formula>$K39</formula>
    </cfRule>
    <cfRule type="cellIs" dxfId="1029" priority="1100" operator="between">
      <formula>$E39</formula>
      <formula>$F39</formula>
    </cfRule>
  </conditionalFormatting>
  <conditionalFormatting sqref="X48">
    <cfRule type="cellIs" dxfId="1028" priority="1089" operator="between">
      <formula>$J48</formula>
      <formula>$K48</formula>
    </cfRule>
    <cfRule type="cellIs" dxfId="1027" priority="1090" operator="between">
      <formula>$I48</formula>
      <formula>$J48</formula>
    </cfRule>
    <cfRule type="cellIs" dxfId="1026" priority="1094" operator="between">
      <formula>$E48</formula>
      <formula>$F48</formula>
    </cfRule>
    <cfRule type="cellIs" dxfId="1025" priority="1092" operator="between">
      <formula>$G48</formula>
      <formula>$H48</formula>
    </cfRule>
    <cfRule type="cellIs" dxfId="1024" priority="1091" operator="between">
      <formula>$H48</formula>
      <formula>$I48</formula>
    </cfRule>
    <cfRule type="cellIs" dxfId="1023" priority="1093" operator="between">
      <formula>$F48</formula>
      <formula>$G48</formula>
    </cfRule>
  </conditionalFormatting>
  <conditionalFormatting sqref="X49:AE49">
    <cfRule type="cellIs" dxfId="1022" priority="7" operator="between">
      <formula>$J49</formula>
      <formula>$K49</formula>
    </cfRule>
    <cfRule type="cellIs" dxfId="1021" priority="8" operator="between">
      <formula>$I49</formula>
      <formula>$J49</formula>
    </cfRule>
  </conditionalFormatting>
  <conditionalFormatting sqref="Y49:AB49">
    <cfRule type="cellIs" dxfId="1020" priority="3" operator="between">
      <formula>$J49</formula>
      <formula>$K49</formula>
    </cfRule>
    <cfRule type="cellIs" dxfId="1019" priority="4" operator="between">
      <formula>$I49</formula>
      <formula>$J49</formula>
    </cfRule>
  </conditionalFormatting>
  <conditionalFormatting sqref="Z9:Z10 Z35">
    <cfRule type="cellIs" dxfId="1018" priority="291" operator="between">
      <formula>$J9</formula>
      <formula>$K9</formula>
    </cfRule>
    <cfRule type="cellIs" dxfId="1017" priority="294" operator="between">
      <formula>$G9</formula>
      <formula>$H9</formula>
    </cfRule>
    <cfRule type="cellIs" dxfId="1016" priority="296" operator="between">
      <formula>$E9</formula>
      <formula>$F9</formula>
    </cfRule>
    <cfRule type="cellIs" dxfId="1015" priority="292" operator="between">
      <formula>$I9</formula>
      <formula>$J9</formula>
    </cfRule>
    <cfRule type="cellIs" dxfId="1014" priority="293" operator="between">
      <formula>$H9</formula>
      <formula>$I9</formula>
    </cfRule>
    <cfRule type="cellIs" dxfId="1013" priority="295" operator="between">
      <formula>$F9</formula>
      <formula>$G9</formula>
    </cfRule>
  </conditionalFormatting>
  <conditionalFormatting sqref="Z15">
    <cfRule type="cellIs" dxfId="1012" priority="262" operator="between">
      <formula>$I15</formula>
      <formula>$J15</formula>
    </cfRule>
    <cfRule type="cellIs" dxfId="1011" priority="261" operator="between">
      <formula>$J15</formula>
      <formula>$K15</formula>
    </cfRule>
    <cfRule type="cellIs" dxfId="1010" priority="266" operator="between">
      <formula>$E15</formula>
      <formula>$F15</formula>
    </cfRule>
    <cfRule type="cellIs" dxfId="1009" priority="265" operator="between">
      <formula>$F15</formula>
      <formula>$G15</formula>
    </cfRule>
    <cfRule type="cellIs" dxfId="1008" priority="264" operator="between">
      <formula>$G15</formula>
      <formula>$H15</formula>
    </cfRule>
    <cfRule type="cellIs" dxfId="1007" priority="263" operator="between">
      <formula>$H15</formula>
      <formula>$I15</formula>
    </cfRule>
  </conditionalFormatting>
  <conditionalFormatting sqref="Z17">
    <cfRule type="cellIs" dxfId="1006" priority="290" operator="between">
      <formula>$E17</formula>
      <formula>$F17</formula>
    </cfRule>
    <cfRule type="cellIs" dxfId="1005" priority="289" operator="between">
      <formula>$F17</formula>
      <formula>$G17</formula>
    </cfRule>
    <cfRule type="cellIs" dxfId="1004" priority="288" operator="between">
      <formula>$G17</formula>
      <formula>$H17</formula>
    </cfRule>
    <cfRule type="cellIs" dxfId="1003" priority="287" operator="between">
      <formula>$H17</formula>
      <formula>$I17</formula>
    </cfRule>
    <cfRule type="cellIs" dxfId="1002" priority="286" operator="between">
      <formula>$I17</formula>
      <formula>$J17</formula>
    </cfRule>
    <cfRule type="cellIs" dxfId="1001" priority="285" operator="between">
      <formula>$J17</formula>
      <formula>$K17</formula>
    </cfRule>
  </conditionalFormatting>
  <conditionalFormatting sqref="Z26">
    <cfRule type="cellIs" dxfId="1000" priority="269" operator="between">
      <formula>$H26</formula>
      <formula>$I26</formula>
    </cfRule>
    <cfRule type="cellIs" dxfId="999" priority="270" operator="between">
      <formula>$G26</formula>
      <formula>$H26</formula>
    </cfRule>
    <cfRule type="cellIs" dxfId="998" priority="271" operator="between">
      <formula>$F26</formula>
      <formula>$G26</formula>
    </cfRule>
    <cfRule type="cellIs" dxfId="997" priority="272" operator="between">
      <formula>$E26</formula>
      <formula>$F26</formula>
    </cfRule>
  </conditionalFormatting>
  <conditionalFormatting sqref="Z26:Z28">
    <cfRule type="cellIs" dxfId="996" priority="267" operator="between">
      <formula>$J26</formula>
      <formula>$K26</formula>
    </cfRule>
    <cfRule type="cellIs" dxfId="995" priority="268" operator="between">
      <formula>$I26</formula>
      <formula>$J26</formula>
    </cfRule>
  </conditionalFormatting>
  <conditionalFormatting sqref="Z27:Z28 Z43 Z48">
    <cfRule type="cellIs" dxfId="994" priority="278" operator="between">
      <formula>$E27</formula>
      <formula>$F27</formula>
    </cfRule>
    <cfRule type="cellIs" dxfId="993" priority="276" operator="between">
      <formula>$G27</formula>
      <formula>$H27</formula>
    </cfRule>
    <cfRule type="cellIs" dxfId="992" priority="277" operator="between">
      <formula>$F27</formula>
      <formula>$G27</formula>
    </cfRule>
  </conditionalFormatting>
  <conditionalFormatting sqref="Z33">
    <cfRule type="cellIs" dxfId="991" priority="284" operator="between">
      <formula>$E33</formula>
      <formula>$F33</formula>
    </cfRule>
    <cfRule type="cellIs" dxfId="990" priority="283" operator="between">
      <formula>$F33</formula>
      <formula>$G33</formula>
    </cfRule>
    <cfRule type="cellIs" dxfId="989" priority="279" operator="between">
      <formula>$J33</formula>
      <formula>$K33</formula>
    </cfRule>
    <cfRule type="cellIs" dxfId="988" priority="280" operator="between">
      <formula>$I33</formula>
      <formula>$J33</formula>
    </cfRule>
    <cfRule type="cellIs" dxfId="987" priority="281" operator="between">
      <formula>$H33</formula>
      <formula>$I33</formula>
    </cfRule>
    <cfRule type="cellIs" dxfId="986" priority="282" operator="between">
      <formula>$G33</formula>
      <formula>$H33</formula>
    </cfRule>
  </conditionalFormatting>
  <conditionalFormatting sqref="Z39">
    <cfRule type="cellIs" dxfId="985" priority="301" operator="between">
      <formula>$F39</formula>
      <formula>$G39</formula>
    </cfRule>
    <cfRule type="cellIs" dxfId="984" priority="302" operator="between">
      <formula>$E39</formula>
      <formula>$F39</formula>
    </cfRule>
    <cfRule type="cellIs" dxfId="983" priority="297" operator="between">
      <formula>$J39</formula>
      <formula>$K39</formula>
    </cfRule>
    <cfRule type="cellIs" dxfId="982" priority="298" operator="between">
      <formula>$I39</formula>
      <formula>$J39</formula>
    </cfRule>
    <cfRule type="cellIs" dxfId="981" priority="299" operator="between">
      <formula>$H39</formula>
      <formula>$I39</formula>
    </cfRule>
    <cfRule type="cellIs" dxfId="980" priority="300" operator="between">
      <formula>$G39</formula>
      <formula>$H39</formula>
    </cfRule>
  </conditionalFormatting>
  <conditionalFormatting sqref="Z43 Z48 Z27:Z28">
    <cfRule type="cellIs" dxfId="979" priority="275" operator="between">
      <formula>$H27</formula>
      <formula>$I27</formula>
    </cfRule>
  </conditionalFormatting>
  <conditionalFormatting sqref="Z43 Z48">
    <cfRule type="cellIs" dxfId="978" priority="274" operator="between">
      <formula>$I43</formula>
      <formula>$J43</formula>
    </cfRule>
    <cfRule type="cellIs" dxfId="977" priority="273" operator="between">
      <formula>$J43</formula>
      <formula>$K43</formula>
    </cfRule>
  </conditionalFormatting>
  <conditionalFormatting sqref="AA9:AA10 AA35">
    <cfRule type="cellIs" dxfId="976" priority="252" operator="between">
      <formula>$G9</formula>
      <formula>$H9</formula>
    </cfRule>
    <cfRule type="cellIs" dxfId="975" priority="253" operator="between">
      <formula>$F9</formula>
      <formula>$G9</formula>
    </cfRule>
    <cfRule type="cellIs" dxfId="974" priority="254" operator="between">
      <formula>$E9</formula>
      <formula>$F9</formula>
    </cfRule>
    <cfRule type="cellIs" dxfId="973" priority="251" operator="between">
      <formula>$H9</formula>
      <formula>$I9</formula>
    </cfRule>
    <cfRule type="cellIs" dxfId="972" priority="250" operator="between">
      <formula>$I9</formula>
      <formula>$J9</formula>
    </cfRule>
    <cfRule type="cellIs" dxfId="971" priority="249" operator="between">
      <formula>$J9</formula>
      <formula>$K9</formula>
    </cfRule>
  </conditionalFormatting>
  <conditionalFormatting sqref="AA15">
    <cfRule type="cellIs" dxfId="970" priority="221" operator="between">
      <formula>$H15</formula>
      <formula>$I15</formula>
    </cfRule>
    <cfRule type="cellIs" dxfId="969" priority="220" operator="between">
      <formula>$I15</formula>
      <formula>$J15</formula>
    </cfRule>
    <cfRule type="cellIs" dxfId="968" priority="219" operator="between">
      <formula>$J15</formula>
      <formula>$K15</formula>
    </cfRule>
    <cfRule type="cellIs" dxfId="967" priority="224" operator="between">
      <formula>$E15</formula>
      <formula>$F15</formula>
    </cfRule>
    <cfRule type="cellIs" dxfId="966" priority="223" operator="between">
      <formula>$F15</formula>
      <formula>$G15</formula>
    </cfRule>
    <cfRule type="cellIs" dxfId="965" priority="222" operator="between">
      <formula>$G15</formula>
      <formula>$H15</formula>
    </cfRule>
  </conditionalFormatting>
  <conditionalFormatting sqref="AA17">
    <cfRule type="cellIs" dxfId="964" priority="244" operator="between">
      <formula>$I17</formula>
      <formula>$J17</formula>
    </cfRule>
    <cfRule type="cellIs" dxfId="963" priority="243" operator="between">
      <formula>$J17</formula>
      <formula>$K17</formula>
    </cfRule>
    <cfRule type="cellIs" dxfId="962" priority="247" operator="between">
      <formula>$F17</formula>
      <formula>$G17</formula>
    </cfRule>
    <cfRule type="cellIs" dxfId="961" priority="246" operator="between">
      <formula>$G17</formula>
      <formula>$H17</formula>
    </cfRule>
    <cfRule type="cellIs" dxfId="960" priority="245" operator="between">
      <formula>$H17</formula>
      <formula>$I17</formula>
    </cfRule>
    <cfRule type="cellIs" dxfId="959" priority="248" operator="between">
      <formula>$E17</formula>
      <formula>$F17</formula>
    </cfRule>
  </conditionalFormatting>
  <conditionalFormatting sqref="AA26">
    <cfRule type="cellIs" dxfId="958" priority="228" operator="between">
      <formula>$G26</formula>
      <formula>$H26</formula>
    </cfRule>
    <cfRule type="cellIs" dxfId="957" priority="229" operator="between">
      <formula>$F26</formula>
      <formula>$G26</formula>
    </cfRule>
    <cfRule type="cellIs" dxfId="956" priority="230" operator="between">
      <formula>$E26</formula>
      <formula>$F26</formula>
    </cfRule>
    <cfRule type="cellIs" dxfId="955" priority="227" operator="between">
      <formula>$H26</formula>
      <formula>$I26</formula>
    </cfRule>
  </conditionalFormatting>
  <conditionalFormatting sqref="AA26:AA28">
    <cfRule type="cellIs" dxfId="954" priority="225" operator="between">
      <formula>$J26</formula>
      <formula>$K26</formula>
    </cfRule>
    <cfRule type="cellIs" dxfId="953" priority="226" operator="between">
      <formula>$I26</formula>
      <formula>$J26</formula>
    </cfRule>
  </conditionalFormatting>
  <conditionalFormatting sqref="AA27:AA28 AA43 AA48">
    <cfRule type="cellIs" dxfId="952" priority="235" operator="between">
      <formula>$F27</formula>
      <formula>$G27</formula>
    </cfRule>
    <cfRule type="cellIs" dxfId="951" priority="236" operator="between">
      <formula>$E27</formula>
      <formula>$F27</formula>
    </cfRule>
    <cfRule type="cellIs" dxfId="950" priority="234" operator="between">
      <formula>$G27</formula>
      <formula>$H27</formula>
    </cfRule>
  </conditionalFormatting>
  <conditionalFormatting sqref="AA33">
    <cfRule type="cellIs" dxfId="949" priority="241" operator="between">
      <formula>$F33</formula>
      <formula>$G33</formula>
    </cfRule>
    <cfRule type="cellIs" dxfId="948" priority="242" operator="between">
      <formula>$E33</formula>
      <formula>$F33</formula>
    </cfRule>
    <cfRule type="cellIs" dxfId="947" priority="239" operator="between">
      <formula>$H33</formula>
      <formula>$I33</formula>
    </cfRule>
    <cfRule type="cellIs" dxfId="946" priority="237" operator="between">
      <formula>$J33</formula>
      <formula>$K33</formula>
    </cfRule>
    <cfRule type="cellIs" dxfId="945" priority="238" operator="between">
      <formula>$I33</formula>
      <formula>$J33</formula>
    </cfRule>
    <cfRule type="cellIs" dxfId="944" priority="240" operator="between">
      <formula>$G33</formula>
      <formula>$H33</formula>
    </cfRule>
  </conditionalFormatting>
  <conditionalFormatting sqref="AA39">
    <cfRule type="cellIs" dxfId="943" priority="255" operator="between">
      <formula>$J39</formula>
      <formula>$K39</formula>
    </cfRule>
    <cfRule type="cellIs" dxfId="942" priority="256" operator="between">
      <formula>$I39</formula>
      <formula>$J39</formula>
    </cfRule>
    <cfRule type="cellIs" dxfId="941" priority="257" operator="between">
      <formula>$H39</formula>
      <formula>$I39</formula>
    </cfRule>
    <cfRule type="cellIs" dxfId="940" priority="258" operator="between">
      <formula>$G39</formula>
      <formula>$H39</formula>
    </cfRule>
    <cfRule type="cellIs" dxfId="939" priority="259" operator="between">
      <formula>$F39</formula>
      <formula>$G39</formula>
    </cfRule>
    <cfRule type="cellIs" dxfId="938" priority="260" operator="between">
      <formula>$E39</formula>
      <formula>$F39</formula>
    </cfRule>
  </conditionalFormatting>
  <conditionalFormatting sqref="AA43 AA48 AA27:AA28">
    <cfRule type="cellIs" dxfId="937" priority="233" operator="between">
      <formula>$H27</formula>
      <formula>$I27</formula>
    </cfRule>
  </conditionalFormatting>
  <conditionalFormatting sqref="AA43 AA48">
    <cfRule type="cellIs" dxfId="936" priority="232" operator="between">
      <formula>$I43</formula>
      <formula>$J43</formula>
    </cfRule>
    <cfRule type="cellIs" dxfId="935" priority="231" operator="between">
      <formula>$J43</formula>
      <formula>$K43</formula>
    </cfRule>
  </conditionalFormatting>
  <conditionalFormatting sqref="AB9:AC10 AB35:AC35">
    <cfRule type="cellIs" dxfId="934" priority="891" operator="between">
      <formula>$J9</formula>
      <formula>$K9</formula>
    </cfRule>
    <cfRule type="cellIs" dxfId="933" priority="892" operator="between">
      <formula>$I9</formula>
      <formula>$J9</formula>
    </cfRule>
    <cfRule type="cellIs" dxfId="932" priority="896" operator="between">
      <formula>$E9</formula>
      <formula>$F9</formula>
    </cfRule>
    <cfRule type="cellIs" dxfId="931" priority="895" operator="between">
      <formula>$F9</formula>
      <formula>$G9</formula>
    </cfRule>
    <cfRule type="cellIs" dxfId="930" priority="893" operator="between">
      <formula>$H9</formula>
      <formula>$I9</formula>
    </cfRule>
    <cfRule type="cellIs" dxfId="929" priority="894" operator="between">
      <formula>$G9</formula>
      <formula>$H9</formula>
    </cfRule>
  </conditionalFormatting>
  <conditionalFormatting sqref="AB17:AC17">
    <cfRule type="cellIs" dxfId="928" priority="886" operator="between">
      <formula>$I17</formula>
      <formula>$J17</formula>
    </cfRule>
    <cfRule type="cellIs" dxfId="927" priority="888" operator="between">
      <formula>$G17</formula>
      <formula>$H17</formula>
    </cfRule>
    <cfRule type="cellIs" dxfId="926" priority="885" operator="between">
      <formula>$J17</formula>
      <formula>$K17</formula>
    </cfRule>
    <cfRule type="cellIs" dxfId="925" priority="887" operator="between">
      <formula>$H17</formula>
      <formula>$I17</formula>
    </cfRule>
    <cfRule type="cellIs" dxfId="924" priority="889" operator="between">
      <formula>$F17</formula>
      <formula>$G17</formula>
    </cfRule>
    <cfRule type="cellIs" dxfId="923" priority="890" operator="between">
      <formula>$E17</formula>
      <formula>$F17</formula>
    </cfRule>
  </conditionalFormatting>
  <conditionalFormatting sqref="AB26:AC26">
    <cfRule type="cellIs" dxfId="922" priority="869" operator="between">
      <formula>$H26</formula>
      <formula>$I26</formula>
    </cfRule>
    <cfRule type="cellIs" dxfId="921" priority="870" operator="between">
      <formula>$G26</formula>
      <formula>$H26</formula>
    </cfRule>
    <cfRule type="cellIs" dxfId="920" priority="871" operator="between">
      <formula>$F26</formula>
      <formula>$G26</formula>
    </cfRule>
    <cfRule type="cellIs" dxfId="919" priority="872" operator="between">
      <formula>$E26</formula>
      <formula>$F26</formula>
    </cfRule>
  </conditionalFormatting>
  <conditionalFormatting sqref="AB26:AC28">
    <cfRule type="cellIs" dxfId="918" priority="867" operator="between">
      <formula>$J26</formula>
      <formula>$K26</formula>
    </cfRule>
    <cfRule type="cellIs" dxfId="917" priority="868" operator="between">
      <formula>$I26</formula>
      <formula>$J26</formula>
    </cfRule>
  </conditionalFormatting>
  <conditionalFormatting sqref="AB27:AC28 AB43:AC43 AB48:AC48">
    <cfRule type="cellIs" dxfId="916" priority="876" operator="between">
      <formula>$G27</formula>
      <formula>$H27</formula>
    </cfRule>
    <cfRule type="cellIs" dxfId="915" priority="877" operator="between">
      <formula>$F27</formula>
      <formula>$G27</formula>
    </cfRule>
    <cfRule type="cellIs" dxfId="914" priority="878" operator="between">
      <formula>$E27</formula>
      <formula>$F27</formula>
    </cfRule>
  </conditionalFormatting>
  <conditionalFormatting sqref="AB33:AC33">
    <cfRule type="cellIs" dxfId="913" priority="883" operator="between">
      <formula>$F33</formula>
      <formula>$G33</formula>
    </cfRule>
    <cfRule type="cellIs" dxfId="912" priority="882" operator="between">
      <formula>$G33</formula>
      <formula>$H33</formula>
    </cfRule>
    <cfRule type="cellIs" dxfId="911" priority="881" operator="between">
      <formula>$H33</formula>
      <formula>$I33</formula>
    </cfRule>
    <cfRule type="cellIs" dxfId="910" priority="880" operator="between">
      <formula>$I33</formula>
      <formula>$J33</formula>
    </cfRule>
    <cfRule type="cellIs" dxfId="909" priority="879" operator="between">
      <formula>$J33</formula>
      <formula>$K33</formula>
    </cfRule>
    <cfRule type="cellIs" dxfId="908" priority="884" operator="between">
      <formula>$E33</formula>
      <formula>$F33</formula>
    </cfRule>
  </conditionalFormatting>
  <conditionalFormatting sqref="AB39:AC39">
    <cfRule type="cellIs" dxfId="907" priority="897" operator="between">
      <formula>$J39</formula>
      <formula>$K39</formula>
    </cfRule>
    <cfRule type="cellIs" dxfId="906" priority="899" operator="between">
      <formula>$H39</formula>
      <formula>$I39</formula>
    </cfRule>
    <cfRule type="cellIs" dxfId="905" priority="900" operator="between">
      <formula>$G39</formula>
      <formula>$H39</formula>
    </cfRule>
    <cfRule type="cellIs" dxfId="904" priority="901" operator="between">
      <formula>$F39</formula>
      <formula>$G39</formula>
    </cfRule>
    <cfRule type="cellIs" dxfId="903" priority="902" operator="between">
      <formula>$E39</formula>
      <formula>$F39</formula>
    </cfRule>
    <cfRule type="cellIs" dxfId="902" priority="898" operator="between">
      <formula>$I39</formula>
      <formula>$J39</formula>
    </cfRule>
  </conditionalFormatting>
  <conditionalFormatting sqref="AB43:AC43 AB48:AC48 AB27:AC28">
    <cfRule type="cellIs" dxfId="901" priority="875" operator="between">
      <formula>$H27</formula>
      <formula>$I27</formula>
    </cfRule>
  </conditionalFormatting>
  <conditionalFormatting sqref="AB43:AC43 AB48:AC48">
    <cfRule type="cellIs" dxfId="900" priority="874" operator="between">
      <formula>$I43</formula>
      <formula>$J43</formula>
    </cfRule>
    <cfRule type="cellIs" dxfId="899" priority="873" operator="between">
      <formula>$J43</formula>
      <formula>$K43</formula>
    </cfRule>
  </conditionalFormatting>
  <conditionalFormatting sqref="AB49:AE49">
    <cfRule type="cellIs" dxfId="898" priority="2" operator="between">
      <formula>$I49</formula>
      <formula>$J49</formula>
    </cfRule>
    <cfRule type="cellIs" dxfId="897" priority="1" operator="between">
      <formula>$J49</formula>
      <formula>$K49</formula>
    </cfRule>
  </conditionalFormatting>
  <conditionalFormatting sqref="AD9:AD10 AD35">
    <cfRule type="cellIs" dxfId="896" priority="212" operator="between">
      <formula>$E9</formula>
      <formula>$F9</formula>
    </cfRule>
    <cfRule type="cellIs" dxfId="895" priority="210" operator="between">
      <formula>$G9</formula>
      <formula>$H9</formula>
    </cfRule>
    <cfRule type="cellIs" dxfId="894" priority="211" operator="between">
      <formula>$F9</formula>
      <formula>$G9</formula>
    </cfRule>
    <cfRule type="cellIs" dxfId="893" priority="207" operator="between">
      <formula>$J9</formula>
      <formula>$K9</formula>
    </cfRule>
    <cfRule type="cellIs" dxfId="892" priority="208" operator="between">
      <formula>$I9</formula>
      <formula>$J9</formula>
    </cfRule>
    <cfRule type="cellIs" dxfId="891" priority="209" operator="between">
      <formula>$H9</formula>
      <formula>$I9</formula>
    </cfRule>
  </conditionalFormatting>
  <conditionalFormatting sqref="AD15">
    <cfRule type="cellIs" dxfId="890" priority="182" operator="between">
      <formula>$E15</formula>
      <formula>$F15</formula>
    </cfRule>
    <cfRule type="cellIs" dxfId="889" priority="177" operator="between">
      <formula>$J15</formula>
      <formula>$K15</formula>
    </cfRule>
    <cfRule type="cellIs" dxfId="888" priority="178" operator="between">
      <formula>$I15</formula>
      <formula>$J15</formula>
    </cfRule>
    <cfRule type="cellIs" dxfId="887" priority="179" operator="between">
      <formula>$H15</formula>
      <formula>$I15</formula>
    </cfRule>
    <cfRule type="cellIs" dxfId="886" priority="180" operator="between">
      <formula>$G15</formula>
      <formula>$H15</formula>
    </cfRule>
    <cfRule type="cellIs" dxfId="885" priority="181" operator="between">
      <formula>$F15</formula>
      <formula>$G15</formula>
    </cfRule>
  </conditionalFormatting>
  <conditionalFormatting sqref="AD17">
    <cfRule type="cellIs" dxfId="884" priority="202" operator="between">
      <formula>$I17</formula>
      <formula>$J17</formula>
    </cfRule>
    <cfRule type="cellIs" dxfId="883" priority="203" operator="between">
      <formula>$H17</formula>
      <formula>$I17</formula>
    </cfRule>
    <cfRule type="cellIs" dxfId="882" priority="204" operator="between">
      <formula>$G17</formula>
      <formula>$H17</formula>
    </cfRule>
    <cfRule type="cellIs" dxfId="881" priority="206" operator="between">
      <formula>$E17</formula>
      <formula>$F17</formula>
    </cfRule>
    <cfRule type="cellIs" dxfId="880" priority="205" operator="between">
      <formula>$F17</formula>
      <formula>$G17</formula>
    </cfRule>
    <cfRule type="cellIs" dxfId="879" priority="201" operator="between">
      <formula>$J17</formula>
      <formula>$K17</formula>
    </cfRule>
  </conditionalFormatting>
  <conditionalFormatting sqref="AD26">
    <cfRule type="cellIs" dxfId="878" priority="188" operator="between">
      <formula>$E26</formula>
      <formula>$F26</formula>
    </cfRule>
    <cfRule type="cellIs" dxfId="877" priority="185" operator="between">
      <formula>$H26</formula>
      <formula>$I26</formula>
    </cfRule>
    <cfRule type="cellIs" dxfId="876" priority="186" operator="between">
      <formula>$G26</formula>
      <formula>$H26</formula>
    </cfRule>
    <cfRule type="cellIs" dxfId="875" priority="187" operator="between">
      <formula>$F26</formula>
      <formula>$G26</formula>
    </cfRule>
  </conditionalFormatting>
  <conditionalFormatting sqref="AD26:AD28">
    <cfRule type="cellIs" dxfId="874" priority="183" operator="between">
      <formula>$J26</formula>
      <formula>$K26</formula>
    </cfRule>
    <cfRule type="cellIs" dxfId="873" priority="184" operator="between">
      <formula>$I26</formula>
      <formula>$J26</formula>
    </cfRule>
  </conditionalFormatting>
  <conditionalFormatting sqref="AD27:AD28 AD43 AD48">
    <cfRule type="cellIs" dxfId="872" priority="193" operator="between">
      <formula>$F27</formula>
      <formula>$G27</formula>
    </cfRule>
    <cfRule type="cellIs" dxfId="871" priority="192" operator="between">
      <formula>$G27</formula>
      <formula>$H27</formula>
    </cfRule>
    <cfRule type="cellIs" dxfId="870" priority="194" operator="between">
      <formula>$E27</formula>
      <formula>$F27</formula>
    </cfRule>
  </conditionalFormatting>
  <conditionalFormatting sqref="AD33">
    <cfRule type="cellIs" dxfId="869" priority="200" operator="between">
      <formula>$E33</formula>
      <formula>$F33</formula>
    </cfRule>
    <cfRule type="cellIs" dxfId="868" priority="199" operator="between">
      <formula>$F33</formula>
      <formula>$G33</formula>
    </cfRule>
    <cfRule type="cellIs" dxfId="867" priority="198" operator="between">
      <formula>$G33</formula>
      <formula>$H33</formula>
    </cfRule>
    <cfRule type="cellIs" dxfId="866" priority="197" operator="between">
      <formula>$H33</formula>
      <formula>$I33</formula>
    </cfRule>
    <cfRule type="cellIs" dxfId="865" priority="195" operator="between">
      <formula>$J33</formula>
      <formula>$K33</formula>
    </cfRule>
    <cfRule type="cellIs" dxfId="864" priority="196" operator="between">
      <formula>$I33</formula>
      <formula>$J33</formula>
    </cfRule>
  </conditionalFormatting>
  <conditionalFormatting sqref="AD39">
    <cfRule type="cellIs" dxfId="863" priority="218" operator="between">
      <formula>$E39</formula>
      <formula>$F39</formula>
    </cfRule>
    <cfRule type="cellIs" dxfId="862" priority="216" operator="between">
      <formula>$G39</formula>
      <formula>$H39</formula>
    </cfRule>
    <cfRule type="cellIs" dxfId="861" priority="215" operator="between">
      <formula>$H39</formula>
      <formula>$I39</formula>
    </cfRule>
    <cfRule type="cellIs" dxfId="860" priority="214" operator="between">
      <formula>$I39</formula>
      <formula>$J39</formula>
    </cfRule>
    <cfRule type="cellIs" dxfId="859" priority="213" operator="between">
      <formula>$J39</formula>
      <formula>$K39</formula>
    </cfRule>
    <cfRule type="cellIs" dxfId="858" priority="217" operator="between">
      <formula>$F39</formula>
      <formula>$G39</formula>
    </cfRule>
  </conditionalFormatting>
  <conditionalFormatting sqref="AD43 AD48 AD27:AD28">
    <cfRule type="cellIs" dxfId="857" priority="191" operator="between">
      <formula>$H27</formula>
      <formula>$I27</formula>
    </cfRule>
  </conditionalFormatting>
  <conditionalFormatting sqref="AD43 AD48">
    <cfRule type="cellIs" dxfId="856" priority="189" operator="between">
      <formula>$J43</formula>
      <formula>$K43</formula>
    </cfRule>
    <cfRule type="cellIs" dxfId="855" priority="190" operator="between">
      <formula>$I43</formula>
      <formula>$J43</formula>
    </cfRule>
  </conditionalFormatting>
  <conditionalFormatting sqref="AE9:AE10 AE35">
    <cfRule type="cellIs" dxfId="854" priority="170" operator="between">
      <formula>$E9</formula>
      <formula>$F9</formula>
    </cfRule>
    <cfRule type="cellIs" dxfId="853" priority="169" operator="between">
      <formula>$F9</formula>
      <formula>$G9</formula>
    </cfRule>
    <cfRule type="cellIs" dxfId="852" priority="168" operator="between">
      <formula>$G9</formula>
      <formula>$H9</formula>
    </cfRule>
    <cfRule type="cellIs" dxfId="851" priority="167" operator="between">
      <formula>$H9</formula>
      <formula>$I9</formula>
    </cfRule>
    <cfRule type="cellIs" dxfId="850" priority="166" operator="between">
      <formula>$I9</formula>
      <formula>$J9</formula>
    </cfRule>
    <cfRule type="cellIs" dxfId="849" priority="165" operator="between">
      <formula>$J9</formula>
      <formula>$K9</formula>
    </cfRule>
  </conditionalFormatting>
  <conditionalFormatting sqref="AE15">
    <cfRule type="cellIs" dxfId="848" priority="137" operator="between">
      <formula>$H15</formula>
      <formula>$I15</formula>
    </cfRule>
    <cfRule type="cellIs" dxfId="847" priority="138" operator="between">
      <formula>$G15</formula>
      <formula>$H15</formula>
    </cfRule>
    <cfRule type="cellIs" dxfId="846" priority="140" operator="between">
      <formula>$E15</formula>
      <formula>$F15</formula>
    </cfRule>
    <cfRule type="cellIs" dxfId="845" priority="139" operator="between">
      <formula>$F15</formula>
      <formula>$G15</formula>
    </cfRule>
    <cfRule type="cellIs" dxfId="844" priority="135" operator="between">
      <formula>$J15</formula>
      <formula>$K15</formula>
    </cfRule>
    <cfRule type="cellIs" dxfId="843" priority="136" operator="between">
      <formula>$I15</formula>
      <formula>$J15</formula>
    </cfRule>
  </conditionalFormatting>
  <conditionalFormatting sqref="AE17">
    <cfRule type="cellIs" dxfId="842" priority="159" operator="between">
      <formula>$J17</formula>
      <formula>$K17</formula>
    </cfRule>
    <cfRule type="cellIs" dxfId="841" priority="160" operator="between">
      <formula>$I17</formula>
      <formula>$J17</formula>
    </cfRule>
    <cfRule type="cellIs" dxfId="840" priority="164" operator="between">
      <formula>$E17</formula>
      <formula>$F17</formula>
    </cfRule>
    <cfRule type="cellIs" dxfId="839" priority="163" operator="between">
      <formula>$F17</formula>
      <formula>$G17</formula>
    </cfRule>
    <cfRule type="cellIs" dxfId="838" priority="162" operator="between">
      <formula>$G17</formula>
      <formula>$H17</formula>
    </cfRule>
    <cfRule type="cellIs" dxfId="837" priority="161" operator="between">
      <formula>$H17</formula>
      <formula>$I17</formula>
    </cfRule>
  </conditionalFormatting>
  <conditionalFormatting sqref="AE26">
    <cfRule type="cellIs" dxfId="836" priority="144" operator="between">
      <formula>$G26</formula>
      <formula>$H26</formula>
    </cfRule>
    <cfRule type="cellIs" dxfId="835" priority="143" operator="between">
      <formula>$H26</formula>
      <formula>$I26</formula>
    </cfRule>
    <cfRule type="cellIs" dxfId="834" priority="146" operator="between">
      <formula>$E26</formula>
      <formula>$F26</formula>
    </cfRule>
    <cfRule type="cellIs" dxfId="833" priority="145" operator="between">
      <formula>$F26</formula>
      <formula>$G26</formula>
    </cfRule>
  </conditionalFormatting>
  <conditionalFormatting sqref="AE26:AE28">
    <cfRule type="cellIs" dxfId="832" priority="141" operator="between">
      <formula>$J26</formula>
      <formula>$K26</formula>
    </cfRule>
    <cfRule type="cellIs" dxfId="831" priority="142" operator="between">
      <formula>$I26</formula>
      <formula>$J26</formula>
    </cfRule>
  </conditionalFormatting>
  <conditionalFormatting sqref="AE27:AE28 AE43 AE48">
    <cfRule type="cellIs" dxfId="830" priority="152" operator="between">
      <formula>$E27</formula>
      <formula>$F27</formula>
    </cfRule>
    <cfRule type="cellIs" dxfId="829" priority="150" operator="between">
      <formula>$G27</formula>
      <formula>$H27</formula>
    </cfRule>
    <cfRule type="cellIs" dxfId="828" priority="151" operator="between">
      <formula>$F27</formula>
      <formula>$G27</formula>
    </cfRule>
  </conditionalFormatting>
  <conditionalFormatting sqref="AE33">
    <cfRule type="cellIs" dxfId="827" priority="154" operator="between">
      <formula>$I33</formula>
      <formula>$J33</formula>
    </cfRule>
    <cfRule type="cellIs" dxfId="826" priority="155" operator="between">
      <formula>$H33</formula>
      <formula>$I33</formula>
    </cfRule>
    <cfRule type="cellIs" dxfId="825" priority="153" operator="between">
      <formula>$J33</formula>
      <formula>$K33</formula>
    </cfRule>
    <cfRule type="cellIs" dxfId="824" priority="157" operator="between">
      <formula>$F33</formula>
      <formula>$G33</formula>
    </cfRule>
    <cfRule type="cellIs" dxfId="823" priority="158" operator="between">
      <formula>$E33</formula>
      <formula>$F33</formula>
    </cfRule>
    <cfRule type="cellIs" dxfId="822" priority="156" operator="between">
      <formula>$G33</formula>
      <formula>$H33</formula>
    </cfRule>
  </conditionalFormatting>
  <conditionalFormatting sqref="AE39">
    <cfRule type="cellIs" dxfId="821" priority="172" operator="between">
      <formula>$I39</formula>
      <formula>$J39</formula>
    </cfRule>
    <cfRule type="cellIs" dxfId="820" priority="173" operator="between">
      <formula>$H39</formula>
      <formula>$I39</formula>
    </cfRule>
    <cfRule type="cellIs" dxfId="819" priority="174" operator="between">
      <formula>$G39</formula>
      <formula>$H39</formula>
    </cfRule>
    <cfRule type="cellIs" dxfId="818" priority="175" operator="between">
      <formula>$F39</formula>
      <formula>$G39</formula>
    </cfRule>
    <cfRule type="cellIs" dxfId="817" priority="171" operator="between">
      <formula>$J39</formula>
      <formula>$K39</formula>
    </cfRule>
    <cfRule type="cellIs" dxfId="816" priority="176" operator="between">
      <formula>$E39</formula>
      <formula>$F39</formula>
    </cfRule>
  </conditionalFormatting>
  <conditionalFormatting sqref="AE43 AE48 AE27:AE28">
    <cfRule type="cellIs" dxfId="815" priority="149" operator="between">
      <formula>$H27</formula>
      <formula>$I27</formula>
    </cfRule>
  </conditionalFormatting>
  <conditionalFormatting sqref="AE43 AE48">
    <cfRule type="cellIs" dxfId="814" priority="147" operator="between">
      <formula>$J43</formula>
      <formula>$K43</formula>
    </cfRule>
    <cfRule type="cellIs" dxfId="813" priority="148" operator="between">
      <formula>$I43</formula>
      <formula>$J43</formula>
    </cfRule>
  </conditionalFormatting>
  <conditionalFormatting sqref="AF9:AF10 AF35 V49:AF49">
    <cfRule type="cellIs" dxfId="812" priority="860" operator="between">
      <formula>$E9</formula>
      <formula>$F9</formula>
    </cfRule>
    <cfRule type="cellIs" dxfId="811" priority="859" operator="between">
      <formula>$F9</formula>
      <formula>$G9</formula>
    </cfRule>
    <cfRule type="cellIs" dxfId="810" priority="858" operator="between">
      <formula>$G9</formula>
      <formula>$H9</formula>
    </cfRule>
    <cfRule type="cellIs" dxfId="809" priority="857" operator="between">
      <formula>$H9</formula>
      <formula>$I9</formula>
    </cfRule>
  </conditionalFormatting>
  <conditionalFormatting sqref="AF9:AF10 AF35">
    <cfRule type="cellIs" dxfId="808" priority="856" operator="between">
      <formula>$I9</formula>
      <formula>$J9</formula>
    </cfRule>
    <cfRule type="cellIs" dxfId="807" priority="855" operator="between">
      <formula>$J9</formula>
      <formula>$K9</formula>
    </cfRule>
  </conditionalFormatting>
  <conditionalFormatting sqref="AF17">
    <cfRule type="cellIs" dxfId="806" priority="852" operator="between">
      <formula>$G17</formula>
      <formula>$H17</formula>
    </cfRule>
    <cfRule type="cellIs" dxfId="805" priority="849" operator="between">
      <formula>$J17</formula>
      <formula>$K17</formula>
    </cfRule>
    <cfRule type="cellIs" dxfId="804" priority="850" operator="between">
      <formula>$I17</formula>
      <formula>$J17</formula>
    </cfRule>
    <cfRule type="cellIs" dxfId="803" priority="851" operator="between">
      <formula>$H17</formula>
      <formula>$I17</formula>
    </cfRule>
    <cfRule type="cellIs" dxfId="802" priority="853" operator="between">
      <formula>$F17</formula>
      <formula>$G17</formula>
    </cfRule>
    <cfRule type="cellIs" dxfId="801" priority="854" operator="between">
      <formula>$E17</formula>
      <formula>$F17</formula>
    </cfRule>
  </conditionalFormatting>
  <conditionalFormatting sqref="AF26">
    <cfRule type="cellIs" dxfId="800" priority="836" operator="between">
      <formula>$E26</formula>
      <formula>$F26</formula>
    </cfRule>
    <cfRule type="cellIs" dxfId="799" priority="835" operator="between">
      <formula>$F26</formula>
      <formula>$G26</formula>
    </cfRule>
    <cfRule type="cellIs" dxfId="798" priority="834" operator="between">
      <formula>$G26</formula>
      <formula>$H26</formula>
    </cfRule>
    <cfRule type="cellIs" dxfId="797" priority="833" operator="between">
      <formula>$H26</formula>
      <formula>$I26</formula>
    </cfRule>
  </conditionalFormatting>
  <conditionalFormatting sqref="AF26:AF28">
    <cfRule type="cellIs" dxfId="796" priority="832" operator="between">
      <formula>$I26</formula>
      <formula>$J26</formula>
    </cfRule>
    <cfRule type="cellIs" dxfId="795" priority="831" operator="between">
      <formula>$J26</formula>
      <formula>$K26</formula>
    </cfRule>
  </conditionalFormatting>
  <conditionalFormatting sqref="AF27:AF28 AF43 AF48">
    <cfRule type="cellIs" dxfId="794" priority="840" operator="between">
      <formula>$G27</formula>
      <formula>$H27</formula>
    </cfRule>
    <cfRule type="cellIs" dxfId="793" priority="842" operator="between">
      <formula>$E27</formula>
      <formula>$F27</formula>
    </cfRule>
    <cfRule type="cellIs" dxfId="792" priority="841" operator="between">
      <formula>$F27</formula>
      <formula>$G27</formula>
    </cfRule>
  </conditionalFormatting>
  <conditionalFormatting sqref="AF33">
    <cfRule type="cellIs" dxfId="791" priority="844" operator="between">
      <formula>$I33</formula>
      <formula>$J33</formula>
    </cfRule>
    <cfRule type="cellIs" dxfId="790" priority="845" operator="between">
      <formula>$H33</formula>
      <formula>$I33</formula>
    </cfRule>
    <cfRule type="cellIs" dxfId="789" priority="846" operator="between">
      <formula>$G33</formula>
      <formula>$H33</formula>
    </cfRule>
    <cfRule type="cellIs" dxfId="788" priority="847" operator="between">
      <formula>$F33</formula>
      <formula>$G33</formula>
    </cfRule>
    <cfRule type="cellIs" dxfId="787" priority="848" operator="between">
      <formula>$E33</formula>
      <formula>$F33</formula>
    </cfRule>
    <cfRule type="cellIs" dxfId="786" priority="843" operator="between">
      <formula>$J33</formula>
      <formula>$K33</formula>
    </cfRule>
  </conditionalFormatting>
  <conditionalFormatting sqref="AF39">
    <cfRule type="cellIs" dxfId="785" priority="861" operator="between">
      <formula>$J39</formula>
      <formula>$K39</formula>
    </cfRule>
    <cfRule type="cellIs" dxfId="784" priority="862" operator="between">
      <formula>$I39</formula>
      <formula>$J39</formula>
    </cfRule>
    <cfRule type="cellIs" dxfId="783" priority="863" operator="between">
      <formula>$H39</formula>
      <formula>$I39</formula>
    </cfRule>
    <cfRule type="cellIs" dxfId="782" priority="864" operator="between">
      <formula>$G39</formula>
      <formula>$H39</formula>
    </cfRule>
    <cfRule type="cellIs" dxfId="781" priority="865" operator="between">
      <formula>$F39</formula>
      <formula>$G39</formula>
    </cfRule>
    <cfRule type="cellIs" dxfId="780" priority="866" operator="between">
      <formula>$E39</formula>
      <formula>$F39</formula>
    </cfRule>
  </conditionalFormatting>
  <conditionalFormatting sqref="AF43 AF48 AF27:AF28">
    <cfRule type="cellIs" dxfId="779" priority="839" operator="between">
      <formula>$H27</formula>
      <formula>$I27</formula>
    </cfRule>
  </conditionalFormatting>
  <conditionalFormatting sqref="AF43 AF48:AF49">
    <cfRule type="cellIs" dxfId="778" priority="838" operator="between">
      <formula>$I43</formula>
      <formula>$J43</formula>
    </cfRule>
    <cfRule type="cellIs" dxfId="777" priority="837" operator="between">
      <formula>$J43</formula>
      <formula>$K43</formula>
    </cfRule>
  </conditionalFormatting>
  <conditionalFormatting sqref="AG9:AI10 AG26:AI26 AG35:AI35 AG49:AI49">
    <cfRule type="cellIs" dxfId="776" priority="1307" operator="between">
      <formula>$H9</formula>
      <formula>$I9</formula>
    </cfRule>
    <cfRule type="cellIs" dxfId="775" priority="1309" operator="between">
      <formula>$F9</formula>
      <formula>$G9</formula>
    </cfRule>
    <cfRule type="cellIs" dxfId="774" priority="1310" operator="between">
      <formula>$E9</formula>
      <formula>$F9</formula>
    </cfRule>
    <cfRule type="cellIs" dxfId="773" priority="1308" operator="between">
      <formula>$G9</formula>
      <formula>$H9</formula>
    </cfRule>
  </conditionalFormatting>
  <conditionalFormatting sqref="AG9:AI10 AG26:AI28 AG35:AI35 AG48:AI49">
    <cfRule type="cellIs" dxfId="772" priority="1305" operator="between">
      <formula>$J9</formula>
      <formula>$K9</formula>
    </cfRule>
    <cfRule type="cellIs" dxfId="771" priority="1306" operator="between">
      <formula>$I9</formula>
      <formula>$J9</formula>
    </cfRule>
  </conditionalFormatting>
  <conditionalFormatting sqref="AG17:AI17">
    <cfRule type="cellIs" dxfId="770" priority="1034" operator="between">
      <formula>$E17</formula>
      <formula>$F17</formula>
    </cfRule>
    <cfRule type="cellIs" dxfId="769" priority="1033" operator="between">
      <formula>$F17</formula>
      <formula>$G17</formula>
    </cfRule>
    <cfRule type="cellIs" dxfId="768" priority="1032" operator="between">
      <formula>$G17</formula>
      <formula>$H17</formula>
    </cfRule>
    <cfRule type="cellIs" dxfId="767" priority="1031" operator="between">
      <formula>$H17</formula>
      <formula>$I17</formula>
    </cfRule>
    <cfRule type="cellIs" dxfId="766" priority="1029" operator="between">
      <formula>$J17</formula>
      <formula>$K17</formula>
    </cfRule>
    <cfRule type="cellIs" dxfId="765" priority="1030" operator="between">
      <formula>$I17</formula>
      <formula>$J17</formula>
    </cfRule>
  </conditionalFormatting>
  <conditionalFormatting sqref="AG33:AI33">
    <cfRule type="cellIs" dxfId="764" priority="1028" operator="between">
      <formula>$E33</formula>
      <formula>$F33</formula>
    </cfRule>
    <cfRule type="cellIs" dxfId="763" priority="1027" operator="between">
      <formula>$F33</formula>
      <formula>$G33</formula>
    </cfRule>
    <cfRule type="cellIs" dxfId="762" priority="1026" operator="between">
      <formula>$G33</formula>
      <formula>$H33</formula>
    </cfRule>
    <cfRule type="cellIs" dxfId="761" priority="1024" operator="between">
      <formula>$I33</formula>
      <formula>$J33</formula>
    </cfRule>
    <cfRule type="cellIs" dxfId="760" priority="1023" operator="between">
      <formula>$J33</formula>
      <formula>$K33</formula>
    </cfRule>
    <cfRule type="cellIs" dxfId="759" priority="1025" operator="between">
      <formula>$H33</formula>
      <formula>$I33</formula>
    </cfRule>
  </conditionalFormatting>
  <conditionalFormatting sqref="AG39:AI39">
    <cfRule type="cellIs" dxfId="758" priority="1061" operator="between">
      <formula>$H39</formula>
      <formula>$I39</formula>
    </cfRule>
    <cfRule type="cellIs" dxfId="757" priority="1062" operator="between">
      <formula>$G39</formula>
      <formula>$H39</formula>
    </cfRule>
    <cfRule type="cellIs" dxfId="756" priority="1063" operator="between">
      <formula>$F39</formula>
      <formula>$G39</formula>
    </cfRule>
    <cfRule type="cellIs" dxfId="755" priority="1064" operator="between">
      <formula>$E39</formula>
      <formula>$F39</formula>
    </cfRule>
    <cfRule type="cellIs" dxfId="754" priority="1059" operator="between">
      <formula>$J39</formula>
      <formula>$K39</formula>
    </cfRule>
    <cfRule type="cellIs" dxfId="753" priority="1060" operator="between">
      <formula>$I39</formula>
      <formula>$J39</formula>
    </cfRule>
  </conditionalFormatting>
  <conditionalFormatting sqref="AJ9:AJ10 AJ35 AJ49">
    <cfRule type="cellIs" dxfId="752" priority="128" operator="between">
      <formula>$E9</formula>
      <formula>$F9</formula>
    </cfRule>
    <cfRule type="cellIs" dxfId="751" priority="127" operator="between">
      <formula>$F9</formula>
      <formula>$G9</formula>
    </cfRule>
    <cfRule type="cellIs" dxfId="750" priority="126" operator="between">
      <formula>$G9</formula>
      <formula>$H9</formula>
    </cfRule>
    <cfRule type="cellIs" dxfId="749" priority="125" operator="between">
      <formula>$H9</formula>
      <formula>$I9</formula>
    </cfRule>
  </conditionalFormatting>
  <conditionalFormatting sqref="AJ9:AJ10 AJ35">
    <cfRule type="cellIs" dxfId="748" priority="124" operator="between">
      <formula>$I9</formula>
      <formula>$J9</formula>
    </cfRule>
    <cfRule type="cellIs" dxfId="747" priority="123" operator="between">
      <formula>$J9</formula>
      <formula>$K9</formula>
    </cfRule>
  </conditionalFormatting>
  <conditionalFormatting sqref="AJ15">
    <cfRule type="cellIs" dxfId="746" priority="97" operator="between">
      <formula>$F15</formula>
      <formula>$G15</formula>
    </cfRule>
    <cfRule type="cellIs" dxfId="745" priority="96" operator="between">
      <formula>$G15</formula>
      <formula>$H15</formula>
    </cfRule>
    <cfRule type="cellIs" dxfId="744" priority="95" operator="between">
      <formula>$H15</formula>
      <formula>$I15</formula>
    </cfRule>
    <cfRule type="cellIs" dxfId="743" priority="94" operator="between">
      <formula>$I15</formula>
      <formula>$J15</formula>
    </cfRule>
    <cfRule type="cellIs" dxfId="742" priority="93" operator="between">
      <formula>$J15</formula>
      <formula>$K15</formula>
    </cfRule>
    <cfRule type="cellIs" dxfId="741" priority="98" operator="between">
      <formula>$E15</formula>
      <formula>$F15</formula>
    </cfRule>
  </conditionalFormatting>
  <conditionalFormatting sqref="AJ17">
    <cfRule type="cellIs" dxfId="740" priority="120" operator="between">
      <formula>$G17</formula>
      <formula>$H17</formula>
    </cfRule>
    <cfRule type="cellIs" dxfId="739" priority="117" operator="between">
      <formula>$J17</formula>
      <formula>$K17</formula>
    </cfRule>
    <cfRule type="cellIs" dxfId="738" priority="118" operator="between">
      <formula>$I17</formula>
      <formula>$J17</formula>
    </cfRule>
    <cfRule type="cellIs" dxfId="737" priority="119" operator="between">
      <formula>$H17</formula>
      <formula>$I17</formula>
    </cfRule>
    <cfRule type="cellIs" dxfId="736" priority="122" operator="between">
      <formula>$E17</formula>
      <formula>$F17</formula>
    </cfRule>
    <cfRule type="cellIs" dxfId="735" priority="121" operator="between">
      <formula>$F17</formula>
      <formula>$G17</formula>
    </cfRule>
  </conditionalFormatting>
  <conditionalFormatting sqref="AJ26">
    <cfRule type="cellIs" dxfId="734" priority="103" operator="between">
      <formula>$F26</formula>
      <formula>$G26</formula>
    </cfRule>
    <cfRule type="cellIs" dxfId="733" priority="101" operator="between">
      <formula>$H26</formula>
      <formula>$I26</formula>
    </cfRule>
    <cfRule type="cellIs" dxfId="732" priority="102" operator="between">
      <formula>$G26</formula>
      <formula>$H26</formula>
    </cfRule>
    <cfRule type="cellIs" dxfId="731" priority="104" operator="between">
      <formula>$E26</formula>
      <formula>$F26</formula>
    </cfRule>
  </conditionalFormatting>
  <conditionalFormatting sqref="AJ26:AJ28">
    <cfRule type="cellIs" dxfId="730" priority="100" operator="between">
      <formula>$I26</formula>
      <formula>$J26</formula>
    </cfRule>
    <cfRule type="cellIs" dxfId="729" priority="99" operator="between">
      <formula>$J26</formula>
      <formula>$K26</formula>
    </cfRule>
  </conditionalFormatting>
  <conditionalFormatting sqref="AJ27:AJ28 AJ43 AJ48">
    <cfRule type="cellIs" dxfId="728" priority="108" operator="between">
      <formula>$G27</formula>
      <formula>$H27</formula>
    </cfRule>
    <cfRule type="cellIs" dxfId="727" priority="110" operator="between">
      <formula>$E27</formula>
      <formula>$F27</formula>
    </cfRule>
    <cfRule type="cellIs" dxfId="726" priority="109" operator="between">
      <formula>$F27</formula>
      <formula>$G27</formula>
    </cfRule>
  </conditionalFormatting>
  <conditionalFormatting sqref="AJ33">
    <cfRule type="cellIs" dxfId="725" priority="112" operator="between">
      <formula>$I33</formula>
      <formula>$J33</formula>
    </cfRule>
    <cfRule type="cellIs" dxfId="724" priority="116" operator="between">
      <formula>$E33</formula>
      <formula>$F33</formula>
    </cfRule>
    <cfRule type="cellIs" dxfId="723" priority="115" operator="between">
      <formula>$F33</formula>
      <formula>$G33</formula>
    </cfRule>
    <cfRule type="cellIs" dxfId="722" priority="114" operator="between">
      <formula>$G33</formula>
      <formula>$H33</formula>
    </cfRule>
    <cfRule type="cellIs" dxfId="721" priority="113" operator="between">
      <formula>$H33</formula>
      <formula>$I33</formula>
    </cfRule>
    <cfRule type="cellIs" dxfId="720" priority="111" operator="between">
      <formula>$J33</formula>
      <formula>$K33</formula>
    </cfRule>
  </conditionalFormatting>
  <conditionalFormatting sqref="AJ39">
    <cfRule type="cellIs" dxfId="719" priority="134" operator="between">
      <formula>$E39</formula>
      <formula>$F39</formula>
    </cfRule>
    <cfRule type="cellIs" dxfId="718" priority="133" operator="between">
      <formula>$F39</formula>
      <formula>$G39</formula>
    </cfRule>
    <cfRule type="cellIs" dxfId="717" priority="132" operator="between">
      <formula>$G39</formula>
      <formula>$H39</formula>
    </cfRule>
    <cfRule type="cellIs" dxfId="716" priority="130" operator="between">
      <formula>$I39</formula>
      <formula>$J39</formula>
    </cfRule>
    <cfRule type="cellIs" dxfId="715" priority="131" operator="between">
      <formula>$H39</formula>
      <formula>$I39</formula>
    </cfRule>
    <cfRule type="cellIs" dxfId="714" priority="129" operator="between">
      <formula>$J39</formula>
      <formula>$K39</formula>
    </cfRule>
  </conditionalFormatting>
  <conditionalFormatting sqref="AJ43 AJ48 AJ27:AJ28">
    <cfRule type="cellIs" dxfId="713" priority="107" operator="between">
      <formula>$H27</formula>
      <formula>$I27</formula>
    </cfRule>
  </conditionalFormatting>
  <conditionalFormatting sqref="AJ43 AJ48:AJ49">
    <cfRule type="cellIs" dxfId="712" priority="106" operator="between">
      <formula>$I43</formula>
      <formula>$J43</formula>
    </cfRule>
    <cfRule type="cellIs" dxfId="711" priority="105" operator="between">
      <formula>$J43</formula>
      <formula>$K43</formula>
    </cfRule>
  </conditionalFormatting>
  <conditionalFormatting sqref="AK9:AK10 AK35 AK49">
    <cfRule type="cellIs" dxfId="710" priority="1001" operator="between">
      <formula>$H9</formula>
      <formula>$I9</formula>
    </cfRule>
    <cfRule type="cellIs" dxfId="709" priority="1004" operator="between">
      <formula>$E9</formula>
      <formula>$F9</formula>
    </cfRule>
    <cfRule type="cellIs" dxfId="708" priority="1003" operator="between">
      <formula>$F9</formula>
      <formula>$G9</formula>
    </cfRule>
    <cfRule type="cellIs" dxfId="707" priority="1002" operator="between">
      <formula>$G9</formula>
      <formula>$H9</formula>
    </cfRule>
  </conditionalFormatting>
  <conditionalFormatting sqref="AK9:AK10 AK35">
    <cfRule type="cellIs" dxfId="706" priority="999" operator="between">
      <formula>$J9</formula>
      <formula>$K9</formula>
    </cfRule>
    <cfRule type="cellIs" dxfId="705" priority="1000" operator="between">
      <formula>$I9</formula>
      <formula>$J9</formula>
    </cfRule>
  </conditionalFormatting>
  <conditionalFormatting sqref="AK17">
    <cfRule type="cellIs" dxfId="704" priority="994" operator="between">
      <formula>$I17</formula>
      <formula>$J17</formula>
    </cfRule>
    <cfRule type="cellIs" dxfId="703" priority="995" operator="between">
      <formula>$H17</formula>
      <formula>$I17</formula>
    </cfRule>
    <cfRule type="cellIs" dxfId="702" priority="996" operator="between">
      <formula>$G17</formula>
      <formula>$H17</formula>
    </cfRule>
    <cfRule type="cellIs" dxfId="701" priority="997" operator="between">
      <formula>$F17</formula>
      <formula>$G17</formula>
    </cfRule>
    <cfRule type="cellIs" dxfId="700" priority="998" operator="between">
      <formula>$E17</formula>
      <formula>$F17</formula>
    </cfRule>
    <cfRule type="cellIs" dxfId="699" priority="993" operator="between">
      <formula>$J17</formula>
      <formula>$K17</formula>
    </cfRule>
  </conditionalFormatting>
  <conditionalFormatting sqref="AK26">
    <cfRule type="cellIs" dxfId="698" priority="980" operator="between">
      <formula>$E26</formula>
      <formula>$F26</formula>
    </cfRule>
    <cfRule type="cellIs" dxfId="697" priority="978" operator="between">
      <formula>$G26</formula>
      <formula>$H26</formula>
    </cfRule>
    <cfRule type="cellIs" dxfId="696" priority="979" operator="between">
      <formula>$F26</formula>
      <formula>$G26</formula>
    </cfRule>
    <cfRule type="cellIs" dxfId="695" priority="977" operator="between">
      <formula>$H26</formula>
      <formula>$I26</formula>
    </cfRule>
  </conditionalFormatting>
  <conditionalFormatting sqref="AK26:AK28">
    <cfRule type="cellIs" dxfId="694" priority="975" operator="between">
      <formula>$J26</formula>
      <formula>$K26</formula>
    </cfRule>
    <cfRule type="cellIs" dxfId="693" priority="976" operator="between">
      <formula>$I26</formula>
      <formula>$J26</formula>
    </cfRule>
  </conditionalFormatting>
  <conditionalFormatting sqref="AK27:AK28 AK43 AK48">
    <cfRule type="cellIs" dxfId="692" priority="984" operator="between">
      <formula>$G27</formula>
      <formula>$H27</formula>
    </cfRule>
    <cfRule type="cellIs" dxfId="691" priority="985" operator="between">
      <formula>$F27</formula>
      <formula>$G27</formula>
    </cfRule>
    <cfRule type="cellIs" dxfId="690" priority="986" operator="between">
      <formula>$E27</formula>
      <formula>$F27</formula>
    </cfRule>
  </conditionalFormatting>
  <conditionalFormatting sqref="AK33">
    <cfRule type="cellIs" dxfId="689" priority="988" operator="between">
      <formula>$I33</formula>
      <formula>$J33</formula>
    </cfRule>
    <cfRule type="cellIs" dxfId="688" priority="989" operator="between">
      <formula>$H33</formula>
      <formula>$I33</formula>
    </cfRule>
    <cfRule type="cellIs" dxfId="687" priority="990" operator="between">
      <formula>$G33</formula>
      <formula>$H33</formula>
    </cfRule>
    <cfRule type="cellIs" dxfId="686" priority="992" operator="between">
      <formula>$E33</formula>
      <formula>$F33</formula>
    </cfRule>
    <cfRule type="cellIs" dxfId="685" priority="991" operator="between">
      <formula>$F33</formula>
      <formula>$G33</formula>
    </cfRule>
    <cfRule type="cellIs" dxfId="684" priority="987" operator="between">
      <formula>$J33</formula>
      <formula>$K33</formula>
    </cfRule>
  </conditionalFormatting>
  <conditionalFormatting sqref="AK39">
    <cfRule type="cellIs" dxfId="683" priority="1009" operator="between">
      <formula>$F39</formula>
      <formula>$G39</formula>
    </cfRule>
    <cfRule type="cellIs" dxfId="682" priority="1010" operator="between">
      <formula>$E39</formula>
      <formula>$F39</formula>
    </cfRule>
    <cfRule type="cellIs" dxfId="681" priority="1005" operator="between">
      <formula>$J39</formula>
      <formula>$K39</formula>
    </cfRule>
    <cfRule type="cellIs" dxfId="680" priority="1006" operator="between">
      <formula>$I39</formula>
      <formula>$J39</formula>
    </cfRule>
    <cfRule type="cellIs" dxfId="679" priority="1008" operator="between">
      <formula>$G39</formula>
      <formula>$H39</formula>
    </cfRule>
    <cfRule type="cellIs" dxfId="678" priority="1007" operator="between">
      <formula>$H39</formula>
      <formula>$I39</formula>
    </cfRule>
  </conditionalFormatting>
  <conditionalFormatting sqref="AK43 AK48 AK27:AK28">
    <cfRule type="cellIs" dxfId="677" priority="983" operator="between">
      <formula>$H27</formula>
      <formula>$I27</formula>
    </cfRule>
  </conditionalFormatting>
  <conditionalFormatting sqref="AK43 AK48:AK49">
    <cfRule type="cellIs" dxfId="676" priority="981" operator="between">
      <formula>$J43</formula>
      <formula>$K43</formula>
    </cfRule>
    <cfRule type="cellIs" dxfId="675" priority="982" operator="between">
      <formula>$I43</formula>
      <formula>$J43</formula>
    </cfRule>
  </conditionalFormatting>
  <conditionalFormatting sqref="AL9:AL10 AL35 AL49">
    <cfRule type="cellIs" dxfId="674" priority="85" operator="between">
      <formula>$F9</formula>
      <formula>$G9</formula>
    </cfRule>
    <cfRule type="cellIs" dxfId="673" priority="86" operator="between">
      <formula>$E9</formula>
      <formula>$F9</formula>
    </cfRule>
    <cfRule type="cellIs" dxfId="672" priority="83" operator="between">
      <formula>$H9</formula>
      <formula>$I9</formula>
    </cfRule>
    <cfRule type="cellIs" dxfId="671" priority="84" operator="between">
      <formula>$G9</formula>
      <formula>$H9</formula>
    </cfRule>
  </conditionalFormatting>
  <conditionalFormatting sqref="AL9:AL10 AL35">
    <cfRule type="cellIs" dxfId="670" priority="81" operator="between">
      <formula>$J9</formula>
      <formula>$K9</formula>
    </cfRule>
    <cfRule type="cellIs" dxfId="669" priority="82" operator="between">
      <formula>$I9</formula>
      <formula>$J9</formula>
    </cfRule>
  </conditionalFormatting>
  <conditionalFormatting sqref="AL15">
    <cfRule type="cellIs" dxfId="668" priority="53" operator="between">
      <formula>$H15</formula>
      <formula>$I15</formula>
    </cfRule>
    <cfRule type="cellIs" dxfId="667" priority="51" operator="between">
      <formula>$J15</formula>
      <formula>$K15</formula>
    </cfRule>
    <cfRule type="cellIs" dxfId="666" priority="52" operator="between">
      <formula>$I15</formula>
      <formula>$J15</formula>
    </cfRule>
    <cfRule type="cellIs" dxfId="665" priority="54" operator="between">
      <formula>$G15</formula>
      <formula>$H15</formula>
    </cfRule>
    <cfRule type="cellIs" dxfId="664" priority="56" operator="between">
      <formula>$E15</formula>
      <formula>$F15</formula>
    </cfRule>
    <cfRule type="cellIs" dxfId="663" priority="55" operator="between">
      <formula>$F15</formula>
      <formula>$G15</formula>
    </cfRule>
  </conditionalFormatting>
  <conditionalFormatting sqref="AL17">
    <cfRule type="cellIs" dxfId="662" priority="75" operator="between">
      <formula>$J17</formula>
      <formula>$K17</formula>
    </cfRule>
    <cfRule type="cellIs" dxfId="661" priority="76" operator="between">
      <formula>$I17</formula>
      <formula>$J17</formula>
    </cfRule>
    <cfRule type="cellIs" dxfId="660" priority="77" operator="between">
      <formula>$H17</formula>
      <formula>$I17</formula>
    </cfRule>
    <cfRule type="cellIs" dxfId="659" priority="78" operator="between">
      <formula>$G17</formula>
      <formula>$H17</formula>
    </cfRule>
    <cfRule type="cellIs" dxfId="658" priority="79" operator="between">
      <formula>$F17</formula>
      <formula>$G17</formula>
    </cfRule>
    <cfRule type="cellIs" dxfId="657" priority="80" operator="between">
      <formula>$E17</formula>
      <formula>$F17</formula>
    </cfRule>
  </conditionalFormatting>
  <conditionalFormatting sqref="AL26">
    <cfRule type="cellIs" dxfId="656" priority="59" operator="between">
      <formula>$H26</formula>
      <formula>$I26</formula>
    </cfRule>
    <cfRule type="cellIs" dxfId="655" priority="60" operator="between">
      <formula>$G26</formula>
      <formula>$H26</formula>
    </cfRule>
    <cfRule type="cellIs" dxfId="654" priority="61" operator="between">
      <formula>$F26</formula>
      <formula>$G26</formula>
    </cfRule>
    <cfRule type="cellIs" dxfId="653" priority="62" operator="between">
      <formula>$E26</formula>
      <formula>$F26</formula>
    </cfRule>
  </conditionalFormatting>
  <conditionalFormatting sqref="AL26:AL28">
    <cfRule type="cellIs" dxfId="652" priority="57" operator="between">
      <formula>$J26</formula>
      <formula>$K26</formula>
    </cfRule>
    <cfRule type="cellIs" dxfId="651" priority="58" operator="between">
      <formula>$I26</formula>
      <formula>$J26</formula>
    </cfRule>
  </conditionalFormatting>
  <conditionalFormatting sqref="AL27:AL28 AL43 AL48">
    <cfRule type="cellIs" dxfId="650" priority="66" operator="between">
      <formula>$G27</formula>
      <formula>$H27</formula>
    </cfRule>
    <cfRule type="cellIs" dxfId="649" priority="67" operator="between">
      <formula>$F27</formula>
      <formula>$G27</formula>
    </cfRule>
    <cfRule type="cellIs" dxfId="648" priority="68" operator="between">
      <formula>$E27</formula>
      <formula>$F27</formula>
    </cfRule>
  </conditionalFormatting>
  <conditionalFormatting sqref="AL33">
    <cfRule type="cellIs" dxfId="647" priority="72" operator="between">
      <formula>$G33</formula>
      <formula>$H33</formula>
    </cfRule>
    <cfRule type="cellIs" dxfId="646" priority="73" operator="between">
      <formula>$F33</formula>
      <formula>$G33</formula>
    </cfRule>
    <cfRule type="cellIs" dxfId="645" priority="74" operator="between">
      <formula>$E33</formula>
      <formula>$F33</formula>
    </cfRule>
    <cfRule type="cellIs" dxfId="644" priority="70" operator="between">
      <formula>$I33</formula>
      <formula>$J33</formula>
    </cfRule>
    <cfRule type="cellIs" dxfId="643" priority="71" operator="between">
      <formula>$H33</formula>
      <formula>$I33</formula>
    </cfRule>
    <cfRule type="cellIs" dxfId="642" priority="69" operator="between">
      <formula>$J33</formula>
      <formula>$K33</formula>
    </cfRule>
  </conditionalFormatting>
  <conditionalFormatting sqref="AL39">
    <cfRule type="cellIs" dxfId="641" priority="89" operator="between">
      <formula>$H39</formula>
      <formula>$I39</formula>
    </cfRule>
    <cfRule type="cellIs" dxfId="640" priority="87" operator="between">
      <formula>$J39</formula>
      <formula>$K39</formula>
    </cfRule>
    <cfRule type="cellIs" dxfId="639" priority="88" operator="between">
      <formula>$I39</formula>
      <formula>$J39</formula>
    </cfRule>
    <cfRule type="cellIs" dxfId="638" priority="92" operator="between">
      <formula>$E39</formula>
      <formula>$F39</formula>
    </cfRule>
    <cfRule type="cellIs" dxfId="637" priority="91" operator="between">
      <formula>$F39</formula>
      <formula>$G39</formula>
    </cfRule>
    <cfRule type="cellIs" dxfId="636" priority="90" operator="between">
      <formula>$G39</formula>
      <formula>$H39</formula>
    </cfRule>
  </conditionalFormatting>
  <conditionalFormatting sqref="AL43 AL48 AL27:AL28">
    <cfRule type="cellIs" dxfId="635" priority="65" operator="between">
      <formula>$H27</formula>
      <formula>$I27</formula>
    </cfRule>
  </conditionalFormatting>
  <conditionalFormatting sqref="AL43 AL48:AL49">
    <cfRule type="cellIs" dxfId="634" priority="63" operator="between">
      <formula>$J43</formula>
      <formula>$K43</formula>
    </cfRule>
    <cfRule type="cellIs" dxfId="633" priority="64" operator="between">
      <formula>$I43</formula>
      <formula>$J43</formula>
    </cfRule>
  </conditionalFormatting>
  <conditionalFormatting sqref="AM9:AM10 AM35 AM49">
    <cfRule type="cellIs" dxfId="632" priority="572" operator="between">
      <formula>$E9</formula>
      <formula>$F9</formula>
    </cfRule>
    <cfRule type="cellIs" dxfId="631" priority="570" operator="between">
      <formula>$G9</formula>
      <formula>$H9</formula>
    </cfRule>
    <cfRule type="cellIs" dxfId="630" priority="571" operator="between">
      <formula>$F9</formula>
      <formula>$G9</formula>
    </cfRule>
    <cfRule type="cellIs" dxfId="629" priority="569" operator="between">
      <formula>$H9</formula>
      <formula>$I9</formula>
    </cfRule>
  </conditionalFormatting>
  <conditionalFormatting sqref="AM9:AM10 AM35">
    <cfRule type="cellIs" dxfId="628" priority="567" operator="between">
      <formula>$J9</formula>
      <formula>$K9</formula>
    </cfRule>
    <cfRule type="cellIs" dxfId="627" priority="568" operator="between">
      <formula>$I9</formula>
      <formula>$J9</formula>
    </cfRule>
  </conditionalFormatting>
  <conditionalFormatting sqref="AM17">
    <cfRule type="cellIs" dxfId="626" priority="561" operator="between">
      <formula>$J17</formula>
      <formula>$K17</formula>
    </cfRule>
    <cfRule type="cellIs" dxfId="625" priority="562" operator="between">
      <formula>$I17</formula>
      <formula>$J17</formula>
    </cfRule>
    <cfRule type="cellIs" dxfId="624" priority="563" operator="between">
      <formula>$H17</formula>
      <formula>$I17</formula>
    </cfRule>
    <cfRule type="cellIs" dxfId="623" priority="564" operator="between">
      <formula>$G17</formula>
      <formula>$H17</formula>
    </cfRule>
    <cfRule type="cellIs" dxfId="622" priority="565" operator="between">
      <formula>$F17</formula>
      <formula>$G17</formula>
    </cfRule>
    <cfRule type="cellIs" dxfId="621" priority="566" operator="between">
      <formula>$E17</formula>
      <formula>$F17</formula>
    </cfRule>
  </conditionalFormatting>
  <conditionalFormatting sqref="AM26">
    <cfRule type="cellIs" dxfId="620" priority="545" operator="between">
      <formula>$H26</formula>
      <formula>$I26</formula>
    </cfRule>
    <cfRule type="cellIs" dxfId="619" priority="546" operator="between">
      <formula>$G26</formula>
      <formula>$H26</formula>
    </cfRule>
    <cfRule type="cellIs" dxfId="618" priority="548" operator="between">
      <formula>$E26</formula>
      <formula>$F26</formula>
    </cfRule>
    <cfRule type="cellIs" dxfId="617" priority="547" operator="between">
      <formula>$F26</formula>
      <formula>$G26</formula>
    </cfRule>
  </conditionalFormatting>
  <conditionalFormatting sqref="AM26:AM28">
    <cfRule type="cellIs" dxfId="616" priority="544" operator="between">
      <formula>$I26</formula>
      <formula>$J26</formula>
    </cfRule>
    <cfRule type="cellIs" dxfId="615" priority="543" operator="between">
      <formula>$J26</formula>
      <formula>$K26</formula>
    </cfRule>
  </conditionalFormatting>
  <conditionalFormatting sqref="AM27:AM28 AM43 AM48">
    <cfRule type="cellIs" dxfId="614" priority="554" operator="between">
      <formula>$E27</formula>
      <formula>$F27</formula>
    </cfRule>
    <cfRule type="cellIs" dxfId="613" priority="553" operator="between">
      <formula>$F27</formula>
      <formula>$G27</formula>
    </cfRule>
    <cfRule type="cellIs" dxfId="612" priority="552" operator="between">
      <formula>$G27</formula>
      <formula>$H27</formula>
    </cfRule>
  </conditionalFormatting>
  <conditionalFormatting sqref="AM33">
    <cfRule type="cellIs" dxfId="611" priority="558" operator="between">
      <formula>$G33</formula>
      <formula>$H33</formula>
    </cfRule>
    <cfRule type="cellIs" dxfId="610" priority="557" operator="between">
      <formula>$H33</formula>
      <formula>$I33</formula>
    </cfRule>
    <cfRule type="cellIs" dxfId="609" priority="560" operator="between">
      <formula>$E33</formula>
      <formula>$F33</formula>
    </cfRule>
    <cfRule type="cellIs" dxfId="608" priority="559" operator="between">
      <formula>$F33</formula>
      <formula>$G33</formula>
    </cfRule>
    <cfRule type="cellIs" dxfId="607" priority="556" operator="between">
      <formula>$I33</formula>
      <formula>$J33</formula>
    </cfRule>
    <cfRule type="cellIs" dxfId="606" priority="555" operator="between">
      <formula>$J33</formula>
      <formula>$K33</formula>
    </cfRule>
  </conditionalFormatting>
  <conditionalFormatting sqref="AM39">
    <cfRule type="cellIs" dxfId="605" priority="574" operator="between">
      <formula>$I39</formula>
      <formula>$J39</formula>
    </cfRule>
    <cfRule type="cellIs" dxfId="604" priority="573" operator="between">
      <formula>$J39</formula>
      <formula>$K39</formula>
    </cfRule>
    <cfRule type="cellIs" dxfId="603" priority="577" operator="between">
      <formula>$F39</formula>
      <formula>$G39</formula>
    </cfRule>
    <cfRule type="cellIs" dxfId="602" priority="576" operator="between">
      <formula>$G39</formula>
      <formula>$H39</formula>
    </cfRule>
    <cfRule type="cellIs" dxfId="601" priority="578" operator="between">
      <formula>$E39</formula>
      <formula>$F39</formula>
    </cfRule>
    <cfRule type="cellIs" dxfId="600" priority="575" operator="between">
      <formula>$H39</formula>
      <formula>$I39</formula>
    </cfRule>
  </conditionalFormatting>
  <conditionalFormatting sqref="AM43 AM48 AM27:AM28">
    <cfRule type="cellIs" dxfId="599" priority="551" operator="between">
      <formula>$H27</formula>
      <formula>$I27</formula>
    </cfRule>
  </conditionalFormatting>
  <conditionalFormatting sqref="AM43 AM48:AM49">
    <cfRule type="cellIs" dxfId="598" priority="549" operator="between">
      <formula>$J43</formula>
      <formula>$K43</formula>
    </cfRule>
    <cfRule type="cellIs" dxfId="597" priority="550" operator="between">
      <formula>$I43</formula>
      <formula>$J43</formula>
    </cfRule>
  </conditionalFormatting>
  <conditionalFormatting sqref="AN9:AN10 AN35 AN49">
    <cfRule type="cellIs" dxfId="596" priority="44" operator="between">
      <formula>$E9</formula>
      <formula>$F9</formula>
    </cfRule>
    <cfRule type="cellIs" dxfId="595" priority="43" operator="between">
      <formula>$F9</formula>
      <formula>$G9</formula>
    </cfRule>
    <cfRule type="cellIs" dxfId="594" priority="42" operator="between">
      <formula>$G9</formula>
      <formula>$H9</formula>
    </cfRule>
    <cfRule type="cellIs" dxfId="593" priority="41" operator="between">
      <formula>$H9</formula>
      <formula>$I9</formula>
    </cfRule>
  </conditionalFormatting>
  <conditionalFormatting sqref="AN9:AN10 AN35">
    <cfRule type="cellIs" dxfId="592" priority="40" operator="between">
      <formula>$I9</formula>
      <formula>$J9</formula>
    </cfRule>
    <cfRule type="cellIs" dxfId="591" priority="39" operator="between">
      <formula>$J9</formula>
      <formula>$K9</formula>
    </cfRule>
  </conditionalFormatting>
  <conditionalFormatting sqref="AN15">
    <cfRule type="cellIs" dxfId="590" priority="14" operator="between">
      <formula>$E15</formula>
      <formula>$F15</formula>
    </cfRule>
    <cfRule type="cellIs" dxfId="589" priority="9" operator="between">
      <formula>$J15</formula>
      <formula>$K15</formula>
    </cfRule>
    <cfRule type="cellIs" dxfId="588" priority="10" operator="between">
      <formula>$I15</formula>
      <formula>$J15</formula>
    </cfRule>
    <cfRule type="cellIs" dxfId="587" priority="11" operator="between">
      <formula>$H15</formula>
      <formula>$I15</formula>
    </cfRule>
    <cfRule type="cellIs" dxfId="586" priority="12" operator="between">
      <formula>$G15</formula>
      <formula>$H15</formula>
    </cfRule>
    <cfRule type="cellIs" dxfId="585" priority="13" operator="between">
      <formula>$F15</formula>
      <formula>$G15</formula>
    </cfRule>
  </conditionalFormatting>
  <conditionalFormatting sqref="AN17">
    <cfRule type="cellIs" dxfId="584" priority="35" operator="between">
      <formula>$H17</formula>
      <formula>$I17</formula>
    </cfRule>
    <cfRule type="cellIs" dxfId="583" priority="38" operator="between">
      <formula>$E17</formula>
      <formula>$F17</formula>
    </cfRule>
    <cfRule type="cellIs" dxfId="582" priority="37" operator="between">
      <formula>$F17</formula>
      <formula>$G17</formula>
    </cfRule>
    <cfRule type="cellIs" dxfId="581" priority="36" operator="between">
      <formula>$G17</formula>
      <formula>$H17</formula>
    </cfRule>
    <cfRule type="cellIs" dxfId="580" priority="33" operator="between">
      <formula>$J17</formula>
      <formula>$K17</formula>
    </cfRule>
    <cfRule type="cellIs" dxfId="579" priority="34" operator="between">
      <formula>$I17</formula>
      <formula>$J17</formula>
    </cfRule>
  </conditionalFormatting>
  <conditionalFormatting sqref="AN26">
    <cfRule type="cellIs" dxfId="578" priority="20" operator="between">
      <formula>$E26</formula>
      <formula>$F26</formula>
    </cfRule>
    <cfRule type="cellIs" dxfId="577" priority="19" operator="between">
      <formula>$F26</formula>
      <formula>$G26</formula>
    </cfRule>
    <cfRule type="cellIs" dxfId="576" priority="18" operator="between">
      <formula>$G26</formula>
      <formula>$H26</formula>
    </cfRule>
    <cfRule type="cellIs" dxfId="575" priority="17" operator="between">
      <formula>$H26</formula>
      <formula>$I26</formula>
    </cfRule>
  </conditionalFormatting>
  <conditionalFormatting sqref="AN26:AN28">
    <cfRule type="cellIs" dxfId="574" priority="16" operator="between">
      <formula>$I26</formula>
      <formula>$J26</formula>
    </cfRule>
    <cfRule type="cellIs" dxfId="573" priority="15" operator="between">
      <formula>$J26</formula>
      <formula>$K26</formula>
    </cfRule>
  </conditionalFormatting>
  <conditionalFormatting sqref="AN27:AN28 AN43 AN48">
    <cfRule type="cellIs" dxfId="572" priority="26" operator="between">
      <formula>$E27</formula>
      <formula>$F27</formula>
    </cfRule>
    <cfRule type="cellIs" dxfId="571" priority="24" operator="between">
      <formula>$G27</formula>
      <formula>$H27</formula>
    </cfRule>
    <cfRule type="cellIs" dxfId="570" priority="25" operator="between">
      <formula>$F27</formula>
      <formula>$G27</formula>
    </cfRule>
  </conditionalFormatting>
  <conditionalFormatting sqref="AN33">
    <cfRule type="cellIs" dxfId="569" priority="28" operator="between">
      <formula>$I33</formula>
      <formula>$J33</formula>
    </cfRule>
    <cfRule type="cellIs" dxfId="568" priority="27" operator="between">
      <formula>$J33</formula>
      <formula>$K33</formula>
    </cfRule>
    <cfRule type="cellIs" dxfId="567" priority="29" operator="between">
      <formula>$H33</formula>
      <formula>$I33</formula>
    </cfRule>
    <cfRule type="cellIs" dxfId="566" priority="30" operator="between">
      <formula>$G33</formula>
      <formula>$H33</formula>
    </cfRule>
    <cfRule type="cellIs" dxfId="565" priority="31" operator="between">
      <formula>$F33</formula>
      <formula>$G33</formula>
    </cfRule>
    <cfRule type="cellIs" dxfId="564" priority="32" operator="between">
      <formula>$E33</formula>
      <formula>$F33</formula>
    </cfRule>
  </conditionalFormatting>
  <conditionalFormatting sqref="AN39">
    <cfRule type="cellIs" dxfId="563" priority="48" operator="between">
      <formula>$G39</formula>
      <formula>$H39</formula>
    </cfRule>
    <cfRule type="cellIs" dxfId="562" priority="47" operator="between">
      <formula>$H39</formula>
      <formula>$I39</formula>
    </cfRule>
    <cfRule type="cellIs" dxfId="561" priority="45" operator="between">
      <formula>$J39</formula>
      <formula>$K39</formula>
    </cfRule>
    <cfRule type="cellIs" dxfId="560" priority="49" operator="between">
      <formula>$F39</formula>
      <formula>$G39</formula>
    </cfRule>
    <cfRule type="cellIs" dxfId="559" priority="46" operator="between">
      <formula>$I39</formula>
      <formula>$J39</formula>
    </cfRule>
    <cfRule type="cellIs" dxfId="558" priority="50" operator="between">
      <formula>$E39</formula>
      <formula>$F39</formula>
    </cfRule>
  </conditionalFormatting>
  <conditionalFormatting sqref="AN43 AN48 AN27:AN28">
    <cfRule type="cellIs" dxfId="557" priority="23" operator="between">
      <formula>$H27</formula>
      <formula>$I27</formula>
    </cfRule>
  </conditionalFormatting>
  <conditionalFormatting sqref="AN43 AN48:AN49">
    <cfRule type="cellIs" dxfId="556" priority="22" operator="between">
      <formula>$I43</formula>
      <formula>$J43</formula>
    </cfRule>
    <cfRule type="cellIs" dxfId="555" priority="21" operator="between">
      <formula>$J43</formula>
      <formula>$K43</formula>
    </cfRule>
  </conditionalFormatting>
  <conditionalFormatting sqref="AO12 AO18:AO19 AG27:AI28 AO28 AO30:AO32 AO34 AO39:AO40 AO42:AO47 AG43:AI43 AG48:AI48">
    <cfRule type="cellIs" dxfId="554" priority="1555" operator="between">
      <formula>$G12</formula>
      <formula>$H12</formula>
    </cfRule>
    <cfRule type="cellIs" dxfId="553" priority="1556" operator="between">
      <formula>$F12</formula>
      <formula>$G12</formula>
    </cfRule>
    <cfRule type="cellIs" dxfId="552" priority="1557" operator="between">
      <formula>$E12</formula>
      <formula>$F12</formula>
    </cfRule>
  </conditionalFormatting>
  <conditionalFormatting sqref="AO12 AO18:AO19 AO39:AO40 AO42:AO47 AG43:AI43 AO30:AO32 AO34 AO28 AG27:AI28 AG48:AI48">
    <cfRule type="cellIs" dxfId="551" priority="1554" operator="between">
      <formula>$H12</formula>
      <formula>$I12</formula>
    </cfRule>
  </conditionalFormatting>
  <conditionalFormatting sqref="AO12 AO18:AO22 AO39:AO40 AO42:AO47 AG43:AI43">
    <cfRule type="cellIs" dxfId="550" priority="1552" operator="between">
      <formula>$J12</formula>
      <formula>$K12</formula>
    </cfRule>
    <cfRule type="cellIs" dxfId="549" priority="1553" operator="between">
      <formula>$I12</formula>
      <formula>$J12</formula>
    </cfRule>
  </conditionalFormatting>
  <conditionalFormatting sqref="AO20:AO22 AO27 AO35">
    <cfRule type="cellIs" dxfId="548" priority="1562" operator="between">
      <formula>$F20</formula>
      <formula>$G20</formula>
    </cfRule>
    <cfRule type="cellIs" dxfId="547" priority="1563" operator="between">
      <formula>$E20</formula>
      <formula>$F20</formula>
    </cfRule>
    <cfRule type="cellIs" dxfId="546" priority="1561" operator="between">
      <formula>$G20</formula>
      <formula>$H20</formula>
    </cfRule>
  </conditionalFormatting>
  <conditionalFormatting sqref="AO20:AO22 AO35 AO27">
    <cfRule type="cellIs" dxfId="545" priority="1560" operator="between">
      <formula>$H20</formula>
      <formula>$I20</formula>
    </cfRule>
  </conditionalFormatting>
  <conditionalFormatting sqref="AO24:AO26">
    <cfRule type="cellIs" dxfId="544" priority="1415" operator="between">
      <formula>$H24</formula>
      <formula>$I24</formula>
    </cfRule>
    <cfRule type="cellIs" dxfId="543" priority="1417" operator="between">
      <formula>$F24</formula>
      <formula>$G24</formula>
    </cfRule>
    <cfRule type="cellIs" dxfId="542" priority="1416" operator="between">
      <formula>$G24</formula>
      <formula>$H24</formula>
    </cfRule>
    <cfRule type="cellIs" dxfId="541" priority="1418" operator="between">
      <formula>$E24</formula>
      <formula>$F24</formula>
    </cfRule>
  </conditionalFormatting>
  <conditionalFormatting sqref="AO24:AO28">
    <cfRule type="cellIs" dxfId="540" priority="1413" operator="between">
      <formula>$J24</formula>
      <formula>$K24</formula>
    </cfRule>
    <cfRule type="cellIs" dxfId="539" priority="1414" operator="between">
      <formula>$I24</formula>
      <formula>$J24</formula>
    </cfRule>
  </conditionalFormatting>
  <conditionalFormatting sqref="AO30:AO35">
    <cfRule type="cellIs" dxfId="538" priority="1535" operator="between">
      <formula>$I30</formula>
      <formula>$J30</formula>
    </cfRule>
    <cfRule type="cellIs" dxfId="537" priority="1534" operator="between">
      <formula>$J30</formula>
      <formula>$K30</formula>
    </cfRule>
  </conditionalFormatting>
  <conditionalFormatting sqref="AO33">
    <cfRule type="cellIs" dxfId="536" priority="1536" operator="between">
      <formula>$H33</formula>
      <formula>$I33</formula>
    </cfRule>
    <cfRule type="cellIs" dxfId="535" priority="1537" operator="between">
      <formula>$G33</formula>
      <formula>$H33</formula>
    </cfRule>
    <cfRule type="cellIs" dxfId="534" priority="1538" operator="between">
      <formula>$F33</formula>
      <formula>$G33</formula>
    </cfRule>
    <cfRule type="cellIs" dxfId="533" priority="1539" operator="between">
      <formula>$E33</formula>
      <formula>$F33</formula>
    </cfRule>
  </conditionalFormatting>
  <conditionalFormatting sqref="AO37">
    <cfRule type="cellIs" dxfId="532" priority="1409" operator="between">
      <formula>$H37</formula>
      <formula>$I37</formula>
    </cfRule>
    <cfRule type="cellIs" dxfId="531" priority="1407" operator="between">
      <formula>$J37</formula>
      <formula>$K37</formula>
    </cfRule>
    <cfRule type="cellIs" dxfId="530" priority="1411" operator="between">
      <formula>$F37</formula>
      <formula>$G37</formula>
    </cfRule>
    <cfRule type="cellIs" dxfId="529" priority="1410" operator="between">
      <formula>$G37</formula>
      <formula>$H37</formula>
    </cfRule>
    <cfRule type="cellIs" dxfId="528" priority="1408" operator="between">
      <formula>$I37</formula>
      <formula>$J37</formula>
    </cfRule>
    <cfRule type="cellIs" dxfId="527" priority="1412" operator="between">
      <formula>$E37</formula>
      <formula>$F37</formula>
    </cfRule>
  </conditionalFormatting>
  <conditionalFormatting sqref="AO49">
    <cfRule type="cellIs" dxfId="526" priority="1419" operator="between">
      <formula>$J49</formula>
      <formula>$K49</formula>
    </cfRule>
    <cfRule type="cellIs" dxfId="525" priority="1420" operator="between">
      <formula>$I49</formula>
      <formula>$J49</formula>
    </cfRule>
    <cfRule type="cellIs" dxfId="524" priority="1421" operator="between">
      <formula>$H49</formula>
      <formula>$I49</formula>
    </cfRule>
    <cfRule type="cellIs" dxfId="523" priority="1422" operator="between">
      <formula>$G49</formula>
      <formula>$H49</formula>
    </cfRule>
    <cfRule type="cellIs" dxfId="522" priority="1423" operator="between">
      <formula>$F49</formula>
      <formula>$G49</formula>
    </cfRule>
    <cfRule type="cellIs" dxfId="521" priority="1424" operator="between">
      <formula>$E49</formula>
      <formula>$F49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C5" sqref="C5"/>
    </sheetView>
  </sheetViews>
  <sheetFormatPr defaultColWidth="9" defaultRowHeight="14.25"/>
  <cols>
    <col min="1" max="1" width="10.3984375" customWidth="1"/>
    <col min="2" max="2" width="14.3984375" customWidth="1"/>
    <col min="3" max="3" width="66.3984375" customWidth="1"/>
    <col min="4" max="4" width="14.86328125" customWidth="1"/>
  </cols>
  <sheetData>
    <row r="1" spans="1:4">
      <c r="A1" s="243" t="s">
        <v>128</v>
      </c>
      <c r="B1" s="243" t="s">
        <v>129</v>
      </c>
      <c r="C1" s="243" t="s">
        <v>130</v>
      </c>
      <c r="D1" s="243" t="s">
        <v>131</v>
      </c>
    </row>
    <row r="2" spans="1:4">
      <c r="A2" s="244" t="s">
        <v>132</v>
      </c>
      <c r="B2" s="245">
        <v>44060</v>
      </c>
      <c r="C2" s="246" t="s">
        <v>133</v>
      </c>
      <c r="D2" s="244" t="s">
        <v>134</v>
      </c>
    </row>
    <row r="3" spans="1:4">
      <c r="A3" s="247" t="s">
        <v>135</v>
      </c>
      <c r="B3" s="247">
        <v>44088</v>
      </c>
      <c r="C3" s="246" t="s">
        <v>136</v>
      </c>
      <c r="D3" s="248" t="s">
        <v>137</v>
      </c>
    </row>
    <row r="4" spans="1:4">
      <c r="A4" s="247" t="s">
        <v>209</v>
      </c>
      <c r="B4" s="247">
        <v>44110</v>
      </c>
      <c r="C4" s="246" t="s">
        <v>210</v>
      </c>
      <c r="D4" s="248" t="s">
        <v>137</v>
      </c>
    </row>
    <row r="5" spans="1:4">
      <c r="A5" s="247" t="s">
        <v>245</v>
      </c>
      <c r="B5" s="247">
        <v>44112</v>
      </c>
      <c r="C5" s="246" t="s">
        <v>246</v>
      </c>
      <c r="D5" s="248" t="s">
        <v>137</v>
      </c>
    </row>
  </sheetData>
  <sheetProtection formatCells="0" insertHyperlinks="0" autoFilter="0"/>
  <phoneticPr fontId="6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17" sqref="C17"/>
    </sheetView>
  </sheetViews>
  <sheetFormatPr defaultColWidth="9" defaultRowHeight="14.25"/>
  <cols>
    <col min="1" max="1" width="17.265625" customWidth="1"/>
    <col min="2" max="2" width="5" customWidth="1"/>
    <col min="3" max="3" width="75.73046875" customWidth="1"/>
  </cols>
  <sheetData>
    <row r="1" spans="1:3">
      <c r="B1" t="s">
        <v>138</v>
      </c>
      <c r="C1" t="s">
        <v>139</v>
      </c>
    </row>
    <row r="2" spans="1:3">
      <c r="A2" t="s">
        <v>140</v>
      </c>
      <c r="B2">
        <v>0.8</v>
      </c>
      <c r="C2" t="s">
        <v>141</v>
      </c>
    </row>
    <row r="3" spans="1:3">
      <c r="A3" t="s">
        <v>142</v>
      </c>
      <c r="B3" t="s">
        <v>44</v>
      </c>
    </row>
    <row r="4" spans="1:3">
      <c r="A4" t="s">
        <v>92</v>
      </c>
      <c r="B4">
        <v>0.5</v>
      </c>
      <c r="C4" t="s">
        <v>143</v>
      </c>
    </row>
    <row r="5" spans="1:3">
      <c r="A5" t="s">
        <v>144</v>
      </c>
      <c r="B5">
        <v>0.63</v>
      </c>
      <c r="C5" t="s">
        <v>145</v>
      </c>
    </row>
    <row r="6" spans="1:3">
      <c r="A6" t="s">
        <v>146</v>
      </c>
      <c r="B6" t="s">
        <v>44</v>
      </c>
      <c r="C6" t="s">
        <v>147</v>
      </c>
    </row>
  </sheetData>
  <sheetProtection formatCells="0" insertHyperlinks="0" autoFilter="0"/>
  <phoneticPr fontId="6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43"/>
  <sheetViews>
    <sheetView zoomScale="89" zoomScaleNormal="89" workbookViewId="0">
      <pane xSplit="1" ySplit="1" topLeftCell="C2" activePane="bottomRight" state="frozen"/>
      <selection pane="topRight"/>
      <selection pane="bottomLeft"/>
      <selection pane="bottomRight" activeCell="A23" sqref="A23"/>
    </sheetView>
  </sheetViews>
  <sheetFormatPr defaultColWidth="8.86328125" defaultRowHeight="14.25"/>
  <cols>
    <col min="1" max="1" width="29.59765625" style="106" customWidth="1"/>
    <col min="2" max="2" width="7.1328125" style="106" hidden="1" customWidth="1"/>
    <col min="3" max="3" width="16.1328125" style="106" customWidth="1"/>
    <col min="4" max="4" width="5.59765625" style="106" customWidth="1"/>
    <col min="5" max="5" width="4.59765625" style="106" hidden="1" customWidth="1"/>
    <col min="6" max="6" width="5.59765625" style="116" customWidth="1"/>
    <col min="7" max="7" width="5.59765625" style="117" customWidth="1"/>
    <col min="8" max="8" width="5.59765625" style="113" customWidth="1"/>
    <col min="9" max="9" width="5.59765625" style="118" customWidth="1"/>
    <col min="10" max="10" width="5.59765625" style="119" customWidth="1"/>
    <col min="11" max="11" width="9.265625" style="113" customWidth="1"/>
    <col min="12" max="12" width="7.1328125" style="106" customWidth="1"/>
    <col min="13" max="28" width="10.3984375" style="106" customWidth="1"/>
    <col min="29" max="32" width="12.3984375" style="106" customWidth="1"/>
    <col min="33" max="33" width="10.86328125" style="106" hidden="1" customWidth="1"/>
    <col min="34" max="36" width="11.59765625" style="120" customWidth="1"/>
    <col min="37" max="37" width="12.3984375" style="120" customWidth="1"/>
    <col min="38" max="39" width="12.3984375" style="106" customWidth="1"/>
    <col min="40" max="40" width="8.59765625" style="106" customWidth="1"/>
    <col min="41" max="41" width="7.1328125" style="106" customWidth="1"/>
    <col min="42" max="42" width="57.86328125" style="106" customWidth="1"/>
    <col min="43" max="44" width="14.86328125" style="106" customWidth="1"/>
    <col min="45" max="45" width="12.86328125" style="106" customWidth="1"/>
    <col min="46" max="46" width="15" style="106" customWidth="1"/>
    <col min="47" max="16384" width="8.86328125" style="106"/>
  </cols>
  <sheetData>
    <row r="1" spans="1:40" s="105" customFormat="1" ht="53.45" customHeight="1">
      <c r="A1" s="121" t="s">
        <v>0</v>
      </c>
      <c r="B1" s="121" t="s">
        <v>1</v>
      </c>
      <c r="C1" s="121" t="s">
        <v>2</v>
      </c>
      <c r="D1" s="121" t="s">
        <v>3</v>
      </c>
      <c r="E1" s="121" t="s">
        <v>4</v>
      </c>
      <c r="F1" s="136" t="s">
        <v>5</v>
      </c>
      <c r="G1" s="137" t="s">
        <v>6</v>
      </c>
      <c r="H1" s="138" t="s">
        <v>7</v>
      </c>
      <c r="I1" s="160" t="s">
        <v>8</v>
      </c>
      <c r="J1" s="161" t="s">
        <v>9</v>
      </c>
      <c r="K1" s="138" t="s">
        <v>10</v>
      </c>
      <c r="L1" s="121" t="s">
        <v>11</v>
      </c>
      <c r="M1" s="173" t="s">
        <v>148</v>
      </c>
      <c r="N1" s="173" t="s">
        <v>149</v>
      </c>
      <c r="O1" s="173" t="s">
        <v>150</v>
      </c>
      <c r="P1" s="173" t="s">
        <v>151</v>
      </c>
      <c r="Q1" s="121" t="s">
        <v>152</v>
      </c>
      <c r="R1" s="121" t="s">
        <v>153</v>
      </c>
      <c r="S1" s="121" t="s">
        <v>154</v>
      </c>
      <c r="T1" s="121" t="s">
        <v>155</v>
      </c>
      <c r="U1" s="121" t="s">
        <v>156</v>
      </c>
      <c r="V1" s="121" t="s">
        <v>157</v>
      </c>
      <c r="W1" s="121" t="s">
        <v>158</v>
      </c>
      <c r="X1" s="196" t="s">
        <v>159</v>
      </c>
      <c r="Y1" s="196" t="s">
        <v>160</v>
      </c>
      <c r="Z1" s="196" t="s">
        <v>161</v>
      </c>
      <c r="AA1" s="212" t="s">
        <v>28</v>
      </c>
      <c r="AB1" s="121" t="s">
        <v>29</v>
      </c>
      <c r="AC1" s="121" t="s">
        <v>30</v>
      </c>
      <c r="AD1" s="121" t="s">
        <v>31</v>
      </c>
      <c r="AE1" s="121" t="s">
        <v>32</v>
      </c>
      <c r="AF1" s="121" t="s">
        <v>33</v>
      </c>
      <c r="AG1" s="223" t="s">
        <v>34</v>
      </c>
      <c r="AH1" s="223" t="s">
        <v>35</v>
      </c>
      <c r="AI1" s="223" t="s">
        <v>36</v>
      </c>
      <c r="AJ1" s="223" t="s">
        <v>37</v>
      </c>
      <c r="AK1" s="121" t="s">
        <v>38</v>
      </c>
      <c r="AL1" s="121" t="s">
        <v>39</v>
      </c>
      <c r="AM1" s="121" t="s">
        <v>40</v>
      </c>
      <c r="AN1" s="231" t="s">
        <v>41</v>
      </c>
    </row>
    <row r="2" spans="1:40" ht="15">
      <c r="A2" s="122" t="s">
        <v>42</v>
      </c>
      <c r="B2" s="122"/>
      <c r="C2" s="122"/>
      <c r="D2" s="122"/>
      <c r="E2" s="122"/>
      <c r="F2" s="133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>
        <v>0.9</v>
      </c>
      <c r="S2" s="122"/>
      <c r="T2" s="122"/>
      <c r="U2" s="122">
        <v>0.9</v>
      </c>
      <c r="V2" s="122">
        <v>0.9</v>
      </c>
      <c r="W2" s="122">
        <v>0.9</v>
      </c>
      <c r="X2" s="197" t="s">
        <v>56</v>
      </c>
      <c r="Y2" s="174">
        <v>0.85</v>
      </c>
      <c r="Z2" s="122">
        <v>1</v>
      </c>
      <c r="AA2" s="179"/>
      <c r="AB2" s="122">
        <f t="shared" ref="AB2:AB43" si="0">PERCENTILE($V2:$AA2,0.1)</f>
        <v>0.86499999999999999</v>
      </c>
      <c r="AC2" s="122">
        <f t="shared" ref="AC2:AC43" si="1">PERCENTILE($V2:$AA2,0.25)</f>
        <v>0.88749999999999996</v>
      </c>
      <c r="AD2" s="122">
        <f t="shared" ref="AD2:AD43" si="2">PERCENTILE($V2:$AA2,0.5)</f>
        <v>0.9</v>
      </c>
      <c r="AE2" s="122">
        <f t="shared" ref="AE2:AE43" si="3">PERCENTILE($V2:$AA2,0.75)</f>
        <v>0.92500000000000004</v>
      </c>
      <c r="AF2" s="122">
        <f t="shared" ref="AF2:AF43" si="4">PERCENTILE($V2:$AA2,0.9)</f>
        <v>0.97</v>
      </c>
      <c r="AG2" s="131">
        <f>(Table14[[#This Row],[MP75]]-Table14[[#This Row],[MP25]])/Table14[[#This Row],[MP50]]</f>
        <v>4.1666666666666761E-2</v>
      </c>
      <c r="AH2" s="131">
        <v>2.0833333333333402E-2</v>
      </c>
      <c r="AI2" s="131">
        <f>(Table14[[#This Row],[MP50]]-Table14[[#This Row],[MP25]])/Table14[[#This Row],[MP50]]</f>
        <v>1.3888888888888963E-2</v>
      </c>
      <c r="AJ2" s="131">
        <f>(Table14[[#This Row],[MP75]]-Table14[[#This Row],[MP50]])/Table14[[#This Row],[MP50]]</f>
        <v>2.7777777777777801E-2</v>
      </c>
      <c r="AK2" s="179">
        <f>AVERAGE($M2,$R2,$U2,$V2,$W2,$Z2)</f>
        <v>0.91999999999999993</v>
      </c>
      <c r="AL2" s="179">
        <f t="shared" ref="AL2:AL43" si="5">STDEV($M2,$R2,$U2,$V2,$W2,$Z2)</f>
        <v>4.4721359549995787E-2</v>
      </c>
      <c r="AM2" s="122"/>
      <c r="AN2" s="174"/>
    </row>
    <row r="3" spans="1:40" ht="15">
      <c r="A3" s="122" t="s">
        <v>43</v>
      </c>
      <c r="B3" s="122"/>
      <c r="C3" s="122" t="s">
        <v>44</v>
      </c>
      <c r="D3" s="122"/>
      <c r="E3" s="122"/>
      <c r="F3" s="139"/>
      <c r="G3" s="140"/>
      <c r="H3" s="122"/>
      <c r="I3" s="162"/>
      <c r="J3" s="163"/>
      <c r="K3" s="122"/>
      <c r="L3" s="122"/>
      <c r="M3" s="122"/>
      <c r="N3" s="122" t="s">
        <v>45</v>
      </c>
      <c r="O3" s="122" t="s">
        <v>45</v>
      </c>
      <c r="P3" s="174" t="s">
        <v>46</v>
      </c>
      <c r="Q3" s="174" t="s">
        <v>46</v>
      </c>
      <c r="R3" s="122" t="s">
        <v>46</v>
      </c>
      <c r="S3" s="122"/>
      <c r="T3" s="122"/>
      <c r="U3" s="122" t="s">
        <v>162</v>
      </c>
      <c r="V3" s="122" t="s">
        <v>162</v>
      </c>
      <c r="W3" s="122" t="s">
        <v>47</v>
      </c>
      <c r="X3" s="198" t="s">
        <v>49</v>
      </c>
      <c r="Y3" s="174" t="s">
        <v>49</v>
      </c>
      <c r="Z3" s="122" t="s">
        <v>49</v>
      </c>
      <c r="AA3" s="179"/>
      <c r="AB3" s="122" t="e">
        <f t="shared" si="0"/>
        <v>#NUM!</v>
      </c>
      <c r="AC3" s="122" t="e">
        <f t="shared" si="1"/>
        <v>#NUM!</v>
      </c>
      <c r="AD3" s="122" t="e">
        <f t="shared" si="2"/>
        <v>#NUM!</v>
      </c>
      <c r="AE3" s="122" t="e">
        <f t="shared" si="3"/>
        <v>#NUM!</v>
      </c>
      <c r="AF3" s="122" t="e">
        <f t="shared" si="4"/>
        <v>#NUM!</v>
      </c>
      <c r="AG3" s="131" t="e">
        <f>(Table14[[#This Row],[MP75]]-Table14[[#This Row],[MP25]])/Table14[[#This Row],[MP50]]</f>
        <v>#NUM!</v>
      </c>
      <c r="AH3" s="131" t="e">
        <v>#NUM!</v>
      </c>
      <c r="AI3" s="131" t="e">
        <f>(Table14[[#This Row],[MP50]]-Table14[[#This Row],[MP25]])/Table14[[#This Row],[MP50]]</f>
        <v>#NUM!</v>
      </c>
      <c r="AJ3" s="131" t="e">
        <f>(Table14[[#This Row],[MP75]]-Table14[[#This Row],[MP50]])/Table14[[#This Row],[MP50]]</f>
        <v>#NUM!</v>
      </c>
      <c r="AK3" s="179" t="e">
        <f t="shared" ref="AK3:AK43" si="6">AVERAGE($M3,$R3,$U3,$V3,$W3,$Z3)</f>
        <v>#DIV/0!</v>
      </c>
      <c r="AL3" s="179" t="e">
        <f t="shared" si="5"/>
        <v>#DIV/0!</v>
      </c>
      <c r="AM3" s="122" t="s">
        <v>50</v>
      </c>
      <c r="AN3" s="174"/>
    </row>
    <row r="4" spans="1:40" ht="15">
      <c r="A4" s="122" t="s">
        <v>51</v>
      </c>
      <c r="B4" s="122" t="s">
        <v>52</v>
      </c>
      <c r="C4" s="122">
        <f>-M:M</f>
        <v>0</v>
      </c>
      <c r="D4" s="122"/>
      <c r="E4" s="122"/>
      <c r="F4" s="133"/>
      <c r="G4" s="122"/>
      <c r="H4" s="122"/>
      <c r="I4" s="122"/>
      <c r="J4" s="122"/>
      <c r="K4" s="122"/>
      <c r="L4" s="122"/>
      <c r="M4" s="175"/>
      <c r="N4" s="175">
        <v>1.2</v>
      </c>
      <c r="O4" s="175">
        <v>1.2</v>
      </c>
      <c r="P4" s="176">
        <v>1</v>
      </c>
      <c r="Q4" s="176">
        <v>1</v>
      </c>
      <c r="R4" s="175">
        <v>1</v>
      </c>
      <c r="S4" s="175">
        <v>1.2</v>
      </c>
      <c r="T4" s="175">
        <v>1.2</v>
      </c>
      <c r="U4" s="175">
        <v>1.2</v>
      </c>
      <c r="V4" s="175">
        <v>1</v>
      </c>
      <c r="W4" s="175">
        <v>1.4</v>
      </c>
      <c r="X4" s="199">
        <v>1.3</v>
      </c>
      <c r="Y4" s="176">
        <v>1.3</v>
      </c>
      <c r="Z4" s="175">
        <v>1.3</v>
      </c>
      <c r="AA4" s="175"/>
      <c r="AB4" s="122">
        <f t="shared" si="0"/>
        <v>1.1200000000000001</v>
      </c>
      <c r="AC4" s="122">
        <f t="shared" si="1"/>
        <v>1.3</v>
      </c>
      <c r="AD4" s="122">
        <f t="shared" si="2"/>
        <v>1.3</v>
      </c>
      <c r="AE4" s="122">
        <f t="shared" si="3"/>
        <v>1.3</v>
      </c>
      <c r="AF4" s="122">
        <f t="shared" si="4"/>
        <v>1.3599999999999999</v>
      </c>
      <c r="AG4" s="131">
        <f>(Table14[[#This Row],[MP75]]-Table14[[#This Row],[MP25]])/Table14[[#This Row],[MP50]]</f>
        <v>0</v>
      </c>
      <c r="AH4" s="131">
        <v>0</v>
      </c>
      <c r="AI4" s="131">
        <f>(Table14[[#This Row],[MP50]]-Table14[[#This Row],[MP25]])/Table14[[#This Row],[MP50]]</f>
        <v>0</v>
      </c>
      <c r="AJ4" s="131">
        <f>(Table14[[#This Row],[MP75]]-Table14[[#This Row],[MP50]])/Table14[[#This Row],[MP50]]</f>
        <v>0</v>
      </c>
      <c r="AK4" s="179">
        <f t="shared" si="6"/>
        <v>1.18</v>
      </c>
      <c r="AL4" s="179">
        <f t="shared" si="5"/>
        <v>0.17888543819998387</v>
      </c>
      <c r="AM4" s="122"/>
      <c r="AN4" s="174"/>
    </row>
    <row r="5" spans="1:40" ht="15">
      <c r="A5" s="122" t="s">
        <v>53</v>
      </c>
      <c r="B5" s="122"/>
      <c r="C5" s="122" t="s">
        <v>54</v>
      </c>
      <c r="D5" s="122"/>
      <c r="E5" s="122"/>
      <c r="F5" s="133"/>
      <c r="G5" s="122"/>
      <c r="H5" s="122"/>
      <c r="I5" s="122"/>
      <c r="J5" s="122"/>
      <c r="K5" s="122"/>
      <c r="L5" s="122"/>
      <c r="M5" s="122"/>
      <c r="N5" s="122">
        <v>7</v>
      </c>
      <c r="O5" s="122">
        <v>7</v>
      </c>
      <c r="P5" s="174">
        <v>6</v>
      </c>
      <c r="Q5" s="174">
        <v>6</v>
      </c>
      <c r="R5" s="122">
        <v>6</v>
      </c>
      <c r="S5" s="122">
        <v>7</v>
      </c>
      <c r="T5" s="122">
        <v>7</v>
      </c>
      <c r="U5" s="122">
        <v>7</v>
      </c>
      <c r="V5" s="122">
        <v>5</v>
      </c>
      <c r="W5" s="122">
        <v>9</v>
      </c>
      <c r="X5" s="198"/>
      <c r="Y5" s="174"/>
      <c r="Z5" s="122"/>
      <c r="AA5" s="179"/>
      <c r="AB5" s="122">
        <f t="shared" si="0"/>
        <v>5.4</v>
      </c>
      <c r="AC5" s="122">
        <f t="shared" si="1"/>
        <v>6</v>
      </c>
      <c r="AD5" s="122">
        <f t="shared" si="2"/>
        <v>7</v>
      </c>
      <c r="AE5" s="122">
        <f t="shared" si="3"/>
        <v>8</v>
      </c>
      <c r="AF5" s="122">
        <f t="shared" si="4"/>
        <v>8.6</v>
      </c>
      <c r="AG5" s="131">
        <f>(Table14[[#This Row],[MP75]]-Table14[[#This Row],[MP25]])/Table14[[#This Row],[MP50]]</f>
        <v>0.2857142857142857</v>
      </c>
      <c r="AH5" s="131">
        <v>0.14285714285714299</v>
      </c>
      <c r="AI5" s="131">
        <f>(Table14[[#This Row],[MP50]]-Table14[[#This Row],[MP25]])/Table14[[#This Row],[MP50]]</f>
        <v>0.14285714285714285</v>
      </c>
      <c r="AJ5" s="131">
        <f>(Table14[[#This Row],[MP75]]-Table14[[#This Row],[MP50]])/Table14[[#This Row],[MP50]]</f>
        <v>0.14285714285714285</v>
      </c>
      <c r="AK5" s="179">
        <f t="shared" si="6"/>
        <v>6.75</v>
      </c>
      <c r="AL5" s="179">
        <f t="shared" si="5"/>
        <v>1.707825127659933</v>
      </c>
      <c r="AM5" s="122"/>
      <c r="AN5" s="174"/>
    </row>
    <row r="6" spans="1:40" ht="15" hidden="1">
      <c r="A6" s="122" t="s">
        <v>163</v>
      </c>
      <c r="B6" s="122"/>
      <c r="C6" s="122"/>
      <c r="D6" s="122"/>
      <c r="E6" s="122"/>
      <c r="F6" s="133"/>
      <c r="G6" s="122"/>
      <c r="H6" s="122"/>
      <c r="I6" s="122"/>
      <c r="J6" s="122"/>
      <c r="K6" s="122"/>
      <c r="L6" s="122"/>
      <c r="M6" s="122"/>
      <c r="N6" s="122" t="s">
        <v>164</v>
      </c>
      <c r="O6" s="122" t="s">
        <v>164</v>
      </c>
      <c r="P6" s="122" t="s">
        <v>164</v>
      </c>
      <c r="Q6" s="122" t="s">
        <v>164</v>
      </c>
      <c r="R6" s="122" t="s">
        <v>164</v>
      </c>
      <c r="S6" s="122" t="s">
        <v>164</v>
      </c>
      <c r="T6" s="122" t="s">
        <v>164</v>
      </c>
      <c r="U6" s="122" t="s">
        <v>164</v>
      </c>
      <c r="V6" s="122"/>
      <c r="W6" s="122"/>
      <c r="X6" s="122"/>
      <c r="Y6" s="122"/>
      <c r="Z6" s="122" t="s">
        <v>164</v>
      </c>
      <c r="AA6" s="179"/>
      <c r="AB6" s="122" t="e">
        <f t="shared" si="0"/>
        <v>#NUM!</v>
      </c>
      <c r="AC6" s="122" t="e">
        <f t="shared" si="1"/>
        <v>#NUM!</v>
      </c>
      <c r="AD6" s="122" t="e">
        <f t="shared" si="2"/>
        <v>#NUM!</v>
      </c>
      <c r="AE6" s="122" t="e">
        <f t="shared" si="3"/>
        <v>#NUM!</v>
      </c>
      <c r="AF6" s="122" t="e">
        <f t="shared" si="4"/>
        <v>#NUM!</v>
      </c>
      <c r="AG6" s="131" t="e">
        <f>(Table14[[#This Row],[MP75]]-Table14[[#This Row],[MP25]])/Table14[[#This Row],[MP50]]</f>
        <v>#NUM!</v>
      </c>
      <c r="AH6" s="131" t="e">
        <v>#NUM!</v>
      </c>
      <c r="AI6" s="131" t="e">
        <f>(Table14[[#This Row],[MP50]]-Table14[[#This Row],[MP25]])/Table14[[#This Row],[MP50]]</f>
        <v>#NUM!</v>
      </c>
      <c r="AJ6" s="131" t="e">
        <f>(Table14[[#This Row],[MP75]]-Table14[[#This Row],[MP50]])/Table14[[#This Row],[MP50]]</f>
        <v>#NUM!</v>
      </c>
      <c r="AK6" s="179" t="e">
        <f t="shared" si="6"/>
        <v>#DIV/0!</v>
      </c>
      <c r="AL6" s="179" t="e">
        <f t="shared" si="5"/>
        <v>#DIV/0!</v>
      </c>
      <c r="AM6" s="122"/>
      <c r="AN6" s="174"/>
    </row>
    <row r="7" spans="1:40" ht="15" hidden="1">
      <c r="A7" s="122" t="s">
        <v>165</v>
      </c>
      <c r="B7" s="122"/>
      <c r="C7" s="122"/>
      <c r="D7" s="122"/>
      <c r="E7" s="122"/>
      <c r="F7" s="133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 t="s">
        <v>166</v>
      </c>
      <c r="V7" s="122"/>
      <c r="W7" s="122"/>
      <c r="X7" s="122"/>
      <c r="Y7" s="122"/>
      <c r="Z7" s="122"/>
      <c r="AA7" s="179"/>
      <c r="AB7" s="122" t="e">
        <f t="shared" si="0"/>
        <v>#NUM!</v>
      </c>
      <c r="AC7" s="122" t="e">
        <f t="shared" si="1"/>
        <v>#NUM!</v>
      </c>
      <c r="AD7" s="122" t="e">
        <f t="shared" si="2"/>
        <v>#NUM!</v>
      </c>
      <c r="AE7" s="122" t="e">
        <f t="shared" si="3"/>
        <v>#NUM!</v>
      </c>
      <c r="AF7" s="122" t="e">
        <f t="shared" si="4"/>
        <v>#NUM!</v>
      </c>
      <c r="AG7" s="131" t="e">
        <f>(Table14[[#This Row],[MP75]]-Table14[[#This Row],[MP25]])/Table14[[#This Row],[MP50]]</f>
        <v>#NUM!</v>
      </c>
      <c r="AH7" s="131" t="e">
        <v>#NUM!</v>
      </c>
      <c r="AI7" s="131" t="e">
        <f>(Table14[[#This Row],[MP50]]-Table14[[#This Row],[MP25]])/Table14[[#This Row],[MP50]]</f>
        <v>#NUM!</v>
      </c>
      <c r="AJ7" s="131" t="e">
        <f>(Table14[[#This Row],[MP75]]-Table14[[#This Row],[MP50]])/Table14[[#This Row],[MP50]]</f>
        <v>#NUM!</v>
      </c>
      <c r="AK7" s="179" t="e">
        <f t="shared" si="6"/>
        <v>#DIV/0!</v>
      </c>
      <c r="AL7" s="179" t="e">
        <f t="shared" si="5"/>
        <v>#DIV/0!</v>
      </c>
      <c r="AM7" s="122"/>
      <c r="AN7" s="174"/>
    </row>
    <row r="8" spans="1:40" ht="15.75">
      <c r="A8" s="123" t="s">
        <v>69</v>
      </c>
      <c r="B8" s="123"/>
      <c r="C8" s="124"/>
      <c r="D8" s="124"/>
      <c r="E8" s="124"/>
      <c r="F8" s="141"/>
      <c r="G8" s="142"/>
      <c r="H8" s="124"/>
      <c r="I8" s="164"/>
      <c r="J8" s="165"/>
      <c r="K8" s="124"/>
      <c r="L8" s="124"/>
      <c r="M8" s="124"/>
      <c r="N8" s="124"/>
      <c r="O8" s="124"/>
      <c r="P8" s="124"/>
      <c r="Q8" s="124"/>
      <c r="R8" s="191"/>
      <c r="S8" s="191"/>
      <c r="T8" s="191"/>
      <c r="U8" s="124"/>
      <c r="V8" s="124"/>
      <c r="W8" s="124"/>
      <c r="X8" s="124"/>
      <c r="Y8" s="124"/>
      <c r="Z8" s="191"/>
      <c r="AA8" s="213"/>
      <c r="AB8" s="122" t="e">
        <f t="shared" si="0"/>
        <v>#NUM!</v>
      </c>
      <c r="AC8" s="122" t="e">
        <f t="shared" si="1"/>
        <v>#NUM!</v>
      </c>
      <c r="AD8" s="122" t="e">
        <f t="shared" si="2"/>
        <v>#NUM!</v>
      </c>
      <c r="AE8" s="122" t="e">
        <f t="shared" si="3"/>
        <v>#NUM!</v>
      </c>
      <c r="AF8" s="122" t="e">
        <f t="shared" si="4"/>
        <v>#NUM!</v>
      </c>
      <c r="AG8" s="131" t="e">
        <f>(Table14[[#This Row],[MP75]]-Table14[[#This Row],[MP25]])/Table14[[#This Row],[MP50]]</f>
        <v>#NUM!</v>
      </c>
      <c r="AH8" s="131" t="e">
        <v>#NUM!</v>
      </c>
      <c r="AI8" s="131" t="e">
        <f>(Table14[[#This Row],[MP50]]-Table14[[#This Row],[MP25]])/Table14[[#This Row],[MP50]]</f>
        <v>#NUM!</v>
      </c>
      <c r="AJ8" s="131" t="e">
        <f>(Table14[[#This Row],[MP75]]-Table14[[#This Row],[MP50]])/Table14[[#This Row],[MP50]]</f>
        <v>#NUM!</v>
      </c>
      <c r="AK8" s="179" t="e">
        <f t="shared" si="6"/>
        <v>#DIV/0!</v>
      </c>
      <c r="AL8" s="179" t="e">
        <f t="shared" si="5"/>
        <v>#DIV/0!</v>
      </c>
      <c r="AM8" s="122" t="s">
        <v>50</v>
      </c>
      <c r="AN8" s="174"/>
    </row>
    <row r="9" spans="1:40" ht="15.75">
      <c r="A9" s="125" t="s">
        <v>57</v>
      </c>
      <c r="B9" s="122"/>
      <c r="C9" s="122" t="s">
        <v>58</v>
      </c>
      <c r="D9" s="122" t="s">
        <v>59</v>
      </c>
      <c r="E9" s="122"/>
      <c r="F9" s="133"/>
      <c r="G9" s="122"/>
      <c r="H9" s="122"/>
      <c r="I9" s="122"/>
      <c r="J9" s="122"/>
      <c r="K9" s="122"/>
      <c r="L9" s="122"/>
      <c r="M9" s="177"/>
      <c r="N9" s="177">
        <v>2311</v>
      </c>
      <c r="O9" s="177">
        <v>2311</v>
      </c>
      <c r="P9" s="177"/>
      <c r="Q9" s="177">
        <v>772.2</v>
      </c>
      <c r="R9" s="163">
        <f>(143+5)*5.4</f>
        <v>799.2</v>
      </c>
      <c r="S9" s="163"/>
      <c r="T9" s="177">
        <v>1056</v>
      </c>
      <c r="U9" s="163">
        <v>1302</v>
      </c>
      <c r="V9" s="200">
        <f>1954.8+70.2</f>
        <v>2025</v>
      </c>
      <c r="W9" s="201">
        <f>4563+374.5+334.8</f>
        <v>5272.3</v>
      </c>
      <c r="X9" s="177">
        <v>59.4</v>
      </c>
      <c r="Y9" s="177">
        <v>529.20000000000005</v>
      </c>
      <c r="Z9" s="163">
        <v>788.4</v>
      </c>
      <c r="AA9" s="214"/>
      <c r="AB9" s="122">
        <f t="shared" si="0"/>
        <v>247.32</v>
      </c>
      <c r="AC9" s="122">
        <f t="shared" si="1"/>
        <v>529.20000000000005</v>
      </c>
      <c r="AD9" s="122">
        <f t="shared" si="2"/>
        <v>788.4</v>
      </c>
      <c r="AE9" s="122">
        <f t="shared" si="3"/>
        <v>2025</v>
      </c>
      <c r="AF9" s="122">
        <f t="shared" si="4"/>
        <v>3973.3799999999992</v>
      </c>
      <c r="AG9" s="131">
        <f>(Table14[[#This Row],[MP75]]-Table14[[#This Row],[MP25]])/Table14[[#This Row],[MP50]]</f>
        <v>1.8972602739726028</v>
      </c>
      <c r="AH9" s="131">
        <v>0.94863013698630105</v>
      </c>
      <c r="AI9" s="131">
        <f>(Table14[[#This Row],[MP50]]-Table14[[#This Row],[MP25]])/Table14[[#This Row],[MP50]]</f>
        <v>0.32876712328767116</v>
      </c>
      <c r="AJ9" s="131">
        <f>(Table14[[#This Row],[MP75]]-Table14[[#This Row],[MP50]])/Table14[[#This Row],[MP50]]</f>
        <v>1.5684931506849313</v>
      </c>
      <c r="AK9" s="179">
        <f t="shared" si="6"/>
        <v>2037.3799999999999</v>
      </c>
      <c r="AL9" s="179">
        <f t="shared" si="5"/>
        <v>1877.4107946850636</v>
      </c>
      <c r="AM9" s="122"/>
      <c r="AN9" s="174"/>
    </row>
    <row r="10" spans="1:40" ht="15.75">
      <c r="A10" s="125" t="s">
        <v>60</v>
      </c>
      <c r="B10" s="122"/>
      <c r="C10" s="122" t="s">
        <v>58</v>
      </c>
      <c r="D10" s="122" t="s">
        <v>61</v>
      </c>
      <c r="E10" s="122"/>
      <c r="F10" s="133"/>
      <c r="G10" s="122"/>
      <c r="H10" s="122"/>
      <c r="I10" s="122"/>
      <c r="J10" s="122"/>
      <c r="K10" s="122"/>
      <c r="L10" s="122"/>
      <c r="M10" s="177"/>
      <c r="N10" s="177">
        <v>204</v>
      </c>
      <c r="O10" s="177">
        <v>301</v>
      </c>
      <c r="P10" s="177"/>
      <c r="Q10" s="177">
        <v>86.4</v>
      </c>
      <c r="R10" s="192">
        <v>67.5</v>
      </c>
      <c r="S10" s="192"/>
      <c r="T10" s="177">
        <v>1056</v>
      </c>
      <c r="U10" s="163">
        <v>246</v>
      </c>
      <c r="V10" s="200">
        <v>70.2</v>
      </c>
      <c r="W10" s="201">
        <v>334.8</v>
      </c>
      <c r="X10" s="177">
        <v>45.9</v>
      </c>
      <c r="Y10" s="177">
        <v>72.900000000000006</v>
      </c>
      <c r="Z10" s="163">
        <v>99.9</v>
      </c>
      <c r="AA10" s="214"/>
      <c r="AB10" s="122">
        <f t="shared" si="0"/>
        <v>55.62</v>
      </c>
      <c r="AC10" s="122">
        <f t="shared" si="1"/>
        <v>70.2</v>
      </c>
      <c r="AD10" s="122">
        <f t="shared" si="2"/>
        <v>72.900000000000006</v>
      </c>
      <c r="AE10" s="122">
        <f t="shared" si="3"/>
        <v>99.9</v>
      </c>
      <c r="AF10" s="122">
        <f t="shared" si="4"/>
        <v>240.83999999999992</v>
      </c>
      <c r="AG10" s="131">
        <f>(Table14[[#This Row],[MP75]]-Table14[[#This Row],[MP25]])/Table14[[#This Row],[MP50]]</f>
        <v>0.40740740740740744</v>
      </c>
      <c r="AH10" s="131">
        <v>0.203703703703704</v>
      </c>
      <c r="AI10" s="131">
        <f>(Table14[[#This Row],[MP50]]-Table14[[#This Row],[MP25]])/Table14[[#This Row],[MP50]]</f>
        <v>3.703703703703707E-2</v>
      </c>
      <c r="AJ10" s="131">
        <f>(Table14[[#This Row],[MP75]]-Table14[[#This Row],[MP50]])/Table14[[#This Row],[MP50]]</f>
        <v>0.37037037037037035</v>
      </c>
      <c r="AK10" s="179">
        <f t="shared" si="6"/>
        <v>163.68</v>
      </c>
      <c r="AL10" s="179">
        <f t="shared" si="5"/>
        <v>120.53591580935537</v>
      </c>
      <c r="AM10" s="122"/>
      <c r="AN10" s="174"/>
    </row>
    <row r="11" spans="1:40" ht="15">
      <c r="A11" s="126"/>
      <c r="B11" s="127"/>
      <c r="C11" s="127"/>
      <c r="D11" s="127"/>
      <c r="E11" s="127"/>
      <c r="F11" s="143"/>
      <c r="G11" s="127"/>
      <c r="H11" s="127"/>
      <c r="I11" s="127"/>
      <c r="J11" s="127"/>
      <c r="K11" s="127"/>
      <c r="L11" s="127"/>
      <c r="M11" s="178"/>
      <c r="N11" s="177"/>
      <c r="O11" s="177"/>
      <c r="P11" s="178"/>
      <c r="Q11" s="178"/>
      <c r="R11" s="178"/>
      <c r="S11" s="192"/>
      <c r="T11" s="177"/>
      <c r="U11" s="178"/>
      <c r="V11" s="178"/>
      <c r="W11" s="178"/>
      <c r="X11" s="177"/>
      <c r="Y11" s="177"/>
      <c r="Z11" s="178"/>
      <c r="AA11" s="215"/>
      <c r="AB11" s="127" t="e">
        <f t="shared" si="0"/>
        <v>#NUM!</v>
      </c>
      <c r="AC11" s="221" t="e">
        <f t="shared" si="1"/>
        <v>#NUM!</v>
      </c>
      <c r="AD11" s="221" t="e">
        <f t="shared" si="2"/>
        <v>#NUM!</v>
      </c>
      <c r="AE11" s="221" t="e">
        <f t="shared" si="3"/>
        <v>#NUM!</v>
      </c>
      <c r="AF11" s="221" t="e">
        <f t="shared" si="4"/>
        <v>#NUM!</v>
      </c>
      <c r="AG11" s="224" t="e">
        <f>(Table14[[#This Row],[MP75]]-Table14[[#This Row],[MP25]])/Table14[[#This Row],[MP50]]</f>
        <v>#NUM!</v>
      </c>
      <c r="AH11" s="224" t="e">
        <v>#NUM!</v>
      </c>
      <c r="AI11" s="224" t="e">
        <f>(Table14[[#This Row],[MP50]]-Table14[[#This Row],[MP25]])/Table14[[#This Row],[MP50]]</f>
        <v>#NUM!</v>
      </c>
      <c r="AJ11" s="224" t="e">
        <f>(Table14[[#This Row],[MP75]]-Table14[[#This Row],[MP50]])/Table14[[#This Row],[MP50]]</f>
        <v>#NUM!</v>
      </c>
      <c r="AK11" s="215" t="e">
        <f t="shared" si="6"/>
        <v>#DIV/0!</v>
      </c>
      <c r="AL11" s="215" t="e">
        <f t="shared" si="5"/>
        <v>#DIV/0!</v>
      </c>
      <c r="AM11" s="127"/>
      <c r="AN11" s="127"/>
    </row>
    <row r="12" spans="1:40" ht="15">
      <c r="A12" s="125" t="s">
        <v>167</v>
      </c>
      <c r="B12" s="122" t="s">
        <v>63</v>
      </c>
      <c r="C12" s="122"/>
      <c r="D12" s="122"/>
      <c r="E12" s="122"/>
      <c r="F12" s="133"/>
      <c r="G12" s="122"/>
      <c r="H12" s="122"/>
      <c r="I12" s="122"/>
      <c r="J12" s="122"/>
      <c r="K12" s="122"/>
      <c r="L12" s="122"/>
      <c r="M12" s="179"/>
      <c r="N12" s="179">
        <v>0.66</v>
      </c>
      <c r="O12" s="180">
        <v>0.66</v>
      </c>
      <c r="P12" s="180"/>
      <c r="Q12" s="180">
        <v>1</v>
      </c>
      <c r="R12" s="179">
        <v>1</v>
      </c>
      <c r="S12" s="179"/>
      <c r="T12" s="180">
        <v>0.66</v>
      </c>
      <c r="U12" s="179">
        <v>0.66</v>
      </c>
      <c r="V12" s="179">
        <v>1</v>
      </c>
      <c r="W12" s="179">
        <v>1</v>
      </c>
      <c r="X12" s="202">
        <v>1</v>
      </c>
      <c r="Y12" s="180">
        <v>1</v>
      </c>
      <c r="Z12" s="179">
        <v>1</v>
      </c>
      <c r="AA12" s="179"/>
      <c r="AB12" s="122">
        <f t="shared" si="0"/>
        <v>1</v>
      </c>
      <c r="AC12" s="122">
        <f t="shared" si="1"/>
        <v>1</v>
      </c>
      <c r="AD12" s="122">
        <f t="shared" si="2"/>
        <v>1</v>
      </c>
      <c r="AE12" s="122">
        <f t="shared" si="3"/>
        <v>1</v>
      </c>
      <c r="AF12" s="122">
        <f t="shared" si="4"/>
        <v>1</v>
      </c>
      <c r="AG12" s="131">
        <f>(Table14[[#This Row],[MP75]]-Table14[[#This Row],[MP25]])/Table14[[#This Row],[MP50]]</f>
        <v>0</v>
      </c>
      <c r="AH12" s="131">
        <v>0</v>
      </c>
      <c r="AI12" s="131">
        <f>(Table14[[#This Row],[MP50]]-Table14[[#This Row],[MP25]])/Table14[[#This Row],[MP50]]</f>
        <v>0</v>
      </c>
      <c r="AJ12" s="131">
        <f>(Table14[[#This Row],[MP75]]-Table14[[#This Row],[MP50]])/Table14[[#This Row],[MP50]]</f>
        <v>0</v>
      </c>
      <c r="AK12" s="179">
        <f t="shared" si="6"/>
        <v>0.93200000000000005</v>
      </c>
      <c r="AL12" s="179">
        <f t="shared" si="5"/>
        <v>0.15205262246998508</v>
      </c>
      <c r="AM12" s="122"/>
      <c r="AN12" s="174" t="s">
        <v>68</v>
      </c>
    </row>
    <row r="13" spans="1:40" s="107" customFormat="1" ht="15">
      <c r="A13" s="125" t="s">
        <v>65</v>
      </c>
      <c r="B13" s="122" t="s">
        <v>66</v>
      </c>
      <c r="C13" s="122" t="s">
        <v>66</v>
      </c>
      <c r="D13" s="122"/>
      <c r="E13" s="122"/>
      <c r="F13" s="133"/>
      <c r="G13" s="122"/>
      <c r="H13" s="122"/>
      <c r="I13" s="122"/>
      <c r="J13" s="122"/>
      <c r="K13" s="122"/>
      <c r="L13" s="122"/>
      <c r="M13" s="122"/>
      <c r="N13" s="122">
        <f t="shared" ref="N13:Z13" si="7">N9*N$4*N12</f>
        <v>1830.3119999999999</v>
      </c>
      <c r="O13" s="174">
        <f t="shared" si="7"/>
        <v>1830.3119999999999</v>
      </c>
      <c r="P13" s="174"/>
      <c r="Q13" s="174">
        <f t="shared" ref="Q13" si="8">Q9*Q$4*Q12</f>
        <v>772.2</v>
      </c>
      <c r="R13" s="122">
        <f t="shared" si="7"/>
        <v>799.2</v>
      </c>
      <c r="S13" s="122"/>
      <c r="T13" s="174">
        <f t="shared" ref="T13" si="9">T9*T$4*T12</f>
        <v>836.35200000000009</v>
      </c>
      <c r="U13" s="122">
        <f t="shared" si="7"/>
        <v>1031.184</v>
      </c>
      <c r="V13" s="122">
        <f t="shared" si="7"/>
        <v>2025</v>
      </c>
      <c r="W13" s="122">
        <f t="shared" si="7"/>
        <v>7381.2199999999993</v>
      </c>
      <c r="X13" s="174">
        <f t="shared" si="7"/>
        <v>77.22</v>
      </c>
      <c r="Y13" s="174">
        <f t="shared" si="7"/>
        <v>687.96</v>
      </c>
      <c r="Z13" s="122">
        <f t="shared" si="7"/>
        <v>1024.92</v>
      </c>
      <c r="AA13" s="179"/>
      <c r="AB13" s="122">
        <f t="shared" si="0"/>
        <v>321.51599999999996</v>
      </c>
      <c r="AC13" s="122">
        <f t="shared" si="1"/>
        <v>687.96</v>
      </c>
      <c r="AD13" s="122">
        <f t="shared" si="2"/>
        <v>1024.92</v>
      </c>
      <c r="AE13" s="122">
        <f t="shared" si="3"/>
        <v>2025</v>
      </c>
      <c r="AF13" s="122">
        <f t="shared" si="4"/>
        <v>5238.7319999999982</v>
      </c>
      <c r="AG13" s="131">
        <f>(Table14[[#This Row],[MP75]]-Table14[[#This Row],[MP25]])/Table14[[#This Row],[MP50]]</f>
        <v>1.304531085353003</v>
      </c>
      <c r="AH13" s="131">
        <v>0.65226554267650105</v>
      </c>
      <c r="AI13" s="131">
        <f>(Table14[[#This Row],[MP50]]-Table14[[#This Row],[MP25]])/Table14[[#This Row],[MP50]]</f>
        <v>0.32876712328767127</v>
      </c>
      <c r="AJ13" s="131">
        <f>(Table14[[#This Row],[MP75]]-Table14[[#This Row],[MP50]])/Table14[[#This Row],[MP50]]</f>
        <v>0.97576396206533178</v>
      </c>
      <c r="AK13" s="179">
        <f t="shared" si="6"/>
        <v>2452.3047999999999</v>
      </c>
      <c r="AL13" s="179">
        <f t="shared" si="5"/>
        <v>2795.8255317589469</v>
      </c>
      <c r="AM13" s="122"/>
      <c r="AN13" s="174"/>
    </row>
    <row r="14" spans="1:40" ht="15">
      <c r="A14" s="125" t="s">
        <v>67</v>
      </c>
      <c r="B14" s="122" t="s">
        <v>66</v>
      </c>
      <c r="C14" s="122" t="s">
        <v>66</v>
      </c>
      <c r="D14" s="122"/>
      <c r="E14" s="144"/>
      <c r="F14" s="145"/>
      <c r="G14" s="146"/>
      <c r="H14" s="147"/>
      <c r="I14" s="166"/>
      <c r="J14" s="167"/>
      <c r="K14" s="147"/>
      <c r="L14" s="144"/>
      <c r="M14" s="122"/>
      <c r="N14" s="122">
        <f t="shared" ref="N14:Z14" si="10">N10*N$4</f>
        <v>244.79999999999998</v>
      </c>
      <c r="O14" s="174">
        <f t="shared" si="10"/>
        <v>361.2</v>
      </c>
      <c r="P14" s="174"/>
      <c r="Q14" s="174">
        <f t="shared" ref="Q14" si="11">Q10*Q$4</f>
        <v>86.4</v>
      </c>
      <c r="R14" s="122">
        <f t="shared" si="10"/>
        <v>67.5</v>
      </c>
      <c r="S14" s="122"/>
      <c r="T14" s="174">
        <f t="shared" ref="T14" si="12">T10*T$4</f>
        <v>1267.2</v>
      </c>
      <c r="U14" s="122">
        <f t="shared" si="10"/>
        <v>295.2</v>
      </c>
      <c r="V14" s="122">
        <f t="shared" si="10"/>
        <v>70.2</v>
      </c>
      <c r="W14" s="122">
        <f t="shared" si="10"/>
        <v>468.71999999999997</v>
      </c>
      <c r="X14" s="174">
        <f t="shared" si="10"/>
        <v>59.67</v>
      </c>
      <c r="Y14" s="174">
        <f t="shared" si="10"/>
        <v>94.77000000000001</v>
      </c>
      <c r="Z14" s="122">
        <f t="shared" si="10"/>
        <v>129.87</v>
      </c>
      <c r="AA14" s="179"/>
      <c r="AB14" s="122">
        <f t="shared" si="0"/>
        <v>63.882000000000005</v>
      </c>
      <c r="AC14" s="144">
        <f t="shared" si="1"/>
        <v>70.2</v>
      </c>
      <c r="AD14" s="144">
        <f t="shared" si="2"/>
        <v>94.77000000000001</v>
      </c>
      <c r="AE14" s="144">
        <f t="shared" si="3"/>
        <v>129.87</v>
      </c>
      <c r="AF14" s="144">
        <f t="shared" si="4"/>
        <v>333.17999999999984</v>
      </c>
      <c r="AG14" s="225">
        <f>(Table14[[#This Row],[MP75]]-Table14[[#This Row],[MP25]])/Table14[[#This Row],[MP50]]</f>
        <v>0.62962962962962954</v>
      </c>
      <c r="AH14" s="131">
        <v>0.31481481481481499</v>
      </c>
      <c r="AI14" s="131">
        <f>(Table14[[#This Row],[MP50]]-Table14[[#This Row],[MP25]])/Table14[[#This Row],[MP50]]</f>
        <v>0.2592592592592593</v>
      </c>
      <c r="AJ14" s="131">
        <f>(Table14[[#This Row],[MP75]]-Table14[[#This Row],[MP50]])/Table14[[#This Row],[MP50]]</f>
        <v>0.37037037037037029</v>
      </c>
      <c r="AK14" s="232">
        <f t="shared" si="6"/>
        <v>206.29799999999994</v>
      </c>
      <c r="AL14" s="232">
        <f t="shared" si="5"/>
        <v>173.49183070104488</v>
      </c>
      <c r="AM14" s="144"/>
    </row>
    <row r="15" spans="1:40" ht="15.75">
      <c r="A15" s="122" t="s">
        <v>70</v>
      </c>
      <c r="B15" s="122" t="s">
        <v>71</v>
      </c>
      <c r="C15" s="122" t="s">
        <v>72</v>
      </c>
      <c r="D15" s="122" t="s">
        <v>61</v>
      </c>
      <c r="E15" s="122"/>
      <c r="F15" s="133"/>
      <c r="G15" s="122"/>
      <c r="H15" s="122"/>
      <c r="I15" s="122"/>
      <c r="J15" s="122"/>
      <c r="K15" s="122"/>
      <c r="L15" s="122"/>
      <c r="M15" s="179"/>
      <c r="N15" s="179">
        <f>15+70+5</f>
        <v>90</v>
      </c>
      <c r="O15" s="180">
        <v>168</v>
      </c>
      <c r="P15" s="180"/>
      <c r="Q15" s="180">
        <v>36</v>
      </c>
      <c r="R15" s="179">
        <v>32</v>
      </c>
      <c r="S15" s="179"/>
      <c r="T15" s="180">
        <v>208</v>
      </c>
      <c r="U15" s="179">
        <v>55</v>
      </c>
      <c r="V15" s="203">
        <f>(15+12)/(0.41+0.2)</f>
        <v>44.262295081967217</v>
      </c>
      <c r="W15" s="203">
        <f>(73+12)/(0.61)</f>
        <v>139.34426229508196</v>
      </c>
      <c r="X15" s="202">
        <v>27.5</v>
      </c>
      <c r="Y15" s="180">
        <f>(39+0)/(1-0.12)</f>
        <v>44.31818181818182</v>
      </c>
      <c r="Z15" s="179">
        <f>(36.5+234+27.5)/8/(1-0.12)</f>
        <v>42.329545454545453</v>
      </c>
      <c r="AA15" s="179"/>
      <c r="AB15" s="122">
        <f t="shared" si="0"/>
        <v>33.43181818181818</v>
      </c>
      <c r="AC15" s="122">
        <f t="shared" si="1"/>
        <v>42.329545454545453</v>
      </c>
      <c r="AD15" s="122">
        <f t="shared" si="2"/>
        <v>44.262295081967217</v>
      </c>
      <c r="AE15" s="122">
        <f t="shared" si="3"/>
        <v>44.31818181818182</v>
      </c>
      <c r="AF15" s="122">
        <f t="shared" si="4"/>
        <v>101.33383010432188</v>
      </c>
      <c r="AG15" s="131">
        <f>(Table14[[#This Row],[MP75]]-Table14[[#This Row],[MP25]])/Table14[[#This Row],[MP50]]</f>
        <v>4.4928451178451248E-2</v>
      </c>
      <c r="AH15" s="131">
        <v>2.24642255892256E-2</v>
      </c>
      <c r="AI15" s="131">
        <f>(Table14[[#This Row],[MP50]]-Table14[[#This Row],[MP25]])/Table14[[#This Row],[MP50]]</f>
        <v>4.3665824915825026E-2</v>
      </c>
      <c r="AJ15" s="131">
        <f>(Table14[[#This Row],[MP75]]-Table14[[#This Row],[MP50]])/Table14[[#This Row],[MP50]]</f>
        <v>1.2626262626262194E-3</v>
      </c>
      <c r="AK15" s="179">
        <f t="shared" si="6"/>
        <v>62.587220566318919</v>
      </c>
      <c r="AL15" s="179">
        <f t="shared" si="5"/>
        <v>43.67769375718828</v>
      </c>
      <c r="AM15" s="122"/>
      <c r="AN15" s="174" t="s">
        <v>76</v>
      </c>
    </row>
    <row r="16" spans="1:40" ht="15.75">
      <c r="A16" s="122" t="s">
        <v>168</v>
      </c>
      <c r="B16" s="122"/>
      <c r="C16" s="122" t="s">
        <v>74</v>
      </c>
      <c r="D16" s="122"/>
      <c r="E16" s="122">
        <v>100</v>
      </c>
      <c r="F16" s="148">
        <v>3.6363636363636398</v>
      </c>
      <c r="G16" s="149">
        <v>2.0304568527918798</v>
      </c>
      <c r="H16" s="150">
        <v>1.1173184357541901</v>
      </c>
      <c r="I16" s="168">
        <v>0.65146579804560301</v>
      </c>
      <c r="J16" s="169">
        <v>0.44617958728388202</v>
      </c>
      <c r="K16" s="150">
        <v>0</v>
      </c>
      <c r="L16" s="122"/>
      <c r="M16" s="179"/>
      <c r="N16" s="179">
        <f>N14/N15</f>
        <v>2.7199999999999998</v>
      </c>
      <c r="O16" s="180">
        <f>O14/O15</f>
        <v>2.15</v>
      </c>
      <c r="P16" s="180"/>
      <c r="Q16" s="180">
        <f t="shared" ref="Q16:Z16" si="13">Q13/Q15</f>
        <v>21.450000000000003</v>
      </c>
      <c r="R16" s="179">
        <f t="shared" si="13"/>
        <v>24.975000000000001</v>
      </c>
      <c r="S16" s="179"/>
      <c r="T16" s="180">
        <f t="shared" ref="T16" si="14">T13/T15</f>
        <v>4.0209230769230775</v>
      </c>
      <c r="U16" s="179">
        <f t="shared" si="13"/>
        <v>18.748799999999999</v>
      </c>
      <c r="V16" s="179">
        <f t="shared" si="13"/>
        <v>45.749999999999993</v>
      </c>
      <c r="W16" s="179">
        <f t="shared" si="13"/>
        <v>52.971108235294118</v>
      </c>
      <c r="X16" s="180">
        <f t="shared" si="13"/>
        <v>2.8079999999999998</v>
      </c>
      <c r="Y16" s="180">
        <f t="shared" si="13"/>
        <v>15.523200000000001</v>
      </c>
      <c r="Z16" s="179">
        <f t="shared" si="13"/>
        <v>24.212875167785239</v>
      </c>
      <c r="AA16" s="179"/>
      <c r="AB16" s="122">
        <f t="shared" si="0"/>
        <v>7.8940799999999989</v>
      </c>
      <c r="AC16" s="122">
        <f t="shared" si="1"/>
        <v>15.523200000000001</v>
      </c>
      <c r="AD16" s="122">
        <f t="shared" si="2"/>
        <v>24.212875167785239</v>
      </c>
      <c r="AE16" s="122">
        <f t="shared" si="3"/>
        <v>45.749999999999993</v>
      </c>
      <c r="AF16" s="122">
        <f t="shared" si="4"/>
        <v>50.082664941176468</v>
      </c>
      <c r="AG16" s="131">
        <f>(Table14[[#This Row],[MP75]]-Table14[[#This Row],[MP25]])/Table14[[#This Row],[MP50]]</f>
        <v>1.2483771460655015</v>
      </c>
      <c r="AH16" s="131">
        <v>0.62418857303275099</v>
      </c>
      <c r="AI16" s="131">
        <f>(Table14[[#This Row],[MP50]]-Table14[[#This Row],[MP25]])/Table14[[#This Row],[MP50]]</f>
        <v>0.35888654724271168</v>
      </c>
      <c r="AJ16" s="131">
        <f>(Table14[[#This Row],[MP75]]-Table14[[#This Row],[MP50]])/Table14[[#This Row],[MP50]]</f>
        <v>0.88949059882279002</v>
      </c>
      <c r="AK16" s="179">
        <f t="shared" si="6"/>
        <v>33.331556680615861</v>
      </c>
      <c r="AL16" s="179">
        <f t="shared" si="5"/>
        <v>15.046335967939617</v>
      </c>
      <c r="AM16" s="122" t="s">
        <v>75</v>
      </c>
      <c r="AN16" s="174" t="str">
        <f>A13&amp;"/"&amp;A15</f>
        <v>调整后应用功能点AFP-APP/迭代总人天数</v>
      </c>
    </row>
    <row r="17" spans="1:40" ht="15">
      <c r="A17" s="125" t="s">
        <v>169</v>
      </c>
      <c r="B17" s="122"/>
      <c r="C17" s="122"/>
      <c r="D17" s="122"/>
      <c r="E17" s="122"/>
      <c r="F17" s="133"/>
      <c r="G17" s="122"/>
      <c r="H17" s="122"/>
      <c r="I17" s="122"/>
      <c r="J17" s="122"/>
      <c r="K17" s="122"/>
      <c r="L17" s="122"/>
      <c r="M17" s="179"/>
      <c r="N17" s="179">
        <v>1</v>
      </c>
      <c r="O17" s="180">
        <v>1</v>
      </c>
      <c r="P17" s="180"/>
      <c r="Q17" s="180">
        <f>(7+3/2)/(7+3)</f>
        <v>0.85</v>
      </c>
      <c r="R17" s="179">
        <f>(7+3/2)/(7+3)</f>
        <v>0.85</v>
      </c>
      <c r="S17" s="179"/>
      <c r="T17" s="180">
        <v>1</v>
      </c>
      <c r="U17" s="179">
        <v>1</v>
      </c>
      <c r="V17" s="179">
        <v>1</v>
      </c>
      <c r="W17" s="179">
        <v>1</v>
      </c>
      <c r="X17" s="180">
        <v>1</v>
      </c>
      <c r="Y17" s="180">
        <v>1</v>
      </c>
      <c r="Z17" s="179">
        <v>1</v>
      </c>
      <c r="AA17" s="179"/>
      <c r="AB17" s="122">
        <f t="shared" si="0"/>
        <v>1</v>
      </c>
      <c r="AC17" s="122">
        <f t="shared" si="1"/>
        <v>1</v>
      </c>
      <c r="AD17" s="122">
        <f t="shared" si="2"/>
        <v>1</v>
      </c>
      <c r="AE17" s="122">
        <f t="shared" si="3"/>
        <v>1</v>
      </c>
      <c r="AF17" s="122">
        <f t="shared" si="4"/>
        <v>1</v>
      </c>
      <c r="AG17" s="131">
        <f>(Table14[[#This Row],[MP75]]-Table14[[#This Row],[MP25]])/Table14[[#This Row],[MP50]]</f>
        <v>0</v>
      </c>
      <c r="AH17" s="131">
        <v>0</v>
      </c>
      <c r="AI17" s="131">
        <f>(Table14[[#This Row],[MP50]]-Table14[[#This Row],[MP25]])/Table14[[#This Row],[MP50]]</f>
        <v>0</v>
      </c>
      <c r="AJ17" s="131">
        <f>(Table14[[#This Row],[MP75]]-Table14[[#This Row],[MP50]])/Table14[[#This Row],[MP50]]</f>
        <v>0</v>
      </c>
      <c r="AK17" s="179">
        <f t="shared" si="6"/>
        <v>0.97</v>
      </c>
      <c r="AL17" s="179">
        <f t="shared" si="5"/>
        <v>6.7082039324993695E-2</v>
      </c>
      <c r="AM17" s="122"/>
      <c r="AN17" s="198" t="s">
        <v>80</v>
      </c>
    </row>
    <row r="18" spans="1:40" s="108" customFormat="1" ht="15.75">
      <c r="A18" s="128" t="s">
        <v>170</v>
      </c>
      <c r="B18" s="128"/>
      <c r="C18" s="128" t="s">
        <v>74</v>
      </c>
      <c r="D18" s="128"/>
      <c r="E18" s="128">
        <v>100</v>
      </c>
      <c r="F18" s="151">
        <v>3.6363636363636398</v>
      </c>
      <c r="G18" s="151">
        <v>2.0304568527918798</v>
      </c>
      <c r="H18" s="151">
        <v>1.1173184357541901</v>
      </c>
      <c r="I18" s="151">
        <v>0.65146579804560301</v>
      </c>
      <c r="J18" s="151">
        <v>0.44617958728388202</v>
      </c>
      <c r="K18" s="151">
        <v>0</v>
      </c>
      <c r="L18" s="128"/>
      <c r="M18" s="181"/>
      <c r="N18" s="181">
        <f t="shared" ref="N18:Z18" si="15">N14/N15</f>
        <v>2.7199999999999998</v>
      </c>
      <c r="O18" s="180">
        <f t="shared" si="15"/>
        <v>2.15</v>
      </c>
      <c r="P18" s="180"/>
      <c r="Q18" s="180">
        <f t="shared" ref="Q18" si="16">Q14/Q15</f>
        <v>2.4000000000000004</v>
      </c>
      <c r="R18" s="181">
        <f t="shared" si="15"/>
        <v>2.109375</v>
      </c>
      <c r="S18" s="181"/>
      <c r="T18" s="180">
        <f t="shared" ref="T18" si="17">T14/T15</f>
        <v>6.0923076923076929</v>
      </c>
      <c r="U18" s="181">
        <f t="shared" si="15"/>
        <v>5.3672727272727272</v>
      </c>
      <c r="V18" s="181">
        <f t="shared" si="15"/>
        <v>1.5859999999999999</v>
      </c>
      <c r="W18" s="181">
        <f t="shared" si="15"/>
        <v>3.363755294117647</v>
      </c>
      <c r="X18" s="204">
        <f t="shared" si="15"/>
        <v>2.1698181818181821</v>
      </c>
      <c r="Y18" s="204">
        <f t="shared" si="15"/>
        <v>2.1384000000000003</v>
      </c>
      <c r="Z18" s="181">
        <f t="shared" si="15"/>
        <v>3.0680697986577181</v>
      </c>
      <c r="AA18" s="181"/>
      <c r="AB18" s="128">
        <f t="shared" si="0"/>
        <v>1.8069599999999999</v>
      </c>
      <c r="AC18" s="128">
        <f t="shared" si="1"/>
        <v>2.1384000000000003</v>
      </c>
      <c r="AD18" s="128">
        <f t="shared" si="2"/>
        <v>2.1698181818181821</v>
      </c>
      <c r="AE18" s="128">
        <f t="shared" si="3"/>
        <v>3.0680697986577181</v>
      </c>
      <c r="AF18" s="128">
        <f t="shared" si="4"/>
        <v>3.2454810959336755</v>
      </c>
      <c r="AG18" s="226">
        <f>(Table14[[#This Row],[MP75]]-Table14[[#This Row],[MP25]])/Table14[[#This Row],[MP50]]</f>
        <v>0.42845516110419368</v>
      </c>
      <c r="AH18" s="226">
        <v>0.21422758055209701</v>
      </c>
      <c r="AI18" s="226">
        <f>(Table14[[#This Row],[MP50]]-Table14[[#This Row],[MP25]])/Table14[[#This Row],[MP50]]</f>
        <v>1.4479638009049759E-2</v>
      </c>
      <c r="AJ18" s="226">
        <f>(Table14[[#This Row],[MP75]]-Table14[[#This Row],[MP50]])/Table14[[#This Row],[MP50]]</f>
        <v>0.4139755230951439</v>
      </c>
      <c r="AK18" s="181">
        <f t="shared" si="6"/>
        <v>3.0988945640096182</v>
      </c>
      <c r="AL18" s="181">
        <f t="shared" si="5"/>
        <v>1.4564202512881472</v>
      </c>
      <c r="AM18" s="128" t="s">
        <v>75</v>
      </c>
      <c r="AN18" s="233" t="str">
        <f>A16&amp;"*"&amp;A12&amp;"*"&amp;A17</f>
        <v>名义生产率*二次开发复用因子（仅应用功能点）*需求维护因子</v>
      </c>
    </row>
    <row r="19" spans="1:40" ht="15.75">
      <c r="A19" s="123" t="s">
        <v>77</v>
      </c>
      <c r="B19" s="123"/>
      <c r="C19" s="124"/>
      <c r="D19" s="124"/>
      <c r="E19" s="124"/>
      <c r="F19" s="141"/>
      <c r="G19" s="142"/>
      <c r="H19" s="124"/>
      <c r="I19" s="164"/>
      <c r="J19" s="165"/>
      <c r="K19" s="124"/>
      <c r="L19" s="165"/>
      <c r="M19" s="165"/>
      <c r="N19" s="165"/>
      <c r="O19" s="182"/>
      <c r="P19" s="183"/>
      <c r="Q19" s="182"/>
      <c r="R19" s="165"/>
      <c r="S19" s="165"/>
      <c r="T19" s="182"/>
      <c r="U19" s="165"/>
      <c r="V19" s="165"/>
      <c r="W19" s="165"/>
      <c r="X19" s="193"/>
      <c r="Y19" s="193"/>
      <c r="Z19" s="165"/>
      <c r="AA19" s="216"/>
      <c r="AB19" s="122" t="e">
        <f t="shared" si="0"/>
        <v>#NUM!</v>
      </c>
      <c r="AC19" s="122" t="e">
        <f t="shared" si="1"/>
        <v>#NUM!</v>
      </c>
      <c r="AD19" s="122" t="e">
        <f t="shared" si="2"/>
        <v>#NUM!</v>
      </c>
      <c r="AE19" s="122" t="e">
        <f t="shared" si="3"/>
        <v>#NUM!</v>
      </c>
      <c r="AF19" s="122" t="e">
        <f t="shared" si="4"/>
        <v>#NUM!</v>
      </c>
      <c r="AG19" s="131" t="e">
        <f>(Table14[[#This Row],[MP75]]-Table14[[#This Row],[MP25]])/Table14[[#This Row],[MP50]]</f>
        <v>#NUM!</v>
      </c>
      <c r="AH19" s="131" t="e">
        <v>#NUM!</v>
      </c>
      <c r="AI19" s="131" t="e">
        <f>(Table14[[#This Row],[MP50]]-Table14[[#This Row],[MP25]])/Table14[[#This Row],[MP50]]</f>
        <v>#NUM!</v>
      </c>
      <c r="AJ19" s="131" t="e">
        <f>(Table14[[#This Row],[MP75]]-Table14[[#This Row],[MP50]])/Table14[[#This Row],[MP50]]</f>
        <v>#NUM!</v>
      </c>
      <c r="AK19" s="179" t="e">
        <f t="shared" si="6"/>
        <v>#DIV/0!</v>
      </c>
      <c r="AL19" s="179" t="e">
        <f t="shared" si="5"/>
        <v>#DIV/0!</v>
      </c>
      <c r="AM19" s="122" t="s">
        <v>50</v>
      </c>
      <c r="AN19" s="174"/>
    </row>
    <row r="20" spans="1:40" s="107" customFormat="1" ht="15.75">
      <c r="A20" s="122" t="s">
        <v>171</v>
      </c>
      <c r="B20" s="122"/>
      <c r="C20" s="122" t="s">
        <v>79</v>
      </c>
      <c r="D20" s="122" t="s">
        <v>59</v>
      </c>
      <c r="E20" s="122"/>
      <c r="F20" s="133"/>
      <c r="G20" s="122"/>
      <c r="H20" s="122"/>
      <c r="I20" s="122"/>
      <c r="J20" s="122"/>
      <c r="K20" s="122"/>
      <c r="L20" s="122"/>
      <c r="M20" s="184"/>
      <c r="N20" s="184">
        <v>27405</v>
      </c>
      <c r="O20" s="184">
        <v>22496</v>
      </c>
      <c r="P20" s="184"/>
      <c r="Q20" s="184">
        <v>20355</v>
      </c>
      <c r="R20" s="185">
        <v>38800</v>
      </c>
      <c r="S20" s="185"/>
      <c r="T20" s="184">
        <v>21437</v>
      </c>
      <c r="U20" s="185">
        <v>26763</v>
      </c>
      <c r="V20" s="205">
        <f>32206+13622+813+2842</f>
        <v>49483</v>
      </c>
      <c r="W20" s="205">
        <f>252921+47763+3081</f>
        <v>303765</v>
      </c>
      <c r="X20" s="206">
        <v>1576</v>
      </c>
      <c r="Y20" s="180">
        <f>59224-28058</f>
        <v>31166</v>
      </c>
      <c r="Z20" s="179">
        <f>12098+(3569+48521)-28058</f>
        <v>36130</v>
      </c>
      <c r="AA20" s="179"/>
      <c r="AB20" s="122">
        <f t="shared" si="0"/>
        <v>13411.999999999998</v>
      </c>
      <c r="AC20" s="122">
        <f t="shared" si="1"/>
        <v>31166</v>
      </c>
      <c r="AD20" s="122">
        <f t="shared" si="2"/>
        <v>36130</v>
      </c>
      <c r="AE20" s="122">
        <f t="shared" si="3"/>
        <v>49483</v>
      </c>
      <c r="AF20" s="122">
        <f t="shared" si="4"/>
        <v>202052.1999999999</v>
      </c>
      <c r="AG20" s="131">
        <f>(Table14[[#This Row],[MP75]]-Table14[[#This Row],[MP25]])/Table14[[#This Row],[MP50]]</f>
        <v>0.5069748131746471</v>
      </c>
      <c r="AH20" s="131">
        <v>0.25348740658732399</v>
      </c>
      <c r="AI20" s="131">
        <f>(Table14[[#This Row],[MP50]]-Table14[[#This Row],[MP25]])/Table14[[#This Row],[MP50]]</f>
        <v>0.13739274840852478</v>
      </c>
      <c r="AJ20" s="131">
        <f>(Table14[[#This Row],[MP75]]-Table14[[#This Row],[MP50]])/Table14[[#This Row],[MP50]]</f>
        <v>0.36958206476612232</v>
      </c>
      <c r="AK20" s="179">
        <f t="shared" si="6"/>
        <v>90988.2</v>
      </c>
      <c r="AL20" s="179">
        <f t="shared" si="5"/>
        <v>119220.96594852769</v>
      </c>
      <c r="AM20" s="122"/>
      <c r="AN20" s="174"/>
    </row>
    <row r="21" spans="1:40" ht="15.75">
      <c r="A21" s="122" t="s">
        <v>172</v>
      </c>
      <c r="B21" s="122"/>
      <c r="C21" s="122" t="s">
        <v>79</v>
      </c>
      <c r="D21" s="122" t="s">
        <v>61</v>
      </c>
      <c r="E21" s="122"/>
      <c r="F21" s="133"/>
      <c r="G21" s="122"/>
      <c r="H21" s="122"/>
      <c r="I21" s="122"/>
      <c r="J21" s="122"/>
      <c r="K21" s="122"/>
      <c r="L21" s="122"/>
      <c r="M21" s="184"/>
      <c r="N21" s="184">
        <v>4909</v>
      </c>
      <c r="O21" s="184">
        <v>5454</v>
      </c>
      <c r="P21" s="184"/>
      <c r="Q21" s="184">
        <v>1269</v>
      </c>
      <c r="R21" s="185">
        <v>2900</v>
      </c>
      <c r="S21" s="185"/>
      <c r="T21" s="184">
        <v>20618</v>
      </c>
      <c r="U21" s="185">
        <v>5326</v>
      </c>
      <c r="V21" s="205">
        <v>2842</v>
      </c>
      <c r="W21" s="205">
        <v>3081</v>
      </c>
      <c r="X21" s="206">
        <v>1576</v>
      </c>
      <c r="Y21" s="180">
        <v>4186</v>
      </c>
      <c r="Z21" s="179">
        <v>4964</v>
      </c>
      <c r="AA21" s="179"/>
      <c r="AB21" s="122">
        <f t="shared" si="0"/>
        <v>2082.3999999999996</v>
      </c>
      <c r="AC21" s="122">
        <f t="shared" si="1"/>
        <v>2842</v>
      </c>
      <c r="AD21" s="122">
        <f t="shared" si="2"/>
        <v>3081</v>
      </c>
      <c r="AE21" s="122">
        <f t="shared" si="3"/>
        <v>4186</v>
      </c>
      <c r="AF21" s="122">
        <f t="shared" si="4"/>
        <v>4652.7999999999993</v>
      </c>
      <c r="AG21" s="131">
        <f>(Table14[[#This Row],[MP75]]-Table14[[#This Row],[MP25]])/Table14[[#This Row],[MP50]]</f>
        <v>0.43622200584225901</v>
      </c>
      <c r="AH21" s="131">
        <v>0.21811100292113</v>
      </c>
      <c r="AI21" s="131">
        <f>(Table14[[#This Row],[MP50]]-Table14[[#This Row],[MP25]])/Table14[[#This Row],[MP50]]</f>
        <v>7.7572216812723138E-2</v>
      </c>
      <c r="AJ21" s="131">
        <f>(Table14[[#This Row],[MP75]]-Table14[[#This Row],[MP50]])/Table14[[#This Row],[MP50]]</f>
        <v>0.35864978902953587</v>
      </c>
      <c r="AK21" s="179">
        <f t="shared" si="6"/>
        <v>3822.6</v>
      </c>
      <c r="AL21" s="179">
        <f t="shared" si="5"/>
        <v>1217.1424731723073</v>
      </c>
      <c r="AM21" s="122"/>
      <c r="AN21" s="174"/>
    </row>
    <row r="22" spans="1:40" ht="15">
      <c r="A22" s="125" t="s">
        <v>173</v>
      </c>
      <c r="B22" s="122"/>
      <c r="C22" s="125" t="s">
        <v>85</v>
      </c>
      <c r="D22" s="125"/>
      <c r="E22" s="122"/>
      <c r="F22" s="133"/>
      <c r="G22" s="122"/>
      <c r="H22" s="122"/>
      <c r="I22" s="122"/>
      <c r="J22" s="122"/>
      <c r="K22" s="122"/>
      <c r="L22" s="122"/>
      <c r="M22" s="185"/>
      <c r="N22" s="185">
        <f t="shared" ref="N22:Z22" si="18">N21/N15</f>
        <v>54.544444444444444</v>
      </c>
      <c r="O22" s="184">
        <f t="shared" si="18"/>
        <v>32.464285714285715</v>
      </c>
      <c r="P22" s="184"/>
      <c r="Q22" s="184">
        <f t="shared" ref="Q22" si="19">Q21/Q15</f>
        <v>35.25</v>
      </c>
      <c r="R22" s="185">
        <f t="shared" si="18"/>
        <v>90.625</v>
      </c>
      <c r="S22" s="185"/>
      <c r="T22" s="184">
        <f t="shared" ref="T22" si="20">T21/T15</f>
        <v>99.125</v>
      </c>
      <c r="U22" s="185">
        <f t="shared" si="18"/>
        <v>96.836363636363643</v>
      </c>
      <c r="V22" s="185">
        <f t="shared" si="18"/>
        <v>64.20814814814814</v>
      </c>
      <c r="W22" s="185">
        <f t="shared" si="18"/>
        <v>22.110705882352942</v>
      </c>
      <c r="X22" s="184">
        <f t="shared" si="18"/>
        <v>57.309090909090912</v>
      </c>
      <c r="Y22" s="184">
        <f t="shared" si="18"/>
        <v>94.453333333333333</v>
      </c>
      <c r="Z22" s="185">
        <f t="shared" si="18"/>
        <v>117.2703355704698</v>
      </c>
      <c r="AA22" s="185"/>
      <c r="AB22" s="122">
        <f t="shared" si="0"/>
        <v>36.190059893048129</v>
      </c>
      <c r="AC22" s="122">
        <f t="shared" si="1"/>
        <v>57.309090909090912</v>
      </c>
      <c r="AD22" s="122">
        <f t="shared" si="2"/>
        <v>64.20814814814814</v>
      </c>
      <c r="AE22" s="122">
        <f t="shared" si="3"/>
        <v>94.453333333333333</v>
      </c>
      <c r="AF22" s="122">
        <f t="shared" si="4"/>
        <v>108.1435346756152</v>
      </c>
      <c r="AG22" s="131">
        <f>(Table14[[#This Row],[MP75]]-Table14[[#This Row],[MP25]])/Table14[[#This Row],[MP50]]</f>
        <v>0.57849733243418133</v>
      </c>
      <c r="AH22" s="131">
        <v>0.289248666217091</v>
      </c>
      <c r="AI22" s="131">
        <f>(Table14[[#This Row],[MP50]]-Table14[[#This Row],[MP25]])/Table14[[#This Row],[MP50]]</f>
        <v>0.10744831361806231</v>
      </c>
      <c r="AJ22" s="131">
        <f>(Table14[[#This Row],[MP75]]-Table14[[#This Row],[MP50]])/Table14[[#This Row],[MP50]]</f>
        <v>0.47104901881611905</v>
      </c>
      <c r="AK22" s="179">
        <f t="shared" si="6"/>
        <v>78.210110647466905</v>
      </c>
      <c r="AL22" s="179">
        <f t="shared" si="5"/>
        <v>36.640026330196683</v>
      </c>
      <c r="AM22" s="122"/>
      <c r="AN22" s="174"/>
    </row>
    <row r="23" spans="1:40" s="108" customFormat="1" ht="15.75">
      <c r="A23" s="128" t="s">
        <v>142</v>
      </c>
      <c r="B23" s="128"/>
      <c r="C23" s="128" t="s">
        <v>87</v>
      </c>
      <c r="D23" s="128"/>
      <c r="E23" s="128">
        <v>0</v>
      </c>
      <c r="F23" s="152">
        <v>14</v>
      </c>
      <c r="G23" s="152">
        <v>20.5</v>
      </c>
      <c r="H23" s="152">
        <v>27</v>
      </c>
      <c r="I23" s="152">
        <v>53</v>
      </c>
      <c r="J23" s="152">
        <v>134</v>
      </c>
      <c r="K23" s="152">
        <v>10000</v>
      </c>
      <c r="L23" s="128"/>
      <c r="M23" s="181"/>
      <c r="N23" s="181">
        <f t="shared" ref="N23:Z23" si="21">N20/N13</f>
        <v>14.972857086660635</v>
      </c>
      <c r="O23" s="180">
        <f t="shared" si="21"/>
        <v>12.290800694089315</v>
      </c>
      <c r="P23" s="180"/>
      <c r="Q23" s="180">
        <f t="shared" ref="Q23" si="22">Q20/Q13</f>
        <v>26.359751359751357</v>
      </c>
      <c r="R23" s="181">
        <f t="shared" si="21"/>
        <v>48.548548548548546</v>
      </c>
      <c r="S23" s="181"/>
      <c r="T23" s="180">
        <f t="shared" ref="T23" si="23">T20/T13</f>
        <v>25.631552265074991</v>
      </c>
      <c r="U23" s="181">
        <f t="shared" si="21"/>
        <v>25.953661034306197</v>
      </c>
      <c r="V23" s="181">
        <f t="shared" si="21"/>
        <v>24.43604938271605</v>
      </c>
      <c r="W23" s="181">
        <f t="shared" si="21"/>
        <v>41.153765908616734</v>
      </c>
      <c r="X23" s="204">
        <f t="shared" si="21"/>
        <v>20.40922040922041</v>
      </c>
      <c r="Y23" s="204">
        <f t="shared" si="21"/>
        <v>45.302052444909584</v>
      </c>
      <c r="Z23" s="181">
        <f t="shared" si="21"/>
        <v>35.251531826874292</v>
      </c>
      <c r="AA23" s="181"/>
      <c r="AB23" s="128">
        <f t="shared" si="0"/>
        <v>22.019951998618666</v>
      </c>
      <c r="AC23" s="128">
        <f t="shared" si="1"/>
        <v>24.43604938271605</v>
      </c>
      <c r="AD23" s="128">
        <f t="shared" si="2"/>
        <v>35.251531826874292</v>
      </c>
      <c r="AE23" s="128">
        <f t="shared" si="3"/>
        <v>41.153765908616734</v>
      </c>
      <c r="AF23" s="128">
        <f t="shared" si="4"/>
        <v>43.642737830392441</v>
      </c>
      <c r="AG23" s="226">
        <f>(Table14[[#This Row],[MP75]]-Table14[[#This Row],[MP25]])/Table14[[#This Row],[MP50]]</f>
        <v>0.47424085307849789</v>
      </c>
      <c r="AH23" s="226">
        <v>0.237120426539249</v>
      </c>
      <c r="AI23" s="226">
        <f>(Table14[[#This Row],[MP50]]-Table14[[#This Row],[MP25]])/Table14[[#This Row],[MP50]]</f>
        <v>0.30680886428637327</v>
      </c>
      <c r="AJ23" s="226">
        <f>(Table14[[#This Row],[MP75]]-Table14[[#This Row],[MP50]])/Table14[[#This Row],[MP50]]</f>
        <v>0.16743198879212465</v>
      </c>
      <c r="AK23" s="181">
        <f t="shared" si="6"/>
        <v>35.068711340212367</v>
      </c>
      <c r="AL23" s="181">
        <f t="shared" si="5"/>
        <v>10.184608067761305</v>
      </c>
      <c r="AM23" s="128" t="s">
        <v>75</v>
      </c>
      <c r="AN23" s="233"/>
    </row>
    <row r="24" spans="1:40" ht="15.75">
      <c r="A24" s="123" t="s">
        <v>89</v>
      </c>
      <c r="B24" s="123"/>
      <c r="C24" s="124"/>
      <c r="D24" s="124"/>
      <c r="E24" s="124"/>
      <c r="F24" s="141"/>
      <c r="G24" s="142"/>
      <c r="H24" s="124"/>
      <c r="I24" s="164"/>
      <c r="J24" s="165"/>
      <c r="K24" s="124"/>
      <c r="L24" s="124"/>
      <c r="M24" s="165"/>
      <c r="N24" s="165"/>
      <c r="O24" s="182"/>
      <c r="P24" s="183"/>
      <c r="Q24" s="193"/>
      <c r="R24" s="194"/>
      <c r="S24" s="194"/>
      <c r="T24" s="182"/>
      <c r="U24" s="165"/>
      <c r="V24" s="165"/>
      <c r="W24" s="165"/>
      <c r="X24" s="202"/>
      <c r="Y24" s="217"/>
      <c r="Z24" s="194"/>
      <c r="AA24" s="218"/>
      <c r="AB24" s="122" t="e">
        <f t="shared" si="0"/>
        <v>#NUM!</v>
      </c>
      <c r="AC24" s="122" t="e">
        <f t="shared" si="1"/>
        <v>#NUM!</v>
      </c>
      <c r="AD24" s="122" t="e">
        <f t="shared" si="2"/>
        <v>#NUM!</v>
      </c>
      <c r="AE24" s="122" t="e">
        <f t="shared" si="3"/>
        <v>#NUM!</v>
      </c>
      <c r="AF24" s="122" t="e">
        <f t="shared" si="4"/>
        <v>#NUM!</v>
      </c>
      <c r="AG24" s="131" t="e">
        <f>(Table14[[#This Row],[MP75]]-Table14[[#This Row],[MP25]])/Table14[[#This Row],[MP50]]</f>
        <v>#NUM!</v>
      </c>
      <c r="AH24" s="131" t="e">
        <v>#NUM!</v>
      </c>
      <c r="AI24" s="131" t="e">
        <f>(Table14[[#This Row],[MP50]]-Table14[[#This Row],[MP25]])/Table14[[#This Row],[MP50]]</f>
        <v>#NUM!</v>
      </c>
      <c r="AJ24" s="131" t="e">
        <f>(Table14[[#This Row],[MP75]]-Table14[[#This Row],[MP50]])/Table14[[#This Row],[MP50]]</f>
        <v>#NUM!</v>
      </c>
      <c r="AK24" s="179" t="e">
        <f t="shared" si="6"/>
        <v>#DIV/0!</v>
      </c>
      <c r="AL24" s="179" t="e">
        <f t="shared" si="5"/>
        <v>#DIV/0!</v>
      </c>
      <c r="AM24" s="122" t="s">
        <v>50</v>
      </c>
      <c r="AN24" s="174"/>
    </row>
    <row r="25" spans="1:40" s="109" customFormat="1" ht="15">
      <c r="A25" s="129" t="s">
        <v>174</v>
      </c>
      <c r="B25" s="129"/>
      <c r="C25" s="129" t="s">
        <v>91</v>
      </c>
      <c r="D25" s="129" t="s">
        <v>61</v>
      </c>
      <c r="E25" s="129"/>
      <c r="F25" s="153"/>
      <c r="G25" s="129"/>
      <c r="H25" s="129"/>
      <c r="I25" s="129"/>
      <c r="J25" s="129"/>
      <c r="K25" s="129"/>
      <c r="L25" s="129"/>
      <c r="M25" s="129"/>
      <c r="N25" s="129">
        <f>N30+N35</f>
        <v>0</v>
      </c>
      <c r="O25" s="186">
        <f>O30+O35</f>
        <v>111</v>
      </c>
      <c r="P25" s="186"/>
      <c r="Q25" s="186">
        <f>Q30+Q35</f>
        <v>99</v>
      </c>
      <c r="R25" s="129">
        <f>R30+R35</f>
        <v>105</v>
      </c>
      <c r="S25" s="129"/>
      <c r="T25" s="186">
        <f>T30+T35</f>
        <v>1635</v>
      </c>
      <c r="U25" s="129">
        <f>U30+U35</f>
        <v>541</v>
      </c>
      <c r="V25" s="129">
        <f>V30+V35</f>
        <v>64</v>
      </c>
      <c r="W25" s="129">
        <f t="shared" ref="W25:Z25" si="24">W30+W35</f>
        <v>582</v>
      </c>
      <c r="X25" s="180">
        <f t="shared" si="24"/>
        <v>142</v>
      </c>
      <c r="Y25" s="180">
        <f t="shared" si="24"/>
        <v>194</v>
      </c>
      <c r="Z25" s="129">
        <f t="shared" si="24"/>
        <v>298</v>
      </c>
      <c r="AA25" s="129"/>
      <c r="AB25" s="122">
        <f t="shared" si="0"/>
        <v>95.199999999999989</v>
      </c>
      <c r="AC25" s="129">
        <f t="shared" si="1"/>
        <v>142</v>
      </c>
      <c r="AD25" s="129">
        <f t="shared" si="2"/>
        <v>194</v>
      </c>
      <c r="AE25" s="129">
        <f t="shared" si="3"/>
        <v>298</v>
      </c>
      <c r="AF25" s="129">
        <f t="shared" si="4"/>
        <v>468.39999999999986</v>
      </c>
      <c r="AG25" s="131">
        <f>(Table14[[#This Row],[MP75]]-Table14[[#This Row],[MP25]])/Table14[[#This Row],[MP50]]</f>
        <v>0.80412371134020622</v>
      </c>
      <c r="AH25" s="131">
        <v>0.402061855670103</v>
      </c>
      <c r="AI25" s="131">
        <f>(Table14[[#This Row],[MP50]]-Table14[[#This Row],[MP25]])/Table14[[#This Row],[MP50]]</f>
        <v>0.26804123711340205</v>
      </c>
      <c r="AJ25" s="131">
        <f>(Table14[[#This Row],[MP75]]-Table14[[#This Row],[MP50]])/Table14[[#This Row],[MP50]]</f>
        <v>0.53608247422680411</v>
      </c>
      <c r="AK25" s="129">
        <f t="shared" si="6"/>
        <v>318</v>
      </c>
      <c r="AL25" s="129">
        <f t="shared" si="5"/>
        <v>239.6403555330362</v>
      </c>
      <c r="AM25" s="129"/>
      <c r="AN25" s="234"/>
    </row>
    <row r="26" spans="1:40" s="110" customFormat="1" ht="15.75">
      <c r="A26" s="130" t="s">
        <v>175</v>
      </c>
      <c r="B26" s="122"/>
      <c r="C26" s="122" t="s">
        <v>93</v>
      </c>
      <c r="D26" s="122"/>
      <c r="E26" s="122">
        <v>100</v>
      </c>
      <c r="F26" s="154">
        <v>2</v>
      </c>
      <c r="G26" s="154">
        <v>1.5</v>
      </c>
      <c r="H26" s="154">
        <v>1.2</v>
      </c>
      <c r="I26" s="154">
        <v>0.8</v>
      </c>
      <c r="J26" s="154">
        <v>0.1</v>
      </c>
      <c r="K26" s="154">
        <v>0</v>
      </c>
      <c r="L26" s="154"/>
      <c r="M26" s="179"/>
      <c r="N26" s="179">
        <f t="shared" ref="N26:Z26" si="25">N25/N14</f>
        <v>0</v>
      </c>
      <c r="O26" s="180">
        <f t="shared" si="25"/>
        <v>0.30730897009966779</v>
      </c>
      <c r="P26" s="180"/>
      <c r="Q26" s="180">
        <f t="shared" ref="Q26" si="26">Q25/Q14</f>
        <v>1.1458333333333333</v>
      </c>
      <c r="R26" s="179">
        <f t="shared" si="25"/>
        <v>1.5555555555555556</v>
      </c>
      <c r="S26" s="179"/>
      <c r="T26" s="180">
        <f t="shared" ref="T26" si="27">T25/T14</f>
        <v>1.2902462121212122</v>
      </c>
      <c r="U26" s="179">
        <f t="shared" si="25"/>
        <v>1.8326558265582658</v>
      </c>
      <c r="V26" s="179">
        <f t="shared" si="25"/>
        <v>0.9116809116809117</v>
      </c>
      <c r="W26" s="179">
        <f t="shared" si="25"/>
        <v>1.2416794674859193</v>
      </c>
      <c r="X26" s="180">
        <f t="shared" si="25"/>
        <v>2.3797553209317917</v>
      </c>
      <c r="Y26" s="180">
        <f t="shared" si="25"/>
        <v>2.0470613063205652</v>
      </c>
      <c r="Z26" s="179">
        <f t="shared" si="25"/>
        <v>2.2946022946022944</v>
      </c>
      <c r="AA26" s="179"/>
      <c r="AB26" s="130">
        <f t="shared" si="0"/>
        <v>1.0436803340029148</v>
      </c>
      <c r="AC26" s="130">
        <f t="shared" si="1"/>
        <v>1.2416794674859193</v>
      </c>
      <c r="AD26" s="130">
        <f t="shared" si="2"/>
        <v>2.0470613063205652</v>
      </c>
      <c r="AE26" s="130">
        <f t="shared" si="3"/>
        <v>2.2946022946022944</v>
      </c>
      <c r="AF26" s="130">
        <f t="shared" si="4"/>
        <v>2.3456941103999926</v>
      </c>
      <c r="AG26" s="227">
        <f>(Table14[[#This Row],[MP75]]-Table14[[#This Row],[MP25]])/Table14[[#This Row],[MP50]]</f>
        <v>0.51435822848360246</v>
      </c>
      <c r="AH26" s="227">
        <v>0.25717911424180101</v>
      </c>
      <c r="AI26" s="227">
        <f>(Table14[[#This Row],[MP50]]-Table14[[#This Row],[MP25]])/Table14[[#This Row],[MP50]]</f>
        <v>0.39343317972350211</v>
      </c>
      <c r="AJ26" s="227">
        <f>(Table14[[#This Row],[MP75]]-Table14[[#This Row],[MP50]])/Table14[[#This Row],[MP50]]</f>
        <v>0.12092504876010042</v>
      </c>
      <c r="AK26" s="235">
        <f t="shared" si="6"/>
        <v>1.5672348111765892</v>
      </c>
      <c r="AL26" s="235">
        <f t="shared" si="5"/>
        <v>0.53277231847025586</v>
      </c>
      <c r="AM26" s="122" t="s">
        <v>75</v>
      </c>
      <c r="AN26" s="174"/>
    </row>
    <row r="27" spans="1:40" ht="15">
      <c r="A27" s="122" t="s">
        <v>94</v>
      </c>
      <c r="B27" s="122"/>
      <c r="C27" s="122" t="s">
        <v>95</v>
      </c>
      <c r="D27" s="122" t="s">
        <v>61</v>
      </c>
      <c r="E27" s="122"/>
      <c r="F27" s="133"/>
      <c r="G27" s="122"/>
      <c r="H27" s="122"/>
      <c r="I27" s="122"/>
      <c r="J27" s="122"/>
      <c r="K27" s="122"/>
      <c r="L27" s="122"/>
      <c r="M27" s="179"/>
      <c r="N27" s="179">
        <f t="shared" ref="N27:V27" si="28">N31+N36</f>
        <v>0</v>
      </c>
      <c r="O27" s="180">
        <f t="shared" si="28"/>
        <v>12</v>
      </c>
      <c r="P27" s="180"/>
      <c r="Q27" s="180">
        <f t="shared" ref="Q27" si="29">Q31+Q36</f>
        <v>6</v>
      </c>
      <c r="R27" s="179">
        <f t="shared" si="28"/>
        <v>6</v>
      </c>
      <c r="S27" s="179"/>
      <c r="T27" s="180">
        <f t="shared" ref="T27" si="30">T31+T36</f>
        <v>18</v>
      </c>
      <c r="U27" s="179">
        <f t="shared" si="28"/>
        <v>12</v>
      </c>
      <c r="V27" s="179">
        <f t="shared" si="28"/>
        <v>12</v>
      </c>
      <c r="W27" s="179">
        <v>15</v>
      </c>
      <c r="X27" s="180">
        <v>6</v>
      </c>
      <c r="Y27" s="180">
        <v>6</v>
      </c>
      <c r="Z27" s="179">
        <f>Z31+Z36</f>
        <v>4.375</v>
      </c>
      <c r="AA27" s="179"/>
      <c r="AB27" s="122">
        <f t="shared" si="0"/>
        <v>5.0250000000000004</v>
      </c>
      <c r="AC27" s="122">
        <f t="shared" si="1"/>
        <v>6</v>
      </c>
      <c r="AD27" s="122">
        <f t="shared" si="2"/>
        <v>6</v>
      </c>
      <c r="AE27" s="122">
        <f t="shared" si="3"/>
        <v>12</v>
      </c>
      <c r="AF27" s="122">
        <f t="shared" si="4"/>
        <v>13.799999999999999</v>
      </c>
      <c r="AG27" s="131">
        <f>(Table14[[#This Row],[MP75]]-Table14[[#This Row],[MP25]])/Table14[[#This Row],[MP50]]</f>
        <v>1</v>
      </c>
      <c r="AH27" s="131">
        <v>0.5</v>
      </c>
      <c r="AI27" s="131">
        <f>(Table14[[#This Row],[MP50]]-Table14[[#This Row],[MP25]])/Table14[[#This Row],[MP50]]</f>
        <v>0</v>
      </c>
      <c r="AJ27" s="131">
        <f>(Table14[[#This Row],[MP75]]-Table14[[#This Row],[MP50]])/Table14[[#This Row],[MP50]]</f>
        <v>1</v>
      </c>
      <c r="AK27" s="179">
        <f t="shared" si="6"/>
        <v>9.875</v>
      </c>
      <c r="AL27" s="179">
        <f t="shared" si="5"/>
        <v>4.4878307677540601</v>
      </c>
      <c r="AM27" s="122"/>
      <c r="AN27" s="174"/>
    </row>
    <row r="28" spans="1:40" s="111" customFormat="1" ht="15">
      <c r="A28" s="131" t="s">
        <v>96</v>
      </c>
      <c r="B28" s="131"/>
      <c r="C28" s="131" t="s">
        <v>97</v>
      </c>
      <c r="D28" s="131"/>
      <c r="E28" s="131">
        <v>1</v>
      </c>
      <c r="F28" s="155">
        <v>0.98</v>
      </c>
      <c r="G28" s="156">
        <v>0.95</v>
      </c>
      <c r="H28" s="157">
        <v>0.9</v>
      </c>
      <c r="I28" s="170">
        <v>0.5</v>
      </c>
      <c r="J28" s="171">
        <v>0.1</v>
      </c>
      <c r="K28" s="157">
        <v>0</v>
      </c>
      <c r="L28" s="172"/>
      <c r="M28" s="131"/>
      <c r="N28" s="131" t="e">
        <f>N35/N25</f>
        <v>#DIV/0!</v>
      </c>
      <c r="O28" s="187">
        <f>O35/O25</f>
        <v>0</v>
      </c>
      <c r="P28" s="187"/>
      <c r="Q28" s="187">
        <f>Q35/Q25</f>
        <v>9.0909090909090912E-2</v>
      </c>
      <c r="R28" s="131">
        <f>R35/R25</f>
        <v>0.14285714285714285</v>
      </c>
      <c r="S28" s="131"/>
      <c r="T28" s="187">
        <f>T35/T25</f>
        <v>0.87645259938837916</v>
      </c>
      <c r="U28" s="131">
        <f>U35/U25</f>
        <v>0.66173752310536049</v>
      </c>
      <c r="V28" s="131">
        <f t="shared" ref="V28:Z28" si="31">V35/V25</f>
        <v>1</v>
      </c>
      <c r="W28" s="131">
        <f t="shared" si="31"/>
        <v>0.17525773195876287</v>
      </c>
      <c r="X28" s="207">
        <v>0</v>
      </c>
      <c r="Y28" s="219">
        <v>0</v>
      </c>
      <c r="Z28" s="131">
        <f t="shared" si="31"/>
        <v>0</v>
      </c>
      <c r="AA28" s="131"/>
      <c r="AB28" s="122">
        <f t="shared" si="0"/>
        <v>0</v>
      </c>
      <c r="AC28" s="222">
        <f t="shared" si="1"/>
        <v>0</v>
      </c>
      <c r="AD28" s="222">
        <f t="shared" si="2"/>
        <v>0</v>
      </c>
      <c r="AE28" s="222">
        <f t="shared" si="3"/>
        <v>0.17525773195876287</v>
      </c>
      <c r="AF28" s="222">
        <f t="shared" si="4"/>
        <v>0.67010309278350477</v>
      </c>
      <c r="AG28" s="131" t="e">
        <f>(Table14[[#This Row],[MP75]]-Table14[[#This Row],[MP25]])/Table14[[#This Row],[MP50]]</f>
        <v>#DIV/0!</v>
      </c>
      <c r="AH28" s="131" t="e">
        <v>#DIV/0!</v>
      </c>
      <c r="AI28" s="131" t="e">
        <f>(Table14[[#This Row],[MP50]]-Table14[[#This Row],[MP25]])/Table14[[#This Row],[MP50]]</f>
        <v>#DIV/0!</v>
      </c>
      <c r="AJ28" s="131" t="e">
        <f>(Table14[[#This Row],[MP75]]-Table14[[#This Row],[MP50]])/Table14[[#This Row],[MP50]]</f>
        <v>#DIV/0!</v>
      </c>
      <c r="AK28" s="236">
        <f t="shared" si="6"/>
        <v>0.39597047958425324</v>
      </c>
      <c r="AL28" s="131">
        <f t="shared" si="5"/>
        <v>0.41983832657683112</v>
      </c>
      <c r="AM28" s="131" t="s">
        <v>75</v>
      </c>
      <c r="AN28" s="237"/>
    </row>
    <row r="29" spans="1:40" ht="15.75">
      <c r="A29" s="132" t="s">
        <v>98</v>
      </c>
      <c r="B29" s="132"/>
      <c r="C29" s="122"/>
      <c r="D29" s="122"/>
      <c r="E29" s="122"/>
      <c r="F29" s="133"/>
      <c r="G29" s="122"/>
      <c r="H29" s="122"/>
      <c r="I29" s="122"/>
      <c r="J29" s="122"/>
      <c r="K29" s="122"/>
      <c r="L29" s="122"/>
      <c r="M29" s="122"/>
      <c r="N29" s="122"/>
      <c r="O29" s="174"/>
      <c r="P29" s="174"/>
      <c r="Q29" s="174"/>
      <c r="R29" s="122"/>
      <c r="S29" s="122"/>
      <c r="T29" s="174"/>
      <c r="U29" s="122"/>
      <c r="V29" s="122"/>
      <c r="W29" s="122"/>
      <c r="X29" s="208"/>
      <c r="Y29" s="174"/>
      <c r="Z29" s="122"/>
      <c r="AA29" s="179"/>
      <c r="AB29" s="122" t="e">
        <f t="shared" si="0"/>
        <v>#NUM!</v>
      </c>
      <c r="AC29" s="122" t="e">
        <f t="shared" si="1"/>
        <v>#NUM!</v>
      </c>
      <c r="AD29" s="122" t="e">
        <f t="shared" si="2"/>
        <v>#NUM!</v>
      </c>
      <c r="AE29" s="122" t="e">
        <f t="shared" si="3"/>
        <v>#NUM!</v>
      </c>
      <c r="AF29" s="122" t="e">
        <f t="shared" si="4"/>
        <v>#NUM!</v>
      </c>
      <c r="AG29" s="131" t="e">
        <f>(Table14[[#This Row],[MP75]]-Table14[[#This Row],[MP25]])/Table14[[#This Row],[MP50]]</f>
        <v>#NUM!</v>
      </c>
      <c r="AH29" s="131" t="e">
        <v>#NUM!</v>
      </c>
      <c r="AI29" s="131" t="e">
        <f>(Table14[[#This Row],[MP50]]-Table14[[#This Row],[MP25]])/Table14[[#This Row],[MP50]]</f>
        <v>#NUM!</v>
      </c>
      <c r="AJ29" s="131" t="e">
        <f>(Table14[[#This Row],[MP75]]-Table14[[#This Row],[MP50]])/Table14[[#This Row],[MP50]]</f>
        <v>#NUM!</v>
      </c>
      <c r="AK29" s="179" t="e">
        <f t="shared" si="6"/>
        <v>#DIV/0!</v>
      </c>
      <c r="AL29" s="179" t="e">
        <f t="shared" si="5"/>
        <v>#DIV/0!</v>
      </c>
      <c r="AM29" s="122"/>
      <c r="AN29" s="174"/>
    </row>
    <row r="30" spans="1:40" s="107" customFormat="1" ht="15">
      <c r="A30" s="122" t="s">
        <v>99</v>
      </c>
      <c r="B30" s="122"/>
      <c r="C30" s="122" t="s">
        <v>100</v>
      </c>
      <c r="D30" s="122" t="s">
        <v>61</v>
      </c>
      <c r="E30" s="122"/>
      <c r="F30" s="133"/>
      <c r="G30" s="122"/>
      <c r="H30" s="122"/>
      <c r="I30" s="122"/>
      <c r="J30" s="122"/>
      <c r="K30" s="122"/>
      <c r="L30" s="122"/>
      <c r="M30" s="179"/>
      <c r="N30" s="179"/>
      <c r="O30" s="180">
        <v>111</v>
      </c>
      <c r="P30" s="180"/>
      <c r="Q30" s="180">
        <v>90</v>
      </c>
      <c r="R30" s="179">
        <v>90</v>
      </c>
      <c r="S30" s="179"/>
      <c r="T30" s="180">
        <v>202</v>
      </c>
      <c r="U30" s="179">
        <v>183</v>
      </c>
      <c r="V30" s="179">
        <v>0</v>
      </c>
      <c r="W30" s="179">
        <v>480</v>
      </c>
      <c r="X30" s="209">
        <v>142</v>
      </c>
      <c r="Y30" s="180">
        <v>194</v>
      </c>
      <c r="Z30" s="179">
        <v>298</v>
      </c>
      <c r="AA30" s="179"/>
      <c r="AB30" s="122">
        <f t="shared" si="0"/>
        <v>56.79999999999999</v>
      </c>
      <c r="AC30" s="122">
        <f t="shared" si="1"/>
        <v>142</v>
      </c>
      <c r="AD30" s="122">
        <f t="shared" si="2"/>
        <v>194</v>
      </c>
      <c r="AE30" s="122">
        <f t="shared" si="3"/>
        <v>298</v>
      </c>
      <c r="AF30" s="122">
        <f t="shared" si="4"/>
        <v>407.19999999999993</v>
      </c>
      <c r="AG30" s="131">
        <f>(Table14[[#This Row],[MP75]]-Table14[[#This Row],[MP25]])/Table14[[#This Row],[MP50]]</f>
        <v>0.80412371134020622</v>
      </c>
      <c r="AH30" s="131">
        <v>0.402061855670103</v>
      </c>
      <c r="AI30" s="131">
        <f>(Table14[[#This Row],[MP50]]-Table14[[#This Row],[MP25]])/Table14[[#This Row],[MP50]]</f>
        <v>0.26804123711340205</v>
      </c>
      <c r="AJ30" s="131">
        <f>(Table14[[#This Row],[MP75]]-Table14[[#This Row],[MP50]])/Table14[[#This Row],[MP50]]</f>
        <v>0.53608247422680411</v>
      </c>
      <c r="AK30" s="179">
        <f t="shared" si="6"/>
        <v>210.2</v>
      </c>
      <c r="AL30" s="179">
        <f t="shared" si="5"/>
        <v>186.99786095033278</v>
      </c>
      <c r="AM30" s="122"/>
      <c r="AN30" s="238"/>
    </row>
    <row r="31" spans="1:40" ht="15">
      <c r="A31" s="122" t="s">
        <v>101</v>
      </c>
      <c r="B31" s="122"/>
      <c r="C31" s="122" t="s">
        <v>102</v>
      </c>
      <c r="D31" s="122" t="s">
        <v>61</v>
      </c>
      <c r="E31" s="122"/>
      <c r="F31" s="133"/>
      <c r="G31" s="122"/>
      <c r="H31" s="122"/>
      <c r="I31" s="122"/>
      <c r="J31" s="122"/>
      <c r="K31" s="122"/>
      <c r="L31" s="122"/>
      <c r="M31" s="122"/>
      <c r="N31" s="122"/>
      <c r="O31" s="174">
        <v>12</v>
      </c>
      <c r="P31" s="174"/>
      <c r="Q31" s="174">
        <v>5</v>
      </c>
      <c r="R31" s="122">
        <v>5</v>
      </c>
      <c r="S31" s="122"/>
      <c r="T31" s="174">
        <v>3</v>
      </c>
      <c r="U31" s="122">
        <v>5</v>
      </c>
      <c r="V31" s="122">
        <v>0</v>
      </c>
      <c r="W31" s="122">
        <v>9</v>
      </c>
      <c r="X31" s="210">
        <v>6</v>
      </c>
      <c r="Y31" s="174">
        <v>6</v>
      </c>
      <c r="Z31" s="122">
        <f>(11+24)/8</f>
        <v>4.375</v>
      </c>
      <c r="AA31" s="179"/>
      <c r="AB31" s="122">
        <f t="shared" si="0"/>
        <v>1.7499999999999996</v>
      </c>
      <c r="AC31" s="122">
        <f t="shared" si="1"/>
        <v>4.375</v>
      </c>
      <c r="AD31" s="122">
        <f t="shared" si="2"/>
        <v>6</v>
      </c>
      <c r="AE31" s="122">
        <f t="shared" si="3"/>
        <v>6</v>
      </c>
      <c r="AF31" s="122">
        <f t="shared" si="4"/>
        <v>7.7999999999999989</v>
      </c>
      <c r="AG31" s="131">
        <f>(Table14[[#This Row],[MP75]]-Table14[[#This Row],[MP25]])/Table14[[#This Row],[MP50]]</f>
        <v>0.27083333333333331</v>
      </c>
      <c r="AH31" s="131">
        <v>0.13541666666666699</v>
      </c>
      <c r="AI31" s="131">
        <f>(Table14[[#This Row],[MP50]]-Table14[[#This Row],[MP25]])/Table14[[#This Row],[MP50]]</f>
        <v>0.27083333333333331</v>
      </c>
      <c r="AJ31" s="131">
        <f>(Table14[[#This Row],[MP75]]-Table14[[#This Row],[MP50]])/Table14[[#This Row],[MP50]]</f>
        <v>0</v>
      </c>
      <c r="AK31" s="179">
        <f t="shared" si="6"/>
        <v>4.6749999999999998</v>
      </c>
      <c r="AL31" s="179">
        <f t="shared" si="5"/>
        <v>3.1961891370818467</v>
      </c>
      <c r="AM31" s="122"/>
      <c r="AN31" s="174"/>
    </row>
    <row r="32" spans="1:40" ht="15">
      <c r="A32" s="122" t="s">
        <v>103</v>
      </c>
      <c r="B32" s="122"/>
      <c r="C32" s="122" t="s">
        <v>104</v>
      </c>
      <c r="D32" s="122"/>
      <c r="E32" s="122"/>
      <c r="F32" s="133"/>
      <c r="G32" s="122"/>
      <c r="H32" s="122"/>
      <c r="I32" s="122"/>
      <c r="J32" s="122"/>
      <c r="K32" s="122"/>
      <c r="L32" s="122"/>
      <c r="M32" s="179"/>
      <c r="N32" s="179" t="e">
        <f>N30/N31</f>
        <v>#DIV/0!</v>
      </c>
      <c r="O32" s="180">
        <f>O30/O31</f>
        <v>9.25</v>
      </c>
      <c r="P32" s="180"/>
      <c r="Q32" s="180">
        <f t="shared" ref="Q32:X32" si="32">Q30/Q31</f>
        <v>18</v>
      </c>
      <c r="R32" s="179">
        <f t="shared" si="32"/>
        <v>18</v>
      </c>
      <c r="S32" s="179"/>
      <c r="T32" s="180">
        <f t="shared" ref="T32" si="33">T30/T31</f>
        <v>67.333333333333329</v>
      </c>
      <c r="U32" s="179">
        <f t="shared" si="32"/>
        <v>36.6</v>
      </c>
      <c r="V32" s="179" t="e">
        <f t="shared" si="32"/>
        <v>#DIV/0!</v>
      </c>
      <c r="W32" s="179">
        <f t="shared" si="32"/>
        <v>53.333333333333336</v>
      </c>
      <c r="X32" s="180">
        <f t="shared" si="32"/>
        <v>23.666666666666668</v>
      </c>
      <c r="Y32" s="180">
        <f>Y30/Y27</f>
        <v>32.333333333333336</v>
      </c>
      <c r="Z32" s="179">
        <f>Z30/Z27</f>
        <v>68.114285714285714</v>
      </c>
      <c r="AA32" s="179"/>
      <c r="AB32" s="122" t="e">
        <f t="shared" si="0"/>
        <v>#DIV/0!</v>
      </c>
      <c r="AC32" s="122" t="e">
        <f t="shared" si="1"/>
        <v>#DIV/0!</v>
      </c>
      <c r="AD32" s="122" t="e">
        <f t="shared" si="2"/>
        <v>#DIV/0!</v>
      </c>
      <c r="AE32" s="122" t="e">
        <f t="shared" si="3"/>
        <v>#DIV/0!</v>
      </c>
      <c r="AF32" s="122" t="e">
        <f t="shared" si="4"/>
        <v>#DIV/0!</v>
      </c>
      <c r="AG32" s="131" t="e">
        <f>(Table14[[#This Row],[MP75]]-Table14[[#This Row],[MP25]])/Table14[[#This Row],[MP50]]</f>
        <v>#DIV/0!</v>
      </c>
      <c r="AH32" s="131" t="e">
        <v>#DIV/0!</v>
      </c>
      <c r="AI32" s="131" t="e">
        <f>(Table14[[#This Row],[MP50]]-Table14[[#This Row],[MP25]])/Table14[[#This Row],[MP50]]</f>
        <v>#DIV/0!</v>
      </c>
      <c r="AJ32" s="131" t="e">
        <f>(Table14[[#This Row],[MP75]]-Table14[[#This Row],[MP50]])/Table14[[#This Row],[MP50]]</f>
        <v>#DIV/0!</v>
      </c>
      <c r="AK32" s="179" t="e">
        <f t="shared" si="6"/>
        <v>#DIV/0!</v>
      </c>
      <c r="AL32" s="179" t="e">
        <f t="shared" si="5"/>
        <v>#DIV/0!</v>
      </c>
      <c r="AM32" s="122"/>
      <c r="AN32" s="174"/>
    </row>
    <row r="33" spans="1:40" s="112" customFormat="1" ht="15">
      <c r="A33" s="122" t="s">
        <v>176</v>
      </c>
      <c r="B33" s="122"/>
      <c r="C33" s="122" t="s">
        <v>177</v>
      </c>
      <c r="D33" s="122"/>
      <c r="E33" s="122"/>
      <c r="F33" s="133"/>
      <c r="G33" s="122"/>
      <c r="H33" s="122"/>
      <c r="I33" s="122"/>
      <c r="J33" s="122"/>
      <c r="K33" s="122"/>
      <c r="L33" s="122"/>
      <c r="M33" s="179"/>
      <c r="N33" s="179" t="s">
        <v>178</v>
      </c>
      <c r="O33" s="180" t="s">
        <v>178</v>
      </c>
      <c r="P33" s="180"/>
      <c r="Q33" s="180" t="s">
        <v>178</v>
      </c>
      <c r="R33" s="179" t="s">
        <v>178</v>
      </c>
      <c r="S33" s="179"/>
      <c r="T33" s="180" t="s">
        <v>178</v>
      </c>
      <c r="U33" s="179" t="s">
        <v>178</v>
      </c>
      <c r="V33" s="179" t="s">
        <v>178</v>
      </c>
      <c r="W33" s="179" t="s">
        <v>178</v>
      </c>
      <c r="X33" s="202"/>
      <c r="Y33" s="180"/>
      <c r="Z33" s="179"/>
      <c r="AA33" s="179"/>
      <c r="AB33" s="122" t="e">
        <f t="shared" si="0"/>
        <v>#NUM!</v>
      </c>
      <c r="AC33" s="122" t="e">
        <f t="shared" si="1"/>
        <v>#NUM!</v>
      </c>
      <c r="AD33" s="122" t="e">
        <f t="shared" si="2"/>
        <v>#NUM!</v>
      </c>
      <c r="AE33" s="122" t="e">
        <f t="shared" si="3"/>
        <v>#NUM!</v>
      </c>
      <c r="AF33" s="122" t="e">
        <f t="shared" si="4"/>
        <v>#NUM!</v>
      </c>
      <c r="AG33" s="131" t="e">
        <f>(Table14[[#This Row],[MP75]]-Table14[[#This Row],[MP25]])/Table14[[#This Row],[MP50]]</f>
        <v>#NUM!</v>
      </c>
      <c r="AH33" s="131" t="e">
        <v>#NUM!</v>
      </c>
      <c r="AI33" s="131" t="e">
        <f>(Table14[[#This Row],[MP50]]-Table14[[#This Row],[MP25]])/Table14[[#This Row],[MP50]]</f>
        <v>#NUM!</v>
      </c>
      <c r="AJ33" s="131" t="e">
        <f>(Table14[[#This Row],[MP75]]-Table14[[#This Row],[MP50]])/Table14[[#This Row],[MP50]]</f>
        <v>#NUM!</v>
      </c>
      <c r="AK33" s="179" t="e">
        <f t="shared" si="6"/>
        <v>#DIV/0!</v>
      </c>
      <c r="AL33" s="179" t="e">
        <f t="shared" si="5"/>
        <v>#DIV/0!</v>
      </c>
      <c r="AM33" s="122"/>
      <c r="AN33" s="239"/>
    </row>
    <row r="34" spans="1:40" ht="15.75">
      <c r="A34" s="132" t="s">
        <v>105</v>
      </c>
      <c r="B34" s="132"/>
      <c r="C34" s="122"/>
      <c r="D34" s="122"/>
      <c r="E34" s="122"/>
      <c r="F34" s="133"/>
      <c r="G34" s="122"/>
      <c r="H34" s="122"/>
      <c r="I34" s="122"/>
      <c r="J34" s="122"/>
      <c r="K34" s="122"/>
      <c r="L34" s="122"/>
      <c r="M34" s="122"/>
      <c r="N34" s="122"/>
      <c r="O34" s="188"/>
      <c r="P34" s="188"/>
      <c r="Q34" s="188"/>
      <c r="R34" s="122"/>
      <c r="S34" s="122"/>
      <c r="T34" s="188"/>
      <c r="U34" s="122"/>
      <c r="V34" s="122"/>
      <c r="W34" s="122"/>
      <c r="X34" s="188"/>
      <c r="Y34" s="188"/>
      <c r="Z34" s="122"/>
      <c r="AA34" s="179"/>
      <c r="AB34" s="122" t="e">
        <f t="shared" si="0"/>
        <v>#NUM!</v>
      </c>
      <c r="AC34" s="122" t="e">
        <f t="shared" si="1"/>
        <v>#NUM!</v>
      </c>
      <c r="AD34" s="122" t="e">
        <f t="shared" si="2"/>
        <v>#NUM!</v>
      </c>
      <c r="AE34" s="122" t="e">
        <f t="shared" si="3"/>
        <v>#NUM!</v>
      </c>
      <c r="AF34" s="122" t="e">
        <f t="shared" si="4"/>
        <v>#NUM!</v>
      </c>
      <c r="AG34" s="131" t="e">
        <f>(Table14[[#This Row],[MP75]]-Table14[[#This Row],[MP25]])/Table14[[#This Row],[MP50]]</f>
        <v>#NUM!</v>
      </c>
      <c r="AH34" s="131" t="e">
        <v>#NUM!</v>
      </c>
      <c r="AI34" s="131" t="e">
        <f>(Table14[[#This Row],[MP50]]-Table14[[#This Row],[MP25]])/Table14[[#This Row],[MP50]]</f>
        <v>#NUM!</v>
      </c>
      <c r="AJ34" s="131" t="e">
        <f>(Table14[[#This Row],[MP75]]-Table14[[#This Row],[MP50]])/Table14[[#This Row],[MP50]]</f>
        <v>#NUM!</v>
      </c>
      <c r="AK34" s="179" t="e">
        <f t="shared" si="6"/>
        <v>#DIV/0!</v>
      </c>
      <c r="AL34" s="179" t="e">
        <f t="shared" si="5"/>
        <v>#DIV/0!</v>
      </c>
      <c r="AM34" s="122"/>
      <c r="AN34" s="174"/>
    </row>
    <row r="35" spans="1:40" ht="15.75">
      <c r="A35" s="122" t="s">
        <v>106</v>
      </c>
      <c r="B35" s="122"/>
      <c r="C35" s="122" t="s">
        <v>107</v>
      </c>
      <c r="D35" s="122" t="s">
        <v>61</v>
      </c>
      <c r="E35" s="122"/>
      <c r="F35" s="133"/>
      <c r="G35" s="122"/>
      <c r="H35" s="122"/>
      <c r="I35" s="122"/>
      <c r="J35" s="122"/>
      <c r="K35" s="122"/>
      <c r="L35" s="122"/>
      <c r="M35" s="179"/>
      <c r="N35" s="179">
        <v>0</v>
      </c>
      <c r="O35" s="180">
        <v>0</v>
      </c>
      <c r="P35" s="180"/>
      <c r="Q35" s="180">
        <v>9</v>
      </c>
      <c r="R35" s="179">
        <v>15</v>
      </c>
      <c r="S35" s="179"/>
      <c r="T35" s="180">
        <v>1433</v>
      </c>
      <c r="U35" s="179">
        <v>358</v>
      </c>
      <c r="V35" s="203">
        <v>64</v>
      </c>
      <c r="W35" s="203">
        <v>102</v>
      </c>
      <c r="X35" s="180">
        <v>0</v>
      </c>
      <c r="Y35" s="180">
        <v>0</v>
      </c>
      <c r="Z35" s="179">
        <v>0</v>
      </c>
      <c r="AA35" s="179"/>
      <c r="AB35" s="122">
        <f t="shared" si="0"/>
        <v>0</v>
      </c>
      <c r="AC35" s="122">
        <f t="shared" si="1"/>
        <v>0</v>
      </c>
      <c r="AD35" s="122">
        <f t="shared" si="2"/>
        <v>0</v>
      </c>
      <c r="AE35" s="122">
        <f t="shared" si="3"/>
        <v>64</v>
      </c>
      <c r="AF35" s="122">
        <f t="shared" si="4"/>
        <v>86.799999999999983</v>
      </c>
      <c r="AG35" s="131" t="e">
        <f>(Table14[[#This Row],[MP75]]-Table14[[#This Row],[MP25]])/Table14[[#This Row],[MP50]]</f>
        <v>#DIV/0!</v>
      </c>
      <c r="AH35" s="131" t="e">
        <v>#DIV/0!</v>
      </c>
      <c r="AI35" s="131" t="e">
        <f>(Table14[[#This Row],[MP50]]-Table14[[#This Row],[MP25]])/Table14[[#This Row],[MP50]]</f>
        <v>#DIV/0!</v>
      </c>
      <c r="AJ35" s="131" t="e">
        <f>(Table14[[#This Row],[MP75]]-Table14[[#This Row],[MP50]])/Table14[[#This Row],[MP50]]</f>
        <v>#DIV/0!</v>
      </c>
      <c r="AK35" s="179">
        <f t="shared" si="6"/>
        <v>107.8</v>
      </c>
      <c r="AL35" s="179">
        <f t="shared" si="5"/>
        <v>145.58914794722855</v>
      </c>
      <c r="AM35" s="122"/>
      <c r="AN35" s="174"/>
    </row>
    <row r="36" spans="1:40" ht="15.75">
      <c r="A36" s="122" t="s">
        <v>108</v>
      </c>
      <c r="B36" s="122"/>
      <c r="C36" s="122" t="s">
        <v>109</v>
      </c>
      <c r="D36" s="122" t="s">
        <v>61</v>
      </c>
      <c r="E36" s="122"/>
      <c r="F36" s="133"/>
      <c r="G36" s="122"/>
      <c r="H36" s="122"/>
      <c r="I36" s="122"/>
      <c r="J36" s="122"/>
      <c r="K36" s="122"/>
      <c r="L36" s="122"/>
      <c r="M36" s="179"/>
      <c r="N36" s="179">
        <v>0</v>
      </c>
      <c r="O36" s="180">
        <v>0</v>
      </c>
      <c r="P36" s="180"/>
      <c r="Q36" s="180">
        <v>1</v>
      </c>
      <c r="R36" s="179">
        <v>1</v>
      </c>
      <c r="S36" s="179"/>
      <c r="T36" s="180">
        <v>15</v>
      </c>
      <c r="U36" s="179">
        <v>7</v>
      </c>
      <c r="V36" s="203">
        <v>12</v>
      </c>
      <c r="W36" s="203">
        <v>3</v>
      </c>
      <c r="X36" s="180">
        <v>0</v>
      </c>
      <c r="Y36" s="180">
        <v>0</v>
      </c>
      <c r="Z36" s="179">
        <v>0</v>
      </c>
      <c r="AA36" s="179"/>
      <c r="AB36" s="122">
        <f t="shared" si="0"/>
        <v>0</v>
      </c>
      <c r="AC36" s="122">
        <f t="shared" si="1"/>
        <v>0</v>
      </c>
      <c r="AD36" s="122">
        <f t="shared" si="2"/>
        <v>0</v>
      </c>
      <c r="AE36" s="122">
        <f t="shared" si="3"/>
        <v>3</v>
      </c>
      <c r="AF36" s="122">
        <f t="shared" si="4"/>
        <v>8.3999999999999968</v>
      </c>
      <c r="AG36" s="131" t="e">
        <f>(Table14[[#This Row],[MP75]]-Table14[[#This Row],[MP25]])/Table14[[#This Row],[MP50]]</f>
        <v>#DIV/0!</v>
      </c>
      <c r="AH36" s="131" t="e">
        <v>#DIV/0!</v>
      </c>
      <c r="AI36" s="131" t="e">
        <f>(Table14[[#This Row],[MP50]]-Table14[[#This Row],[MP25]])/Table14[[#This Row],[MP50]]</f>
        <v>#DIV/0!</v>
      </c>
      <c r="AJ36" s="131" t="e">
        <f>(Table14[[#This Row],[MP75]]-Table14[[#This Row],[MP50]])/Table14[[#This Row],[MP50]]</f>
        <v>#DIV/0!</v>
      </c>
      <c r="AK36" s="179">
        <f t="shared" si="6"/>
        <v>4.5999999999999996</v>
      </c>
      <c r="AL36" s="179">
        <f t="shared" si="5"/>
        <v>4.9295030175464953</v>
      </c>
      <c r="AM36" s="122"/>
      <c r="AN36" s="174"/>
    </row>
    <row r="37" spans="1:40" s="113" customFormat="1" ht="15">
      <c r="A37" s="133" t="s">
        <v>110</v>
      </c>
      <c r="B37" s="133"/>
      <c r="C37" s="133" t="s">
        <v>111</v>
      </c>
      <c r="D37" s="133"/>
      <c r="E37" s="133">
        <v>100</v>
      </c>
      <c r="F37" s="158">
        <v>25</v>
      </c>
      <c r="G37" s="158">
        <v>20</v>
      </c>
      <c r="H37" s="158">
        <v>15</v>
      </c>
      <c r="I37" s="158">
        <v>10</v>
      </c>
      <c r="J37" s="158">
        <v>5</v>
      </c>
      <c r="K37" s="158">
        <v>0</v>
      </c>
      <c r="L37" s="158"/>
      <c r="M37" s="189"/>
      <c r="N37" s="189" t="e">
        <f t="shared" ref="N37:W37" si="34">N35/N36</f>
        <v>#DIV/0!</v>
      </c>
      <c r="O37" s="180" t="e">
        <f t="shared" si="34"/>
        <v>#DIV/0!</v>
      </c>
      <c r="P37" s="180"/>
      <c r="Q37" s="180">
        <f t="shared" ref="Q37" si="35">Q35/Q36</f>
        <v>9</v>
      </c>
      <c r="R37" s="189">
        <f t="shared" si="34"/>
        <v>15</v>
      </c>
      <c r="S37" s="189"/>
      <c r="T37" s="180">
        <f t="shared" ref="T37" si="36">T35/T36</f>
        <v>95.533333333333331</v>
      </c>
      <c r="U37" s="189">
        <f t="shared" si="34"/>
        <v>51.142857142857146</v>
      </c>
      <c r="V37" s="189">
        <f t="shared" si="34"/>
        <v>5.333333333333333</v>
      </c>
      <c r="W37" s="189">
        <f t="shared" si="34"/>
        <v>34</v>
      </c>
      <c r="X37" s="211"/>
      <c r="Y37" s="211">
        <v>0</v>
      </c>
      <c r="Z37" s="189">
        <v>0</v>
      </c>
      <c r="AA37" s="189"/>
      <c r="AB37" s="133">
        <f t="shared" si="0"/>
        <v>0</v>
      </c>
      <c r="AC37" s="133">
        <f t="shared" si="1"/>
        <v>0</v>
      </c>
      <c r="AD37" s="133">
        <f t="shared" si="2"/>
        <v>2.6666666666666665</v>
      </c>
      <c r="AE37" s="133">
        <f t="shared" si="3"/>
        <v>12.5</v>
      </c>
      <c r="AF37" s="133">
        <f t="shared" si="4"/>
        <v>25.400000000000006</v>
      </c>
      <c r="AG37" s="228">
        <f>(Table14[[#This Row],[MP75]]-Table14[[#This Row],[MP25]])/Table14[[#This Row],[MP50]]</f>
        <v>4.6875</v>
      </c>
      <c r="AH37" s="228">
        <v>2.34375</v>
      </c>
      <c r="AI37" s="228">
        <f>(Table14[[#This Row],[MP50]]-Table14[[#This Row],[MP25]])/Table14[[#This Row],[MP50]]</f>
        <v>1</v>
      </c>
      <c r="AJ37" s="228">
        <f>(Table14[[#This Row],[MP75]]-Table14[[#This Row],[MP50]])/Table14[[#This Row],[MP50]]</f>
        <v>3.6875000000000004</v>
      </c>
      <c r="AK37" s="189">
        <f t="shared" si="6"/>
        <v>21.095238095238095</v>
      </c>
      <c r="AL37" s="189">
        <f t="shared" si="5"/>
        <v>21.213149988304515</v>
      </c>
      <c r="AM37" s="133" t="s">
        <v>75</v>
      </c>
      <c r="AN37" s="240"/>
    </row>
    <row r="38" spans="1:40" ht="15">
      <c r="A38" s="122" t="s">
        <v>179</v>
      </c>
      <c r="B38" s="122"/>
      <c r="C38" s="122" t="s">
        <v>180</v>
      </c>
      <c r="D38" s="122"/>
      <c r="E38" s="122"/>
      <c r="F38" s="133"/>
      <c r="G38" s="122"/>
      <c r="H38" s="122"/>
      <c r="I38" s="122"/>
      <c r="J38" s="122"/>
      <c r="K38" s="122"/>
      <c r="L38" s="122"/>
      <c r="M38" s="179"/>
      <c r="N38" s="179" t="s">
        <v>178</v>
      </c>
      <c r="O38" s="180" t="s">
        <v>178</v>
      </c>
      <c r="P38" s="180"/>
      <c r="Q38" s="180" t="s">
        <v>178</v>
      </c>
      <c r="R38" s="179" t="s">
        <v>178</v>
      </c>
      <c r="S38" s="179"/>
      <c r="T38" s="180" t="s">
        <v>178</v>
      </c>
      <c r="U38" s="179" t="s">
        <v>178</v>
      </c>
      <c r="V38" s="179" t="s">
        <v>178</v>
      </c>
      <c r="W38" s="179" t="s">
        <v>178</v>
      </c>
      <c r="X38" s="202"/>
      <c r="Y38" s="180"/>
      <c r="Z38" s="179"/>
      <c r="AA38" s="179"/>
      <c r="AB38" s="122" t="e">
        <f t="shared" si="0"/>
        <v>#NUM!</v>
      </c>
      <c r="AC38" s="122" t="e">
        <f t="shared" si="1"/>
        <v>#NUM!</v>
      </c>
      <c r="AD38" s="122" t="e">
        <f t="shared" si="2"/>
        <v>#NUM!</v>
      </c>
      <c r="AE38" s="122" t="e">
        <f t="shared" si="3"/>
        <v>#NUM!</v>
      </c>
      <c r="AF38" s="122" t="e">
        <f t="shared" si="4"/>
        <v>#NUM!</v>
      </c>
      <c r="AG38" s="131" t="e">
        <f>(Table14[[#This Row],[MP75]]-Table14[[#This Row],[MP25]])/Table14[[#This Row],[MP50]]</f>
        <v>#NUM!</v>
      </c>
      <c r="AH38" s="131" t="e">
        <v>#NUM!</v>
      </c>
      <c r="AI38" s="131" t="e">
        <f>(Table14[[#This Row],[MP50]]-Table14[[#This Row],[MP25]])/Table14[[#This Row],[MP50]]</f>
        <v>#NUM!</v>
      </c>
      <c r="AJ38" s="131" t="e">
        <f>(Table14[[#This Row],[MP75]]-Table14[[#This Row],[MP50]])/Table14[[#This Row],[MP50]]</f>
        <v>#NUM!</v>
      </c>
      <c r="AK38" s="179" t="e">
        <f t="shared" si="6"/>
        <v>#DIV/0!</v>
      </c>
      <c r="AL38" s="179" t="e">
        <f t="shared" si="5"/>
        <v>#DIV/0!</v>
      </c>
      <c r="AM38" s="122"/>
      <c r="AN38" s="174"/>
    </row>
    <row r="39" spans="1:40" ht="15.75">
      <c r="A39" s="123" t="s">
        <v>112</v>
      </c>
      <c r="B39" s="123"/>
      <c r="C39" s="124"/>
      <c r="D39" s="124"/>
      <c r="E39" s="124"/>
      <c r="F39" s="141"/>
      <c r="G39" s="142"/>
      <c r="H39" s="124"/>
      <c r="I39" s="164"/>
      <c r="J39" s="165"/>
      <c r="K39" s="124"/>
      <c r="L39" s="124"/>
      <c r="M39" s="165"/>
      <c r="N39" s="165"/>
      <c r="O39" s="182"/>
      <c r="P39" s="183"/>
      <c r="Q39" s="193"/>
      <c r="R39" s="194"/>
      <c r="S39" s="194"/>
      <c r="T39" s="182"/>
      <c r="U39" s="165"/>
      <c r="V39" s="165"/>
      <c r="W39" s="165"/>
      <c r="X39" s="193"/>
      <c r="Y39" s="217"/>
      <c r="Z39" s="194"/>
      <c r="AA39" s="218"/>
      <c r="AB39" s="122" t="e">
        <f t="shared" si="0"/>
        <v>#NUM!</v>
      </c>
      <c r="AC39" s="122" t="e">
        <f t="shared" si="1"/>
        <v>#NUM!</v>
      </c>
      <c r="AD39" s="122" t="e">
        <f t="shared" si="2"/>
        <v>#NUM!</v>
      </c>
      <c r="AE39" s="122" t="e">
        <f t="shared" si="3"/>
        <v>#NUM!</v>
      </c>
      <c r="AF39" s="122" t="e">
        <f t="shared" si="4"/>
        <v>#NUM!</v>
      </c>
      <c r="AG39" s="131" t="e">
        <f>(Table14[[#This Row],[MP75]]-Table14[[#This Row],[MP25]])/Table14[[#This Row],[MP50]]</f>
        <v>#NUM!</v>
      </c>
      <c r="AH39" s="131" t="e">
        <v>#NUM!</v>
      </c>
      <c r="AI39" s="131" t="e">
        <f>(Table14[[#This Row],[MP50]]-Table14[[#This Row],[MP25]])/Table14[[#This Row],[MP50]]</f>
        <v>#NUM!</v>
      </c>
      <c r="AJ39" s="131" t="e">
        <f>(Table14[[#This Row],[MP75]]-Table14[[#This Row],[MP50]])/Table14[[#This Row],[MP50]]</f>
        <v>#NUM!</v>
      </c>
      <c r="AK39" s="179" t="e">
        <f t="shared" si="6"/>
        <v>#DIV/0!</v>
      </c>
      <c r="AL39" s="179" t="e">
        <f t="shared" si="5"/>
        <v>#DIV/0!</v>
      </c>
      <c r="AM39" s="122" t="s">
        <v>50</v>
      </c>
      <c r="AN39" s="174"/>
    </row>
    <row r="40" spans="1:40" ht="15.75">
      <c r="A40" s="122" t="s">
        <v>113</v>
      </c>
      <c r="B40" s="122"/>
      <c r="C40" s="122" t="s">
        <v>114</v>
      </c>
      <c r="D40" s="122" t="s">
        <v>61</v>
      </c>
      <c r="E40" s="122"/>
      <c r="F40" s="133"/>
      <c r="G40" s="122"/>
      <c r="H40" s="122"/>
      <c r="I40" s="122"/>
      <c r="J40" s="122"/>
      <c r="K40" s="122"/>
      <c r="L40" s="122"/>
      <c r="M40" s="179"/>
      <c r="N40" s="179"/>
      <c r="O40" s="180">
        <v>52</v>
      </c>
      <c r="P40" s="180"/>
      <c r="Q40" s="180">
        <v>28</v>
      </c>
      <c r="R40" s="179">
        <v>17</v>
      </c>
      <c r="S40" s="179"/>
      <c r="T40" s="180">
        <v>174</v>
      </c>
      <c r="U40" s="179">
        <v>62</v>
      </c>
      <c r="V40" s="203">
        <v>52</v>
      </c>
      <c r="W40" s="203">
        <v>55</v>
      </c>
      <c r="X40" s="180">
        <v>20</v>
      </c>
      <c r="Y40" s="180">
        <v>31</v>
      </c>
      <c r="Z40" s="179">
        <v>19</v>
      </c>
      <c r="AA40" s="179"/>
      <c r="AB40" s="122">
        <f t="shared" si="0"/>
        <v>19.399999999999999</v>
      </c>
      <c r="AC40" s="122">
        <f t="shared" si="1"/>
        <v>20</v>
      </c>
      <c r="AD40" s="122">
        <f t="shared" si="2"/>
        <v>31</v>
      </c>
      <c r="AE40" s="122">
        <f t="shared" si="3"/>
        <v>52</v>
      </c>
      <c r="AF40" s="122">
        <f t="shared" si="4"/>
        <v>53.8</v>
      </c>
      <c r="AG40" s="131">
        <f>(Table14[[#This Row],[MP75]]-Table14[[#This Row],[MP25]])/Table14[[#This Row],[MP50]]</f>
        <v>1.032258064516129</v>
      </c>
      <c r="AH40" s="131">
        <v>0.51612903225806495</v>
      </c>
      <c r="AI40" s="131">
        <f>(Table14[[#This Row],[MP50]]-Table14[[#This Row],[MP25]])/Table14[[#This Row],[MP50]]</f>
        <v>0.35483870967741937</v>
      </c>
      <c r="AJ40" s="131">
        <f>(Table14[[#This Row],[MP75]]-Table14[[#This Row],[MP50]])/Table14[[#This Row],[MP50]]</f>
        <v>0.67741935483870963</v>
      </c>
      <c r="AK40" s="179">
        <f t="shared" si="6"/>
        <v>41</v>
      </c>
      <c r="AL40" s="179">
        <f t="shared" si="5"/>
        <v>21.319005605327842</v>
      </c>
      <c r="AM40" s="122"/>
      <c r="AN40" s="174"/>
    </row>
    <row r="41" spans="1:40" ht="15">
      <c r="A41" s="122" t="s">
        <v>115</v>
      </c>
      <c r="B41" s="122"/>
      <c r="C41" s="122" t="s">
        <v>116</v>
      </c>
      <c r="D41" s="122"/>
      <c r="E41" s="122"/>
      <c r="F41" s="133"/>
      <c r="G41" s="122"/>
      <c r="H41" s="122"/>
      <c r="I41" s="122"/>
      <c r="J41" s="122"/>
      <c r="K41" s="122"/>
      <c r="L41" s="122"/>
      <c r="M41" s="179"/>
      <c r="N41" s="179" t="e">
        <f t="shared" ref="N41:Z41" si="37">N40/N27</f>
        <v>#DIV/0!</v>
      </c>
      <c r="O41" s="180">
        <f t="shared" si="37"/>
        <v>4.333333333333333</v>
      </c>
      <c r="P41" s="180"/>
      <c r="Q41" s="180">
        <f t="shared" ref="Q41" si="38">Q40/Q27</f>
        <v>4.666666666666667</v>
      </c>
      <c r="R41" s="179">
        <f t="shared" si="37"/>
        <v>2.8333333333333335</v>
      </c>
      <c r="S41" s="179"/>
      <c r="T41" s="180">
        <f t="shared" ref="T41" si="39">T40/T27</f>
        <v>9.6666666666666661</v>
      </c>
      <c r="U41" s="179">
        <f t="shared" si="37"/>
        <v>5.166666666666667</v>
      </c>
      <c r="V41" s="179">
        <f t="shared" si="37"/>
        <v>4.333333333333333</v>
      </c>
      <c r="W41" s="179">
        <f t="shared" si="37"/>
        <v>3.6666666666666665</v>
      </c>
      <c r="X41" s="180">
        <f t="shared" si="37"/>
        <v>3.3333333333333335</v>
      </c>
      <c r="Y41" s="180">
        <f t="shared" si="37"/>
        <v>5.166666666666667</v>
      </c>
      <c r="Z41" s="179">
        <f t="shared" si="37"/>
        <v>4.3428571428571425</v>
      </c>
      <c r="AA41" s="179"/>
      <c r="AB41" s="122">
        <f t="shared" si="0"/>
        <v>3.4666666666666668</v>
      </c>
      <c r="AC41" s="122">
        <f t="shared" si="1"/>
        <v>3.6666666666666665</v>
      </c>
      <c r="AD41" s="122">
        <f t="shared" si="2"/>
        <v>4.333333333333333</v>
      </c>
      <c r="AE41" s="122">
        <f t="shared" si="3"/>
        <v>4.3428571428571425</v>
      </c>
      <c r="AF41" s="122">
        <f t="shared" si="4"/>
        <v>4.8371428571428572</v>
      </c>
      <c r="AG41" s="131">
        <f>(Table14[[#This Row],[MP75]]-Table14[[#This Row],[MP25]])/Table14[[#This Row],[MP50]]</f>
        <v>0.15604395604395602</v>
      </c>
      <c r="AH41" s="131">
        <v>7.8021978021977995E-2</v>
      </c>
      <c r="AI41" s="131">
        <f>(Table14[[#This Row],[MP50]]-Table14[[#This Row],[MP25]])/Table14[[#This Row],[MP50]]</f>
        <v>0.15384615384615383</v>
      </c>
      <c r="AJ41" s="131">
        <f>(Table14[[#This Row],[MP75]]-Table14[[#This Row],[MP50]])/Table14[[#This Row],[MP50]]</f>
        <v>2.19780219780219E-3</v>
      </c>
      <c r="AK41" s="179">
        <f t="shared" si="6"/>
        <v>4.0685714285714285</v>
      </c>
      <c r="AL41" s="179">
        <f t="shared" si="5"/>
        <v>0.8715625710141216</v>
      </c>
      <c r="AM41" s="122"/>
      <c r="AN41" s="174"/>
    </row>
    <row r="42" spans="1:40" s="114" customFormat="1" ht="15.75">
      <c r="A42" s="128" t="s">
        <v>117</v>
      </c>
      <c r="B42" s="128"/>
      <c r="C42" s="128" t="s">
        <v>118</v>
      </c>
      <c r="D42" s="128"/>
      <c r="E42" s="128">
        <v>0</v>
      </c>
      <c r="F42" s="152">
        <v>0.05</v>
      </c>
      <c r="G42" s="152">
        <v>0.15</v>
      </c>
      <c r="H42" s="152">
        <v>0.33</v>
      </c>
      <c r="I42" s="152">
        <v>0.62</v>
      </c>
      <c r="J42" s="152">
        <v>1.18</v>
      </c>
      <c r="K42" s="152">
        <v>100</v>
      </c>
      <c r="L42" s="152"/>
      <c r="M42" s="181"/>
      <c r="N42" s="181">
        <f t="shared" ref="N42:Z42" si="40">N40/N14</f>
        <v>0</v>
      </c>
      <c r="O42" s="180">
        <f t="shared" si="40"/>
        <v>0.14396456256921375</v>
      </c>
      <c r="P42" s="180"/>
      <c r="Q42" s="180">
        <f t="shared" ref="Q42" si="41">Q40/Q14</f>
        <v>0.32407407407407407</v>
      </c>
      <c r="R42" s="181">
        <f t="shared" si="40"/>
        <v>0.25185185185185183</v>
      </c>
      <c r="S42" s="181"/>
      <c r="T42" s="180">
        <f t="shared" ref="T42" si="42">T40/T14</f>
        <v>0.13731060606060605</v>
      </c>
      <c r="U42" s="181">
        <f t="shared" si="40"/>
        <v>0.21002710027100271</v>
      </c>
      <c r="V42" s="181">
        <f t="shared" si="40"/>
        <v>0.7407407407407407</v>
      </c>
      <c r="W42" s="181">
        <f t="shared" si="40"/>
        <v>0.11734084314729477</v>
      </c>
      <c r="X42" s="204">
        <f t="shared" si="40"/>
        <v>0.33517680576504105</v>
      </c>
      <c r="Y42" s="204">
        <f t="shared" si="40"/>
        <v>0.32710773451514191</v>
      </c>
      <c r="Z42" s="181">
        <f t="shared" si="40"/>
        <v>0.14630014630014629</v>
      </c>
      <c r="AA42" s="181"/>
      <c r="AB42" s="128">
        <f t="shared" si="0"/>
        <v>0.12892456440843539</v>
      </c>
      <c r="AC42" s="128">
        <f t="shared" si="1"/>
        <v>0.14630014630014629</v>
      </c>
      <c r="AD42" s="128">
        <f t="shared" si="2"/>
        <v>0.32710773451514191</v>
      </c>
      <c r="AE42" s="128">
        <f t="shared" si="3"/>
        <v>0.33517680576504105</v>
      </c>
      <c r="AF42" s="128">
        <f t="shared" si="4"/>
        <v>0.57851516675046066</v>
      </c>
      <c r="AG42" s="226">
        <f>(Table14[[#This Row],[MP75]]-Table14[[#This Row],[MP25]])/Table14[[#This Row],[MP50]]</f>
        <v>0.57741422637058315</v>
      </c>
      <c r="AH42" s="226">
        <v>0.28870711318529202</v>
      </c>
      <c r="AI42" s="226">
        <f>(Table14[[#This Row],[MP50]]-Table14[[#This Row],[MP25]])/Table14[[#This Row],[MP50]]</f>
        <v>0.5527462946817786</v>
      </c>
      <c r="AJ42" s="226">
        <f>(Table14[[#This Row],[MP75]]-Table14[[#This Row],[MP50]])/Table14[[#This Row],[MP50]]</f>
        <v>2.4667931688804566E-2</v>
      </c>
      <c r="AK42" s="181">
        <f t="shared" si="6"/>
        <v>0.29325213646220727</v>
      </c>
      <c r="AL42" s="181">
        <f t="shared" si="5"/>
        <v>0.25564922829059705</v>
      </c>
      <c r="AM42" s="128" t="s">
        <v>75</v>
      </c>
      <c r="AN42" s="241"/>
    </row>
    <row r="43" spans="1:40" s="115" customFormat="1" ht="56.25">
      <c r="A43" s="134" t="s">
        <v>119</v>
      </c>
      <c r="B43" s="135"/>
      <c r="C43" s="135"/>
      <c r="D43" s="135"/>
      <c r="E43" s="135"/>
      <c r="F43" s="159"/>
      <c r="G43" s="135"/>
      <c r="H43" s="135"/>
      <c r="I43" s="135"/>
      <c r="J43" s="135"/>
      <c r="K43" s="135"/>
      <c r="L43" s="135"/>
      <c r="M43" s="190" t="s">
        <v>181</v>
      </c>
      <c r="N43" s="190"/>
      <c r="O43" s="190"/>
      <c r="P43" s="190"/>
      <c r="Q43" s="190"/>
      <c r="R43" s="195" t="s">
        <v>182</v>
      </c>
      <c r="S43" s="195"/>
      <c r="T43" s="195"/>
      <c r="U43" s="195" t="s">
        <v>183</v>
      </c>
      <c r="V43" s="195" t="s">
        <v>184</v>
      </c>
      <c r="W43" s="195" t="s">
        <v>185</v>
      </c>
      <c r="X43" s="195"/>
      <c r="Y43" s="195"/>
      <c r="Z43" s="195" t="s">
        <v>186</v>
      </c>
      <c r="AA43" s="220"/>
      <c r="AB43" s="135" t="e">
        <f t="shared" si="0"/>
        <v>#NUM!</v>
      </c>
      <c r="AC43" s="135" t="e">
        <f t="shared" si="1"/>
        <v>#NUM!</v>
      </c>
      <c r="AD43" s="135" t="e">
        <f t="shared" si="2"/>
        <v>#NUM!</v>
      </c>
      <c r="AE43" s="135" t="e">
        <f t="shared" si="3"/>
        <v>#NUM!</v>
      </c>
      <c r="AF43" s="135" t="e">
        <f t="shared" si="4"/>
        <v>#NUM!</v>
      </c>
      <c r="AG43" s="229" t="e">
        <f>(Table14[[#This Row],[MP75]]-Table14[[#This Row],[MP25]])/Table14[[#This Row],[MP50]]</f>
        <v>#NUM!</v>
      </c>
      <c r="AH43" s="131" t="e">
        <v>#NUM!</v>
      </c>
      <c r="AI43" s="230" t="e">
        <f>(Table14[[#This Row],[MP50]]-Table14[[#This Row],[MP25]])/Table14[[#This Row],[MP50]]</f>
        <v>#NUM!</v>
      </c>
      <c r="AJ43" s="230" t="e">
        <f>(Table14[[#This Row],[MP75]]-Table14[[#This Row],[MP50]])/Table14[[#This Row],[MP50]]</f>
        <v>#NUM!</v>
      </c>
      <c r="AK43" s="242" t="e">
        <f t="shared" si="6"/>
        <v>#DIV/0!</v>
      </c>
      <c r="AL43" s="242" t="e">
        <f t="shared" si="5"/>
        <v>#DIV/0!</v>
      </c>
      <c r="AM43" s="135"/>
      <c r="AN43" s="135"/>
    </row>
  </sheetData>
  <sheetProtection formatCells="0" insertHyperlinks="0" autoFilter="0"/>
  <phoneticPr fontId="65" type="noConversion"/>
  <conditionalFormatting sqref="M12 R12:S12 U12 M16:M18 R16:S18 U16:U18 U28:W28 R30:S30 M32:M33 R32:S33 U32:U33 M35:M38 Z18:AA18 R26:S26 R28:S28 M40 R40:S40 M42 R42:S42 Z28:AA28 U26 M26 M28 U42 Z42:AA42 Z22:AA22">
    <cfRule type="cellIs" dxfId="520" priority="454" operator="between">
      <formula>$H12</formula>
      <formula>$I12</formula>
    </cfRule>
  </conditionalFormatting>
  <conditionalFormatting sqref="M12 R12:S12 U12 M16:M18 R16:S18 U16:U18 U28:W28 R30:S30 M32:M33 R32:S33 U32:U33 M35:M38">
    <cfRule type="cellIs" dxfId="519" priority="452" operator="between">
      <formula>$J12</formula>
      <formula>$K12</formula>
    </cfRule>
    <cfRule type="cellIs" dxfId="518" priority="453" operator="between">
      <formula>$I12</formula>
      <formula>$J12</formula>
    </cfRule>
  </conditionalFormatting>
  <conditionalFormatting sqref="M12 R12:S12 U12 M16:M18 R16:S18 U16:U18 Z18:AA18 Z22:AA22 M26 R26:S26 U26 M28 R28:S28 U28:W28 Z28:AA28 R30:S30 M32:M33 R32:S33 U32:U33 M35:M38 M40 R40:S40 M42 R42:S42 U42 Z42:AA42">
    <cfRule type="cellIs" dxfId="517" priority="457" operator="between">
      <formula>$E12</formula>
      <formula>$F12</formula>
    </cfRule>
    <cfRule type="cellIs" dxfId="516" priority="456" operator="between">
      <formula>$F12</formula>
      <formula>$G12</formula>
    </cfRule>
    <cfRule type="cellIs" dxfId="515" priority="455" operator="between">
      <formula>$G12</formula>
      <formula>$H12</formula>
    </cfRule>
  </conditionalFormatting>
  <conditionalFormatting sqref="M20:M22">
    <cfRule type="cellIs" dxfId="514" priority="263" operator="between">
      <formula>$F20</formula>
      <formula>$G20</formula>
    </cfRule>
    <cfRule type="cellIs" dxfId="513" priority="262" operator="between">
      <formula>$G20</formula>
      <formula>$H20</formula>
    </cfRule>
    <cfRule type="cellIs" dxfId="512" priority="261" operator="between">
      <formula>$H20</formula>
      <formula>$I20</formula>
    </cfRule>
    <cfRule type="cellIs" dxfId="511" priority="264" operator="between">
      <formula>$E20</formula>
      <formula>$F20</formula>
    </cfRule>
  </conditionalFormatting>
  <conditionalFormatting sqref="M20:M23">
    <cfRule type="cellIs" dxfId="510" priority="260" operator="between">
      <formula>$I20</formula>
      <formula>$J20</formula>
    </cfRule>
    <cfRule type="cellIs" dxfId="509" priority="259" operator="between">
      <formula>$J20</formula>
      <formula>$K20</formula>
    </cfRule>
  </conditionalFormatting>
  <conditionalFormatting sqref="M23">
    <cfRule type="cellIs" dxfId="508" priority="468" operator="between">
      <formula>$F23</formula>
      <formula>$G23</formula>
    </cfRule>
    <cfRule type="cellIs" dxfId="507" priority="467" operator="between">
      <formula>$G23</formula>
      <formula>$H23</formula>
    </cfRule>
    <cfRule type="cellIs" dxfId="506" priority="466" operator="between">
      <formula>$H23</formula>
      <formula>$I23</formula>
    </cfRule>
    <cfRule type="cellIs" dxfId="505" priority="469" operator="between">
      <formula>$E23</formula>
      <formula>$F23</formula>
    </cfRule>
  </conditionalFormatting>
  <conditionalFormatting sqref="M25">
    <cfRule type="cellIs" dxfId="504" priority="407" operator="between">
      <formula>$G25</formula>
      <formula>$H25</formula>
    </cfRule>
    <cfRule type="cellIs" dxfId="503" priority="406" operator="between">
      <formula>$H25</formula>
      <formula>$I25</formula>
    </cfRule>
    <cfRule type="cellIs" dxfId="502" priority="408" operator="between">
      <formula>$F25</formula>
      <formula>$G25</formula>
    </cfRule>
    <cfRule type="cellIs" dxfId="501" priority="409" operator="between">
      <formula>$E25</formula>
      <formula>$F25</formula>
    </cfRule>
  </conditionalFormatting>
  <conditionalFormatting sqref="M25:M28">
    <cfRule type="cellIs" dxfId="500" priority="393" operator="between">
      <formula>$I25</formula>
      <formula>$J25</formula>
    </cfRule>
    <cfRule type="cellIs" dxfId="499" priority="392" operator="between">
      <formula>$J25</formula>
      <formula>$K25</formula>
    </cfRule>
  </conditionalFormatting>
  <conditionalFormatting sqref="M27">
    <cfRule type="cellIs" dxfId="498" priority="396" operator="between">
      <formula>$F27</formula>
      <formula>$G27</formula>
    </cfRule>
    <cfRule type="cellIs" dxfId="497" priority="397" operator="between">
      <formula>$E27</formula>
      <formula>$F27</formula>
    </cfRule>
    <cfRule type="cellIs" dxfId="496" priority="395" operator="between">
      <formula>$G27</formula>
      <formula>$H27</formula>
    </cfRule>
    <cfRule type="cellIs" dxfId="495" priority="394" operator="between">
      <formula>$H27</formula>
      <formula>$I27</formula>
    </cfRule>
  </conditionalFormatting>
  <conditionalFormatting sqref="M30">
    <cfRule type="cellIs" dxfId="494" priority="410" operator="between">
      <formula>$J30</formula>
      <formula>$K30</formula>
    </cfRule>
    <cfRule type="cellIs" dxfId="493" priority="411" operator="between">
      <formula>$I30</formula>
      <formula>$J30</formula>
    </cfRule>
    <cfRule type="cellIs" dxfId="492" priority="412" operator="between">
      <formula>$H30</formula>
      <formula>$I30</formula>
    </cfRule>
    <cfRule type="cellIs" dxfId="491" priority="413" operator="between">
      <formula>$G30</formula>
      <formula>$H30</formula>
    </cfRule>
    <cfRule type="cellIs" dxfId="490" priority="414" operator="between">
      <formula>$F30</formula>
      <formula>$G30</formula>
    </cfRule>
    <cfRule type="cellIs" dxfId="489" priority="415" operator="between">
      <formula>$E30</formula>
      <formula>$F30</formula>
    </cfRule>
  </conditionalFormatting>
  <conditionalFormatting sqref="N12 N16:N18 N26 N28 N32:N33 N35:N38 N40 N42">
    <cfRule type="cellIs" dxfId="488" priority="143" operator="between">
      <formula>$F12</formula>
      <formula>$G12</formula>
    </cfRule>
    <cfRule type="cellIs" dxfId="487" priority="142" operator="between">
      <formula>$G12</formula>
      <formula>$H12</formula>
    </cfRule>
    <cfRule type="cellIs" dxfId="486" priority="144" operator="between">
      <formula>$E12</formula>
      <formula>$F12</formula>
    </cfRule>
  </conditionalFormatting>
  <conditionalFormatting sqref="N12 N16:N18 N32:N33 N35:N38 N40 N42 N26 N28">
    <cfRule type="cellIs" dxfId="485" priority="141" operator="between">
      <formula>$H12</formula>
      <formula>$I12</formula>
    </cfRule>
  </conditionalFormatting>
  <conditionalFormatting sqref="N12 N16:N18 N32:N33 N35:N38">
    <cfRule type="cellIs" dxfId="484" priority="140" operator="between">
      <formula>$I12</formula>
      <formula>$J12</formula>
    </cfRule>
    <cfRule type="cellIs" dxfId="483" priority="139" operator="between">
      <formula>$J12</formula>
      <formula>$K12</formula>
    </cfRule>
  </conditionalFormatting>
  <conditionalFormatting sqref="N20:N22">
    <cfRule type="cellIs" dxfId="482" priority="114" operator="between">
      <formula>$E20</formula>
      <formula>$F20</formula>
    </cfRule>
    <cfRule type="cellIs" dxfId="481" priority="113" operator="between">
      <formula>$F20</formula>
      <formula>$G20</formula>
    </cfRule>
    <cfRule type="cellIs" dxfId="480" priority="112" operator="between">
      <formula>$G20</formula>
      <formula>$H20</formula>
    </cfRule>
    <cfRule type="cellIs" dxfId="479" priority="111" operator="between">
      <formula>$H20</formula>
      <formula>$I20</formula>
    </cfRule>
  </conditionalFormatting>
  <conditionalFormatting sqref="N20:N23">
    <cfRule type="cellIs" dxfId="478" priority="109" operator="between">
      <formula>$J20</formula>
      <formula>$K20</formula>
    </cfRule>
    <cfRule type="cellIs" dxfId="477" priority="110" operator="between">
      <formula>$I20</formula>
      <formula>$J20</formula>
    </cfRule>
  </conditionalFormatting>
  <conditionalFormatting sqref="N23">
    <cfRule type="cellIs" dxfId="476" priority="149" operator="between">
      <formula>$F23</formula>
      <formula>$G23</formula>
    </cfRule>
    <cfRule type="cellIs" dxfId="475" priority="150" operator="between">
      <formula>$E23</formula>
      <formula>$F23</formula>
    </cfRule>
    <cfRule type="cellIs" dxfId="474" priority="147" operator="between">
      <formula>$H23</formula>
      <formula>$I23</formula>
    </cfRule>
    <cfRule type="cellIs" dxfId="473" priority="148" operator="between">
      <formula>$G23</formula>
      <formula>$H23</formula>
    </cfRule>
  </conditionalFormatting>
  <conditionalFormatting sqref="N25">
    <cfRule type="cellIs" dxfId="472" priority="123" operator="between">
      <formula>$H25</formula>
      <formula>$I25</formula>
    </cfRule>
    <cfRule type="cellIs" dxfId="471" priority="125" operator="between">
      <formula>$F25</formula>
      <formula>$G25</formula>
    </cfRule>
    <cfRule type="cellIs" dxfId="470" priority="124" operator="between">
      <formula>$G25</formula>
      <formula>$H25</formula>
    </cfRule>
    <cfRule type="cellIs" dxfId="469" priority="126" operator="between">
      <formula>$E25</formula>
      <formula>$F25</formula>
    </cfRule>
  </conditionalFormatting>
  <conditionalFormatting sqref="N25:N28">
    <cfRule type="cellIs" dxfId="468" priority="116" operator="between">
      <formula>$I25</formula>
      <formula>$J25</formula>
    </cfRule>
    <cfRule type="cellIs" dxfId="467" priority="115" operator="between">
      <formula>$J25</formula>
      <formula>$K25</formula>
    </cfRule>
  </conditionalFormatting>
  <conditionalFormatting sqref="N27">
    <cfRule type="cellIs" dxfId="466" priority="120" operator="between">
      <formula>$E27</formula>
      <formula>$F27</formula>
    </cfRule>
    <cfRule type="cellIs" dxfId="465" priority="119" operator="between">
      <formula>$F27</formula>
      <formula>$G27</formula>
    </cfRule>
    <cfRule type="cellIs" dxfId="464" priority="118" operator="between">
      <formula>$G27</formula>
      <formula>$H27</formula>
    </cfRule>
    <cfRule type="cellIs" dxfId="463" priority="117" operator="between">
      <formula>$H27</formula>
      <formula>$I27</formula>
    </cfRule>
  </conditionalFormatting>
  <conditionalFormatting sqref="N30">
    <cfRule type="cellIs" dxfId="462" priority="132" operator="between">
      <formula>$E30</formula>
      <formula>$F30</formula>
    </cfRule>
    <cfRule type="cellIs" dxfId="461" priority="131" operator="between">
      <formula>$F30</formula>
      <formula>$G30</formula>
    </cfRule>
    <cfRule type="cellIs" dxfId="460" priority="130" operator="between">
      <formula>$G30</formula>
      <formula>$H30</formula>
    </cfRule>
    <cfRule type="cellIs" dxfId="459" priority="129" operator="between">
      <formula>$H30</formula>
      <formula>$I30</formula>
    </cfRule>
    <cfRule type="cellIs" dxfId="458" priority="128" operator="between">
      <formula>$I30</formula>
      <formula>$J30</formula>
    </cfRule>
    <cfRule type="cellIs" dxfId="457" priority="127" operator="between">
      <formula>$J30</formula>
      <formula>$K30</formula>
    </cfRule>
  </conditionalFormatting>
  <conditionalFormatting sqref="N40:N42">
    <cfRule type="cellIs" dxfId="456" priority="134" operator="between">
      <formula>$I40</formula>
      <formula>$J40</formula>
    </cfRule>
    <cfRule type="cellIs" dxfId="455" priority="133" operator="between">
      <formula>$J40</formula>
      <formula>$K40</formula>
    </cfRule>
  </conditionalFormatting>
  <conditionalFormatting sqref="N41">
    <cfRule type="cellIs" dxfId="454" priority="138" operator="between">
      <formula>$E41</formula>
      <formula>$F41</formula>
    </cfRule>
    <cfRule type="cellIs" dxfId="453" priority="137" operator="between">
      <formula>$F41</formula>
      <formula>$G41</formula>
    </cfRule>
    <cfRule type="cellIs" dxfId="452" priority="136" operator="between">
      <formula>$G41</formula>
      <formula>$H41</formula>
    </cfRule>
    <cfRule type="cellIs" dxfId="451" priority="135" operator="between">
      <formula>$H41</formula>
      <formula>$I41</formula>
    </cfRule>
  </conditionalFormatting>
  <conditionalFormatting sqref="O12:P12 O16:P18 O26:P26 O28:P28 O32:P33 O35:P38 O40:P40 O42:P42">
    <cfRule type="cellIs" dxfId="450" priority="185" operator="between">
      <formula>$F12</formula>
      <formula>$G12</formula>
    </cfRule>
    <cfRule type="cellIs" dxfId="449" priority="186" operator="between">
      <formula>$E12</formula>
      <formula>$F12</formula>
    </cfRule>
    <cfRule type="cellIs" dxfId="448" priority="184" operator="between">
      <formula>$G12</formula>
      <formula>$H12</formula>
    </cfRule>
  </conditionalFormatting>
  <conditionalFormatting sqref="O12:P12 O16:P18 O32:P33 O35:P38 O40:P40 O42:P42 O26:P26 O28:P28">
    <cfRule type="cellIs" dxfId="447" priority="183" operator="between">
      <formula>$H12</formula>
      <formula>$I12</formula>
    </cfRule>
  </conditionalFormatting>
  <conditionalFormatting sqref="O12:P12 O16:P18 O32:P33 O35:P38">
    <cfRule type="cellIs" dxfId="446" priority="181" operator="between">
      <formula>$J12</formula>
      <formula>$K12</formula>
    </cfRule>
    <cfRule type="cellIs" dxfId="445" priority="182" operator="between">
      <formula>$I12</formula>
      <formula>$J12</formula>
    </cfRule>
  </conditionalFormatting>
  <conditionalFormatting sqref="O20:P22">
    <cfRule type="cellIs" dxfId="444" priority="159" operator="between">
      <formula>$H20</formula>
      <formula>$I20</formula>
    </cfRule>
    <cfRule type="cellIs" dxfId="443" priority="161" operator="between">
      <formula>$F20</formula>
      <formula>$G20</formula>
    </cfRule>
    <cfRule type="cellIs" dxfId="442" priority="162" operator="between">
      <formula>$E20</formula>
      <formula>$F20</formula>
    </cfRule>
    <cfRule type="cellIs" dxfId="441" priority="160" operator="between">
      <formula>$G20</formula>
      <formula>$H20</formula>
    </cfRule>
  </conditionalFormatting>
  <conditionalFormatting sqref="O20:P23">
    <cfRule type="cellIs" dxfId="440" priority="157" operator="between">
      <formula>$J20</formula>
      <formula>$K20</formula>
    </cfRule>
    <cfRule type="cellIs" dxfId="439" priority="158" operator="between">
      <formula>$I20</formula>
      <formula>$J20</formula>
    </cfRule>
  </conditionalFormatting>
  <conditionalFormatting sqref="O23:P23">
    <cfRule type="cellIs" dxfId="438" priority="189" operator="between">
      <formula>$H23</formula>
      <formula>$I23</formula>
    </cfRule>
    <cfRule type="cellIs" dxfId="437" priority="190" operator="between">
      <formula>$G23</formula>
      <formula>$H23</formula>
    </cfRule>
    <cfRule type="cellIs" dxfId="436" priority="191" operator="between">
      <formula>$F23</formula>
      <formula>$G23</formula>
    </cfRule>
    <cfRule type="cellIs" dxfId="435" priority="192" operator="between">
      <formula>$E23</formula>
      <formula>$F23</formula>
    </cfRule>
  </conditionalFormatting>
  <conditionalFormatting sqref="O25:P25">
    <cfRule type="cellIs" dxfId="434" priority="171" operator="between">
      <formula>$H25</formula>
      <formula>$I25</formula>
    </cfRule>
    <cfRule type="cellIs" dxfId="433" priority="172" operator="between">
      <formula>$G25</formula>
      <formula>$H25</formula>
    </cfRule>
    <cfRule type="cellIs" dxfId="432" priority="173" operator="between">
      <formula>$F25</formula>
      <formula>$G25</formula>
    </cfRule>
    <cfRule type="cellIs" dxfId="431" priority="174" operator="between">
      <formula>$E25</formula>
      <formula>$F25</formula>
    </cfRule>
  </conditionalFormatting>
  <conditionalFormatting sqref="O25:P28">
    <cfRule type="cellIs" dxfId="430" priority="163" operator="between">
      <formula>$J25</formula>
      <formula>$K25</formula>
    </cfRule>
    <cfRule type="cellIs" dxfId="429" priority="164" operator="between">
      <formula>$I25</formula>
      <formula>$J25</formula>
    </cfRule>
  </conditionalFormatting>
  <conditionalFormatting sqref="O27:P27">
    <cfRule type="cellIs" dxfId="428" priority="167" operator="between">
      <formula>$F27</formula>
      <formula>$G27</formula>
    </cfRule>
    <cfRule type="cellIs" dxfId="427" priority="165" operator="between">
      <formula>$H27</formula>
      <formula>$I27</formula>
    </cfRule>
    <cfRule type="cellIs" dxfId="426" priority="168" operator="between">
      <formula>$E27</formula>
      <formula>$F27</formula>
    </cfRule>
    <cfRule type="cellIs" dxfId="425" priority="166" operator="between">
      <formula>$G27</formula>
      <formula>$H27</formula>
    </cfRule>
  </conditionalFormatting>
  <conditionalFormatting sqref="O30:P30">
    <cfRule type="cellIs" dxfId="424" priority="152" operator="between">
      <formula>$I30</formula>
      <formula>$J30</formula>
    </cfRule>
    <cfRule type="cellIs" dxfId="423" priority="153" operator="between">
      <formula>$H30</formula>
      <formula>$I30</formula>
    </cfRule>
    <cfRule type="cellIs" dxfId="422" priority="154" operator="between">
      <formula>$G30</formula>
      <formula>$H30</formula>
    </cfRule>
    <cfRule type="cellIs" dxfId="421" priority="155" operator="between">
      <formula>$F30</formula>
      <formula>$G30</formula>
    </cfRule>
    <cfRule type="cellIs" dxfId="420" priority="156" operator="between">
      <formula>$E30</formula>
      <formula>$F30</formula>
    </cfRule>
    <cfRule type="cellIs" dxfId="419" priority="151" operator="between">
      <formula>$J30</formula>
      <formula>$K30</formula>
    </cfRule>
  </conditionalFormatting>
  <conditionalFormatting sqref="O40:P42">
    <cfRule type="cellIs" dxfId="418" priority="175" operator="between">
      <formula>$J40</formula>
      <formula>$K40</formula>
    </cfRule>
    <cfRule type="cellIs" dxfId="417" priority="176" operator="between">
      <formula>$I40</formula>
      <formula>$J40</formula>
    </cfRule>
  </conditionalFormatting>
  <conditionalFormatting sqref="O41:P41">
    <cfRule type="cellIs" dxfId="416" priority="180" operator="between">
      <formula>$E41</formula>
      <formula>$F41</formula>
    </cfRule>
    <cfRule type="cellIs" dxfId="415" priority="179" operator="between">
      <formula>$F41</formula>
      <formula>$G41</formula>
    </cfRule>
    <cfRule type="cellIs" dxfId="414" priority="178" operator="between">
      <formula>$G41</formula>
      <formula>$H41</formula>
    </cfRule>
    <cfRule type="cellIs" dxfId="413" priority="177" operator="between">
      <formula>$H41</formula>
      <formula>$I41</formula>
    </cfRule>
  </conditionalFormatting>
  <conditionalFormatting sqref="Q12 Q28 Q30 Q32:Q33 Q35:Q38 Q40">
    <cfRule type="cellIs" dxfId="412" priority="107" operator="between">
      <formula>$F12</formula>
      <formula>$G12</formula>
    </cfRule>
    <cfRule type="cellIs" dxfId="411" priority="108" operator="between">
      <formula>$E12</formula>
      <formula>$F12</formula>
    </cfRule>
    <cfRule type="cellIs" dxfId="410" priority="106" operator="between">
      <formula>$G12</formula>
      <formula>$H12</formula>
    </cfRule>
  </conditionalFormatting>
  <conditionalFormatting sqref="Q12 Q30 Q32:Q33 Q35:Q38 Q40 Q28">
    <cfRule type="cellIs" dxfId="409" priority="105" operator="between">
      <formula>$H12</formula>
      <formula>$I12</formula>
    </cfRule>
  </conditionalFormatting>
  <conditionalFormatting sqref="Q12 Q30 Q32:Q33 Q35:Q38">
    <cfRule type="cellIs" dxfId="408" priority="104" operator="between">
      <formula>$I12</formula>
      <formula>$J12</formula>
    </cfRule>
    <cfRule type="cellIs" dxfId="407" priority="103" operator="between">
      <formula>$J12</formula>
      <formula>$K12</formula>
    </cfRule>
  </conditionalFormatting>
  <conditionalFormatting sqref="Q16:Q18">
    <cfRule type="cellIs" dxfId="406" priority="91" operator="between">
      <formula>$J16</formula>
      <formula>$K16</formula>
    </cfRule>
    <cfRule type="cellIs" dxfId="405" priority="93" operator="between">
      <formula>$H16</formula>
      <formula>$I16</formula>
    </cfRule>
    <cfRule type="cellIs" dxfId="404" priority="95" operator="between">
      <formula>$F16</formula>
      <formula>$G16</formula>
    </cfRule>
    <cfRule type="cellIs" dxfId="403" priority="96" operator="between">
      <formula>$E16</formula>
      <formula>$F16</formula>
    </cfRule>
    <cfRule type="cellIs" dxfId="402" priority="94" operator="between">
      <formula>$G16</formula>
      <formula>$H16</formula>
    </cfRule>
    <cfRule type="cellIs" dxfId="401" priority="92" operator="between">
      <formula>$I16</formula>
      <formula>$J16</formula>
    </cfRule>
  </conditionalFormatting>
  <conditionalFormatting sqref="Q20:Q22">
    <cfRule type="cellIs" dxfId="400" priority="69" operator="between">
      <formula>$H20</formula>
      <formula>$I20</formula>
    </cfRule>
    <cfRule type="cellIs" dxfId="399" priority="72" operator="between">
      <formula>$E20</formula>
      <formula>$F20</formula>
    </cfRule>
    <cfRule type="cellIs" dxfId="398" priority="71" operator="between">
      <formula>$F20</formula>
      <formula>$G20</formula>
    </cfRule>
    <cfRule type="cellIs" dxfId="397" priority="70" operator="between">
      <formula>$G20</formula>
      <formula>$H20</formula>
    </cfRule>
  </conditionalFormatting>
  <conditionalFormatting sqref="Q20:Q23">
    <cfRule type="cellIs" dxfId="396" priority="67" operator="between">
      <formula>$J20</formula>
      <formula>$K20</formula>
    </cfRule>
    <cfRule type="cellIs" dxfId="395" priority="68" operator="between">
      <formula>$I20</formula>
      <formula>$J20</formula>
    </cfRule>
  </conditionalFormatting>
  <conditionalFormatting sqref="Q23">
    <cfRule type="cellIs" dxfId="394" priority="90" operator="between">
      <formula>$E23</formula>
      <formula>$F23</formula>
    </cfRule>
    <cfRule type="cellIs" dxfId="393" priority="89" operator="between">
      <formula>$F23</formula>
      <formula>$G23</formula>
    </cfRule>
    <cfRule type="cellIs" dxfId="392" priority="88" operator="between">
      <formula>$G23</formula>
      <formula>$H23</formula>
    </cfRule>
    <cfRule type="cellIs" dxfId="391" priority="87" operator="between">
      <formula>$H23</formula>
      <formula>$I23</formula>
    </cfRule>
  </conditionalFormatting>
  <conditionalFormatting sqref="Q25">
    <cfRule type="cellIs" dxfId="390" priority="65" operator="between">
      <formula>$F25</formula>
      <formula>$G25</formula>
    </cfRule>
    <cfRule type="cellIs" dxfId="389" priority="66" operator="between">
      <formula>$E25</formula>
      <formula>$F25</formula>
    </cfRule>
    <cfRule type="cellIs" dxfId="388" priority="63" operator="between">
      <formula>$H25</formula>
      <formula>$I25</formula>
    </cfRule>
    <cfRule type="cellIs" dxfId="387" priority="64" operator="between">
      <formula>$G25</formula>
      <formula>$H25</formula>
    </cfRule>
  </conditionalFormatting>
  <conditionalFormatting sqref="Q25:Q28">
    <cfRule type="cellIs" dxfId="386" priority="56" operator="between">
      <formula>$I25</formula>
      <formula>$J25</formula>
    </cfRule>
    <cfRule type="cellIs" dxfId="385" priority="55" operator="between">
      <formula>$J25</formula>
      <formula>$K25</formula>
    </cfRule>
  </conditionalFormatting>
  <conditionalFormatting sqref="Q26">
    <cfRule type="cellIs" dxfId="384" priority="81" operator="between">
      <formula>$H26</formula>
      <formula>$I26</formula>
    </cfRule>
    <cfRule type="cellIs" dxfId="383" priority="84" operator="between">
      <formula>$E26</formula>
      <formula>$F26</formula>
    </cfRule>
    <cfRule type="cellIs" dxfId="382" priority="83" operator="between">
      <formula>$F26</formula>
      <formula>$G26</formula>
    </cfRule>
    <cfRule type="cellIs" dxfId="381" priority="82" operator="between">
      <formula>$G26</formula>
      <formula>$H26</formula>
    </cfRule>
  </conditionalFormatting>
  <conditionalFormatting sqref="Q27">
    <cfRule type="cellIs" dxfId="380" priority="57" operator="between">
      <formula>$H27</formula>
      <formula>$I27</formula>
    </cfRule>
    <cfRule type="cellIs" dxfId="379" priority="58" operator="between">
      <formula>$G27</formula>
      <formula>$H27</formula>
    </cfRule>
    <cfRule type="cellIs" dxfId="378" priority="59" operator="between">
      <formula>$F27</formula>
      <formula>$G27</formula>
    </cfRule>
    <cfRule type="cellIs" dxfId="377" priority="60" operator="between">
      <formula>$E27</formula>
      <formula>$F27</formula>
    </cfRule>
  </conditionalFormatting>
  <conditionalFormatting sqref="Q40:Q42">
    <cfRule type="cellIs" dxfId="376" priority="74" operator="between">
      <formula>$I40</formula>
      <formula>$J40</formula>
    </cfRule>
    <cfRule type="cellIs" dxfId="375" priority="73" operator="between">
      <formula>$J40</formula>
      <formula>$K40</formula>
    </cfRule>
  </conditionalFormatting>
  <conditionalFormatting sqref="Q41">
    <cfRule type="cellIs" dxfId="374" priority="99" operator="between">
      <formula>$H41</formula>
      <formula>$I41</formula>
    </cfRule>
    <cfRule type="cellIs" dxfId="373" priority="101" operator="between">
      <formula>$F41</formula>
      <formula>$G41</formula>
    </cfRule>
    <cfRule type="cellIs" dxfId="372" priority="102" operator="between">
      <formula>$E41</formula>
      <formula>$F41</formula>
    </cfRule>
    <cfRule type="cellIs" dxfId="371" priority="100" operator="between">
      <formula>$G41</formula>
      <formula>$H41</formula>
    </cfRule>
  </conditionalFormatting>
  <conditionalFormatting sqref="Q42">
    <cfRule type="cellIs" dxfId="370" priority="75" operator="between">
      <formula>$H42</formula>
      <formula>$I42</formula>
    </cfRule>
    <cfRule type="cellIs" dxfId="369" priority="76" operator="between">
      <formula>$G42</formula>
      <formula>$H42</formula>
    </cfRule>
    <cfRule type="cellIs" dxfId="368" priority="77" operator="between">
      <formula>$F42</formula>
      <formula>$G42</formula>
    </cfRule>
    <cfRule type="cellIs" dxfId="367" priority="78" operator="between">
      <formula>$E42</formula>
      <formula>$F42</formula>
    </cfRule>
  </conditionalFormatting>
  <conditionalFormatting sqref="R10:S11">
    <cfRule type="cellIs" dxfId="366" priority="385" operator="equal">
      <formula>0</formula>
    </cfRule>
  </conditionalFormatting>
  <conditionalFormatting sqref="R20:S21 R35:S38">
    <cfRule type="cellIs" dxfId="365" priority="384" operator="between">
      <formula>$E20</formula>
      <formula>$F20</formula>
    </cfRule>
    <cfRule type="cellIs" dxfId="364" priority="383" operator="between">
      <formula>$F20</formula>
      <formula>$G20</formula>
    </cfRule>
    <cfRule type="cellIs" dxfId="363" priority="382" operator="between">
      <formula>$G20</formula>
      <formula>$H20</formula>
    </cfRule>
  </conditionalFormatting>
  <conditionalFormatting sqref="R20:S22 R35:S38">
    <cfRule type="cellIs" dxfId="362" priority="381" operator="between">
      <formula>$H20</formula>
      <formula>$I20</formula>
    </cfRule>
  </conditionalFormatting>
  <conditionalFormatting sqref="R20:S23 R35:S38">
    <cfRule type="cellIs" dxfId="361" priority="379" operator="between">
      <formula>$J20</formula>
      <formula>$K20</formula>
    </cfRule>
    <cfRule type="cellIs" dxfId="360" priority="380" operator="between">
      <formula>$I20</formula>
      <formula>$J20</formula>
    </cfRule>
  </conditionalFormatting>
  <conditionalFormatting sqref="T12 T28 T30 T32:T33 T35:T38 T40">
    <cfRule type="cellIs" dxfId="359" priority="54" operator="between">
      <formula>$E12</formula>
      <formula>$F12</formula>
    </cfRule>
    <cfRule type="cellIs" dxfId="358" priority="52" operator="between">
      <formula>$G12</formula>
      <formula>$H12</formula>
    </cfRule>
    <cfRule type="cellIs" dxfId="357" priority="53" operator="between">
      <formula>$F12</formula>
      <formula>$G12</formula>
    </cfRule>
  </conditionalFormatting>
  <conditionalFormatting sqref="T12 T30 T32:T33 T35:T38 T40 T28">
    <cfRule type="cellIs" dxfId="356" priority="51" operator="between">
      <formula>$H12</formula>
      <formula>$I12</formula>
    </cfRule>
  </conditionalFormatting>
  <conditionalFormatting sqref="T12 T30 T32:T33 T35:T38">
    <cfRule type="cellIs" dxfId="355" priority="49" operator="between">
      <formula>$J12</formula>
      <formula>$K12</formula>
    </cfRule>
    <cfRule type="cellIs" dxfId="354" priority="50" operator="between">
      <formula>$I12</formula>
      <formula>$J12</formula>
    </cfRule>
  </conditionalFormatting>
  <conditionalFormatting sqref="T16:T18">
    <cfRule type="cellIs" dxfId="353" priority="37" operator="between">
      <formula>$J16</formula>
      <formula>$K16</formula>
    </cfRule>
    <cfRule type="cellIs" dxfId="352" priority="39" operator="between">
      <formula>$H16</formula>
      <formula>$I16</formula>
    </cfRule>
    <cfRule type="cellIs" dxfId="351" priority="41" operator="between">
      <formula>$F16</formula>
      <formula>$G16</formula>
    </cfRule>
    <cfRule type="cellIs" dxfId="350" priority="42" operator="between">
      <formula>$E16</formula>
      <formula>$F16</formula>
    </cfRule>
    <cfRule type="cellIs" dxfId="349" priority="38" operator="between">
      <formula>$I16</formula>
      <formula>$J16</formula>
    </cfRule>
    <cfRule type="cellIs" dxfId="348" priority="40" operator="between">
      <formula>$G16</formula>
      <formula>$H16</formula>
    </cfRule>
  </conditionalFormatting>
  <conditionalFormatting sqref="T20:T22">
    <cfRule type="cellIs" dxfId="347" priority="16" operator="between">
      <formula>$G20</formula>
      <formula>$H20</formula>
    </cfRule>
    <cfRule type="cellIs" dxfId="346" priority="18" operator="between">
      <formula>$E20</formula>
      <formula>$F20</formula>
    </cfRule>
    <cfRule type="cellIs" dxfId="345" priority="17" operator="between">
      <formula>$F20</formula>
      <formula>$G20</formula>
    </cfRule>
    <cfRule type="cellIs" dxfId="344" priority="15" operator="between">
      <formula>$H20</formula>
      <formula>$I20</formula>
    </cfRule>
  </conditionalFormatting>
  <conditionalFormatting sqref="T20:T23">
    <cfRule type="cellIs" dxfId="343" priority="14" operator="between">
      <formula>$I20</formula>
      <formula>$J20</formula>
    </cfRule>
    <cfRule type="cellIs" dxfId="342" priority="13" operator="between">
      <formula>$J20</formula>
      <formula>$K20</formula>
    </cfRule>
  </conditionalFormatting>
  <conditionalFormatting sqref="T23">
    <cfRule type="cellIs" dxfId="341" priority="36" operator="between">
      <formula>$E23</formula>
      <formula>$F23</formula>
    </cfRule>
    <cfRule type="cellIs" dxfId="340" priority="34" operator="between">
      <formula>$G23</formula>
      <formula>$H23</formula>
    </cfRule>
    <cfRule type="cellIs" dxfId="339" priority="35" operator="between">
      <formula>$F23</formula>
      <formula>$G23</formula>
    </cfRule>
    <cfRule type="cellIs" dxfId="338" priority="33" operator="between">
      <formula>$H23</formula>
      <formula>$I23</formula>
    </cfRule>
  </conditionalFormatting>
  <conditionalFormatting sqref="T25">
    <cfRule type="cellIs" dxfId="337" priority="12" operator="between">
      <formula>$E25</formula>
      <formula>$F25</formula>
    </cfRule>
    <cfRule type="cellIs" dxfId="336" priority="11" operator="between">
      <formula>$F25</formula>
      <formula>$G25</formula>
    </cfRule>
    <cfRule type="cellIs" dxfId="335" priority="9" operator="between">
      <formula>$H25</formula>
      <formula>$I25</formula>
    </cfRule>
    <cfRule type="cellIs" dxfId="334" priority="10" operator="between">
      <formula>$G25</formula>
      <formula>$H25</formula>
    </cfRule>
  </conditionalFormatting>
  <conditionalFormatting sqref="T25:T28">
    <cfRule type="cellIs" dxfId="333" priority="1" operator="between">
      <formula>$J25</formula>
      <formula>$K25</formula>
    </cfRule>
    <cfRule type="cellIs" dxfId="332" priority="2" operator="between">
      <formula>$I25</formula>
      <formula>$J25</formula>
    </cfRule>
  </conditionalFormatting>
  <conditionalFormatting sqref="T26">
    <cfRule type="cellIs" dxfId="331" priority="28" operator="between">
      <formula>$G26</formula>
      <formula>$H26</formula>
    </cfRule>
    <cfRule type="cellIs" dxfId="330" priority="29" operator="between">
      <formula>$F26</formula>
      <formula>$G26</formula>
    </cfRule>
    <cfRule type="cellIs" dxfId="329" priority="30" operator="between">
      <formula>$E26</formula>
      <formula>$F26</formula>
    </cfRule>
    <cfRule type="cellIs" dxfId="328" priority="27" operator="between">
      <formula>$H26</formula>
      <formula>$I26</formula>
    </cfRule>
  </conditionalFormatting>
  <conditionalFormatting sqref="T27">
    <cfRule type="cellIs" dxfId="327" priority="3" operator="between">
      <formula>$H27</formula>
      <formula>$I27</formula>
    </cfRule>
    <cfRule type="cellIs" dxfId="326" priority="4" operator="between">
      <formula>$G27</formula>
      <formula>$H27</formula>
    </cfRule>
    <cfRule type="cellIs" dxfId="325" priority="5" operator="between">
      <formula>$F27</formula>
      <formula>$G27</formula>
    </cfRule>
    <cfRule type="cellIs" dxfId="324" priority="6" operator="between">
      <formula>$E27</formula>
      <formula>$F27</formula>
    </cfRule>
  </conditionalFormatting>
  <conditionalFormatting sqref="T40:T42">
    <cfRule type="cellIs" dxfId="323" priority="20" operator="between">
      <formula>$I40</formula>
      <formula>$J40</formula>
    </cfRule>
    <cfRule type="cellIs" dxfId="322" priority="19" operator="between">
      <formula>$J40</formula>
      <formula>$K40</formula>
    </cfRule>
  </conditionalFormatting>
  <conditionalFormatting sqref="T41">
    <cfRule type="cellIs" dxfId="321" priority="47" operator="between">
      <formula>$F41</formula>
      <formula>$G41</formula>
    </cfRule>
    <cfRule type="cellIs" dxfId="320" priority="48" operator="between">
      <formula>$E41</formula>
      <formula>$F41</formula>
    </cfRule>
    <cfRule type="cellIs" dxfId="319" priority="46" operator="between">
      <formula>$G41</formula>
      <formula>$H41</formula>
    </cfRule>
    <cfRule type="cellIs" dxfId="318" priority="45" operator="between">
      <formula>$H41</formula>
      <formula>$I41</formula>
    </cfRule>
  </conditionalFormatting>
  <conditionalFormatting sqref="T42">
    <cfRule type="cellIs" dxfId="317" priority="21" operator="between">
      <formula>$H42</formula>
      <formula>$I42</formula>
    </cfRule>
    <cfRule type="cellIs" dxfId="316" priority="22" operator="between">
      <formula>$G42</formula>
      <formula>$H42</formula>
    </cfRule>
    <cfRule type="cellIs" dxfId="315" priority="23" operator="between">
      <formula>$F42</formula>
      <formula>$G42</formula>
    </cfRule>
    <cfRule type="cellIs" dxfId="314" priority="24" operator="between">
      <formula>$E42</formula>
      <formula>$F42</formula>
    </cfRule>
  </conditionalFormatting>
  <conditionalFormatting sqref="U20:U21">
    <cfRule type="cellIs" dxfId="313" priority="324" operator="between">
      <formula>$E20</formula>
      <formula>$F20</formula>
    </cfRule>
    <cfRule type="cellIs" dxfId="312" priority="323" operator="between">
      <formula>$F20</formula>
      <formula>$G20</formula>
    </cfRule>
    <cfRule type="cellIs" dxfId="311" priority="322" operator="between">
      <formula>$G20</formula>
      <formula>$H20</formula>
    </cfRule>
  </conditionalFormatting>
  <conditionalFormatting sqref="U20:U22">
    <cfRule type="cellIs" dxfId="310" priority="321" operator="between">
      <formula>$H20</formula>
      <formula>$I20</formula>
    </cfRule>
  </conditionalFormatting>
  <conditionalFormatting sqref="U20:U23">
    <cfRule type="cellIs" dxfId="309" priority="319" operator="between">
      <formula>$J20</formula>
      <formula>$K20</formula>
    </cfRule>
    <cfRule type="cellIs" dxfId="308" priority="320" operator="between">
      <formula>$I20</formula>
      <formula>$J20</formula>
    </cfRule>
  </conditionalFormatting>
  <conditionalFormatting sqref="U25">
    <cfRule type="cellIs" dxfId="307" priority="400" operator="between">
      <formula>$H25</formula>
      <formula>$I25</formula>
    </cfRule>
    <cfRule type="cellIs" dxfId="306" priority="401" operator="between">
      <formula>$G25</formula>
      <formula>$H25</formula>
    </cfRule>
    <cfRule type="cellIs" dxfId="305" priority="402" operator="between">
      <formula>$F25</formula>
      <formula>$G25</formula>
    </cfRule>
    <cfRule type="cellIs" dxfId="304" priority="403" operator="between">
      <formula>$E25</formula>
      <formula>$F25</formula>
    </cfRule>
  </conditionalFormatting>
  <conditionalFormatting sqref="U25:U27">
    <cfRule type="cellIs" dxfId="303" priority="398" operator="between">
      <formula>$J25</formula>
      <formula>$K25</formula>
    </cfRule>
    <cfRule type="cellIs" dxfId="302" priority="399" operator="between">
      <formula>$I25</formula>
      <formula>$J25</formula>
    </cfRule>
  </conditionalFormatting>
  <conditionalFormatting sqref="U30">
    <cfRule type="cellIs" dxfId="301" priority="367" operator="between">
      <formula>$J30</formula>
      <formula>$K30</formula>
    </cfRule>
    <cfRule type="cellIs" dxfId="300" priority="369" operator="between">
      <formula>$H30</formula>
      <formula>$I30</formula>
    </cfRule>
    <cfRule type="cellIs" dxfId="299" priority="370" operator="between">
      <formula>$G30</formula>
      <formula>$H30</formula>
    </cfRule>
    <cfRule type="cellIs" dxfId="298" priority="371" operator="between">
      <formula>$F30</formula>
      <formula>$G30</formula>
    </cfRule>
    <cfRule type="cellIs" dxfId="297" priority="372" operator="between">
      <formula>$E30</formula>
      <formula>$F30</formula>
    </cfRule>
    <cfRule type="cellIs" dxfId="296" priority="368" operator="between">
      <formula>$I30</formula>
      <formula>$J30</formula>
    </cfRule>
  </conditionalFormatting>
  <conditionalFormatting sqref="U35:U38">
    <cfRule type="cellIs" dxfId="295" priority="362" operator="between">
      <formula>$I35</formula>
      <formula>$J35</formula>
    </cfRule>
    <cfRule type="cellIs" dxfId="294" priority="363" operator="between">
      <formula>$H35</formula>
      <formula>$I35</formula>
    </cfRule>
    <cfRule type="cellIs" dxfId="293" priority="364" operator="between">
      <formula>$G35</formula>
      <formula>$H35</formula>
    </cfRule>
    <cfRule type="cellIs" dxfId="292" priority="365" operator="between">
      <formula>$F35</formula>
      <formula>$G35</formula>
    </cfRule>
    <cfRule type="cellIs" dxfId="291" priority="366" operator="between">
      <formula>$E35</formula>
      <formula>$F35</formula>
    </cfRule>
    <cfRule type="cellIs" dxfId="290" priority="361" operator="between">
      <formula>$J35</formula>
      <formula>$K35</formula>
    </cfRule>
  </conditionalFormatting>
  <conditionalFormatting sqref="U40">
    <cfRule type="cellIs" dxfId="289" priority="378" operator="between">
      <formula>$E40</formula>
      <formula>$F40</formula>
    </cfRule>
    <cfRule type="cellIs" dxfId="288" priority="377" operator="between">
      <formula>$F40</formula>
      <formula>$G40</formula>
    </cfRule>
    <cfRule type="cellIs" dxfId="287" priority="376" operator="between">
      <formula>$G40</formula>
      <formula>$H40</formula>
    </cfRule>
    <cfRule type="cellIs" dxfId="286" priority="375" operator="between">
      <formula>$H40</formula>
      <formula>$I40</formula>
    </cfRule>
  </conditionalFormatting>
  <conditionalFormatting sqref="U40:U42">
    <cfRule type="cellIs" dxfId="285" priority="373" operator="between">
      <formula>$J40</formula>
      <formula>$K40</formula>
    </cfRule>
    <cfRule type="cellIs" dxfId="284" priority="374" operator="between">
      <formula>$I40</formula>
      <formula>$J40</formula>
    </cfRule>
  </conditionalFormatting>
  <conditionalFormatting sqref="V12 V16:V17 V27 V30 V32:V33 V40:V41">
    <cfRule type="cellIs" dxfId="283" priority="360" operator="between">
      <formula>$E12</formula>
      <formula>$F12</formula>
    </cfRule>
    <cfRule type="cellIs" dxfId="282" priority="359" operator="between">
      <formula>$F12</formula>
      <formula>$G12</formula>
    </cfRule>
    <cfRule type="cellIs" dxfId="281" priority="358" operator="between">
      <formula>$G12</formula>
      <formula>$H12</formula>
    </cfRule>
  </conditionalFormatting>
  <conditionalFormatting sqref="V12 V30 V32:V33 V16:V17 V27 V40:V41">
    <cfRule type="cellIs" dxfId="280" priority="357" operator="between">
      <formula>$H12</formula>
      <formula>$I12</formula>
    </cfRule>
  </conditionalFormatting>
  <conditionalFormatting sqref="V12 V30 V32:V33">
    <cfRule type="cellIs" dxfId="279" priority="356" operator="between">
      <formula>$I12</formula>
      <formula>$J12</formula>
    </cfRule>
    <cfRule type="cellIs" dxfId="278" priority="355" operator="between">
      <formula>$J12</formula>
      <formula>$K12</formula>
    </cfRule>
  </conditionalFormatting>
  <conditionalFormatting sqref="V16:V18">
    <cfRule type="cellIs" dxfId="277" priority="349" operator="between">
      <formula>$J16</formula>
      <formula>$K16</formula>
    </cfRule>
    <cfRule type="cellIs" dxfId="276" priority="350" operator="between">
      <formula>$I16</formula>
      <formula>$J16</formula>
    </cfRule>
  </conditionalFormatting>
  <conditionalFormatting sqref="V18">
    <cfRule type="cellIs" dxfId="275" priority="354" operator="between">
      <formula>$E18</formula>
      <formula>$F18</formula>
    </cfRule>
    <cfRule type="cellIs" dxfId="274" priority="353" operator="between">
      <formula>$F18</formula>
      <formula>$G18</formula>
    </cfRule>
    <cfRule type="cellIs" dxfId="273" priority="352" operator="between">
      <formula>$G18</formula>
      <formula>$H18</formula>
    </cfRule>
    <cfRule type="cellIs" dxfId="272" priority="351" operator="between">
      <formula>$H18</formula>
      <formula>$I18</formula>
    </cfRule>
  </conditionalFormatting>
  <conditionalFormatting sqref="V20:V21">
    <cfRule type="cellIs" dxfId="271" priority="300" operator="between">
      <formula>$E20</formula>
      <formula>$F20</formula>
    </cfRule>
    <cfRule type="cellIs" dxfId="270" priority="298" operator="between">
      <formula>$G20</formula>
      <formula>$H20</formula>
    </cfRule>
    <cfRule type="cellIs" dxfId="269" priority="297" operator="between">
      <formula>$H20</formula>
      <formula>$I20</formula>
    </cfRule>
    <cfRule type="cellIs" dxfId="268" priority="299" operator="between">
      <formula>$F20</formula>
      <formula>$G20</formula>
    </cfRule>
  </conditionalFormatting>
  <conditionalFormatting sqref="V20:V23">
    <cfRule type="cellIs" dxfId="267" priority="296" operator="between">
      <formula>$I20</formula>
      <formula>$J20</formula>
    </cfRule>
    <cfRule type="cellIs" dxfId="266" priority="295" operator="between">
      <formula>$J20</formula>
      <formula>$K20</formula>
    </cfRule>
  </conditionalFormatting>
  <conditionalFormatting sqref="V22">
    <cfRule type="cellIs" dxfId="265" priority="328" operator="between">
      <formula>$G22</formula>
      <formula>$H22</formula>
    </cfRule>
    <cfRule type="cellIs" dxfId="264" priority="329" operator="between">
      <formula>$F22</formula>
      <formula>$G22</formula>
    </cfRule>
    <cfRule type="cellIs" dxfId="263" priority="330" operator="between">
      <formula>$E22</formula>
      <formula>$F22</formula>
    </cfRule>
    <cfRule type="cellIs" dxfId="262" priority="327" operator="between">
      <formula>$H22</formula>
      <formula>$I22</formula>
    </cfRule>
  </conditionalFormatting>
  <conditionalFormatting sqref="V23">
    <cfRule type="cellIs" dxfId="261" priority="346" operator="between">
      <formula>$G23</formula>
      <formula>$H23</formula>
    </cfRule>
    <cfRule type="cellIs" dxfId="260" priority="348" operator="between">
      <formula>$E23</formula>
      <formula>$F23</formula>
    </cfRule>
    <cfRule type="cellIs" dxfId="259" priority="347" operator="between">
      <formula>$F23</formula>
      <formula>$G23</formula>
    </cfRule>
    <cfRule type="cellIs" dxfId="258" priority="345" operator="between">
      <formula>$H23</formula>
      <formula>$I23</formula>
    </cfRule>
  </conditionalFormatting>
  <conditionalFormatting sqref="V26">
    <cfRule type="cellIs" dxfId="257" priority="342" operator="between">
      <formula>$E26</formula>
      <formula>$F26</formula>
    </cfRule>
    <cfRule type="cellIs" dxfId="256" priority="341" operator="between">
      <formula>$F26</formula>
      <formula>$G26</formula>
    </cfRule>
    <cfRule type="cellIs" dxfId="255" priority="340" operator="between">
      <formula>$G26</formula>
      <formula>$H26</formula>
    </cfRule>
    <cfRule type="cellIs" dxfId="254" priority="339" operator="between">
      <formula>$H26</formula>
      <formula>$I26</formula>
    </cfRule>
  </conditionalFormatting>
  <conditionalFormatting sqref="V26:V27">
    <cfRule type="cellIs" dxfId="253" priority="338" operator="between">
      <formula>$I26</formula>
      <formula>$J26</formula>
    </cfRule>
    <cfRule type="cellIs" dxfId="252" priority="337" operator="between">
      <formula>$J26</formula>
      <formula>$K26</formula>
    </cfRule>
  </conditionalFormatting>
  <conditionalFormatting sqref="V35:V38">
    <cfRule type="cellIs" dxfId="251" priority="294" operator="between">
      <formula>$E35</formula>
      <formula>$F35</formula>
    </cfRule>
    <cfRule type="cellIs" dxfId="250" priority="293" operator="between">
      <formula>$F35</formula>
      <formula>$G35</formula>
    </cfRule>
    <cfRule type="cellIs" dxfId="249" priority="292" operator="between">
      <formula>$G35</formula>
      <formula>$H35</formula>
    </cfRule>
    <cfRule type="cellIs" dxfId="248" priority="291" operator="between">
      <formula>$H35</formula>
      <formula>$I35</formula>
    </cfRule>
    <cfRule type="cellIs" dxfId="247" priority="290" operator="between">
      <formula>$I35</formula>
      <formula>$J35</formula>
    </cfRule>
    <cfRule type="cellIs" dxfId="246" priority="289" operator="between">
      <formula>$J35</formula>
      <formula>$K35</formula>
    </cfRule>
  </conditionalFormatting>
  <conditionalFormatting sqref="V40:V42">
    <cfRule type="cellIs" dxfId="245" priority="332" operator="between">
      <formula>$I40</formula>
      <formula>$J40</formula>
    </cfRule>
    <cfRule type="cellIs" dxfId="244" priority="331" operator="between">
      <formula>$J40</formula>
      <formula>$K40</formula>
    </cfRule>
  </conditionalFormatting>
  <conditionalFormatting sqref="V42">
    <cfRule type="cellIs" dxfId="243" priority="334" operator="between">
      <formula>$G42</formula>
      <formula>$H42</formula>
    </cfRule>
    <cfRule type="cellIs" dxfId="242" priority="333" operator="between">
      <formula>$H42</formula>
      <formula>$I42</formula>
    </cfRule>
    <cfRule type="cellIs" dxfId="241" priority="336" operator="between">
      <formula>$E42</formula>
      <formula>$F42</formula>
    </cfRule>
    <cfRule type="cellIs" dxfId="240" priority="335" operator="between">
      <formula>$F42</formula>
      <formula>$G42</formula>
    </cfRule>
  </conditionalFormatting>
  <conditionalFormatting sqref="W12 Z12:AA12 W16:W17 Z16:AA17 R22:S23 U22:U23 Z23:AA23 R25:S25 V25:W25 Z25:AA25 R27:S27 U27 Z27:AA27 W32:W33 Z32:AA33 Z35:AA38 M41 R41:S41 U41">
    <cfRule type="cellIs" dxfId="239" priority="451" operator="between">
      <formula>$E12</formula>
      <formula>$F12</formula>
    </cfRule>
    <cfRule type="cellIs" dxfId="238" priority="450" operator="between">
      <formula>$F12</formula>
      <formula>$G12</formula>
    </cfRule>
    <cfRule type="cellIs" dxfId="237" priority="449" operator="between">
      <formula>$G12</formula>
      <formula>$H12</formula>
    </cfRule>
  </conditionalFormatting>
  <conditionalFormatting sqref="W12 Z12:AA12 Z16:AA17 R25:S25 V25:W25 R27:S27 W32:W33 Z32:AA33 Z35:AA38 M41 R41:S41 W16:W17 Z25:AA25 Z27:AA27 U27 R23:S23 U41 U23 Z23:AA23">
    <cfRule type="cellIs" dxfId="236" priority="448" operator="between">
      <formula>$H12</formula>
      <formula>$I12</formula>
    </cfRule>
  </conditionalFormatting>
  <conditionalFormatting sqref="W12 Z12:AA12 Z16:AA18 V25:W25 R25:S28 W32:W33 Z32:AA33 Z35:AA38 M40:M42 R40:S42">
    <cfRule type="cellIs" dxfId="235" priority="447" operator="between">
      <formula>$I12</formula>
      <formula>$J12</formula>
    </cfRule>
    <cfRule type="cellIs" dxfId="234" priority="446" operator="between">
      <formula>$J12</formula>
      <formula>$K12</formula>
    </cfRule>
  </conditionalFormatting>
  <conditionalFormatting sqref="W16:W18">
    <cfRule type="cellIs" dxfId="233" priority="441" operator="between">
      <formula>$I16</formula>
      <formula>$J16</formula>
    </cfRule>
    <cfRule type="cellIs" dxfId="232" priority="440" operator="between">
      <formula>$J16</formula>
      <formula>$K16</formula>
    </cfRule>
  </conditionalFormatting>
  <conditionalFormatting sqref="W18">
    <cfRule type="cellIs" dxfId="231" priority="444" operator="between">
      <formula>$F18</formula>
      <formula>$G18</formula>
    </cfRule>
    <cfRule type="cellIs" dxfId="230" priority="445" operator="between">
      <formula>$E18</formula>
      <formula>$F18</formula>
    </cfRule>
    <cfRule type="cellIs" dxfId="229" priority="443" operator="between">
      <formula>$G18</formula>
      <formula>$H18</formula>
    </cfRule>
    <cfRule type="cellIs" dxfId="228" priority="442" operator="between">
      <formula>$H18</formula>
      <formula>$I18</formula>
    </cfRule>
  </conditionalFormatting>
  <conditionalFormatting sqref="W20:W21">
    <cfRule type="cellIs" dxfId="227" priority="286" operator="between">
      <formula>$G20</formula>
      <formula>$H20</formula>
    </cfRule>
    <cfRule type="cellIs" dxfId="226" priority="285" operator="between">
      <formula>$H20</formula>
      <formula>$I20</formula>
    </cfRule>
    <cfRule type="cellIs" dxfId="225" priority="288" operator="between">
      <formula>$E20</formula>
      <formula>$F20</formula>
    </cfRule>
    <cfRule type="cellIs" dxfId="224" priority="287" operator="between">
      <formula>$F20</formula>
      <formula>$G20</formula>
    </cfRule>
  </conditionalFormatting>
  <conditionalFormatting sqref="W20:W23">
    <cfRule type="cellIs" dxfId="223" priority="283" operator="between">
      <formula>$J20</formula>
      <formula>$K20</formula>
    </cfRule>
    <cfRule type="cellIs" dxfId="222" priority="284" operator="between">
      <formula>$I20</formula>
      <formula>$J20</formula>
    </cfRule>
  </conditionalFormatting>
  <conditionalFormatting sqref="W22">
    <cfRule type="cellIs" dxfId="221" priority="421" operator="between">
      <formula>$E22</formula>
      <formula>$F22</formula>
    </cfRule>
    <cfRule type="cellIs" dxfId="220" priority="418" operator="between">
      <formula>$H22</formula>
      <formula>$I22</formula>
    </cfRule>
    <cfRule type="cellIs" dxfId="219" priority="419" operator="between">
      <formula>$G22</formula>
      <formula>$H22</formula>
    </cfRule>
    <cfRule type="cellIs" dxfId="218" priority="420" operator="between">
      <formula>$F22</formula>
      <formula>$G22</formula>
    </cfRule>
  </conditionalFormatting>
  <conditionalFormatting sqref="W23">
    <cfRule type="cellIs" dxfId="217" priority="437" operator="between">
      <formula>$G23</formula>
      <formula>$H23</formula>
    </cfRule>
    <cfRule type="cellIs" dxfId="216" priority="439" operator="between">
      <formula>$E23</formula>
      <formula>$F23</formula>
    </cfRule>
    <cfRule type="cellIs" dxfId="215" priority="438" operator="between">
      <formula>$F23</formula>
      <formula>$G23</formula>
    </cfRule>
    <cfRule type="cellIs" dxfId="214" priority="436" operator="between">
      <formula>$H23</formula>
      <formula>$I23</formula>
    </cfRule>
  </conditionalFormatting>
  <conditionalFormatting sqref="W26 Z26:AA26">
    <cfRule type="cellIs" dxfId="213" priority="433" operator="between">
      <formula>$E26</formula>
      <formula>$F26</formula>
    </cfRule>
    <cfRule type="cellIs" dxfId="212" priority="432" operator="between">
      <formula>$F26</formula>
      <formula>$G26</formula>
    </cfRule>
    <cfRule type="cellIs" dxfId="211" priority="430" operator="between">
      <formula>$H26</formula>
      <formula>$I26</formula>
    </cfRule>
    <cfRule type="cellIs" dxfId="210" priority="431" operator="between">
      <formula>$G26</formula>
      <formula>$H26</formula>
    </cfRule>
  </conditionalFormatting>
  <conditionalFormatting sqref="W27">
    <cfRule type="cellIs" dxfId="209" priority="461" operator="between">
      <formula>$G27</formula>
      <formula>$H27</formula>
    </cfRule>
    <cfRule type="cellIs" dxfId="208" priority="460" operator="between">
      <formula>$H27</formula>
      <formula>$I27</formula>
    </cfRule>
    <cfRule type="cellIs" dxfId="207" priority="462" operator="between">
      <formula>$F27</formula>
      <formula>$G27</formula>
    </cfRule>
    <cfRule type="cellIs" dxfId="206" priority="463" operator="between">
      <formula>$E27</formula>
      <formula>$F27</formula>
    </cfRule>
  </conditionalFormatting>
  <conditionalFormatting sqref="W30">
    <cfRule type="cellIs" dxfId="205" priority="282" operator="between">
      <formula>$E30</formula>
      <formula>$F30</formula>
    </cfRule>
    <cfRule type="cellIs" dxfId="204" priority="281" operator="between">
      <formula>$F30</formula>
      <formula>$G30</formula>
    </cfRule>
    <cfRule type="cellIs" dxfId="203" priority="279" operator="between">
      <formula>$H30</formula>
      <formula>$I30</formula>
    </cfRule>
    <cfRule type="cellIs" dxfId="202" priority="278" operator="between">
      <formula>$I30</formula>
      <formula>$J30</formula>
    </cfRule>
    <cfRule type="cellIs" dxfId="201" priority="277" operator="between">
      <formula>$J30</formula>
      <formula>$K30</formula>
    </cfRule>
    <cfRule type="cellIs" dxfId="200" priority="280" operator="between">
      <formula>$G30</formula>
      <formula>$H30</formula>
    </cfRule>
  </conditionalFormatting>
  <conditionalFormatting sqref="W35:W38">
    <cfRule type="cellIs" dxfId="199" priority="276" operator="between">
      <formula>$E35</formula>
      <formula>$F35</formula>
    </cfRule>
    <cfRule type="cellIs" dxfId="198" priority="275" operator="between">
      <formula>$F35</formula>
      <formula>$G35</formula>
    </cfRule>
    <cfRule type="cellIs" dxfId="197" priority="274" operator="between">
      <formula>$G35</formula>
      <formula>$H35</formula>
    </cfRule>
    <cfRule type="cellIs" dxfId="196" priority="272" operator="between">
      <formula>$I35</formula>
      <formula>$J35</formula>
    </cfRule>
    <cfRule type="cellIs" dxfId="195" priority="271" operator="between">
      <formula>$J35</formula>
      <formula>$K35</formula>
    </cfRule>
    <cfRule type="cellIs" dxfId="194" priority="273" operator="between">
      <formula>$H35</formula>
      <formula>$I35</formula>
    </cfRule>
  </conditionalFormatting>
  <conditionalFormatting sqref="W40:W41">
    <cfRule type="cellIs" dxfId="193" priority="269" operator="between">
      <formula>$F40</formula>
      <formula>$G40</formula>
    </cfRule>
    <cfRule type="cellIs" dxfId="192" priority="270" operator="between">
      <formula>$E40</formula>
      <formula>$F40</formula>
    </cfRule>
    <cfRule type="cellIs" dxfId="191" priority="267" operator="between">
      <formula>$H40</formula>
      <formula>$I40</formula>
    </cfRule>
    <cfRule type="cellIs" dxfId="190" priority="268" operator="between">
      <formula>$G40</formula>
      <formula>$H40</formula>
    </cfRule>
  </conditionalFormatting>
  <conditionalFormatting sqref="W40:W42">
    <cfRule type="cellIs" dxfId="189" priority="266" operator="between">
      <formula>$I40</formula>
      <formula>$J40</formula>
    </cfRule>
    <cfRule type="cellIs" dxfId="188" priority="265" operator="between">
      <formula>$J40</formula>
      <formula>$K40</formula>
    </cfRule>
  </conditionalFormatting>
  <conditionalFormatting sqref="W42">
    <cfRule type="cellIs" dxfId="187" priority="425" operator="between">
      <formula>$G42</formula>
      <formula>$H42</formula>
    </cfRule>
    <cfRule type="cellIs" dxfId="186" priority="424" operator="between">
      <formula>$H42</formula>
      <formula>$I42</formula>
    </cfRule>
    <cfRule type="cellIs" dxfId="185" priority="426" operator="between">
      <formula>$F42</formula>
      <formula>$G42</formula>
    </cfRule>
    <cfRule type="cellIs" dxfId="184" priority="427" operator="between">
      <formula>$E42</formula>
      <formula>$F42</formula>
    </cfRule>
  </conditionalFormatting>
  <conditionalFormatting sqref="X17">
    <cfRule type="cellIs" dxfId="183" priority="227" operator="between">
      <formula>$F17</formula>
      <formula>$G17</formula>
    </cfRule>
    <cfRule type="cellIs" dxfId="182" priority="226" operator="between">
      <formula>$G17</formula>
      <formula>$H17</formula>
    </cfRule>
    <cfRule type="cellIs" dxfId="181" priority="225" operator="between">
      <formula>$H17</formula>
      <formula>$I17</formula>
    </cfRule>
    <cfRule type="cellIs" dxfId="180" priority="224" operator="between">
      <formula>$I17</formula>
      <formula>$J17</formula>
    </cfRule>
    <cfRule type="cellIs" dxfId="179" priority="223" operator="between">
      <formula>$J17</formula>
      <formula>$K17</formula>
    </cfRule>
    <cfRule type="cellIs" dxfId="178" priority="228" operator="between">
      <formula>$E17</formula>
      <formula>$F17</formula>
    </cfRule>
  </conditionalFormatting>
  <conditionalFormatting sqref="X25">
    <cfRule type="cellIs" dxfId="177" priority="252" operator="between">
      <formula>$E25</formula>
      <formula>$F25</formula>
    </cfRule>
    <cfRule type="cellIs" dxfId="176" priority="251" operator="between">
      <formula>$F25</formula>
      <formula>$G25</formula>
    </cfRule>
    <cfRule type="cellIs" dxfId="175" priority="249" operator="between">
      <formula>$H25</formula>
      <formula>$I25</formula>
    </cfRule>
    <cfRule type="cellIs" dxfId="174" priority="248" operator="between">
      <formula>$I25</formula>
      <formula>$J25</formula>
    </cfRule>
    <cfRule type="cellIs" dxfId="173" priority="247" operator="between">
      <formula>$J25</formula>
      <formula>$K25</formula>
    </cfRule>
    <cfRule type="cellIs" dxfId="172" priority="250" operator="between">
      <formula>$G25</formula>
      <formula>$H25</formula>
    </cfRule>
  </conditionalFormatting>
  <conditionalFormatting sqref="X27">
    <cfRule type="cellIs" dxfId="171" priority="242" operator="between">
      <formula>$I27</formula>
      <formula>$J27</formula>
    </cfRule>
    <cfRule type="cellIs" dxfId="170" priority="244" operator="between">
      <formula>$G27</formula>
      <formula>$H27</formula>
    </cfRule>
    <cfRule type="cellIs" dxfId="169" priority="243" operator="between">
      <formula>$H27</formula>
      <formula>$I27</formula>
    </cfRule>
    <cfRule type="cellIs" dxfId="168" priority="241" operator="between">
      <formula>$J27</formula>
      <formula>$K27</formula>
    </cfRule>
    <cfRule type="cellIs" dxfId="167" priority="246" operator="between">
      <formula>$E27</formula>
      <formula>$F27</formula>
    </cfRule>
    <cfRule type="cellIs" dxfId="166" priority="245" operator="between">
      <formula>$F27</formula>
      <formula>$G27</formula>
    </cfRule>
  </conditionalFormatting>
  <conditionalFormatting sqref="X32">
    <cfRule type="cellIs" dxfId="165" priority="237" operator="between">
      <formula>$H32</formula>
      <formula>$I32</formula>
    </cfRule>
    <cfRule type="cellIs" dxfId="164" priority="240" operator="between">
      <formula>$E32</formula>
      <formula>$F32</formula>
    </cfRule>
    <cfRule type="cellIs" dxfId="163" priority="239" operator="between">
      <formula>$F32</formula>
      <formula>$G32</formula>
    </cfRule>
    <cfRule type="cellIs" dxfId="162" priority="235" operator="between">
      <formula>$J32</formula>
      <formula>$K32</formula>
    </cfRule>
    <cfRule type="cellIs" dxfId="161" priority="236" operator="between">
      <formula>$I32</formula>
      <formula>$J32</formula>
    </cfRule>
    <cfRule type="cellIs" dxfId="160" priority="238" operator="between">
      <formula>$G32</formula>
      <formula>$H32</formula>
    </cfRule>
  </conditionalFormatting>
  <conditionalFormatting sqref="X40:X41">
    <cfRule type="cellIs" dxfId="159" priority="230" operator="between">
      <formula>$I40</formula>
      <formula>$J40</formula>
    </cfRule>
    <cfRule type="cellIs" dxfId="158" priority="233" operator="between">
      <formula>$F40</formula>
      <formula>$G40</formula>
    </cfRule>
    <cfRule type="cellIs" dxfId="157" priority="234" operator="between">
      <formula>$E40</formula>
      <formula>$F40</formula>
    </cfRule>
    <cfRule type="cellIs" dxfId="156" priority="229" operator="between">
      <formula>$J40</formula>
      <formula>$K40</formula>
    </cfRule>
    <cfRule type="cellIs" dxfId="155" priority="231" operator="between">
      <formula>$H40</formula>
      <formula>$I40</formula>
    </cfRule>
    <cfRule type="cellIs" dxfId="154" priority="232" operator="between">
      <formula>$G40</formula>
      <formula>$H40</formula>
    </cfRule>
  </conditionalFormatting>
  <conditionalFormatting sqref="X18:Y18">
    <cfRule type="cellIs" dxfId="153" priority="218" operator="between">
      <formula>$I18</formula>
      <formula>$J18</formula>
    </cfRule>
    <cfRule type="cellIs" dxfId="152" priority="217" operator="between">
      <formula>$J18</formula>
      <formula>$K18</formula>
    </cfRule>
    <cfRule type="cellIs" dxfId="151" priority="222" operator="between">
      <formula>$E18</formula>
      <formula>$F18</formula>
    </cfRule>
    <cfRule type="cellIs" dxfId="150" priority="221" operator="between">
      <formula>$F18</formula>
      <formula>$G18</formula>
    </cfRule>
    <cfRule type="cellIs" dxfId="149" priority="220" operator="between">
      <formula>$G18</formula>
      <formula>$H18</formula>
    </cfRule>
    <cfRule type="cellIs" dxfId="148" priority="219" operator="between">
      <formula>$H18</formula>
      <formula>$I18</formula>
    </cfRule>
  </conditionalFormatting>
  <conditionalFormatting sqref="X22:Y22">
    <cfRule type="cellIs" dxfId="147" priority="196" operator="between">
      <formula>$G22</formula>
      <formula>$H22</formula>
    </cfRule>
    <cfRule type="cellIs" dxfId="146" priority="198" operator="between">
      <formula>$E22</formula>
      <formula>$F22</formula>
    </cfRule>
    <cfRule type="cellIs" dxfId="145" priority="197" operator="between">
      <formula>$F22</formula>
      <formula>$G22</formula>
    </cfRule>
    <cfRule type="cellIs" dxfId="144" priority="195" operator="between">
      <formula>$H22</formula>
      <formula>$I22</formula>
    </cfRule>
  </conditionalFormatting>
  <conditionalFormatting sqref="X22:Y23">
    <cfRule type="cellIs" dxfId="143" priority="193" operator="between">
      <formula>$J22</formula>
      <formula>$K22</formula>
    </cfRule>
    <cfRule type="cellIs" dxfId="142" priority="194" operator="between">
      <formula>$I22</formula>
      <formula>$J22</formula>
    </cfRule>
  </conditionalFormatting>
  <conditionalFormatting sqref="X23:Y23">
    <cfRule type="cellIs" dxfId="141" priority="216" operator="between">
      <formula>$E23</formula>
      <formula>$F23</formula>
    </cfRule>
    <cfRule type="cellIs" dxfId="140" priority="214" operator="between">
      <formula>$G23</formula>
      <formula>$H23</formula>
    </cfRule>
    <cfRule type="cellIs" dxfId="139" priority="213" operator="between">
      <formula>$H23</formula>
      <formula>$I23</formula>
    </cfRule>
    <cfRule type="cellIs" dxfId="138" priority="215" operator="between">
      <formula>$F23</formula>
      <formula>$G23</formula>
    </cfRule>
  </conditionalFormatting>
  <conditionalFormatting sqref="X26:Y26">
    <cfRule type="cellIs" dxfId="137" priority="207" operator="between">
      <formula>$H26</formula>
      <formula>$I26</formula>
    </cfRule>
    <cfRule type="cellIs" dxfId="136" priority="208" operator="between">
      <formula>$G26</formula>
      <formula>$H26</formula>
    </cfRule>
    <cfRule type="cellIs" dxfId="135" priority="210" operator="between">
      <formula>$E26</formula>
      <formula>$F26</formula>
    </cfRule>
    <cfRule type="cellIs" dxfId="134" priority="209" operator="between">
      <formula>$F26</formula>
      <formula>$G26</formula>
    </cfRule>
    <cfRule type="cellIs" dxfId="133" priority="206" operator="between">
      <formula>$I26</formula>
      <formula>$J26</formula>
    </cfRule>
    <cfRule type="cellIs" dxfId="132" priority="205" operator="between">
      <formula>$J26</formula>
      <formula>$K26</formula>
    </cfRule>
  </conditionalFormatting>
  <conditionalFormatting sqref="X42:Y42">
    <cfRule type="cellIs" dxfId="131" priority="199" operator="between">
      <formula>$J42</formula>
      <formula>$K42</formula>
    </cfRule>
    <cfRule type="cellIs" dxfId="130" priority="201" operator="between">
      <formula>$H42</formula>
      <formula>$I42</formula>
    </cfRule>
    <cfRule type="cellIs" dxfId="129" priority="203" operator="between">
      <formula>$F42</formula>
      <formula>$G42</formula>
    </cfRule>
    <cfRule type="cellIs" dxfId="128" priority="202" operator="between">
      <formula>$G42</formula>
      <formula>$H42</formula>
    </cfRule>
    <cfRule type="cellIs" dxfId="127" priority="200" operator="between">
      <formula>$I42</formula>
      <formula>$J42</formula>
    </cfRule>
    <cfRule type="cellIs" dxfId="126" priority="204" operator="between">
      <formula>$E42</formula>
      <formula>$F42</formula>
    </cfRule>
  </conditionalFormatting>
  <conditionalFormatting sqref="Y12 X16:Y16 Y17 Y20:Y21 Y25 Y27:Y28 Y30 Y32:Y33 X35:Y38 Y40:Y41">
    <cfRule type="cellIs" dxfId="125" priority="258" operator="between">
      <formula>$E12</formula>
      <formula>$F12</formula>
    </cfRule>
    <cfRule type="cellIs" dxfId="124" priority="253" operator="between">
      <formula>$J12</formula>
      <formula>$K12</formula>
    </cfRule>
    <cfRule type="cellIs" dxfId="123" priority="256" operator="between">
      <formula>$G12</formula>
      <formula>$H12</formula>
    </cfRule>
    <cfRule type="cellIs" dxfId="122" priority="254" operator="between">
      <formula>$I12</formula>
      <formula>$J12</formula>
    </cfRule>
    <cfRule type="cellIs" dxfId="121" priority="255" operator="between">
      <formula>$H12</formula>
      <formula>$I12</formula>
    </cfRule>
    <cfRule type="cellIs" dxfId="120" priority="257" operator="between">
      <formula>$F12</formula>
      <formula>$G12</formula>
    </cfRule>
  </conditionalFormatting>
  <conditionalFormatting sqref="Z20:AA21">
    <cfRule type="cellIs" dxfId="119" priority="309" operator="between">
      <formula>$H20</formula>
      <formula>$I20</formula>
    </cfRule>
    <cfRule type="cellIs" dxfId="118" priority="312" operator="between">
      <formula>$E20</formula>
      <formula>$F20</formula>
    </cfRule>
    <cfRule type="cellIs" dxfId="117" priority="311" operator="between">
      <formula>$F20</formula>
      <formula>$G20</formula>
    </cfRule>
    <cfRule type="cellIs" dxfId="116" priority="310" operator="between">
      <formula>$G20</formula>
      <formula>$H20</formula>
    </cfRule>
  </conditionalFormatting>
  <conditionalFormatting sqref="Z20:AA23">
    <cfRule type="cellIs" dxfId="115" priority="307" operator="between">
      <formula>$J20</formula>
      <formula>$K20</formula>
    </cfRule>
    <cfRule type="cellIs" dxfId="114" priority="308" operator="between">
      <formula>$I20</formula>
      <formula>$J20</formula>
    </cfRule>
  </conditionalFormatting>
  <conditionalFormatting sqref="Z25:AA28 W26:W27">
    <cfRule type="cellIs" dxfId="113" priority="429" operator="between">
      <formula>$I25</formula>
      <formula>$J25</formula>
    </cfRule>
    <cfRule type="cellIs" dxfId="112" priority="428" operator="between">
      <formula>$J25</formula>
      <formula>$K25</formula>
    </cfRule>
  </conditionalFormatting>
  <conditionalFormatting sqref="Z30:AA30">
    <cfRule type="cellIs" dxfId="111" priority="303" operator="between">
      <formula>$H30</formula>
      <formula>$I30</formula>
    </cfRule>
    <cfRule type="cellIs" dxfId="110" priority="302" operator="between">
      <formula>$I30</formula>
      <formula>$J30</formula>
    </cfRule>
    <cfRule type="cellIs" dxfId="109" priority="301" operator="between">
      <formula>$J30</formula>
      <formula>$K30</formula>
    </cfRule>
    <cfRule type="cellIs" dxfId="108" priority="304" operator="between">
      <formula>$G30</formula>
      <formula>$H30</formula>
    </cfRule>
    <cfRule type="cellIs" dxfId="107" priority="305" operator="between">
      <formula>$F30</formula>
      <formula>$G30</formula>
    </cfRule>
    <cfRule type="cellIs" dxfId="106" priority="306" operator="between">
      <formula>$E30</formula>
      <formula>$F30</formula>
    </cfRule>
  </conditionalFormatting>
  <conditionalFormatting sqref="Z40:AA41">
    <cfRule type="cellIs" dxfId="105" priority="317" operator="between">
      <formula>$F40</formula>
      <formula>$G40</formula>
    </cfRule>
    <cfRule type="cellIs" dxfId="104" priority="318" operator="between">
      <formula>$E40</formula>
      <formula>$F40</formula>
    </cfRule>
    <cfRule type="cellIs" dxfId="103" priority="315" operator="between">
      <formula>$H40</formula>
      <formula>$I40</formula>
    </cfRule>
    <cfRule type="cellIs" dxfId="102" priority="316" operator="between">
      <formula>$G40</formula>
      <formula>$H40</formula>
    </cfRule>
  </conditionalFormatting>
  <conditionalFormatting sqref="Z40:AA42">
    <cfRule type="cellIs" dxfId="101" priority="313" operator="between">
      <formula>$J40</formula>
      <formula>$K40</formula>
    </cfRule>
    <cfRule type="cellIs" dxfId="100" priority="314" operator="between">
      <formula>$I40</formula>
      <formula>$J40</formula>
    </cfRule>
  </conditionalFormatting>
  <pageMargins left="0.7" right="0.7" top="0.75" bottom="0.75" header="0.3" footer="0.3"/>
  <pageSetup paperSize="9" orientation="portrait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3"/>
  <sheetViews>
    <sheetView topLeftCell="O1" workbookViewId="0">
      <pane ySplit="1" topLeftCell="A2" activePane="bottomLeft" state="frozen"/>
      <selection pane="bottomLeft" activeCell="V68" sqref="V68"/>
    </sheetView>
  </sheetViews>
  <sheetFormatPr defaultColWidth="8.86328125" defaultRowHeight="23.25" customHeight="1"/>
  <cols>
    <col min="1" max="1" width="26.3984375" style="11" customWidth="1"/>
    <col min="2" max="2" width="7.1328125" style="11" customWidth="1"/>
    <col min="3" max="3" width="12.73046875" style="11" customWidth="1"/>
    <col min="4" max="4" width="5.59765625" style="11" customWidth="1"/>
    <col min="5" max="5" width="4.59765625" style="11" hidden="1" customWidth="1"/>
    <col min="6" max="6" width="5.59765625" style="16" customWidth="1"/>
    <col min="7" max="7" width="5.59765625" style="17" customWidth="1"/>
    <col min="8" max="8" width="5.59765625" style="18" customWidth="1"/>
    <col min="9" max="9" width="5.59765625" style="19" customWidth="1"/>
    <col min="10" max="10" width="5.59765625" style="20" customWidth="1"/>
    <col min="11" max="11" width="5.265625" style="18" customWidth="1"/>
    <col min="12" max="12" width="7.1328125" style="11" customWidth="1"/>
    <col min="13" max="16" width="8.59765625" style="18" customWidth="1"/>
    <col min="17" max="19" width="10.3984375" style="18" customWidth="1"/>
    <col min="20" max="20" width="13.265625" style="18" customWidth="1"/>
    <col min="21" max="21" width="12.59765625" style="18" customWidth="1"/>
    <col min="22" max="22" width="10.59765625" style="18" customWidth="1"/>
    <col min="23" max="23" width="9.59765625" style="18" customWidth="1"/>
    <col min="24" max="24" width="4.3984375" style="11" customWidth="1"/>
    <col min="25" max="25" width="7.1328125" style="11" customWidth="1"/>
    <col min="26" max="26" width="57.86328125" style="11" customWidth="1"/>
    <col min="27" max="28" width="14.86328125" style="11" customWidth="1"/>
    <col min="29" max="29" width="12.86328125" style="11" customWidth="1"/>
    <col min="30" max="30" width="15" style="11" customWidth="1"/>
    <col min="31" max="16384" width="8.86328125" style="11"/>
  </cols>
  <sheetData>
    <row r="1" spans="1:26" ht="23.2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44" t="s">
        <v>5</v>
      </c>
      <c r="G1" s="45" t="s">
        <v>6</v>
      </c>
      <c r="H1" s="46" t="s">
        <v>7</v>
      </c>
      <c r="I1" s="66" t="s">
        <v>8</v>
      </c>
      <c r="J1" s="67" t="s">
        <v>9</v>
      </c>
      <c r="K1" s="46" t="s">
        <v>10</v>
      </c>
      <c r="L1" s="21" t="s">
        <v>11</v>
      </c>
      <c r="M1" s="46" t="s">
        <v>187</v>
      </c>
      <c r="N1" s="46" t="s">
        <v>188</v>
      </c>
      <c r="O1" s="46" t="s">
        <v>189</v>
      </c>
      <c r="P1" s="46" t="s">
        <v>190</v>
      </c>
      <c r="Q1" s="46" t="s">
        <v>191</v>
      </c>
      <c r="R1" s="46" t="s">
        <v>192</v>
      </c>
      <c r="S1" s="46" t="s">
        <v>193</v>
      </c>
      <c r="T1" s="46" t="s">
        <v>194</v>
      </c>
      <c r="U1" s="46" t="s">
        <v>195</v>
      </c>
      <c r="V1" s="46" t="s">
        <v>196</v>
      </c>
      <c r="W1" s="46" t="s">
        <v>197</v>
      </c>
      <c r="X1" s="104" t="s">
        <v>198</v>
      </c>
      <c r="Y1" s="104" t="s">
        <v>40</v>
      </c>
      <c r="Z1" s="104" t="s">
        <v>41</v>
      </c>
    </row>
    <row r="2" spans="1:26" ht="16.5" customHeight="1">
      <c r="A2" s="22" t="s">
        <v>42</v>
      </c>
      <c r="B2" s="23"/>
      <c r="C2" s="23"/>
      <c r="D2" s="23"/>
      <c r="E2" s="23"/>
      <c r="F2" s="47"/>
      <c r="G2" s="23"/>
      <c r="H2" s="23"/>
      <c r="I2" s="23"/>
      <c r="J2" s="23"/>
      <c r="K2" s="23"/>
      <c r="L2" s="23"/>
      <c r="M2" s="82">
        <v>0.7</v>
      </c>
      <c r="N2" s="82">
        <v>0.7</v>
      </c>
      <c r="O2" s="82">
        <v>0.7</v>
      </c>
      <c r="P2" s="82">
        <v>0.7</v>
      </c>
      <c r="Q2" s="82">
        <v>0.7</v>
      </c>
      <c r="R2" s="82">
        <v>0.7</v>
      </c>
      <c r="S2" s="82">
        <v>0.7</v>
      </c>
      <c r="T2" s="82">
        <v>0.7</v>
      </c>
      <c r="U2" s="82">
        <v>0.7</v>
      </c>
      <c r="V2" s="82">
        <v>0.7</v>
      </c>
      <c r="W2" s="82">
        <v>0.7</v>
      </c>
      <c r="X2" s="23"/>
      <c r="Y2" s="23"/>
      <c r="Z2" s="23"/>
    </row>
    <row r="3" spans="1:26" ht="16.5" customHeight="1">
      <c r="A3" s="22" t="s">
        <v>43</v>
      </c>
      <c r="B3" s="23"/>
      <c r="C3" s="23" t="s">
        <v>44</v>
      </c>
      <c r="D3" s="23"/>
      <c r="E3" s="23"/>
      <c r="F3" s="48"/>
      <c r="G3" s="49"/>
      <c r="H3" s="23"/>
      <c r="I3" s="68"/>
      <c r="J3" s="30"/>
      <c r="K3" s="23"/>
      <c r="L3" s="23"/>
      <c r="M3" s="82" t="s">
        <v>45</v>
      </c>
      <c r="N3" s="82" t="s">
        <v>45</v>
      </c>
      <c r="O3" s="82" t="s">
        <v>45</v>
      </c>
      <c r="P3" s="82" t="s">
        <v>45</v>
      </c>
      <c r="Q3" s="82" t="s">
        <v>45</v>
      </c>
      <c r="R3" s="82" t="s">
        <v>45</v>
      </c>
      <c r="S3" s="82" t="s">
        <v>45</v>
      </c>
      <c r="T3" s="82" t="s">
        <v>45</v>
      </c>
      <c r="U3" s="82" t="s">
        <v>45</v>
      </c>
      <c r="V3" s="82" t="s">
        <v>45</v>
      </c>
      <c r="W3" s="82" t="s">
        <v>45</v>
      </c>
      <c r="X3" s="23"/>
      <c r="Y3" s="23" t="s">
        <v>50</v>
      </c>
      <c r="Z3" s="23"/>
    </row>
    <row r="4" spans="1:26" ht="16.5" customHeight="1">
      <c r="A4" s="22" t="s">
        <v>51</v>
      </c>
      <c r="B4" s="23" t="s">
        <v>52</v>
      </c>
      <c r="C4" s="23"/>
      <c r="D4" s="23"/>
      <c r="E4" s="23"/>
      <c r="F4" s="47"/>
      <c r="G4" s="23"/>
      <c r="H4" s="23"/>
      <c r="I4" s="23"/>
      <c r="J4" s="23"/>
      <c r="K4" s="23"/>
      <c r="L4" s="23"/>
      <c r="M4" s="83">
        <v>1.2</v>
      </c>
      <c r="N4" s="83">
        <v>1.2</v>
      </c>
      <c r="O4" s="83">
        <v>1.2</v>
      </c>
      <c r="P4" s="83">
        <v>1.2</v>
      </c>
      <c r="Q4" s="83">
        <v>1.2</v>
      </c>
      <c r="R4" s="83">
        <v>1.2</v>
      </c>
      <c r="S4" s="83">
        <v>1.2</v>
      </c>
      <c r="T4" s="83">
        <v>1.2</v>
      </c>
      <c r="U4" s="83">
        <v>1.2</v>
      </c>
      <c r="V4" s="83">
        <v>1.2</v>
      </c>
      <c r="W4" s="83">
        <v>1.2</v>
      </c>
      <c r="X4" s="23">
        <v>0</v>
      </c>
      <c r="Y4" s="23"/>
      <c r="Z4" s="23"/>
    </row>
    <row r="5" spans="1:26" ht="16.5" customHeight="1">
      <c r="A5" s="22" t="s">
        <v>53</v>
      </c>
      <c r="B5" s="23"/>
      <c r="C5" s="23" t="s">
        <v>54</v>
      </c>
      <c r="D5" s="23"/>
      <c r="E5" s="23"/>
      <c r="F5" s="47"/>
      <c r="G5" s="23"/>
      <c r="H5" s="23"/>
      <c r="I5" s="23"/>
      <c r="J5" s="23"/>
      <c r="K5" s="23"/>
      <c r="L5" s="23"/>
      <c r="M5" s="82">
        <v>7</v>
      </c>
      <c r="N5" s="82">
        <v>7</v>
      </c>
      <c r="O5" s="82">
        <v>7</v>
      </c>
      <c r="P5" s="82">
        <v>7</v>
      </c>
      <c r="Q5" s="82">
        <v>7</v>
      </c>
      <c r="R5" s="82">
        <v>7</v>
      </c>
      <c r="S5" s="82">
        <v>7</v>
      </c>
      <c r="T5" s="82">
        <v>7</v>
      </c>
      <c r="U5" s="82">
        <v>7</v>
      </c>
      <c r="V5" s="82">
        <v>7</v>
      </c>
      <c r="W5" s="82">
        <v>7</v>
      </c>
      <c r="X5" s="23">
        <v>0</v>
      </c>
      <c r="Y5" s="23"/>
      <c r="Z5" s="23"/>
    </row>
    <row r="6" spans="1:26" ht="16.5" customHeight="1">
      <c r="A6" s="24" t="s">
        <v>55</v>
      </c>
      <c r="B6" s="25"/>
      <c r="C6" s="26"/>
      <c r="D6" s="26"/>
      <c r="E6" s="26"/>
      <c r="F6" s="50"/>
      <c r="G6" s="51"/>
      <c r="H6" s="26"/>
      <c r="I6" s="69"/>
      <c r="J6" s="70"/>
      <c r="K6" s="26"/>
      <c r="L6" s="26"/>
      <c r="M6" s="84"/>
      <c r="N6" s="85"/>
      <c r="O6" s="84"/>
      <c r="P6" s="84"/>
      <c r="Q6" s="84"/>
      <c r="R6" s="84"/>
      <c r="S6" s="84"/>
      <c r="T6" s="101" t="s">
        <v>56</v>
      </c>
      <c r="U6" s="85"/>
      <c r="V6" s="85"/>
      <c r="W6" s="85"/>
      <c r="X6" s="23">
        <v>0</v>
      </c>
      <c r="Y6" s="23" t="s">
        <v>50</v>
      </c>
      <c r="Z6" s="23"/>
    </row>
    <row r="7" spans="1:26" ht="16.5" customHeight="1">
      <c r="A7" s="27" t="s">
        <v>57</v>
      </c>
      <c r="B7" s="23"/>
      <c r="C7" s="23" t="s">
        <v>58</v>
      </c>
      <c r="D7" s="28" t="s">
        <v>59</v>
      </c>
      <c r="E7" s="23"/>
      <c r="F7" s="47"/>
      <c r="G7" s="23"/>
      <c r="H7" s="23"/>
      <c r="I7" s="23"/>
      <c r="J7" s="23"/>
      <c r="K7" s="23"/>
      <c r="L7" s="23"/>
      <c r="M7" s="86">
        <f>M45</f>
        <v>108</v>
      </c>
      <c r="N7" s="86">
        <f t="shared" ref="N7:W7" si="0">N45</f>
        <v>216</v>
      </c>
      <c r="O7" s="86">
        <f t="shared" si="0"/>
        <v>0</v>
      </c>
      <c r="P7" s="86">
        <f t="shared" si="0"/>
        <v>0</v>
      </c>
      <c r="Q7" s="86">
        <f t="shared" si="0"/>
        <v>0</v>
      </c>
      <c r="R7" s="86">
        <f t="shared" si="0"/>
        <v>0</v>
      </c>
      <c r="S7" s="86">
        <f t="shared" si="0"/>
        <v>0</v>
      </c>
      <c r="T7" s="86">
        <f t="shared" si="0"/>
        <v>0</v>
      </c>
      <c r="U7" s="86">
        <f t="shared" si="0"/>
        <v>0</v>
      </c>
      <c r="V7" s="86">
        <f t="shared" si="0"/>
        <v>0</v>
      </c>
      <c r="W7" s="86">
        <f t="shared" si="0"/>
        <v>0</v>
      </c>
      <c r="X7" s="23"/>
      <c r="Y7" s="23"/>
      <c r="Z7" s="23"/>
    </row>
    <row r="8" spans="1:26" ht="16.5" customHeight="1">
      <c r="A8" s="27" t="s">
        <v>60</v>
      </c>
      <c r="B8" s="23"/>
      <c r="C8" s="23" t="s">
        <v>58</v>
      </c>
      <c r="D8" s="28" t="s">
        <v>61</v>
      </c>
      <c r="E8" s="23"/>
      <c r="F8" s="47"/>
      <c r="G8" s="23"/>
      <c r="H8" s="23"/>
      <c r="I8" s="23"/>
      <c r="J8" s="23"/>
      <c r="K8" s="23"/>
      <c r="L8" s="23"/>
      <c r="M8" s="86">
        <f>M46</f>
        <v>108</v>
      </c>
      <c r="N8" s="86">
        <f t="shared" ref="N8:W8" si="1">N46</f>
        <v>106</v>
      </c>
      <c r="O8" s="86">
        <f t="shared" si="1"/>
        <v>0</v>
      </c>
      <c r="P8" s="86">
        <f t="shared" si="1"/>
        <v>0</v>
      </c>
      <c r="Q8" s="86">
        <f t="shared" si="1"/>
        <v>0</v>
      </c>
      <c r="R8" s="86">
        <f t="shared" si="1"/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23"/>
      <c r="Y8" s="23"/>
      <c r="Z8" s="23"/>
    </row>
    <row r="9" spans="1:26" ht="16.5" customHeight="1">
      <c r="A9" s="29" t="s">
        <v>62</v>
      </c>
      <c r="B9" s="23" t="s">
        <v>63</v>
      </c>
      <c r="C9" s="23"/>
      <c r="D9" s="28" t="s">
        <v>61</v>
      </c>
      <c r="E9" s="23"/>
      <c r="F9" s="47"/>
      <c r="G9" s="23"/>
      <c r="H9" s="23"/>
      <c r="I9" s="23"/>
      <c r="J9" s="23"/>
      <c r="K9" s="23"/>
      <c r="L9" s="23"/>
      <c r="M9" s="87">
        <f>M47</f>
        <v>0.91600000000000004</v>
      </c>
      <c r="N9" s="87">
        <f t="shared" ref="N9:W9" si="2">N47</f>
        <v>0.92</v>
      </c>
      <c r="O9" s="87">
        <f t="shared" si="2"/>
        <v>0</v>
      </c>
      <c r="P9" s="87">
        <f t="shared" si="2"/>
        <v>0</v>
      </c>
      <c r="Q9" s="87">
        <f t="shared" si="2"/>
        <v>0</v>
      </c>
      <c r="R9" s="87">
        <f t="shared" si="2"/>
        <v>0</v>
      </c>
      <c r="S9" s="87">
        <f t="shared" si="2"/>
        <v>0</v>
      </c>
      <c r="T9" s="87">
        <f t="shared" si="2"/>
        <v>0</v>
      </c>
      <c r="U9" s="87">
        <f t="shared" si="2"/>
        <v>0</v>
      </c>
      <c r="V9" s="87">
        <f t="shared" si="2"/>
        <v>0</v>
      </c>
      <c r="W9" s="87">
        <f t="shared" si="2"/>
        <v>0</v>
      </c>
      <c r="X9" s="23">
        <v>0</v>
      </c>
      <c r="Y9" s="23"/>
      <c r="Z9" s="23" t="s">
        <v>68</v>
      </c>
    </row>
    <row r="10" spans="1:26" ht="16.5" customHeight="1">
      <c r="A10" s="29" t="s">
        <v>64</v>
      </c>
      <c r="B10" s="23"/>
      <c r="C10" s="23"/>
      <c r="D10" s="28" t="s">
        <v>61</v>
      </c>
      <c r="E10" s="23"/>
      <c r="F10" s="47"/>
      <c r="G10" s="23"/>
      <c r="H10" s="23"/>
      <c r="I10" s="23"/>
      <c r="J10" s="23"/>
      <c r="K10" s="23"/>
      <c r="L10" s="23"/>
      <c r="M10" s="87">
        <f>M48</f>
        <v>0.93799999999999994</v>
      </c>
      <c r="N10" s="87">
        <f t="shared" ref="N10:W10" si="3">N48</f>
        <v>0.93500000000000005</v>
      </c>
      <c r="O10" s="87">
        <f t="shared" si="3"/>
        <v>0</v>
      </c>
      <c r="P10" s="87">
        <f t="shared" si="3"/>
        <v>0</v>
      </c>
      <c r="Q10" s="87">
        <f t="shared" si="3"/>
        <v>0</v>
      </c>
      <c r="R10" s="87">
        <f t="shared" si="3"/>
        <v>0</v>
      </c>
      <c r="S10" s="87">
        <f t="shared" si="3"/>
        <v>0</v>
      </c>
      <c r="T10" s="87">
        <f t="shared" si="3"/>
        <v>0</v>
      </c>
      <c r="U10" s="87">
        <f t="shared" si="3"/>
        <v>0</v>
      </c>
      <c r="V10" s="87">
        <f t="shared" si="3"/>
        <v>0</v>
      </c>
      <c r="W10" s="87">
        <f t="shared" si="3"/>
        <v>0</v>
      </c>
      <c r="X10" s="23"/>
      <c r="Y10" s="23"/>
      <c r="Z10" s="23"/>
    </row>
    <row r="11" spans="1:26" s="12" customFormat="1" ht="16.5" customHeight="1">
      <c r="A11" s="27" t="s">
        <v>65</v>
      </c>
      <c r="B11" s="23" t="s">
        <v>66</v>
      </c>
      <c r="C11" s="23" t="s">
        <v>66</v>
      </c>
      <c r="D11" s="30" t="s">
        <v>59</v>
      </c>
      <c r="E11" s="23"/>
      <c r="F11" s="47"/>
      <c r="G11" s="23"/>
      <c r="H11" s="23"/>
      <c r="I11" s="23"/>
      <c r="J11" s="23"/>
      <c r="K11" s="23"/>
      <c r="L11" s="23"/>
      <c r="M11" s="88">
        <f>M7*M$4</f>
        <v>129.6</v>
      </c>
      <c r="N11" s="86">
        <f t="shared" ref="N11:W11" si="4">N7*N$4*N9</f>
        <v>238.464</v>
      </c>
      <c r="O11" s="86">
        <f t="shared" si="4"/>
        <v>0</v>
      </c>
      <c r="P11" s="86">
        <f t="shared" si="4"/>
        <v>0</v>
      </c>
      <c r="Q11" s="86">
        <f t="shared" si="4"/>
        <v>0</v>
      </c>
      <c r="R11" s="86">
        <f t="shared" si="4"/>
        <v>0</v>
      </c>
      <c r="S11" s="86">
        <f t="shared" si="4"/>
        <v>0</v>
      </c>
      <c r="T11" s="86">
        <f t="shared" si="4"/>
        <v>0</v>
      </c>
      <c r="U11" s="86">
        <f t="shared" si="4"/>
        <v>0</v>
      </c>
      <c r="V11" s="86">
        <f t="shared" si="4"/>
        <v>0</v>
      </c>
      <c r="W11" s="86">
        <f t="shared" si="4"/>
        <v>0</v>
      </c>
      <c r="X11" s="23">
        <v>0</v>
      </c>
      <c r="Y11" s="23"/>
      <c r="Z11" s="23"/>
    </row>
    <row r="12" spans="1:26" ht="16.5" customHeight="1">
      <c r="A12" s="27" t="s">
        <v>67</v>
      </c>
      <c r="B12" s="23" t="s">
        <v>66</v>
      </c>
      <c r="C12" s="23" t="s">
        <v>66</v>
      </c>
      <c r="D12" s="30" t="s">
        <v>61</v>
      </c>
      <c r="E12" s="23"/>
      <c r="F12" s="48"/>
      <c r="G12" s="49"/>
      <c r="H12" s="47"/>
      <c r="I12" s="68"/>
      <c r="J12" s="30"/>
      <c r="K12" s="47"/>
      <c r="L12" s="23"/>
      <c r="M12" s="88">
        <f>M8*M$4*M9*M10</f>
        <v>111.35335679999999</v>
      </c>
      <c r="N12" s="86">
        <f t="shared" ref="N12:U12" si="5">N8*N$4</f>
        <v>127.19999999999999</v>
      </c>
      <c r="O12" s="86">
        <f t="shared" si="5"/>
        <v>0</v>
      </c>
      <c r="P12" s="86">
        <f t="shared" si="5"/>
        <v>0</v>
      </c>
      <c r="Q12" s="86">
        <f t="shared" si="5"/>
        <v>0</v>
      </c>
      <c r="R12" s="86">
        <f t="shared" si="5"/>
        <v>0</v>
      </c>
      <c r="S12" s="86">
        <f t="shared" si="5"/>
        <v>0</v>
      </c>
      <c r="T12" s="86">
        <f t="shared" si="5"/>
        <v>0</v>
      </c>
      <c r="U12" s="86">
        <f t="shared" si="5"/>
        <v>0</v>
      </c>
      <c r="V12" s="86">
        <f>V8*V$4*V9</f>
        <v>0</v>
      </c>
      <c r="W12" s="86">
        <f>W8*W$4</f>
        <v>0</v>
      </c>
      <c r="X12" s="23"/>
      <c r="Y12" s="23"/>
      <c r="Z12" s="23"/>
    </row>
    <row r="13" spans="1:26" ht="16.5" customHeight="1">
      <c r="A13" s="24" t="s">
        <v>69</v>
      </c>
      <c r="B13" s="25"/>
      <c r="C13" s="26"/>
      <c r="D13" s="26"/>
      <c r="E13" s="26"/>
      <c r="F13" s="50"/>
      <c r="G13" s="51"/>
      <c r="H13" s="26"/>
      <c r="I13" s="69"/>
      <c r="J13" s="70"/>
      <c r="K13" s="26"/>
      <c r="L13" s="26"/>
      <c r="M13" s="89"/>
      <c r="N13" s="90"/>
      <c r="O13" s="89"/>
      <c r="P13" s="89"/>
      <c r="Q13" s="89"/>
      <c r="R13" s="89"/>
      <c r="S13" s="89"/>
      <c r="T13" s="102" t="s">
        <v>56</v>
      </c>
      <c r="U13" s="90"/>
      <c r="V13" s="90"/>
      <c r="W13" s="90"/>
      <c r="X13" s="23">
        <v>0</v>
      </c>
      <c r="Y13" s="23" t="s">
        <v>50</v>
      </c>
      <c r="Z13" s="23"/>
    </row>
    <row r="14" spans="1:26" ht="16.5" customHeight="1">
      <c r="A14" s="22" t="s">
        <v>70</v>
      </c>
      <c r="B14" s="23" t="s">
        <v>71</v>
      </c>
      <c r="C14" s="23" t="s">
        <v>72</v>
      </c>
      <c r="D14" s="23" t="s">
        <v>61</v>
      </c>
      <c r="E14" s="23"/>
      <c r="F14" s="47"/>
      <c r="G14" s="23"/>
      <c r="H14" s="23"/>
      <c r="I14" s="23"/>
      <c r="J14" s="23"/>
      <c r="K14" s="23"/>
      <c r="L14" s="23"/>
      <c r="M14" s="86">
        <f>M50</f>
        <v>168</v>
      </c>
      <c r="N14" s="86">
        <f t="shared" ref="N14:W14" si="6">N50</f>
        <v>165</v>
      </c>
      <c r="O14" s="86">
        <f t="shared" si="6"/>
        <v>0</v>
      </c>
      <c r="P14" s="86">
        <f t="shared" si="6"/>
        <v>0</v>
      </c>
      <c r="Q14" s="86">
        <f t="shared" si="6"/>
        <v>0</v>
      </c>
      <c r="R14" s="86">
        <f t="shared" si="6"/>
        <v>0</v>
      </c>
      <c r="S14" s="86">
        <f t="shared" si="6"/>
        <v>0</v>
      </c>
      <c r="T14" s="86">
        <f t="shared" si="6"/>
        <v>0</v>
      </c>
      <c r="U14" s="86">
        <f t="shared" si="6"/>
        <v>0</v>
      </c>
      <c r="V14" s="86">
        <f t="shared" si="6"/>
        <v>0</v>
      </c>
      <c r="W14" s="86">
        <f t="shared" si="6"/>
        <v>0</v>
      </c>
      <c r="X14" s="23">
        <v>0</v>
      </c>
      <c r="Y14" s="23"/>
      <c r="Z14" s="23" t="s">
        <v>76</v>
      </c>
    </row>
    <row r="15" spans="1:26" s="13" customFormat="1" ht="16.5" customHeight="1">
      <c r="A15" s="31" t="s">
        <v>73</v>
      </c>
      <c r="B15" s="23"/>
      <c r="C15" s="23" t="s">
        <v>74</v>
      </c>
      <c r="D15" s="23"/>
      <c r="E15" s="23">
        <v>100</v>
      </c>
      <c r="F15" s="52">
        <v>3.6363636363636398</v>
      </c>
      <c r="G15" s="53">
        <v>2.0304568527918798</v>
      </c>
      <c r="H15" s="54">
        <v>1.1173184357541901</v>
      </c>
      <c r="I15" s="71">
        <v>0.65146579804560301</v>
      </c>
      <c r="J15" s="72">
        <v>0.44617958728388202</v>
      </c>
      <c r="K15" s="54">
        <v>0</v>
      </c>
      <c r="L15" s="23"/>
      <c r="M15" s="91">
        <f t="shared" ref="M15:W15" si="7">M12/M14</f>
        <v>0.6628175999999999</v>
      </c>
      <c r="N15" s="91">
        <f t="shared" si="7"/>
        <v>0.77090909090909088</v>
      </c>
      <c r="O15" s="91" t="e">
        <f t="shared" si="7"/>
        <v>#DIV/0!</v>
      </c>
      <c r="P15" s="91" t="e">
        <f t="shared" si="7"/>
        <v>#DIV/0!</v>
      </c>
      <c r="Q15" s="91" t="e">
        <f t="shared" si="7"/>
        <v>#DIV/0!</v>
      </c>
      <c r="R15" s="91" t="e">
        <f t="shared" si="7"/>
        <v>#DIV/0!</v>
      </c>
      <c r="S15" s="91" t="e">
        <f t="shared" si="7"/>
        <v>#DIV/0!</v>
      </c>
      <c r="T15" s="91" t="e">
        <f t="shared" si="7"/>
        <v>#DIV/0!</v>
      </c>
      <c r="U15" s="91" t="e">
        <f t="shared" si="7"/>
        <v>#DIV/0!</v>
      </c>
      <c r="V15" s="91" t="e">
        <f t="shared" si="7"/>
        <v>#DIV/0!</v>
      </c>
      <c r="W15" s="91" t="e">
        <f t="shared" si="7"/>
        <v>#DIV/0!</v>
      </c>
      <c r="X15" s="23">
        <v>0</v>
      </c>
      <c r="Y15" s="23" t="s">
        <v>75</v>
      </c>
      <c r="Z15" s="23"/>
    </row>
    <row r="16" spans="1:26" ht="16.5" customHeight="1">
      <c r="A16" s="24" t="s">
        <v>77</v>
      </c>
      <c r="B16" s="25"/>
      <c r="C16" s="26"/>
      <c r="D16" s="26"/>
      <c r="E16" s="26"/>
      <c r="F16" s="50"/>
      <c r="G16" s="51"/>
      <c r="H16" s="26"/>
      <c r="I16" s="69"/>
      <c r="J16" s="70"/>
      <c r="K16" s="26"/>
      <c r="L16" s="70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23">
        <v>0</v>
      </c>
      <c r="Y16" s="23" t="s">
        <v>50</v>
      </c>
      <c r="Z16" s="23"/>
    </row>
    <row r="17" spans="1:26" s="12" customFormat="1" ht="16.5" customHeight="1">
      <c r="A17" s="22" t="s">
        <v>78</v>
      </c>
      <c r="B17" s="23"/>
      <c r="C17" s="23" t="s">
        <v>79</v>
      </c>
      <c r="D17" s="23" t="s">
        <v>59</v>
      </c>
      <c r="E17" s="23"/>
      <c r="F17" s="47"/>
      <c r="G17" s="23"/>
      <c r="H17" s="23"/>
      <c r="I17" s="23"/>
      <c r="J17" s="23"/>
      <c r="K17" s="23"/>
      <c r="L17" s="23"/>
      <c r="M17" s="86">
        <f>M52</f>
        <v>7645</v>
      </c>
      <c r="N17" s="86">
        <f t="shared" ref="N17:W17" si="8">N52</f>
        <v>23891</v>
      </c>
      <c r="O17" s="86">
        <f t="shared" si="8"/>
        <v>0</v>
      </c>
      <c r="P17" s="86">
        <f t="shared" si="8"/>
        <v>0</v>
      </c>
      <c r="Q17" s="86">
        <f t="shared" si="8"/>
        <v>0</v>
      </c>
      <c r="R17" s="86">
        <f t="shared" si="8"/>
        <v>0</v>
      </c>
      <c r="S17" s="86">
        <f t="shared" si="8"/>
        <v>0</v>
      </c>
      <c r="T17" s="86">
        <f t="shared" si="8"/>
        <v>0</v>
      </c>
      <c r="U17" s="86">
        <f t="shared" si="8"/>
        <v>0</v>
      </c>
      <c r="V17" s="86">
        <f t="shared" si="8"/>
        <v>0</v>
      </c>
      <c r="W17" s="86">
        <f t="shared" si="8"/>
        <v>0</v>
      </c>
      <c r="X17" s="23">
        <v>0</v>
      </c>
      <c r="Y17" s="23"/>
      <c r="Z17" s="23"/>
    </row>
    <row r="18" spans="1:26" ht="16.5" customHeight="1">
      <c r="A18" s="22" t="s">
        <v>81</v>
      </c>
      <c r="B18" s="23"/>
      <c r="C18" s="23" t="s">
        <v>79</v>
      </c>
      <c r="D18" s="23" t="s">
        <v>61</v>
      </c>
      <c r="E18" s="23"/>
      <c r="F18" s="47"/>
      <c r="G18" s="23"/>
      <c r="H18" s="23"/>
      <c r="I18" s="23"/>
      <c r="J18" s="23"/>
      <c r="K18" s="23"/>
      <c r="L18" s="23"/>
      <c r="M18" s="86">
        <f>M53</f>
        <v>7645</v>
      </c>
      <c r="N18" s="86">
        <f t="shared" ref="N18:W18" si="9">N53</f>
        <v>7652</v>
      </c>
      <c r="O18" s="86">
        <f t="shared" si="9"/>
        <v>0</v>
      </c>
      <c r="P18" s="86">
        <f t="shared" si="9"/>
        <v>0</v>
      </c>
      <c r="Q18" s="86">
        <f t="shared" si="9"/>
        <v>0</v>
      </c>
      <c r="R18" s="86">
        <f t="shared" si="9"/>
        <v>0</v>
      </c>
      <c r="S18" s="86">
        <f t="shared" si="9"/>
        <v>0</v>
      </c>
      <c r="T18" s="86">
        <f t="shared" si="9"/>
        <v>0</v>
      </c>
      <c r="U18" s="86">
        <f t="shared" si="9"/>
        <v>0</v>
      </c>
      <c r="V18" s="86">
        <f t="shared" si="9"/>
        <v>0</v>
      </c>
      <c r="W18" s="86">
        <f t="shared" si="9"/>
        <v>0</v>
      </c>
      <c r="X18" s="23"/>
      <c r="Y18" s="23"/>
      <c r="Z18" s="23"/>
    </row>
    <row r="19" spans="1:26" ht="16.5" customHeight="1">
      <c r="A19" s="22" t="s">
        <v>82</v>
      </c>
      <c r="B19" s="23"/>
      <c r="C19" s="23"/>
      <c r="D19" s="23" t="s">
        <v>59</v>
      </c>
      <c r="E19" s="23"/>
      <c r="F19" s="47"/>
      <c r="G19" s="23"/>
      <c r="H19" s="23"/>
      <c r="I19" s="23"/>
      <c r="J19" s="23"/>
      <c r="K19" s="23"/>
      <c r="L19" s="23"/>
      <c r="M19" s="86">
        <f t="shared" ref="M19:W19" si="10">M54</f>
        <v>4501</v>
      </c>
      <c r="N19" s="86">
        <f t="shared" si="10"/>
        <v>7000</v>
      </c>
      <c r="O19" s="86">
        <f t="shared" si="10"/>
        <v>0</v>
      </c>
      <c r="P19" s="86">
        <f t="shared" si="10"/>
        <v>0</v>
      </c>
      <c r="Q19" s="86">
        <f t="shared" si="10"/>
        <v>0</v>
      </c>
      <c r="R19" s="86">
        <f t="shared" si="10"/>
        <v>0</v>
      </c>
      <c r="S19" s="86">
        <f t="shared" si="10"/>
        <v>0</v>
      </c>
      <c r="T19" s="86">
        <f t="shared" si="10"/>
        <v>0</v>
      </c>
      <c r="U19" s="86">
        <f t="shared" si="10"/>
        <v>0</v>
      </c>
      <c r="V19" s="86">
        <f t="shared" si="10"/>
        <v>0</v>
      </c>
      <c r="W19" s="86">
        <f t="shared" si="10"/>
        <v>0</v>
      </c>
      <c r="X19" s="23"/>
      <c r="Y19" s="23"/>
      <c r="Z19" s="23"/>
    </row>
    <row r="20" spans="1:26" ht="16.5" customHeight="1">
      <c r="A20" s="22" t="s">
        <v>83</v>
      </c>
      <c r="B20" s="23"/>
      <c r="C20" s="23"/>
      <c r="D20" s="23" t="s">
        <v>61</v>
      </c>
      <c r="E20" s="23"/>
      <c r="F20" s="47"/>
      <c r="G20" s="23"/>
      <c r="H20" s="23"/>
      <c r="I20" s="23"/>
      <c r="J20" s="23"/>
      <c r="K20" s="23"/>
      <c r="L20" s="23"/>
      <c r="M20" s="86">
        <f t="shared" ref="M20:W20" si="11">M55</f>
        <v>4501</v>
      </c>
      <c r="N20" s="86">
        <f t="shared" si="11"/>
        <v>3510</v>
      </c>
      <c r="O20" s="86">
        <f t="shared" si="11"/>
        <v>0</v>
      </c>
      <c r="P20" s="86">
        <f t="shared" si="11"/>
        <v>0</v>
      </c>
      <c r="Q20" s="86">
        <f t="shared" si="11"/>
        <v>0</v>
      </c>
      <c r="R20" s="86">
        <f t="shared" si="11"/>
        <v>0</v>
      </c>
      <c r="S20" s="86">
        <f t="shared" si="11"/>
        <v>0</v>
      </c>
      <c r="T20" s="86">
        <f t="shared" si="11"/>
        <v>0</v>
      </c>
      <c r="U20" s="86">
        <f t="shared" si="11"/>
        <v>0</v>
      </c>
      <c r="V20" s="86">
        <f t="shared" si="11"/>
        <v>0</v>
      </c>
      <c r="W20" s="86">
        <f t="shared" si="11"/>
        <v>0</v>
      </c>
      <c r="X20" s="23"/>
      <c r="Y20" s="23"/>
      <c r="Z20" s="23"/>
    </row>
    <row r="21" spans="1:26" ht="16.5" customHeight="1">
      <c r="A21" s="27" t="s">
        <v>199</v>
      </c>
      <c r="B21" s="23"/>
      <c r="C21" s="32" t="s">
        <v>85</v>
      </c>
      <c r="D21" s="32" t="s">
        <v>61</v>
      </c>
      <c r="E21" s="23"/>
      <c r="F21" s="47"/>
      <c r="G21" s="23"/>
      <c r="H21" s="23"/>
      <c r="I21" s="23"/>
      <c r="J21" s="23"/>
      <c r="K21" s="23"/>
      <c r="L21" s="23"/>
      <c r="M21" s="92">
        <f>(M18+M20)/M14</f>
        <v>72.297619047619051</v>
      </c>
      <c r="N21" s="92">
        <f t="shared" ref="N21:W21" si="12">(N18+N20)/N14</f>
        <v>67.648484848484856</v>
      </c>
      <c r="O21" s="92" t="e">
        <f t="shared" si="12"/>
        <v>#DIV/0!</v>
      </c>
      <c r="P21" s="92" t="e">
        <f t="shared" si="12"/>
        <v>#DIV/0!</v>
      </c>
      <c r="Q21" s="92" t="e">
        <f t="shared" si="12"/>
        <v>#DIV/0!</v>
      </c>
      <c r="R21" s="92" t="e">
        <f t="shared" si="12"/>
        <v>#DIV/0!</v>
      </c>
      <c r="S21" s="92" t="e">
        <f t="shared" si="12"/>
        <v>#DIV/0!</v>
      </c>
      <c r="T21" s="92" t="e">
        <f t="shared" si="12"/>
        <v>#DIV/0!</v>
      </c>
      <c r="U21" s="92" t="e">
        <f t="shared" si="12"/>
        <v>#DIV/0!</v>
      </c>
      <c r="V21" s="92" t="e">
        <f t="shared" si="12"/>
        <v>#DIV/0!</v>
      </c>
      <c r="W21" s="92" t="e">
        <f t="shared" si="12"/>
        <v>#DIV/0!</v>
      </c>
      <c r="X21" s="23"/>
      <c r="Y21" s="23"/>
      <c r="Z21" s="23"/>
    </row>
    <row r="22" spans="1:26" s="13" customFormat="1" ht="16.5" customHeight="1">
      <c r="A22" s="31" t="s">
        <v>86</v>
      </c>
      <c r="B22" s="23"/>
      <c r="C22" s="23" t="s">
        <v>87</v>
      </c>
      <c r="D22" s="23" t="s">
        <v>59</v>
      </c>
      <c r="E22" s="23">
        <v>0</v>
      </c>
      <c r="F22" s="55">
        <v>14</v>
      </c>
      <c r="G22" s="56">
        <v>20.5</v>
      </c>
      <c r="H22" s="57">
        <v>27</v>
      </c>
      <c r="I22" s="73">
        <v>53</v>
      </c>
      <c r="J22" s="74">
        <v>134</v>
      </c>
      <c r="K22" s="57">
        <v>10000</v>
      </c>
      <c r="L22" s="23"/>
      <c r="M22" s="91">
        <f t="shared" ref="M22:W22" si="13">M17/M11</f>
        <v>58.989197530864203</v>
      </c>
      <c r="N22" s="91">
        <f t="shared" si="13"/>
        <v>100.18703032742889</v>
      </c>
      <c r="O22" s="91" t="e">
        <f t="shared" si="13"/>
        <v>#DIV/0!</v>
      </c>
      <c r="P22" s="91" t="e">
        <f t="shared" si="13"/>
        <v>#DIV/0!</v>
      </c>
      <c r="Q22" s="91" t="e">
        <f t="shared" si="13"/>
        <v>#DIV/0!</v>
      </c>
      <c r="R22" s="91" t="e">
        <f t="shared" si="13"/>
        <v>#DIV/0!</v>
      </c>
      <c r="S22" s="91" t="e">
        <f t="shared" si="13"/>
        <v>#DIV/0!</v>
      </c>
      <c r="T22" s="91" t="e">
        <f t="shared" si="13"/>
        <v>#DIV/0!</v>
      </c>
      <c r="U22" s="91" t="e">
        <f t="shared" si="13"/>
        <v>#DIV/0!</v>
      </c>
      <c r="V22" s="91" t="e">
        <f t="shared" si="13"/>
        <v>#DIV/0!</v>
      </c>
      <c r="W22" s="91" t="e">
        <f t="shared" si="13"/>
        <v>#DIV/0!</v>
      </c>
      <c r="X22" s="23">
        <v>0</v>
      </c>
      <c r="Y22" s="23" t="s">
        <v>75</v>
      </c>
      <c r="Z22" s="23"/>
    </row>
    <row r="23" spans="1:26" ht="16.5" customHeight="1">
      <c r="A23" s="31" t="s">
        <v>88</v>
      </c>
      <c r="B23" s="23"/>
      <c r="C23" s="23"/>
      <c r="D23" s="23" t="s">
        <v>59</v>
      </c>
      <c r="E23" s="23"/>
      <c r="F23" s="55"/>
      <c r="G23" s="56"/>
      <c r="H23" s="57"/>
      <c r="I23" s="73"/>
      <c r="J23" s="74"/>
      <c r="K23" s="57"/>
      <c r="L23" s="23"/>
      <c r="M23" s="91">
        <f>M19/M11</f>
        <v>34.729938271604937</v>
      </c>
      <c r="N23" s="91">
        <f t="shared" ref="N23:W23" si="14">N19/N11</f>
        <v>29.354535695115406</v>
      </c>
      <c r="O23" s="91" t="e">
        <f t="shared" si="14"/>
        <v>#DIV/0!</v>
      </c>
      <c r="P23" s="91" t="e">
        <f t="shared" si="14"/>
        <v>#DIV/0!</v>
      </c>
      <c r="Q23" s="91" t="e">
        <f t="shared" si="14"/>
        <v>#DIV/0!</v>
      </c>
      <c r="R23" s="91" t="e">
        <f t="shared" si="14"/>
        <v>#DIV/0!</v>
      </c>
      <c r="S23" s="91" t="e">
        <f t="shared" si="14"/>
        <v>#DIV/0!</v>
      </c>
      <c r="T23" s="91" t="e">
        <f t="shared" si="14"/>
        <v>#DIV/0!</v>
      </c>
      <c r="U23" s="91" t="e">
        <f t="shared" si="14"/>
        <v>#DIV/0!</v>
      </c>
      <c r="V23" s="91" t="e">
        <f t="shared" si="14"/>
        <v>#DIV/0!</v>
      </c>
      <c r="W23" s="91" t="e">
        <f t="shared" si="14"/>
        <v>#DIV/0!</v>
      </c>
      <c r="X23" s="23"/>
      <c r="Y23" s="23"/>
      <c r="Z23" s="23"/>
    </row>
    <row r="24" spans="1:26" ht="16.5" customHeight="1">
      <c r="A24" s="24" t="s">
        <v>89</v>
      </c>
      <c r="B24" s="25"/>
      <c r="C24" s="26"/>
      <c r="D24" s="26"/>
      <c r="E24" s="26"/>
      <c r="F24" s="50"/>
      <c r="G24" s="51"/>
      <c r="H24" s="26"/>
      <c r="I24" s="69"/>
      <c r="J24" s="70"/>
      <c r="K24" s="26"/>
      <c r="L24" s="26"/>
      <c r="M24" s="89"/>
      <c r="N24" s="90"/>
      <c r="O24" s="89"/>
      <c r="P24" s="89"/>
      <c r="Q24" s="89"/>
      <c r="R24" s="89"/>
      <c r="S24" s="89"/>
      <c r="T24" s="91"/>
      <c r="U24" s="90"/>
      <c r="V24" s="90"/>
      <c r="W24" s="90"/>
      <c r="X24" s="23">
        <v>0</v>
      </c>
      <c r="Y24" s="23" t="s">
        <v>50</v>
      </c>
      <c r="Z24" s="23"/>
    </row>
    <row r="25" spans="1:26" s="14" customFormat="1" ht="16.5" customHeight="1">
      <c r="A25" s="33" t="s">
        <v>90</v>
      </c>
      <c r="B25" s="34"/>
      <c r="C25" s="34" t="s">
        <v>91</v>
      </c>
      <c r="D25" s="34" t="s">
        <v>61</v>
      </c>
      <c r="E25" s="34"/>
      <c r="F25" s="58"/>
      <c r="G25" s="34"/>
      <c r="H25" s="34"/>
      <c r="I25" s="34"/>
      <c r="J25" s="34"/>
      <c r="K25" s="34"/>
      <c r="L25" s="34"/>
      <c r="M25" s="86">
        <f t="shared" ref="M25:W25" si="15">M30+M34</f>
        <v>85</v>
      </c>
      <c r="N25" s="86">
        <f t="shared" si="15"/>
        <v>100</v>
      </c>
      <c r="O25" s="86">
        <f t="shared" si="15"/>
        <v>0</v>
      </c>
      <c r="P25" s="86">
        <f t="shared" si="15"/>
        <v>0</v>
      </c>
      <c r="Q25" s="86">
        <f t="shared" si="15"/>
        <v>0</v>
      </c>
      <c r="R25" s="86">
        <f t="shared" si="15"/>
        <v>0</v>
      </c>
      <c r="S25" s="86">
        <f t="shared" si="15"/>
        <v>0</v>
      </c>
      <c r="T25" s="86">
        <f t="shared" si="15"/>
        <v>0</v>
      </c>
      <c r="U25" s="86">
        <f t="shared" si="15"/>
        <v>0</v>
      </c>
      <c r="V25" s="86">
        <f t="shared" si="15"/>
        <v>0</v>
      </c>
      <c r="W25" s="86">
        <f t="shared" si="15"/>
        <v>0</v>
      </c>
      <c r="X25" s="34">
        <v>0</v>
      </c>
      <c r="Y25" s="34"/>
      <c r="Z25" s="34"/>
    </row>
    <row r="26" spans="1:26" ht="16.5" customHeight="1">
      <c r="A26" s="31" t="s">
        <v>92</v>
      </c>
      <c r="B26" s="23"/>
      <c r="C26" s="23" t="s">
        <v>93</v>
      </c>
      <c r="D26" s="30" t="s">
        <v>61</v>
      </c>
      <c r="E26" s="23">
        <v>100</v>
      </c>
      <c r="F26" s="55">
        <v>2</v>
      </c>
      <c r="G26" s="56">
        <v>1.5</v>
      </c>
      <c r="H26" s="57">
        <v>1.2</v>
      </c>
      <c r="I26" s="73">
        <v>0.8</v>
      </c>
      <c r="J26" s="74">
        <v>0.1</v>
      </c>
      <c r="K26" s="57">
        <v>0</v>
      </c>
      <c r="L26" s="75"/>
      <c r="M26" s="91">
        <f t="shared" ref="M26:W26" si="16">M25/M12</f>
        <v>0.76333576681183635</v>
      </c>
      <c r="N26" s="91">
        <f t="shared" si="16"/>
        <v>0.78616352201257866</v>
      </c>
      <c r="O26" s="91" t="e">
        <f t="shared" si="16"/>
        <v>#DIV/0!</v>
      </c>
      <c r="P26" s="91" t="e">
        <f t="shared" si="16"/>
        <v>#DIV/0!</v>
      </c>
      <c r="Q26" s="91" t="e">
        <f t="shared" si="16"/>
        <v>#DIV/0!</v>
      </c>
      <c r="R26" s="91" t="e">
        <f t="shared" si="16"/>
        <v>#DIV/0!</v>
      </c>
      <c r="S26" s="91" t="e">
        <f t="shared" si="16"/>
        <v>#DIV/0!</v>
      </c>
      <c r="T26" s="91" t="e">
        <f t="shared" si="16"/>
        <v>#DIV/0!</v>
      </c>
      <c r="U26" s="91" t="e">
        <f t="shared" si="16"/>
        <v>#DIV/0!</v>
      </c>
      <c r="V26" s="91" t="e">
        <f t="shared" si="16"/>
        <v>#DIV/0!</v>
      </c>
      <c r="W26" s="91" t="e">
        <f t="shared" si="16"/>
        <v>#DIV/0!</v>
      </c>
      <c r="X26" s="23">
        <v>0</v>
      </c>
      <c r="Y26" s="23" t="s">
        <v>75</v>
      </c>
      <c r="Z26" s="23"/>
    </row>
    <row r="27" spans="1:26" ht="16.5" customHeight="1">
      <c r="A27" s="22" t="s">
        <v>94</v>
      </c>
      <c r="B27" s="23"/>
      <c r="C27" s="23" t="s">
        <v>95</v>
      </c>
      <c r="D27" s="23" t="s">
        <v>61</v>
      </c>
      <c r="E27" s="23"/>
      <c r="F27" s="47"/>
      <c r="G27" s="23"/>
      <c r="H27" s="23"/>
      <c r="I27" s="23"/>
      <c r="J27" s="23"/>
      <c r="K27" s="23"/>
      <c r="L27" s="23"/>
      <c r="M27" s="86">
        <f t="shared" ref="M27:W27" si="17">M31+M35</f>
        <v>12</v>
      </c>
      <c r="N27" s="86">
        <f t="shared" si="17"/>
        <v>12</v>
      </c>
      <c r="O27" s="86">
        <f t="shared" si="17"/>
        <v>0</v>
      </c>
      <c r="P27" s="86">
        <f t="shared" si="17"/>
        <v>0</v>
      </c>
      <c r="Q27" s="86">
        <f t="shared" si="17"/>
        <v>0</v>
      </c>
      <c r="R27" s="86">
        <f t="shared" si="17"/>
        <v>0</v>
      </c>
      <c r="S27" s="86">
        <f t="shared" si="17"/>
        <v>0</v>
      </c>
      <c r="T27" s="86">
        <f t="shared" si="17"/>
        <v>0</v>
      </c>
      <c r="U27" s="86">
        <f t="shared" si="17"/>
        <v>0</v>
      </c>
      <c r="V27" s="86">
        <f t="shared" si="17"/>
        <v>0</v>
      </c>
      <c r="W27" s="86">
        <f t="shared" si="17"/>
        <v>0</v>
      </c>
      <c r="X27" s="23">
        <v>0</v>
      </c>
      <c r="Y27" s="23"/>
      <c r="Z27" s="23"/>
    </row>
    <row r="28" spans="1:26" s="15" customFormat="1" ht="16.5" customHeight="1">
      <c r="A28" s="35" t="s">
        <v>96</v>
      </c>
      <c r="B28" s="36"/>
      <c r="C28" s="36" t="s">
        <v>97</v>
      </c>
      <c r="D28" s="36"/>
      <c r="E28" s="36">
        <v>1</v>
      </c>
      <c r="F28" s="59">
        <v>0.98</v>
      </c>
      <c r="G28" s="60">
        <v>0.95</v>
      </c>
      <c r="H28" s="61">
        <v>0.9</v>
      </c>
      <c r="I28" s="76">
        <v>0.5</v>
      </c>
      <c r="J28" s="77">
        <v>0.1</v>
      </c>
      <c r="K28" s="61">
        <v>0</v>
      </c>
      <c r="L28" s="78"/>
      <c r="M28" s="93">
        <f t="shared" ref="M28:W28" si="18">M34/M25</f>
        <v>0</v>
      </c>
      <c r="N28" s="93">
        <f t="shared" si="18"/>
        <v>0.25</v>
      </c>
      <c r="O28" s="93" t="e">
        <f t="shared" si="18"/>
        <v>#DIV/0!</v>
      </c>
      <c r="P28" s="93" t="e">
        <f t="shared" si="18"/>
        <v>#DIV/0!</v>
      </c>
      <c r="Q28" s="93" t="e">
        <f t="shared" si="18"/>
        <v>#DIV/0!</v>
      </c>
      <c r="R28" s="93" t="e">
        <f t="shared" si="18"/>
        <v>#DIV/0!</v>
      </c>
      <c r="S28" s="93" t="e">
        <f t="shared" si="18"/>
        <v>#DIV/0!</v>
      </c>
      <c r="T28" s="93" t="e">
        <f t="shared" si="18"/>
        <v>#DIV/0!</v>
      </c>
      <c r="U28" s="93" t="e">
        <f t="shared" si="18"/>
        <v>#DIV/0!</v>
      </c>
      <c r="V28" s="93" t="e">
        <f t="shared" si="18"/>
        <v>#DIV/0!</v>
      </c>
      <c r="W28" s="93" t="e">
        <f t="shared" si="18"/>
        <v>#DIV/0!</v>
      </c>
      <c r="X28" s="36">
        <v>0</v>
      </c>
      <c r="Y28" s="36" t="s">
        <v>75</v>
      </c>
      <c r="Z28" s="36"/>
    </row>
    <row r="29" spans="1:26" ht="16.5" customHeight="1">
      <c r="A29" s="37" t="s">
        <v>98</v>
      </c>
      <c r="B29" s="38"/>
      <c r="C29" s="23"/>
      <c r="D29" s="23"/>
      <c r="E29" s="23"/>
      <c r="F29" s="47"/>
      <c r="G29" s="23"/>
      <c r="H29" s="23"/>
      <c r="I29" s="23"/>
      <c r="J29" s="23"/>
      <c r="K29" s="23"/>
      <c r="L29" s="23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23">
        <v>0</v>
      </c>
      <c r="Y29" s="23"/>
      <c r="Z29" s="23"/>
    </row>
    <row r="30" spans="1:26" s="12" customFormat="1" ht="16.5" customHeight="1">
      <c r="A30" s="22" t="s">
        <v>99</v>
      </c>
      <c r="B30" s="23"/>
      <c r="C30" s="23" t="s">
        <v>100</v>
      </c>
      <c r="D30" s="23" t="s">
        <v>61</v>
      </c>
      <c r="E30" s="23"/>
      <c r="F30" s="47"/>
      <c r="G30" s="23"/>
      <c r="H30" s="23"/>
      <c r="I30" s="23"/>
      <c r="J30" s="23"/>
      <c r="K30" s="23"/>
      <c r="L30" s="23"/>
      <c r="M30" s="86">
        <f>M57</f>
        <v>85</v>
      </c>
      <c r="N30" s="86">
        <f t="shared" ref="N30:W30" si="19">N57</f>
        <v>75</v>
      </c>
      <c r="O30" s="86">
        <f t="shared" si="19"/>
        <v>0</v>
      </c>
      <c r="P30" s="86">
        <f t="shared" si="19"/>
        <v>0</v>
      </c>
      <c r="Q30" s="86">
        <f t="shared" si="19"/>
        <v>0</v>
      </c>
      <c r="R30" s="86">
        <f t="shared" si="19"/>
        <v>0</v>
      </c>
      <c r="S30" s="86">
        <f t="shared" si="19"/>
        <v>0</v>
      </c>
      <c r="T30" s="86">
        <f t="shared" si="19"/>
        <v>0</v>
      </c>
      <c r="U30" s="86">
        <f t="shared" si="19"/>
        <v>0</v>
      </c>
      <c r="V30" s="86">
        <f t="shared" si="19"/>
        <v>0</v>
      </c>
      <c r="W30" s="86">
        <f t="shared" si="19"/>
        <v>0</v>
      </c>
      <c r="X30" s="23">
        <v>0</v>
      </c>
      <c r="Y30" s="23"/>
      <c r="Z30" s="23"/>
    </row>
    <row r="31" spans="1:26" ht="16.5" customHeight="1">
      <c r="A31" s="22" t="s">
        <v>101</v>
      </c>
      <c r="B31" s="23"/>
      <c r="C31" s="23" t="s">
        <v>102</v>
      </c>
      <c r="D31" s="23" t="s">
        <v>61</v>
      </c>
      <c r="E31" s="23"/>
      <c r="F31" s="47"/>
      <c r="G31" s="23"/>
      <c r="H31" s="23"/>
      <c r="I31" s="23"/>
      <c r="J31" s="23"/>
      <c r="K31" s="23"/>
      <c r="L31" s="23"/>
      <c r="M31" s="86">
        <f>M58</f>
        <v>12</v>
      </c>
      <c r="N31" s="86">
        <f t="shared" ref="N31:W31" si="20">N58</f>
        <v>10</v>
      </c>
      <c r="O31" s="86">
        <f t="shared" si="20"/>
        <v>0</v>
      </c>
      <c r="P31" s="86">
        <f t="shared" si="20"/>
        <v>0</v>
      </c>
      <c r="Q31" s="86">
        <f t="shared" si="20"/>
        <v>0</v>
      </c>
      <c r="R31" s="86">
        <f t="shared" si="20"/>
        <v>0</v>
      </c>
      <c r="S31" s="86">
        <f t="shared" si="20"/>
        <v>0</v>
      </c>
      <c r="T31" s="86">
        <f t="shared" si="20"/>
        <v>0</v>
      </c>
      <c r="U31" s="86">
        <f t="shared" si="20"/>
        <v>0</v>
      </c>
      <c r="V31" s="86">
        <f t="shared" si="20"/>
        <v>0</v>
      </c>
      <c r="W31" s="86">
        <f t="shared" si="20"/>
        <v>0</v>
      </c>
      <c r="X31" s="23">
        <v>0</v>
      </c>
      <c r="Y31" s="23"/>
      <c r="Z31" s="23"/>
    </row>
    <row r="32" spans="1:26" ht="16.5" customHeight="1">
      <c r="A32" s="22" t="s">
        <v>103</v>
      </c>
      <c r="B32" s="23"/>
      <c r="C32" s="23" t="s">
        <v>104</v>
      </c>
      <c r="D32" s="23"/>
      <c r="E32" s="23"/>
      <c r="F32" s="47"/>
      <c r="G32" s="23"/>
      <c r="H32" s="23"/>
      <c r="I32" s="23"/>
      <c r="J32" s="23"/>
      <c r="K32" s="23"/>
      <c r="L32" s="23"/>
      <c r="M32" s="91">
        <f>M30/M31</f>
        <v>7.083333333333333</v>
      </c>
      <c r="N32" s="91">
        <f t="shared" ref="N32:T32" si="21">N30/N31</f>
        <v>7.5</v>
      </c>
      <c r="O32" s="91" t="e">
        <f t="shared" si="21"/>
        <v>#DIV/0!</v>
      </c>
      <c r="P32" s="91" t="e">
        <f t="shared" si="21"/>
        <v>#DIV/0!</v>
      </c>
      <c r="Q32" s="91" t="e">
        <f t="shared" si="21"/>
        <v>#DIV/0!</v>
      </c>
      <c r="R32" s="91" t="e">
        <f t="shared" si="21"/>
        <v>#DIV/0!</v>
      </c>
      <c r="S32" s="91" t="e">
        <f t="shared" si="21"/>
        <v>#DIV/0!</v>
      </c>
      <c r="T32" s="91" t="e">
        <f t="shared" si="21"/>
        <v>#DIV/0!</v>
      </c>
      <c r="U32" s="91" t="e">
        <f>U30/U27</f>
        <v>#DIV/0!</v>
      </c>
      <c r="V32" s="91" t="e">
        <f t="shared" ref="V32:W32" si="22">V30/V31</f>
        <v>#DIV/0!</v>
      </c>
      <c r="W32" s="91" t="e">
        <f t="shared" si="22"/>
        <v>#DIV/0!</v>
      </c>
      <c r="X32" s="23">
        <v>0</v>
      </c>
      <c r="Y32" s="23"/>
      <c r="Z32" s="23"/>
    </row>
    <row r="33" spans="1:26" ht="16.5" customHeight="1">
      <c r="A33" s="37" t="s">
        <v>105</v>
      </c>
      <c r="B33" s="38"/>
      <c r="C33" s="23"/>
      <c r="D33" s="23"/>
      <c r="E33" s="23"/>
      <c r="F33" s="47"/>
      <c r="G33" s="23"/>
      <c r="H33" s="23"/>
      <c r="I33" s="23"/>
      <c r="J33" s="23"/>
      <c r="K33" s="23"/>
      <c r="L33" s="23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23">
        <v>0</v>
      </c>
      <c r="Y33" s="23"/>
      <c r="Z33" s="23"/>
    </row>
    <row r="34" spans="1:26" ht="16.5" customHeight="1">
      <c r="A34" s="22" t="s">
        <v>106</v>
      </c>
      <c r="B34" s="23"/>
      <c r="C34" s="23" t="s">
        <v>107</v>
      </c>
      <c r="D34" s="23" t="s">
        <v>61</v>
      </c>
      <c r="E34" s="23"/>
      <c r="F34" s="47"/>
      <c r="G34" s="23"/>
      <c r="H34" s="23"/>
      <c r="I34" s="23"/>
      <c r="J34" s="23"/>
      <c r="K34" s="23"/>
      <c r="L34" s="23"/>
      <c r="M34" s="86">
        <f>M60</f>
        <v>0</v>
      </c>
      <c r="N34" s="86">
        <f t="shared" ref="N34:W34" si="23">N60</f>
        <v>25</v>
      </c>
      <c r="O34" s="86">
        <f t="shared" si="23"/>
        <v>0</v>
      </c>
      <c r="P34" s="86">
        <f t="shared" si="23"/>
        <v>0</v>
      </c>
      <c r="Q34" s="86">
        <f t="shared" si="23"/>
        <v>0</v>
      </c>
      <c r="R34" s="86">
        <f t="shared" si="23"/>
        <v>0</v>
      </c>
      <c r="S34" s="86">
        <f t="shared" si="23"/>
        <v>0</v>
      </c>
      <c r="T34" s="86">
        <f t="shared" si="23"/>
        <v>0</v>
      </c>
      <c r="U34" s="86">
        <f t="shared" si="23"/>
        <v>0</v>
      </c>
      <c r="V34" s="86">
        <f t="shared" si="23"/>
        <v>0</v>
      </c>
      <c r="W34" s="86">
        <f t="shared" si="23"/>
        <v>0</v>
      </c>
      <c r="X34" s="23">
        <v>0</v>
      </c>
      <c r="Y34" s="23"/>
      <c r="Z34" s="23"/>
    </row>
    <row r="35" spans="1:26" ht="16.5" customHeight="1">
      <c r="A35" s="22" t="s">
        <v>108</v>
      </c>
      <c r="B35" s="23"/>
      <c r="C35" s="23" t="s">
        <v>109</v>
      </c>
      <c r="D35" s="23" t="s">
        <v>61</v>
      </c>
      <c r="E35" s="23"/>
      <c r="F35" s="47"/>
      <c r="G35" s="23"/>
      <c r="H35" s="23"/>
      <c r="I35" s="23"/>
      <c r="J35" s="23"/>
      <c r="K35" s="23"/>
      <c r="L35" s="23"/>
      <c r="M35" s="86">
        <f>M61</f>
        <v>0</v>
      </c>
      <c r="N35" s="86">
        <f t="shared" ref="N35:W35" si="24">N61</f>
        <v>2</v>
      </c>
      <c r="O35" s="86">
        <f t="shared" si="24"/>
        <v>0</v>
      </c>
      <c r="P35" s="86">
        <f t="shared" si="24"/>
        <v>0</v>
      </c>
      <c r="Q35" s="86">
        <f t="shared" si="24"/>
        <v>0</v>
      </c>
      <c r="R35" s="86">
        <f t="shared" si="24"/>
        <v>0</v>
      </c>
      <c r="S35" s="86">
        <f t="shared" si="24"/>
        <v>0</v>
      </c>
      <c r="T35" s="86">
        <f t="shared" si="24"/>
        <v>0</v>
      </c>
      <c r="U35" s="86">
        <f t="shared" si="24"/>
        <v>0</v>
      </c>
      <c r="V35" s="86">
        <f t="shared" si="24"/>
        <v>0</v>
      </c>
      <c r="W35" s="86">
        <f t="shared" si="24"/>
        <v>0</v>
      </c>
      <c r="X35" s="23">
        <v>0</v>
      </c>
      <c r="Y35" s="23"/>
      <c r="Z35" s="23"/>
    </row>
    <row r="36" spans="1:26" ht="16.5" customHeight="1">
      <c r="A36" s="22" t="s">
        <v>110</v>
      </c>
      <c r="B36" s="23"/>
      <c r="C36" s="23" t="s">
        <v>111</v>
      </c>
      <c r="D36" s="23"/>
      <c r="E36" s="23">
        <v>100</v>
      </c>
      <c r="F36" s="55">
        <v>25</v>
      </c>
      <c r="G36" s="56">
        <v>20</v>
      </c>
      <c r="H36" s="57">
        <v>15</v>
      </c>
      <c r="I36" s="73">
        <v>10</v>
      </c>
      <c r="J36" s="74">
        <v>5</v>
      </c>
      <c r="K36" s="57">
        <v>0</v>
      </c>
      <c r="L36" s="79"/>
      <c r="M36" s="91" t="e">
        <f t="shared" ref="M36:W36" si="25">M34/M35</f>
        <v>#DIV/0!</v>
      </c>
      <c r="N36" s="91">
        <f t="shared" si="25"/>
        <v>12.5</v>
      </c>
      <c r="O36" s="91" t="e">
        <f t="shared" si="25"/>
        <v>#DIV/0!</v>
      </c>
      <c r="P36" s="91" t="e">
        <f t="shared" si="25"/>
        <v>#DIV/0!</v>
      </c>
      <c r="Q36" s="91" t="e">
        <f t="shared" si="25"/>
        <v>#DIV/0!</v>
      </c>
      <c r="R36" s="91" t="e">
        <f t="shared" si="25"/>
        <v>#DIV/0!</v>
      </c>
      <c r="S36" s="91" t="e">
        <f t="shared" si="25"/>
        <v>#DIV/0!</v>
      </c>
      <c r="T36" s="91" t="e">
        <f t="shared" si="25"/>
        <v>#DIV/0!</v>
      </c>
      <c r="U36" s="91">
        <v>0</v>
      </c>
      <c r="V36" s="91" t="e">
        <f t="shared" si="25"/>
        <v>#DIV/0!</v>
      </c>
      <c r="W36" s="91" t="e">
        <f t="shared" si="25"/>
        <v>#DIV/0!</v>
      </c>
      <c r="X36" s="23">
        <v>0</v>
      </c>
      <c r="Y36" s="23" t="s">
        <v>75</v>
      </c>
      <c r="Z36" s="23"/>
    </row>
    <row r="37" spans="1:26" ht="16.5" customHeight="1">
      <c r="A37" s="24" t="s">
        <v>112</v>
      </c>
      <c r="B37" s="25"/>
      <c r="C37" s="26"/>
      <c r="D37" s="26"/>
      <c r="E37" s="26"/>
      <c r="F37" s="50"/>
      <c r="G37" s="51"/>
      <c r="H37" s="26"/>
      <c r="I37" s="69"/>
      <c r="J37" s="70"/>
      <c r="K37" s="26"/>
      <c r="L37" s="26"/>
      <c r="M37" s="89"/>
      <c r="N37" s="90"/>
      <c r="O37" s="89"/>
      <c r="P37" s="89"/>
      <c r="Q37" s="89"/>
      <c r="R37" s="89"/>
      <c r="S37" s="89"/>
      <c r="T37" s="89"/>
      <c r="U37" s="90"/>
      <c r="V37" s="90"/>
      <c r="W37" s="90"/>
      <c r="X37" s="23">
        <v>0</v>
      </c>
      <c r="Y37" s="23" t="s">
        <v>50</v>
      </c>
      <c r="Z37" s="23"/>
    </row>
    <row r="38" spans="1:26" ht="16.5" customHeight="1">
      <c r="A38" s="22" t="s">
        <v>113</v>
      </c>
      <c r="B38" s="23"/>
      <c r="C38" s="23" t="s">
        <v>114</v>
      </c>
      <c r="D38" s="23" t="s">
        <v>61</v>
      </c>
      <c r="E38" s="23"/>
      <c r="F38" s="47"/>
      <c r="G38" s="23"/>
      <c r="H38" s="23"/>
      <c r="I38" s="23"/>
      <c r="J38" s="23"/>
      <c r="K38" s="23"/>
      <c r="L38" s="23"/>
      <c r="M38" s="86">
        <f>M63</f>
        <v>36</v>
      </c>
      <c r="N38" s="86">
        <f t="shared" ref="N38:X38" si="26">N63</f>
        <v>40</v>
      </c>
      <c r="O38" s="86">
        <f t="shared" si="26"/>
        <v>0</v>
      </c>
      <c r="P38" s="86">
        <f t="shared" si="26"/>
        <v>0</v>
      </c>
      <c r="Q38" s="86">
        <f t="shared" si="26"/>
        <v>0</v>
      </c>
      <c r="R38" s="86">
        <f t="shared" si="26"/>
        <v>0</v>
      </c>
      <c r="S38" s="86">
        <f t="shared" si="26"/>
        <v>0</v>
      </c>
      <c r="T38" s="86">
        <f t="shared" si="26"/>
        <v>0</v>
      </c>
      <c r="U38" s="86">
        <f t="shared" si="26"/>
        <v>0</v>
      </c>
      <c r="V38" s="86">
        <f t="shared" si="26"/>
        <v>0</v>
      </c>
      <c r="W38" s="86">
        <f t="shared" si="26"/>
        <v>0</v>
      </c>
      <c r="X38" s="82">
        <f t="shared" si="26"/>
        <v>0</v>
      </c>
      <c r="Y38" s="23" t="s">
        <v>200</v>
      </c>
      <c r="Z38" s="23"/>
    </row>
    <row r="39" spans="1:26" ht="16.5" customHeight="1">
      <c r="A39" s="22" t="s">
        <v>115</v>
      </c>
      <c r="B39" s="23"/>
      <c r="C39" s="23" t="s">
        <v>116</v>
      </c>
      <c r="D39" s="23"/>
      <c r="E39" s="23"/>
      <c r="F39" s="47"/>
      <c r="G39" s="23"/>
      <c r="H39" s="23"/>
      <c r="I39" s="23"/>
      <c r="J39" s="23"/>
      <c r="K39" s="23"/>
      <c r="L39" s="23"/>
      <c r="M39" s="91">
        <f t="shared" ref="M39:U39" si="27">M38/M27</f>
        <v>3</v>
      </c>
      <c r="N39" s="91">
        <f t="shared" si="27"/>
        <v>3.3333333333333335</v>
      </c>
      <c r="O39" s="91" t="e">
        <f t="shared" si="27"/>
        <v>#DIV/0!</v>
      </c>
      <c r="P39" s="91" t="e">
        <f t="shared" si="27"/>
        <v>#DIV/0!</v>
      </c>
      <c r="Q39" s="91" t="e">
        <f t="shared" si="27"/>
        <v>#DIV/0!</v>
      </c>
      <c r="R39" s="91" t="e">
        <f t="shared" si="27"/>
        <v>#DIV/0!</v>
      </c>
      <c r="S39" s="91" t="e">
        <f t="shared" si="27"/>
        <v>#DIV/0!</v>
      </c>
      <c r="T39" s="91" t="e">
        <f t="shared" si="27"/>
        <v>#DIV/0!</v>
      </c>
      <c r="U39" s="91" t="e">
        <f t="shared" si="27"/>
        <v>#DIV/0!</v>
      </c>
      <c r="V39" s="91"/>
      <c r="W39" s="91"/>
      <c r="X39" s="23">
        <v>0</v>
      </c>
      <c r="Y39" s="23"/>
      <c r="Z39" s="23"/>
    </row>
    <row r="40" spans="1:26" ht="16.5" customHeight="1">
      <c r="A40" s="31" t="s">
        <v>117</v>
      </c>
      <c r="B40" s="23"/>
      <c r="C40" s="23" t="s">
        <v>118</v>
      </c>
      <c r="D40" s="23"/>
      <c r="E40" s="23">
        <v>0</v>
      </c>
      <c r="F40" s="55">
        <v>0.05</v>
      </c>
      <c r="G40" s="56">
        <v>0.15</v>
      </c>
      <c r="H40" s="57">
        <v>0.33</v>
      </c>
      <c r="I40" s="73">
        <v>0.62</v>
      </c>
      <c r="J40" s="74">
        <v>1.18</v>
      </c>
      <c r="K40" s="57">
        <v>100</v>
      </c>
      <c r="L40" s="75"/>
      <c r="M40" s="91">
        <f t="shared" ref="M40:W40" si="28">M38/M12</f>
        <v>0.32329514829677775</v>
      </c>
      <c r="N40" s="91">
        <f t="shared" si="28"/>
        <v>0.31446540880503149</v>
      </c>
      <c r="O40" s="91" t="e">
        <f t="shared" si="28"/>
        <v>#DIV/0!</v>
      </c>
      <c r="P40" s="91" t="e">
        <f t="shared" si="28"/>
        <v>#DIV/0!</v>
      </c>
      <c r="Q40" s="91" t="e">
        <f t="shared" si="28"/>
        <v>#DIV/0!</v>
      </c>
      <c r="R40" s="91" t="e">
        <f t="shared" si="28"/>
        <v>#DIV/0!</v>
      </c>
      <c r="S40" s="91" t="e">
        <f t="shared" si="28"/>
        <v>#DIV/0!</v>
      </c>
      <c r="T40" s="91" t="e">
        <f t="shared" si="28"/>
        <v>#DIV/0!</v>
      </c>
      <c r="U40" s="91" t="e">
        <f t="shared" si="28"/>
        <v>#DIV/0!</v>
      </c>
      <c r="V40" s="91" t="e">
        <f t="shared" si="28"/>
        <v>#DIV/0!</v>
      </c>
      <c r="W40" s="91" t="e">
        <f t="shared" si="28"/>
        <v>#DIV/0!</v>
      </c>
      <c r="X40" s="23">
        <v>0</v>
      </c>
      <c r="Y40" s="23" t="s">
        <v>75</v>
      </c>
      <c r="Z40" s="23"/>
    </row>
    <row r="41" spans="1:26" ht="16.5" customHeight="1">
      <c r="A41" s="27" t="s">
        <v>119</v>
      </c>
      <c r="B41" s="23"/>
      <c r="C41" s="23"/>
      <c r="D41" s="23"/>
      <c r="E41" s="23"/>
      <c r="F41" s="47"/>
      <c r="G41" s="23"/>
      <c r="H41" s="23"/>
      <c r="I41" s="23"/>
      <c r="J41" s="23"/>
      <c r="K41" s="23"/>
      <c r="L41" s="23"/>
      <c r="M41" s="94"/>
      <c r="N41" s="94"/>
      <c r="O41" s="94"/>
      <c r="P41" s="94"/>
      <c r="Q41" s="94"/>
      <c r="R41" s="94"/>
      <c r="S41" s="94"/>
      <c r="T41" s="94"/>
      <c r="U41" s="94"/>
      <c r="V41" s="47"/>
      <c r="W41" s="47"/>
      <c r="X41" s="23"/>
      <c r="Y41" s="23"/>
      <c r="Z41" s="23"/>
    </row>
    <row r="42" spans="1:26" ht="23.25" customHeight="1">
      <c r="A42" s="39"/>
      <c r="B42" s="39"/>
      <c r="C42" s="39"/>
      <c r="D42" s="39"/>
      <c r="E42" s="39"/>
      <c r="F42" s="62"/>
      <c r="G42" s="63"/>
      <c r="H42" s="64"/>
      <c r="I42" s="80"/>
      <c r="J42" s="81"/>
      <c r="K42" s="64"/>
      <c r="L42" s="39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39"/>
      <c r="Y42" s="39"/>
      <c r="Z42" s="39"/>
    </row>
    <row r="43" spans="1:26" ht="29.25" customHeight="1">
      <c r="A43" s="40" t="s">
        <v>120</v>
      </c>
      <c r="B43" s="41"/>
      <c r="C43" s="41"/>
      <c r="D43" s="41"/>
      <c r="E43" s="41"/>
      <c r="F43" s="65"/>
      <c r="G43" s="63"/>
      <c r="H43" s="64"/>
      <c r="I43" s="80"/>
      <c r="J43" s="81"/>
      <c r="K43" s="64"/>
      <c r="L43" s="39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39"/>
      <c r="Y43" s="39"/>
      <c r="Z43" s="39"/>
    </row>
    <row r="44" spans="1:26" ht="20.25" customHeight="1">
      <c r="A44" s="25" t="s">
        <v>55</v>
      </c>
      <c r="B44" s="25"/>
      <c r="C44" s="26"/>
      <c r="D44" s="26"/>
      <c r="E44" s="26"/>
      <c r="F44" s="50"/>
      <c r="G44" s="51"/>
      <c r="H44" s="26"/>
      <c r="I44" s="69"/>
      <c r="J44" s="70"/>
      <c r="K44" s="26"/>
      <c r="L44" s="26"/>
      <c r="M44" s="95"/>
      <c r="N44" s="96"/>
      <c r="O44" s="95"/>
      <c r="P44" s="95"/>
      <c r="Q44" s="95"/>
      <c r="R44" s="95"/>
      <c r="S44" s="95"/>
      <c r="T44" s="103" t="s">
        <v>56</v>
      </c>
      <c r="U44" s="96"/>
      <c r="V44" s="96"/>
      <c r="W44" s="96"/>
      <c r="X44" s="23">
        <v>0</v>
      </c>
      <c r="Y44" s="23" t="s">
        <v>50</v>
      </c>
      <c r="Z44" s="23"/>
    </row>
    <row r="45" spans="1:26" ht="20.25" customHeight="1">
      <c r="A45" s="32" t="s">
        <v>57</v>
      </c>
      <c r="B45" s="23"/>
      <c r="C45" s="23" t="s">
        <v>58</v>
      </c>
      <c r="D45" s="23" t="s">
        <v>59</v>
      </c>
      <c r="E45" s="23"/>
      <c r="F45" s="47"/>
      <c r="G45" s="23"/>
      <c r="H45" s="23"/>
      <c r="I45" s="23"/>
      <c r="J45" s="23"/>
      <c r="K45" s="23"/>
      <c r="L45" s="23"/>
      <c r="M45" s="82">
        <v>108</v>
      </c>
      <c r="N45" s="82">
        <v>216</v>
      </c>
      <c r="O45" s="82"/>
      <c r="P45" s="82"/>
      <c r="Q45" s="97"/>
      <c r="R45" s="82"/>
      <c r="S45" s="82"/>
      <c r="T45" s="47"/>
      <c r="U45" s="47"/>
      <c r="V45" s="47"/>
      <c r="W45" s="47"/>
      <c r="X45" s="23"/>
      <c r="Y45" s="23"/>
      <c r="Z45" s="23"/>
    </row>
    <row r="46" spans="1:26" ht="20.25" customHeight="1">
      <c r="A46" s="32" t="s">
        <v>60</v>
      </c>
      <c r="B46" s="23"/>
      <c r="C46" s="23" t="s">
        <v>58</v>
      </c>
      <c r="D46" s="23" t="s">
        <v>61</v>
      </c>
      <c r="E46" s="23"/>
      <c r="F46" s="47"/>
      <c r="G46" s="23"/>
      <c r="H46" s="23"/>
      <c r="I46" s="23"/>
      <c r="J46" s="23"/>
      <c r="K46" s="23"/>
      <c r="L46" s="23"/>
      <c r="M46" s="82">
        <v>108</v>
      </c>
      <c r="N46" s="82">
        <v>106</v>
      </c>
      <c r="O46" s="82"/>
      <c r="P46" s="82"/>
      <c r="Q46" s="97"/>
      <c r="R46" s="82"/>
      <c r="S46" s="82"/>
      <c r="T46" s="47"/>
      <c r="U46" s="47"/>
      <c r="V46" s="47"/>
      <c r="W46" s="47"/>
      <c r="X46" s="23"/>
      <c r="Y46" s="23"/>
      <c r="Z46" s="23"/>
    </row>
    <row r="47" spans="1:26" ht="24.75">
      <c r="A47" s="30" t="s">
        <v>121</v>
      </c>
      <c r="B47" s="23"/>
      <c r="C47" s="23"/>
      <c r="D47" s="23" t="s">
        <v>61</v>
      </c>
      <c r="E47" s="23"/>
      <c r="F47" s="47"/>
      <c r="G47" s="23"/>
      <c r="H47" s="23"/>
      <c r="I47" s="23"/>
      <c r="J47" s="23"/>
      <c r="K47" s="23"/>
      <c r="L47" s="23"/>
      <c r="M47" s="82">
        <v>0.91600000000000004</v>
      </c>
      <c r="N47" s="82">
        <v>0.92</v>
      </c>
      <c r="O47" s="82"/>
      <c r="P47" s="82"/>
      <c r="Q47" s="97"/>
      <c r="R47" s="82"/>
      <c r="S47" s="82"/>
      <c r="T47" s="47"/>
      <c r="U47" s="47"/>
      <c r="V47" s="47"/>
      <c r="W47" s="47"/>
      <c r="X47" s="23"/>
      <c r="Y47" s="23"/>
      <c r="Z47" s="23"/>
    </row>
    <row r="48" spans="1:26" ht="12.4">
      <c r="A48" s="42" t="s">
        <v>122</v>
      </c>
      <c r="B48" s="23"/>
      <c r="C48" s="23"/>
      <c r="D48" s="23" t="s">
        <v>61</v>
      </c>
      <c r="E48" s="23"/>
      <c r="F48" s="47"/>
      <c r="G48" s="23"/>
      <c r="H48" s="23"/>
      <c r="I48" s="23"/>
      <c r="J48" s="23"/>
      <c r="K48" s="23"/>
      <c r="L48" s="23"/>
      <c r="M48" s="82">
        <v>0.93799999999999994</v>
      </c>
      <c r="N48" s="82">
        <v>0.93500000000000005</v>
      </c>
      <c r="O48" s="82"/>
      <c r="P48" s="82"/>
      <c r="Q48" s="97"/>
      <c r="R48" s="82"/>
      <c r="S48" s="82"/>
      <c r="T48" s="47"/>
      <c r="U48" s="47"/>
      <c r="V48" s="47"/>
      <c r="W48" s="47"/>
      <c r="X48" s="23"/>
      <c r="Y48" s="23"/>
      <c r="Z48" s="23"/>
    </row>
    <row r="49" spans="1:26" ht="20.25" customHeight="1">
      <c r="A49" s="25" t="s">
        <v>69</v>
      </c>
      <c r="B49" s="25"/>
      <c r="C49" s="26"/>
      <c r="D49" s="26"/>
      <c r="E49" s="26"/>
      <c r="F49" s="50"/>
      <c r="G49" s="51"/>
      <c r="H49" s="26"/>
      <c r="I49" s="69"/>
      <c r="J49" s="70"/>
      <c r="K49" s="26"/>
      <c r="L49" s="26"/>
      <c r="M49" s="84"/>
      <c r="N49" s="82"/>
      <c r="O49" s="82"/>
      <c r="P49" s="82"/>
      <c r="Q49" s="82"/>
      <c r="R49" s="82"/>
      <c r="S49" s="82"/>
      <c r="T49" s="47"/>
      <c r="U49" s="47"/>
      <c r="V49" s="47"/>
      <c r="W49" s="47"/>
      <c r="X49" s="23">
        <v>0</v>
      </c>
      <c r="Y49" s="23" t="s">
        <v>50</v>
      </c>
      <c r="Z49" s="23"/>
    </row>
    <row r="50" spans="1:26" ht="20.25" customHeight="1">
      <c r="A50" s="23" t="s">
        <v>70</v>
      </c>
      <c r="B50" s="23" t="s">
        <v>71</v>
      </c>
      <c r="C50" s="23" t="s">
        <v>72</v>
      </c>
      <c r="D50" s="23" t="s">
        <v>61</v>
      </c>
      <c r="E50" s="23"/>
      <c r="F50" s="47"/>
      <c r="G50" s="23"/>
      <c r="H50" s="23"/>
      <c r="I50" s="23"/>
      <c r="J50" s="23"/>
      <c r="K50" s="23"/>
      <c r="L50" s="23"/>
      <c r="M50" s="97">
        <v>168</v>
      </c>
      <c r="N50" s="97">
        <v>165</v>
      </c>
      <c r="O50" s="97"/>
      <c r="P50" s="97"/>
      <c r="Q50" s="97"/>
      <c r="R50" s="97"/>
      <c r="S50" s="97"/>
      <c r="T50" s="94"/>
      <c r="U50" s="94"/>
      <c r="V50" s="94"/>
      <c r="W50" s="94"/>
      <c r="X50" s="23">
        <v>0</v>
      </c>
      <c r="Y50" s="23"/>
      <c r="Z50" s="23" t="s">
        <v>76</v>
      </c>
    </row>
    <row r="51" spans="1:26" ht="20.25" customHeight="1">
      <c r="A51" s="25" t="s">
        <v>77</v>
      </c>
      <c r="B51" s="25"/>
      <c r="C51" s="26"/>
      <c r="D51" s="26"/>
      <c r="E51" s="26"/>
      <c r="F51" s="50"/>
      <c r="G51" s="51"/>
      <c r="H51" s="26"/>
      <c r="I51" s="69"/>
      <c r="J51" s="70"/>
      <c r="K51" s="26"/>
      <c r="L51" s="70"/>
      <c r="M51" s="84"/>
      <c r="N51" s="82"/>
      <c r="O51" s="82"/>
      <c r="P51" s="82"/>
      <c r="Q51" s="82"/>
      <c r="R51" s="82"/>
      <c r="S51" s="82"/>
      <c r="T51" s="47"/>
      <c r="U51" s="47"/>
      <c r="V51" s="47"/>
      <c r="W51" s="47"/>
      <c r="X51" s="23">
        <v>0</v>
      </c>
      <c r="Y51" s="23" t="s">
        <v>50</v>
      </c>
      <c r="Z51" s="23"/>
    </row>
    <row r="52" spans="1:26" s="12" customFormat="1" ht="20.25" customHeight="1">
      <c r="A52" s="23" t="s">
        <v>78</v>
      </c>
      <c r="B52" s="23"/>
      <c r="C52" s="23" t="s">
        <v>79</v>
      </c>
      <c r="D52" s="23" t="s">
        <v>59</v>
      </c>
      <c r="E52" s="23"/>
      <c r="F52" s="47"/>
      <c r="G52" s="23"/>
      <c r="H52" s="23"/>
      <c r="I52" s="23"/>
      <c r="J52" s="23"/>
      <c r="K52" s="23"/>
      <c r="L52" s="23"/>
      <c r="M52" s="98">
        <v>7645</v>
      </c>
      <c r="N52" s="98">
        <v>23891</v>
      </c>
      <c r="O52" s="98"/>
      <c r="P52" s="98"/>
      <c r="Q52" s="98"/>
      <c r="R52" s="98"/>
      <c r="S52" s="98"/>
      <c r="T52" s="94"/>
      <c r="U52" s="94"/>
      <c r="V52" s="94"/>
      <c r="W52" s="94"/>
      <c r="X52" s="23">
        <v>0</v>
      </c>
      <c r="Y52" s="23"/>
      <c r="Z52" s="23"/>
    </row>
    <row r="53" spans="1:26" ht="20.25" customHeight="1">
      <c r="A53" s="23" t="s">
        <v>81</v>
      </c>
      <c r="B53" s="23"/>
      <c r="C53" s="23" t="s">
        <v>79</v>
      </c>
      <c r="D53" s="23" t="s">
        <v>61</v>
      </c>
      <c r="E53" s="23"/>
      <c r="F53" s="47"/>
      <c r="G53" s="23"/>
      <c r="H53" s="23"/>
      <c r="I53" s="23"/>
      <c r="J53" s="23"/>
      <c r="K53" s="23"/>
      <c r="L53" s="23"/>
      <c r="M53" s="98">
        <v>7645</v>
      </c>
      <c r="N53" s="98">
        <v>7652</v>
      </c>
      <c r="O53" s="98"/>
      <c r="P53" s="98"/>
      <c r="Q53" s="98"/>
      <c r="R53" s="98"/>
      <c r="S53" s="98"/>
      <c r="T53" s="94"/>
      <c r="U53" s="94"/>
      <c r="V53" s="94"/>
      <c r="W53" s="94"/>
      <c r="X53" s="23"/>
      <c r="Y53" s="23"/>
      <c r="Z53" s="23"/>
    </row>
    <row r="54" spans="1:26" ht="20.25" customHeight="1">
      <c r="A54" s="23" t="s">
        <v>82</v>
      </c>
      <c r="B54" s="23"/>
      <c r="C54" s="23"/>
      <c r="D54" s="23" t="s">
        <v>59</v>
      </c>
      <c r="E54" s="23"/>
      <c r="F54" s="47"/>
      <c r="G54" s="23"/>
      <c r="H54" s="23"/>
      <c r="I54" s="23"/>
      <c r="J54" s="23"/>
      <c r="K54" s="23"/>
      <c r="L54" s="23"/>
      <c r="M54" s="98">
        <v>4501</v>
      </c>
      <c r="N54" s="98">
        <v>7000</v>
      </c>
      <c r="O54" s="98"/>
      <c r="P54" s="98"/>
      <c r="Q54" s="98"/>
      <c r="R54" s="98"/>
      <c r="S54" s="98"/>
      <c r="T54" s="94"/>
      <c r="U54" s="94"/>
      <c r="V54" s="94"/>
      <c r="W54" s="94"/>
      <c r="X54" s="23"/>
      <c r="Y54" s="23"/>
      <c r="Z54" s="23"/>
    </row>
    <row r="55" spans="1:26" ht="20.25" customHeight="1">
      <c r="A55" s="43" t="s">
        <v>83</v>
      </c>
      <c r="B55" s="43"/>
      <c r="C55" s="43"/>
      <c r="D55" s="43" t="s">
        <v>61</v>
      </c>
      <c r="E55" s="23"/>
      <c r="F55" s="47"/>
      <c r="G55" s="23"/>
      <c r="H55" s="23"/>
      <c r="I55" s="23"/>
      <c r="J55" s="23"/>
      <c r="K55" s="23"/>
      <c r="L55" s="23"/>
      <c r="M55" s="98">
        <v>4501</v>
      </c>
      <c r="N55" s="98">
        <v>3510</v>
      </c>
      <c r="O55" s="98"/>
      <c r="P55" s="98"/>
      <c r="Q55" s="98"/>
      <c r="R55" s="98"/>
      <c r="S55" s="98"/>
      <c r="T55" s="94"/>
      <c r="U55" s="94"/>
      <c r="V55" s="94"/>
      <c r="W55" s="94"/>
      <c r="X55" s="23"/>
      <c r="Y55" s="23"/>
      <c r="Z55" s="23"/>
    </row>
    <row r="56" spans="1:26" ht="20.25" customHeight="1">
      <c r="A56" s="38" t="s">
        <v>98</v>
      </c>
      <c r="B56" s="38"/>
      <c r="C56" s="23"/>
      <c r="D56" s="23"/>
      <c r="E56" s="23"/>
      <c r="F56" s="47"/>
      <c r="G56" s="23"/>
      <c r="H56" s="23"/>
      <c r="I56" s="23"/>
      <c r="J56" s="23"/>
      <c r="K56" s="23"/>
      <c r="L56" s="23"/>
      <c r="M56" s="82"/>
      <c r="N56" s="82"/>
      <c r="O56" s="82"/>
      <c r="P56" s="82"/>
      <c r="Q56" s="82"/>
      <c r="R56" s="82"/>
      <c r="S56" s="82"/>
      <c r="T56" s="47"/>
      <c r="U56" s="47" t="s">
        <v>200</v>
      </c>
      <c r="V56" s="47"/>
      <c r="W56" s="47"/>
      <c r="X56" s="23">
        <v>0</v>
      </c>
      <c r="Y56" s="23"/>
      <c r="Z56" s="23"/>
    </row>
    <row r="57" spans="1:26" s="12" customFormat="1" ht="20.25" customHeight="1">
      <c r="A57" s="23" t="s">
        <v>99</v>
      </c>
      <c r="B57" s="23"/>
      <c r="C57" s="23" t="s">
        <v>100</v>
      </c>
      <c r="D57" s="23" t="s">
        <v>61</v>
      </c>
      <c r="E57" s="23"/>
      <c r="F57" s="47"/>
      <c r="G57" s="23"/>
      <c r="H57" s="23"/>
      <c r="I57" s="23"/>
      <c r="J57" s="23"/>
      <c r="K57" s="23"/>
      <c r="L57" s="23"/>
      <c r="M57" s="99">
        <v>85</v>
      </c>
      <c r="N57" s="99">
        <v>75</v>
      </c>
      <c r="O57" s="99"/>
      <c r="P57" s="99"/>
      <c r="Q57" s="99"/>
      <c r="R57" s="99"/>
      <c r="S57" s="99"/>
      <c r="T57" s="58"/>
      <c r="U57" s="58"/>
      <c r="V57" s="58"/>
      <c r="W57" s="58"/>
      <c r="X57" s="23">
        <v>0</v>
      </c>
      <c r="Y57" s="23"/>
      <c r="Z57" s="23"/>
    </row>
    <row r="58" spans="1:26" ht="20.25" customHeight="1">
      <c r="A58" s="23" t="s">
        <v>101</v>
      </c>
      <c r="B58" s="23"/>
      <c r="C58" s="23" t="s">
        <v>102</v>
      </c>
      <c r="D58" s="23" t="s">
        <v>61</v>
      </c>
      <c r="E58" s="23"/>
      <c r="F58" s="47"/>
      <c r="G58" s="23"/>
      <c r="H58" s="23"/>
      <c r="I58" s="23"/>
      <c r="J58" s="23"/>
      <c r="K58" s="23"/>
      <c r="L58" s="23"/>
      <c r="M58" s="99">
        <v>12</v>
      </c>
      <c r="N58" s="99">
        <v>10</v>
      </c>
      <c r="O58" s="99"/>
      <c r="P58" s="99"/>
      <c r="Q58" s="99"/>
      <c r="R58" s="99"/>
      <c r="S58" s="99"/>
      <c r="T58" s="58"/>
      <c r="U58" s="58"/>
      <c r="V58" s="58"/>
      <c r="W58" s="58"/>
      <c r="X58" s="23">
        <v>0</v>
      </c>
      <c r="Y58" s="23"/>
      <c r="Z58" s="23"/>
    </row>
    <row r="59" spans="1:26" ht="20.25" customHeight="1">
      <c r="A59" s="38" t="s">
        <v>105</v>
      </c>
      <c r="B59" s="38"/>
      <c r="C59" s="23"/>
      <c r="D59" s="23"/>
      <c r="E59" s="23"/>
      <c r="F59" s="47"/>
      <c r="G59" s="23"/>
      <c r="H59" s="23"/>
      <c r="I59" s="23"/>
      <c r="J59" s="23"/>
      <c r="K59" s="23"/>
      <c r="L59" s="23"/>
      <c r="M59" s="82"/>
      <c r="N59" s="82"/>
      <c r="O59" s="82"/>
      <c r="P59" s="82"/>
      <c r="Q59" s="82"/>
      <c r="R59" s="82"/>
      <c r="S59" s="82"/>
      <c r="T59" s="47"/>
      <c r="U59" s="47"/>
      <c r="V59" s="47"/>
      <c r="W59" s="47"/>
      <c r="X59" s="23">
        <v>0</v>
      </c>
      <c r="Y59" s="23"/>
      <c r="Z59" s="23"/>
    </row>
    <row r="60" spans="1:26" ht="20.25" customHeight="1">
      <c r="A60" s="23" t="s">
        <v>106</v>
      </c>
      <c r="B60" s="23"/>
      <c r="C60" s="23" t="s">
        <v>107</v>
      </c>
      <c r="D60" s="23" t="s">
        <v>61</v>
      </c>
      <c r="E60" s="23"/>
      <c r="F60" s="47"/>
      <c r="G60" s="23"/>
      <c r="H60" s="23"/>
      <c r="I60" s="23"/>
      <c r="J60" s="23"/>
      <c r="K60" s="23"/>
      <c r="L60" s="23"/>
      <c r="M60" s="99">
        <v>0</v>
      </c>
      <c r="N60" s="99">
        <v>25</v>
      </c>
      <c r="O60" s="99"/>
      <c r="P60" s="99"/>
      <c r="Q60" s="99"/>
      <c r="R60" s="99"/>
      <c r="S60" s="99"/>
      <c r="T60" s="58"/>
      <c r="U60" s="58"/>
      <c r="V60" s="58"/>
      <c r="W60" s="58"/>
      <c r="X60" s="23">
        <v>0</v>
      </c>
      <c r="Y60" s="23"/>
      <c r="Z60" s="23"/>
    </row>
    <row r="61" spans="1:26" ht="20.25" customHeight="1">
      <c r="A61" s="23" t="s">
        <v>108</v>
      </c>
      <c r="B61" s="23"/>
      <c r="C61" s="23" t="s">
        <v>109</v>
      </c>
      <c r="D61" s="23" t="s">
        <v>61</v>
      </c>
      <c r="E61" s="23"/>
      <c r="F61" s="47"/>
      <c r="G61" s="23"/>
      <c r="H61" s="23"/>
      <c r="I61" s="23"/>
      <c r="J61" s="23"/>
      <c r="K61" s="23"/>
      <c r="L61" s="23"/>
      <c r="M61" s="99">
        <v>0</v>
      </c>
      <c r="N61" s="99">
        <v>2</v>
      </c>
      <c r="O61" s="99"/>
      <c r="P61" s="99"/>
      <c r="Q61" s="99"/>
      <c r="R61" s="99"/>
      <c r="S61" s="99"/>
      <c r="T61" s="58"/>
      <c r="U61" s="58"/>
      <c r="V61" s="58"/>
      <c r="W61" s="58"/>
      <c r="X61" s="23">
        <v>0</v>
      </c>
      <c r="Y61" s="23"/>
      <c r="Z61" s="23"/>
    </row>
    <row r="62" spans="1:26" ht="20.25" customHeight="1">
      <c r="A62" s="25" t="s">
        <v>112</v>
      </c>
      <c r="B62" s="25"/>
      <c r="C62" s="26"/>
      <c r="D62" s="26"/>
      <c r="E62" s="26"/>
      <c r="F62" s="50"/>
      <c r="G62" s="51"/>
      <c r="H62" s="26"/>
      <c r="I62" s="69"/>
      <c r="J62" s="70"/>
      <c r="K62" s="26"/>
      <c r="L62" s="26"/>
      <c r="M62" s="100"/>
      <c r="N62" s="99"/>
      <c r="O62" s="99"/>
      <c r="P62" s="99"/>
      <c r="Q62" s="99"/>
      <c r="R62" s="99"/>
      <c r="S62" s="99"/>
      <c r="T62" s="58"/>
      <c r="U62" s="58"/>
      <c r="V62" s="58"/>
      <c r="W62" s="58"/>
      <c r="X62" s="23">
        <v>0</v>
      </c>
      <c r="Y62" s="23" t="s">
        <v>50</v>
      </c>
      <c r="Z62" s="23"/>
    </row>
    <row r="63" spans="1:26" ht="20.25" customHeight="1">
      <c r="A63" s="23" t="s">
        <v>113</v>
      </c>
      <c r="B63" s="23"/>
      <c r="C63" s="23" t="s">
        <v>114</v>
      </c>
      <c r="D63" s="23" t="s">
        <v>61</v>
      </c>
      <c r="E63" s="23"/>
      <c r="F63" s="47"/>
      <c r="G63" s="23"/>
      <c r="H63" s="23"/>
      <c r="I63" s="23"/>
      <c r="J63" s="23"/>
      <c r="K63" s="23"/>
      <c r="L63" s="23"/>
      <c r="M63" s="99">
        <v>36</v>
      </c>
      <c r="N63" s="99">
        <v>40</v>
      </c>
      <c r="O63" s="99"/>
      <c r="P63" s="99"/>
      <c r="Q63" s="99"/>
      <c r="R63" s="99"/>
      <c r="S63" s="99"/>
      <c r="T63" s="58"/>
      <c r="U63" s="58"/>
      <c r="V63" s="58"/>
      <c r="W63" s="58"/>
      <c r="X63" s="23">
        <v>0</v>
      </c>
      <c r="Y63" s="23"/>
      <c r="Z63" s="23"/>
    </row>
    <row r="64" spans="1:26" ht="23.25" customHeight="1">
      <c r="A64" s="39"/>
      <c r="B64" s="39"/>
      <c r="C64" s="39"/>
      <c r="D64" s="39"/>
      <c r="E64" s="39"/>
      <c r="F64" s="62"/>
      <c r="G64" s="63"/>
      <c r="H64" s="64"/>
      <c r="I64" s="80"/>
      <c r="J64" s="81"/>
      <c r="K64" s="64"/>
      <c r="L64" s="39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39"/>
      <c r="Y64" s="39"/>
      <c r="Z64" s="39"/>
    </row>
    <row r="65" spans="1:26" ht="23.25" customHeight="1">
      <c r="A65" s="39"/>
      <c r="B65" s="39"/>
      <c r="C65" s="39"/>
      <c r="D65" s="39"/>
      <c r="E65" s="39"/>
      <c r="F65" s="62"/>
      <c r="G65" s="63"/>
      <c r="H65" s="64"/>
      <c r="I65" s="80"/>
      <c r="J65" s="81"/>
      <c r="K65" s="64"/>
      <c r="L65" s="39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39"/>
      <c r="Y65" s="39"/>
      <c r="Z65" s="39"/>
    </row>
    <row r="66" spans="1:26" ht="23.25" customHeight="1">
      <c r="A66" s="39"/>
      <c r="B66" s="39"/>
      <c r="C66" s="39"/>
      <c r="D66" s="39"/>
      <c r="E66" s="39"/>
      <c r="F66" s="62"/>
      <c r="G66" s="63"/>
      <c r="H66" s="64"/>
      <c r="I66" s="80"/>
      <c r="J66" s="81"/>
      <c r="K66" s="64"/>
      <c r="L66" s="39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39"/>
      <c r="Y66" s="39"/>
      <c r="Z66" s="39"/>
    </row>
    <row r="67" spans="1:26" ht="23.25" customHeight="1">
      <c r="A67" s="39"/>
      <c r="B67" s="39"/>
      <c r="C67" s="39"/>
      <c r="D67" s="39"/>
      <c r="E67" s="39"/>
      <c r="F67" s="62"/>
      <c r="G67" s="63"/>
      <c r="H67" s="64"/>
      <c r="I67" s="80"/>
      <c r="J67" s="81"/>
      <c r="K67" s="64"/>
      <c r="L67" s="39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39"/>
      <c r="Y67" s="39"/>
      <c r="Z67" s="39"/>
    </row>
    <row r="68" spans="1:26" ht="23.25" customHeight="1">
      <c r="A68" s="39"/>
      <c r="B68" s="39"/>
      <c r="C68" s="39"/>
      <c r="D68" s="39"/>
      <c r="E68" s="39"/>
      <c r="F68" s="62"/>
      <c r="G68" s="63"/>
      <c r="H68" s="64"/>
      <c r="I68" s="80"/>
      <c r="J68" s="81"/>
      <c r="K68" s="64"/>
      <c r="L68" s="39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39"/>
      <c r="Y68" s="39"/>
      <c r="Z68" s="39"/>
    </row>
    <row r="69" spans="1:26" ht="23.25" customHeight="1">
      <c r="A69" s="39"/>
      <c r="B69" s="39"/>
      <c r="C69" s="39"/>
      <c r="D69" s="39"/>
      <c r="E69" s="39"/>
      <c r="F69" s="62"/>
      <c r="G69" s="63"/>
      <c r="H69" s="64"/>
      <c r="I69" s="80"/>
      <c r="J69" s="81"/>
      <c r="K69" s="64"/>
      <c r="L69" s="39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39"/>
      <c r="Y69" s="39"/>
      <c r="Z69" s="39"/>
    </row>
    <row r="70" spans="1:26" ht="23.25" customHeight="1">
      <c r="A70" s="39"/>
      <c r="B70" s="39"/>
      <c r="C70" s="39"/>
      <c r="D70" s="39"/>
      <c r="E70" s="39"/>
      <c r="F70" s="62"/>
      <c r="G70" s="63"/>
      <c r="H70" s="64"/>
      <c r="I70" s="80"/>
      <c r="J70" s="81"/>
      <c r="K70" s="64"/>
      <c r="L70" s="39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39"/>
      <c r="Y70" s="39"/>
      <c r="Z70" s="39"/>
    </row>
    <row r="71" spans="1:26" ht="23.25" customHeight="1">
      <c r="A71" s="39"/>
      <c r="B71" s="39"/>
      <c r="C71" s="39"/>
      <c r="D71" s="39"/>
      <c r="E71" s="39"/>
      <c r="F71" s="62"/>
      <c r="G71" s="63"/>
      <c r="H71" s="64"/>
      <c r="I71" s="80"/>
      <c r="J71" s="81"/>
      <c r="K71" s="64"/>
      <c r="L71" s="39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39"/>
      <c r="Y71" s="39"/>
      <c r="Z71" s="39"/>
    </row>
    <row r="72" spans="1:26" ht="23.25" customHeight="1">
      <c r="A72" s="39"/>
      <c r="B72" s="39"/>
      <c r="C72" s="39"/>
      <c r="D72" s="39"/>
      <c r="E72" s="39"/>
      <c r="F72" s="62"/>
      <c r="G72" s="63"/>
      <c r="H72" s="64"/>
      <c r="I72" s="80"/>
      <c r="J72" s="81"/>
      <c r="K72" s="64"/>
      <c r="L72" s="39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39"/>
      <c r="Y72" s="39"/>
      <c r="Z72" s="39"/>
    </row>
    <row r="73" spans="1:26" ht="23.25" customHeight="1">
      <c r="A73" s="39"/>
      <c r="B73" s="39"/>
      <c r="C73" s="39"/>
      <c r="D73" s="39"/>
      <c r="E73" s="39"/>
      <c r="F73" s="62"/>
      <c r="G73" s="63"/>
      <c r="H73" s="64"/>
      <c r="I73" s="80"/>
      <c r="J73" s="81"/>
      <c r="K73" s="64"/>
      <c r="L73" s="39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39"/>
      <c r="Y73" s="39"/>
      <c r="Z73" s="39"/>
    </row>
  </sheetData>
  <sheetProtection formatCells="0" insertHyperlinks="0" autoFilter="0"/>
  <phoneticPr fontId="65" type="noConversion"/>
  <conditionalFormatting sqref="M21">
    <cfRule type="cellIs" dxfId="99" priority="516" operator="between">
      <formula>$E21</formula>
      <formula>$F21</formula>
    </cfRule>
    <cfRule type="cellIs" dxfId="98" priority="511" operator="between">
      <formula>$J21</formula>
      <formula>$K21</formula>
    </cfRule>
    <cfRule type="cellIs" dxfId="97" priority="515" operator="between">
      <formula>$F21</formula>
      <formula>$G21</formula>
    </cfRule>
    <cfRule type="cellIs" dxfId="96" priority="514" operator="between">
      <formula>$G21</formula>
      <formula>$H21</formula>
    </cfRule>
    <cfRule type="cellIs" dxfId="95" priority="513" operator="between">
      <formula>$H21</formula>
      <formula>$I21</formula>
    </cfRule>
    <cfRule type="cellIs" dxfId="94" priority="512" operator="between">
      <formula>$I21</formula>
      <formula>$J21</formula>
    </cfRule>
  </conditionalFormatting>
  <conditionalFormatting sqref="M9:W10 M15 S15:U15 W15 M26 U26 M28:W28 M32:O32 M36:O36 M40 T40:W40">
    <cfRule type="cellIs" dxfId="93" priority="425" operator="between">
      <formula>$F9</formula>
      <formula>$G9</formula>
    </cfRule>
    <cfRule type="cellIs" dxfId="92" priority="421" operator="between">
      <formula>$J9</formula>
      <formula>$K9</formula>
    </cfRule>
    <cfRule type="cellIs" dxfId="91" priority="422" operator="between">
      <formula>$I9</formula>
      <formula>$J9</formula>
    </cfRule>
    <cfRule type="cellIs" dxfId="90" priority="423" operator="between">
      <formula>$H9</formula>
      <formula>$I9</formula>
    </cfRule>
    <cfRule type="cellIs" dxfId="89" priority="424" operator="between">
      <formula>$G9</formula>
      <formula>$H9</formula>
    </cfRule>
    <cfRule type="cellIs" dxfId="88" priority="426" operator="between">
      <formula>$E9</formula>
      <formula>$F9</formula>
    </cfRule>
  </conditionalFormatting>
  <conditionalFormatting sqref="M22:W23 P32:S32 U32 P36:U36 M39:R39 U39:W39">
    <cfRule type="cellIs" dxfId="87" priority="299" operator="between">
      <formula>$F22</formula>
      <formula>$G22</formula>
    </cfRule>
    <cfRule type="cellIs" dxfId="86" priority="295" operator="between">
      <formula>$J22</formula>
      <formula>$K22</formula>
    </cfRule>
    <cfRule type="cellIs" dxfId="85" priority="296" operator="between">
      <formula>$I22</formula>
      <formula>$J22</formula>
    </cfRule>
    <cfRule type="cellIs" dxfId="84" priority="297" operator="between">
      <formula>$H22</formula>
      <formula>$I22</formula>
    </cfRule>
    <cfRule type="cellIs" dxfId="83" priority="298" operator="between">
      <formula>$G22</formula>
      <formula>$H22</formula>
    </cfRule>
    <cfRule type="cellIs" dxfId="82" priority="300" operator="between">
      <formula>$E22</formula>
      <formula>$F22</formula>
    </cfRule>
  </conditionalFormatting>
  <conditionalFormatting sqref="N15:R15">
    <cfRule type="cellIs" dxfId="81" priority="484" operator="between">
      <formula>$G15</formula>
      <formula>$H15</formula>
    </cfRule>
    <cfRule type="cellIs" dxfId="80" priority="481" operator="between">
      <formula>$J15</formula>
      <formula>$K15</formula>
    </cfRule>
    <cfRule type="cellIs" dxfId="79" priority="482" operator="between">
      <formula>$I15</formula>
      <formula>$J15</formula>
    </cfRule>
    <cfRule type="cellIs" dxfId="78" priority="483" operator="between">
      <formula>$H15</formula>
      <formula>$I15</formula>
    </cfRule>
    <cfRule type="cellIs" dxfId="77" priority="486" operator="between">
      <formula>$E15</formula>
      <formula>$F15</formula>
    </cfRule>
    <cfRule type="cellIs" dxfId="76" priority="485" operator="between">
      <formula>$F15</formula>
      <formula>$G15</formula>
    </cfRule>
  </conditionalFormatting>
  <conditionalFormatting sqref="N26:R26">
    <cfRule type="cellIs" dxfId="75" priority="473" operator="between">
      <formula>$F26</formula>
      <formula>$G26</formula>
    </cfRule>
    <cfRule type="cellIs" dxfId="74" priority="474" operator="between">
      <formula>$E26</formula>
      <formula>$F26</formula>
    </cfRule>
    <cfRule type="cellIs" dxfId="73" priority="472" operator="between">
      <formula>$G26</formula>
      <formula>$H26</formula>
    </cfRule>
    <cfRule type="cellIs" dxfId="72" priority="471" operator="between">
      <formula>$H26</formula>
      <formula>$I26</formula>
    </cfRule>
    <cfRule type="cellIs" dxfId="71" priority="470" operator="between">
      <formula>$I26</formula>
      <formula>$J26</formula>
    </cfRule>
    <cfRule type="cellIs" dxfId="70" priority="469" operator="between">
      <formula>$J26</formula>
      <formula>$K26</formula>
    </cfRule>
  </conditionalFormatting>
  <conditionalFormatting sqref="N40:R40">
    <cfRule type="cellIs" dxfId="69" priority="463" operator="between">
      <formula>$J40</formula>
      <formula>$K40</formula>
    </cfRule>
    <cfRule type="cellIs" dxfId="68" priority="466" operator="between">
      <formula>$G40</formula>
      <formula>$H40</formula>
    </cfRule>
    <cfRule type="cellIs" dxfId="67" priority="465" operator="between">
      <formula>$H40</formula>
      <formula>$I40</formula>
    </cfRule>
    <cfRule type="cellIs" dxfId="66" priority="464" operator="between">
      <formula>$I40</formula>
      <formula>$J40</formula>
    </cfRule>
    <cfRule type="cellIs" dxfId="65" priority="467" operator="between">
      <formula>$F40</formula>
      <formula>$G40</formula>
    </cfRule>
    <cfRule type="cellIs" dxfId="64" priority="468" operator="between">
      <formula>$E40</formula>
      <formula>$F40</formula>
    </cfRule>
  </conditionalFormatting>
  <conditionalFormatting sqref="N21:W21">
    <cfRule type="cellIs" dxfId="63" priority="257" operator="between">
      <formula>$F21</formula>
      <formula>$G21</formula>
    </cfRule>
    <cfRule type="cellIs" dxfId="62" priority="256" operator="between">
      <formula>$G21</formula>
      <formula>$H21</formula>
    </cfRule>
    <cfRule type="cellIs" dxfId="61" priority="255" operator="between">
      <formula>$H21</formula>
      <formula>$I21</formula>
    </cfRule>
    <cfRule type="cellIs" dxfId="60" priority="254" operator="between">
      <formula>$I21</formula>
      <formula>$J21</formula>
    </cfRule>
    <cfRule type="cellIs" dxfId="59" priority="253" operator="between">
      <formula>$J21</formula>
      <formula>$K21</formula>
    </cfRule>
    <cfRule type="cellIs" dxfId="58" priority="258" operator="between">
      <formula>$E21</formula>
      <formula>$F21</formula>
    </cfRule>
  </conditionalFormatting>
  <conditionalFormatting sqref="S39">
    <cfRule type="cellIs" dxfId="57" priority="429" operator="between">
      <formula>$H39</formula>
      <formula>$I39</formula>
    </cfRule>
    <cfRule type="cellIs" dxfId="56" priority="430" operator="between">
      <formula>$G39</formula>
      <formula>$H39</formula>
    </cfRule>
    <cfRule type="cellIs" dxfId="55" priority="431" operator="between">
      <formula>$F39</formula>
      <formula>$G39</formula>
    </cfRule>
    <cfRule type="cellIs" dxfId="54" priority="432" operator="between">
      <formula>$E39</formula>
      <formula>$F39</formula>
    </cfRule>
  </conditionalFormatting>
  <conditionalFormatting sqref="S39:S40">
    <cfRule type="cellIs" dxfId="53" priority="403" operator="between">
      <formula>$J39</formula>
      <formula>$K39</formula>
    </cfRule>
    <cfRule type="cellIs" dxfId="52" priority="404" operator="between">
      <formula>$I39</formula>
      <formula>$J39</formula>
    </cfRule>
  </conditionalFormatting>
  <conditionalFormatting sqref="S40">
    <cfRule type="cellIs" dxfId="51" priority="405" operator="between">
      <formula>$H40</formula>
      <formula>$I40</formula>
    </cfRule>
    <cfRule type="cellIs" dxfId="50" priority="406" operator="between">
      <formula>$G40</formula>
      <formula>$H40</formula>
    </cfRule>
    <cfRule type="cellIs" dxfId="49" priority="407" operator="between">
      <formula>$F40</formula>
      <formula>$G40</formula>
    </cfRule>
    <cfRule type="cellIs" dxfId="48" priority="408" operator="between">
      <formula>$E40</formula>
      <formula>$F40</formula>
    </cfRule>
  </conditionalFormatting>
  <conditionalFormatting sqref="S26:T26">
    <cfRule type="cellIs" dxfId="47" priority="413" operator="between">
      <formula>$F26</formula>
      <formula>$G26</formula>
    </cfRule>
    <cfRule type="cellIs" dxfId="46" priority="414" operator="between">
      <formula>$E26</formula>
      <formula>$F26</formula>
    </cfRule>
    <cfRule type="cellIs" dxfId="45" priority="412" operator="between">
      <formula>$G26</formula>
      <formula>$H26</formula>
    </cfRule>
    <cfRule type="cellIs" dxfId="44" priority="411" operator="between">
      <formula>$H26</formula>
      <formula>$I26</formula>
    </cfRule>
    <cfRule type="cellIs" dxfId="43" priority="410" operator="between">
      <formula>$I26</formula>
      <formula>$J26</formula>
    </cfRule>
    <cfRule type="cellIs" dxfId="42" priority="409" operator="between">
      <formula>$J26</formula>
      <formula>$K26</formula>
    </cfRule>
  </conditionalFormatting>
  <conditionalFormatting sqref="T32">
    <cfRule type="cellIs" dxfId="41" priority="504" operator="between">
      <formula>$E32</formula>
      <formula>$F32</formula>
    </cfRule>
    <cfRule type="cellIs" dxfId="40" priority="503" operator="between">
      <formula>$F32</formula>
      <formula>$G32</formula>
    </cfRule>
    <cfRule type="cellIs" dxfId="39" priority="502" operator="between">
      <formula>$G32</formula>
      <formula>$H32</formula>
    </cfRule>
    <cfRule type="cellIs" dxfId="38" priority="501" operator="between">
      <formula>$H32</formula>
      <formula>$I32</formula>
    </cfRule>
    <cfRule type="cellIs" dxfId="37" priority="500" operator="between">
      <formula>$I32</formula>
      <formula>$J32</formula>
    </cfRule>
    <cfRule type="cellIs" dxfId="36" priority="499" operator="between">
      <formula>$J32</formula>
      <formula>$K32</formula>
    </cfRule>
  </conditionalFormatting>
  <conditionalFormatting sqref="T39">
    <cfRule type="cellIs" dxfId="35" priority="494" operator="between">
      <formula>$I39</formula>
      <formula>$J39</formula>
    </cfRule>
    <cfRule type="cellIs" dxfId="34" priority="495" operator="between">
      <formula>$H39</formula>
      <formula>$I39</formula>
    </cfRule>
    <cfRule type="cellIs" dxfId="33" priority="496" operator="between">
      <formula>$G39</formula>
      <formula>$H39</formula>
    </cfRule>
    <cfRule type="cellIs" dxfId="32" priority="497" operator="between">
      <formula>$F39</formula>
      <formula>$G39</formula>
    </cfRule>
    <cfRule type="cellIs" dxfId="31" priority="498" operator="between">
      <formula>$E39</formula>
      <formula>$F39</formula>
    </cfRule>
    <cfRule type="cellIs" dxfId="30" priority="493" operator="between">
      <formula>$J39</formula>
      <formula>$K39</formula>
    </cfRule>
  </conditionalFormatting>
  <conditionalFormatting sqref="V15">
    <cfRule type="cellIs" dxfId="29" priority="389" operator="between">
      <formula>$F15</formula>
      <formula>$G15</formula>
    </cfRule>
    <cfRule type="cellIs" dxfId="28" priority="388" operator="between">
      <formula>$G15</formula>
      <formula>$H15</formula>
    </cfRule>
    <cfRule type="cellIs" dxfId="27" priority="390" operator="between">
      <formula>$E15</formula>
      <formula>$F15</formula>
    </cfRule>
    <cfRule type="cellIs" dxfId="26" priority="387" operator="between">
      <formula>$H15</formula>
      <formula>$I15</formula>
    </cfRule>
    <cfRule type="cellIs" dxfId="25" priority="386" operator="between">
      <formula>$I15</formula>
      <formula>$J15</formula>
    </cfRule>
    <cfRule type="cellIs" dxfId="24" priority="385" operator="between">
      <formula>$J15</formula>
      <formula>$K15</formula>
    </cfRule>
  </conditionalFormatting>
  <conditionalFormatting sqref="V36">
    <cfRule type="cellIs" dxfId="23" priority="459" operator="between">
      <formula>$H36</formula>
      <formula>$I36</formula>
    </cfRule>
    <cfRule type="cellIs" dxfId="22" priority="457" operator="between">
      <formula>$J36</formula>
      <formula>$K36</formula>
    </cfRule>
    <cfRule type="cellIs" dxfId="21" priority="462" operator="between">
      <formula>$E36</formula>
      <formula>$F36</formula>
    </cfRule>
    <cfRule type="cellIs" dxfId="20" priority="460" operator="between">
      <formula>$G36</formula>
      <formula>$H36</formula>
    </cfRule>
    <cfRule type="cellIs" dxfId="19" priority="458" operator="between">
      <formula>$I36</formula>
      <formula>$J36</formula>
    </cfRule>
    <cfRule type="cellIs" dxfId="18" priority="461" operator="between">
      <formula>$F36</formula>
      <formula>$G36</formula>
    </cfRule>
  </conditionalFormatting>
  <conditionalFormatting sqref="V26:W26">
    <cfRule type="cellIs" dxfId="17" priority="303" operator="between">
      <formula>$H26</formula>
      <formula>$I26</formula>
    </cfRule>
    <cfRule type="cellIs" dxfId="16" priority="304" operator="between">
      <formula>$G26</formula>
      <formula>$H26</formula>
    </cfRule>
    <cfRule type="cellIs" dxfId="15" priority="301" operator="between">
      <formula>$J26</formula>
      <formula>$K26</formula>
    </cfRule>
    <cfRule type="cellIs" dxfId="14" priority="302" operator="between">
      <formula>$I26</formula>
      <formula>$J26</formula>
    </cfRule>
    <cfRule type="cellIs" dxfId="13" priority="306" operator="between">
      <formula>$E26</formula>
      <formula>$F26</formula>
    </cfRule>
    <cfRule type="cellIs" dxfId="12" priority="305" operator="between">
      <formula>$F26</formula>
      <formula>$G26</formula>
    </cfRule>
  </conditionalFormatting>
  <conditionalFormatting sqref="V32:W32">
    <cfRule type="cellIs" dxfId="11" priority="450" operator="between">
      <formula>$E32</formula>
      <formula>$F32</formula>
    </cfRule>
    <cfRule type="cellIs" dxfId="10" priority="445" operator="between">
      <formula>$J32</formula>
      <formula>$K32</formula>
    </cfRule>
    <cfRule type="cellIs" dxfId="9" priority="446" operator="between">
      <formula>$I32</formula>
      <formula>$J32</formula>
    </cfRule>
    <cfRule type="cellIs" dxfId="8" priority="447" operator="between">
      <formula>$H32</formula>
      <formula>$I32</formula>
    </cfRule>
    <cfRule type="cellIs" dxfId="7" priority="448" operator="between">
      <formula>$G32</formula>
      <formula>$H32</formula>
    </cfRule>
    <cfRule type="cellIs" dxfId="6" priority="449" operator="between">
      <formula>$F32</formula>
      <formula>$G32</formula>
    </cfRule>
  </conditionalFormatting>
  <conditionalFormatting sqref="W36">
    <cfRule type="cellIs" dxfId="5" priority="451" operator="between">
      <formula>$J36</formula>
      <formula>$K36</formula>
    </cfRule>
    <cfRule type="cellIs" dxfId="4" priority="452" operator="between">
      <formula>$I36</formula>
      <formula>$J36</formula>
    </cfRule>
    <cfRule type="cellIs" dxfId="3" priority="454" operator="between">
      <formula>$G36</formula>
      <formula>$H36</formula>
    </cfRule>
    <cfRule type="cellIs" dxfId="2" priority="455" operator="between">
      <formula>$F36</formula>
      <formula>$G36</formula>
    </cfRule>
    <cfRule type="cellIs" dxfId="1" priority="456" operator="between">
      <formula>$E36</formula>
      <formula>$F36</formula>
    </cfRule>
    <cfRule type="cellIs" dxfId="0" priority="453" operator="between">
      <formula>$H36</formula>
      <formula>$I36</formula>
    </cfRule>
  </conditionalFormatting>
  <pageMargins left="0.7" right="0.7" top="0.75" bottom="0.75" header="0.3" footer="0.3"/>
  <pageSetup paperSize="9" orientation="portrait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workbookViewId="0">
      <selection activeCell="K8" sqref="K8"/>
    </sheetView>
  </sheetViews>
  <sheetFormatPr defaultColWidth="8.86328125" defaultRowHeight="14.25"/>
  <sheetData>
    <row r="1" spans="1:7"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</row>
    <row r="2" spans="1:7">
      <c r="A2">
        <v>1</v>
      </c>
      <c r="B2">
        <v>0</v>
      </c>
    </row>
    <row r="3" spans="1:7">
      <c r="A3">
        <v>2</v>
      </c>
      <c r="B3">
        <v>1</v>
      </c>
    </row>
    <row r="4" spans="1:7">
      <c r="A4">
        <v>3</v>
      </c>
      <c r="B4">
        <v>13</v>
      </c>
    </row>
    <row r="5" spans="1:7">
      <c r="A5">
        <v>4</v>
      </c>
      <c r="B5">
        <v>78</v>
      </c>
    </row>
    <row r="6" spans="1:7">
      <c r="A6">
        <v>5</v>
      </c>
      <c r="C6">
        <v>286</v>
      </c>
    </row>
    <row r="7" spans="1:7">
      <c r="A7">
        <v>6</v>
      </c>
      <c r="C7">
        <v>715</v>
      </c>
    </row>
    <row r="8" spans="1:7">
      <c r="A8">
        <v>7</v>
      </c>
      <c r="D8">
        <v>1287</v>
      </c>
    </row>
    <row r="9" spans="1:7">
      <c r="A9">
        <v>8</v>
      </c>
      <c r="D9">
        <v>1716</v>
      </c>
    </row>
    <row r="10" spans="1:7">
      <c r="A10">
        <v>9</v>
      </c>
      <c r="E10">
        <v>1716</v>
      </c>
    </row>
    <row r="11" spans="1:7">
      <c r="A11">
        <v>10</v>
      </c>
      <c r="E11">
        <v>1287</v>
      </c>
    </row>
    <row r="12" spans="1:7">
      <c r="A12">
        <v>11</v>
      </c>
      <c r="F12">
        <v>715</v>
      </c>
    </row>
    <row r="13" spans="1:7">
      <c r="A13">
        <v>12</v>
      </c>
      <c r="F13">
        <v>286</v>
      </c>
    </row>
    <row r="14" spans="1:7">
      <c r="A14">
        <v>13</v>
      </c>
      <c r="G14">
        <v>78</v>
      </c>
    </row>
    <row r="15" spans="1:7">
      <c r="A15">
        <v>14</v>
      </c>
      <c r="G15">
        <v>13</v>
      </c>
    </row>
    <row r="16" spans="1:7">
      <c r="A16">
        <v>15</v>
      </c>
      <c r="G16">
        <v>1</v>
      </c>
    </row>
    <row r="17" spans="1:7">
      <c r="A17">
        <v>16</v>
      </c>
      <c r="G17">
        <v>0</v>
      </c>
    </row>
  </sheetData>
  <sheetProtection formatCells="0" insertHyperlinks="0" autoFilter="0"/>
  <phoneticPr fontId="65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2"/>
  <sheetViews>
    <sheetView workbookViewId="0">
      <selection sqref="A1:A1048576"/>
    </sheetView>
  </sheetViews>
  <sheetFormatPr defaultColWidth="8.86328125" defaultRowHeight="14.25"/>
  <cols>
    <col min="1" max="1" width="15" customWidth="1"/>
  </cols>
  <sheetData>
    <row r="1" spans="1:1" ht="15">
      <c r="A1" s="1" t="s">
        <v>207</v>
      </c>
    </row>
    <row r="2" spans="1:1" ht="15">
      <c r="A2" s="2" t="s">
        <v>208</v>
      </c>
    </row>
    <row r="3" spans="1:1" ht="15">
      <c r="A3" s="3">
        <v>1</v>
      </c>
    </row>
    <row r="4" spans="1:1" ht="15">
      <c r="A4" s="2"/>
    </row>
    <row r="5" spans="1:1" ht="15">
      <c r="A5" s="4"/>
    </row>
    <row r="6" spans="1:1" ht="15">
      <c r="A6" s="5">
        <v>318</v>
      </c>
    </row>
    <row r="7" spans="1:1" ht="15">
      <c r="A7" s="6">
        <v>44</v>
      </c>
    </row>
    <row r="8" spans="1:1" ht="15">
      <c r="A8" s="6">
        <f>A6/A7</f>
        <v>7.2272727272727275</v>
      </c>
    </row>
    <row r="9" spans="1:1" ht="15">
      <c r="A9" s="6">
        <v>1</v>
      </c>
    </row>
    <row r="10" spans="1:1" ht="15">
      <c r="A10" s="7">
        <f>A8*A9</f>
        <v>7.2272727272727275</v>
      </c>
    </row>
    <row r="11" spans="1:1" ht="15">
      <c r="A11" s="4"/>
    </row>
    <row r="12" spans="1:1" ht="15">
      <c r="A12" s="5">
        <v>33112</v>
      </c>
    </row>
    <row r="13" spans="1:1" ht="15">
      <c r="A13" s="7">
        <f>A12/A6</f>
        <v>104.12578616352201</v>
      </c>
    </row>
    <row r="14" spans="1:1" ht="15">
      <c r="A14" s="4"/>
    </row>
    <row r="15" spans="1:1" ht="15">
      <c r="A15" s="5">
        <f>A20+A25</f>
        <v>628</v>
      </c>
    </row>
    <row r="16" spans="1:1" ht="15">
      <c r="A16" s="6">
        <f>A15/A6</f>
        <v>1.9748427672955975</v>
      </c>
    </row>
    <row r="17" spans="1:1" ht="15">
      <c r="A17" s="6">
        <f>A21+A26</f>
        <v>30</v>
      </c>
    </row>
    <row r="18" spans="1:1" ht="15">
      <c r="A18" s="8" t="e">
        <f>A16/A2</f>
        <v>#VALUE!</v>
      </c>
    </row>
    <row r="19" spans="1:1" ht="15">
      <c r="A19" s="9"/>
    </row>
    <row r="20" spans="1:1" ht="15">
      <c r="A20" s="5">
        <v>628</v>
      </c>
    </row>
    <row r="21" spans="1:1" ht="15">
      <c r="A21" s="6">
        <v>30</v>
      </c>
    </row>
    <row r="22" spans="1:1" ht="15">
      <c r="A22" s="10">
        <f>A20/A21</f>
        <v>20.933333333333334</v>
      </c>
    </row>
    <row r="23" spans="1:1" ht="15">
      <c r="A23" s="7" t="s">
        <v>178</v>
      </c>
    </row>
    <row r="24" spans="1:1" ht="15">
      <c r="A24" s="10"/>
    </row>
    <row r="25" spans="1:1" ht="15">
      <c r="A25" s="6"/>
    </row>
    <row r="26" spans="1:1" ht="15">
      <c r="A26" s="10"/>
    </row>
    <row r="27" spans="1:1" ht="15">
      <c r="A27" s="10"/>
    </row>
    <row r="28" spans="1:1" ht="15">
      <c r="A28" s="7" t="s">
        <v>178</v>
      </c>
    </row>
    <row r="29" spans="1:1" ht="15">
      <c r="A29" s="4"/>
    </row>
    <row r="30" spans="1:1" ht="15">
      <c r="A30" s="10">
        <v>100</v>
      </c>
    </row>
    <row r="31" spans="1:1" ht="15">
      <c r="A31" s="10">
        <f>A30/A17</f>
        <v>3.3333333333333335</v>
      </c>
    </row>
    <row r="32" spans="1:1" ht="15">
      <c r="A32" s="10">
        <f>A30/A6</f>
        <v>0.31446540880503143</v>
      </c>
    </row>
  </sheetData>
  <sheetProtection formatCells="0" insertHyperlinks="0" autoFilter="0"/>
  <phoneticPr fontId="65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mergeFile xmlns="https://web.wps.cn/et/2018/main" xmlns:s="http://schemas.openxmlformats.org/spreadsheetml/2006/main">
  <listFile/>
</mergeFile>
</file>

<file path=customXml/item2.xml><?xml version="1.0" encoding="utf-8"?>
<settings xmlns="https://web.wps.cn/et/2018/main" xmlns:s="http://schemas.openxmlformats.org/spreadsheetml/2006/main">
  <bookSettings>
    <isFilterShared>1</isFilterShared>
    <isAutoUpdatePaused>0</isAutoUpdatePaused>
  </bookSettings>
</settings>
</file>

<file path=customXml/item3.xml><?xml version="1.0" encoding="utf-8"?>
<pixelators xmlns="https://web.wps.cn/et/2018/main" xmlns:s="http://schemas.openxmlformats.org/spreadsheetml/2006/main">
  <pixelatorList sheetStid="6"/>
  <pixelatorList sheetStid="7"/>
  <pixelatorList sheetStid="8"/>
  <pixelatorList sheetStid="5"/>
  <pixelatorList sheetStid="4"/>
  <pixelatorList sheetStid="3"/>
  <pixelatorList sheetStid="2"/>
  <pixelatorList sheetStid="9"/>
</pixelators>
</file>

<file path=customXml/item4.xml><?xml version="1.0" encoding="utf-8"?>
<comments xmlns="https://web.wps.cn/et/2018/main" xmlns:s="http://schemas.openxmlformats.org/spreadsheetml/2006/main">
  <commentList sheetStid="6">
    <comment s:ref="AO1" rgbClr="FF0000">
      <item id="{462aba0a-c051-45b2-b7df-080f107f7261}" isNormal="1">
        <s:text>
          <s:r>
            <s:t xml:space="preserve">Chen Martin:
20%意为有50%的概率落在±20%内</s:t>
          </s:r>
        </s:text>
      </item>
    </comment>
    <comment s:ref="AP1" rgbClr="FF0000">
      <item id="{d67bb213-1756-4f60-aba1-9f2e4a4d8f2a}" isNormal="1">
        <s:text>
          <s:r>
            <s:t xml:space="preserve">Chen Martin:
20%意为有25%的概率落在P50的-20%~P50内</s:t>
          </s:r>
        </s:text>
      </item>
    </comment>
    <comment s:ref="AQ1" rgbClr="FF0000">
      <item id="{b94775de-2bc0-4919-8519-3e6ef2b3dbbd}" isNormal="1">
        <s:text>
          <s:r>
            <s:t xml:space="preserve">Chen Martin:
20%意为有25%的概率落在P50~P50的+20%内</s:t>
          </s:r>
        </s:text>
      </item>
    </comment>
    <comment s:ref="Y4" rgbClr="FF0000">
      <item id="{1f696edc-ea05-4845-ae6e-bf1ce3db5d45}" isNormal="1">
        <s:text>
          <s:r>
            <s:t xml:space="preserve">陈勇:
部分属于OA1.0，部分属于金融1.8，均值应取1.4
</s:t>
          </s:r>
        </s:text>
      </item>
    </comment>
    <comment s:ref="A7" rgbClr="FF0000">
      <item id="{cf0399c8-b369-4981-b3a0-5891365f6e4b}" isNormal="1">
        <s:text>
          <s:r>
            <s:t xml:space="preserve">Chen Martin:
由需求总目录生成，影响总代码行数、总测试用例数、总缺陷数等</s:t>
          </s:r>
        </s:text>
      </item>
    </comment>
    <comment s:ref="A8" rgbClr="FF0000">
      <item id="{26dfb5fe-d234-4794-90e6-9f8e076bc6d7}" isNormal="1">
        <s:text>
          <s:r>
            <s:t xml:space="preserve">Chen Martin:
由迭代需求目录生成，影响工作量、成本。</s:t>
          </s:r>
        </s:text>
      </item>
    </comment>
    <comment s:ref="A45" rgbClr="FF0000">
      <item id="{d905ea52-ce6d-4f08-98a2-5bf91deac090}" isNormal="1">
        <s:text>
          <s:r>
            <s:t xml:space="preserve">Chen Martin:
由需求总目录生成，影响总代码行数、总测试用例数、总缺陷数等</s:t>
          </s:r>
        </s:text>
      </item>
    </comment>
    <comment s:ref="A46" rgbClr="FF0000">
      <item id="{77fc2ecc-ac40-430e-85f0-ad04c178dbdc}" isNormal="1">
        <s:text>
          <s:r>
            <s:t xml:space="preserve">Chen Martin:
由迭代需求目录生成，影响工作量、成本。</s:t>
          </s:r>
        </s:text>
      </item>
    </comment>
    <comment s:ref="AB55" rgbClr="FF0000">
      <item id="{a4e9f2de-2ff0-4729-8d39-c477bc589ffb}" isNormal="1">
        <s:text>
          <s:r>
            <s:t xml:space="preserve">Chen Martin:
此处数值有误，原来是减掉P8-1的数据。若未来能找到P8-1的数据，在左侧加入后调整功能即可。若不能找到，可临时改为数据/2，即均匀分摊到两个迭代中。
--YY和P8确认过是363</s:t>
          </s:r>
        </s:text>
      </item>
    </comment>
  </commentList>
  <commentList sheetStid="5">
    <comment s:ref="AH1" rgbClr="FF0000">
      <item id="{c1f7ce7c-2b6e-43ec-bc10-73ca500ef54b}" isNormal="1">
        <s:text>
          <s:r>
            <s:t xml:space="preserve">Chen Martin:
20%意为有50%的概率落在±20%内</s:t>
          </s:r>
        </s:text>
      </item>
    </comment>
    <comment s:ref="AI1" rgbClr="FF0000">
      <item id="{559e7d22-a3d2-4d39-b987-8d2d74f0a3fc}" isNormal="1">
        <s:text>
          <s:r>
            <s:t xml:space="preserve">Chen Martin:
20%意为有25%的概率落在P50的-20%~P50内</s:t>
          </s:r>
        </s:text>
      </item>
    </comment>
    <comment s:ref="AJ1" rgbClr="FF0000">
      <item id="{96752a76-ed59-4596-b625-303a506551de}" isNormal="1">
        <s:text>
          <s:r>
            <s:t xml:space="preserve">Chen Martin:
20%意为有25%的概率落在P50~P50的+20%内</s:t>
          </s:r>
        </s:text>
      </item>
    </comment>
    <comment s:ref="W4" rgbClr="FF0000">
      <item id="{a88cf594-0b8a-409a-a8ef-a8f7f1ac4373}" isNormal="1">
        <s:text>
          <s:r>
            <s:t xml:space="preserve">陈勇:
部分属于OA1.0，部分属于金融1.8，均值应取1.4
</s:t>
          </s:r>
        </s:text>
      </item>
    </comment>
    <comment s:ref="A9" rgbClr="FF0000">
      <item id="{db9c92a6-7ea6-4ec6-9e90-6bd1d9489a8b}" isNormal="1">
        <s:text>
          <s:r>
            <s:t xml:space="preserve">Chen Martin:
由需求总目录生成，影响总代码行数、总测试用例数、总缺陷数等</s:t>
          </s:r>
        </s:text>
      </item>
    </comment>
    <comment s:ref="A10" rgbClr="FF0000">
      <item id="{28522ef6-ff04-4f58-b652-9db36cd613c2}" isNormal="1">
        <s:text>
          <s:r>
            <s:t xml:space="preserve">Chen Martin:
由迭代需求目录生成，影响工作量、成本。</s:t>
          </s:r>
        </s:text>
      </item>
    </comment>
    <comment s:ref="W16" rgbClr="FF0000">
      <item id="{c95167b5-34ac-4187-aa46-206d12b8f2df}" isNormal="1">
        <s:text>
          <s:r>
            <s:t xml:space="preserve">陈勇:
数据异常，由功能点数据导致
</s:t>
          </s:r>
        </s:text>
      </item>
    </comment>
    <comment s:ref="O18" rgbClr="FF0000">
      <item id="{3c89e070-dfe5-4d66-b0c7-4f05dd22a35b}" isNormal="1">
        <s:text>
          <s:r>
            <s:t xml:space="preserve">印辉:
测试未完成，一个测试人员</s:t>
          </s:r>
        </s:text>
      </item>
    </comment>
  </commentList>
  <commentList sheetStid="4">
    <comment s:ref="A7" rgbClr="FF0000">
      <item id="{a418fd71-f169-45f7-ba32-21950ea53330}" isNormal="1">
        <s:text>
          <s:r>
            <s:t xml:space="preserve">Chen Martin:
由需求总目录生成，影响总代码行数、总测试用例数、总缺陷数等</s:t>
          </s:r>
        </s:text>
      </item>
    </comment>
    <comment s:ref="A8" rgbClr="FF0000">
      <item id="{2a693f2f-6b3f-45cb-a135-06f39d12f248}" isNormal="1">
        <s:text>
          <s:r>
            <s:t xml:space="preserve">Chen Martin:
由迭代需求目录生成，影响工作量、成本。</s:t>
          </s:r>
        </s:text>
      </item>
    </comment>
    <comment s:ref="V9" rgbClr="FF0000">
      <item id="{62e1148a-9b49-43e9-b1db-be340613ed30}" isNormal="1">
        <s:text>
          <s:r>
            <s:t xml:space="preserve">车伟权:
</s:t>
          </s:r>
        </s:text>
      </item>
    </comment>
    <comment s:ref="A45" rgbClr="FF0000">
      <item id="{bf55da03-bde3-49b0-bf0e-43424abfc309}" isNormal="1">
        <s:text>
          <s:r>
            <s:t xml:space="preserve">Chen Martin:
由需求总目录生成，影响总代码行数、总测试用例数、总缺陷数等</s:t>
          </s:r>
        </s:text>
      </item>
    </comment>
    <comment s:ref="A46" rgbClr="FF0000">
      <item id="{4400afbc-6be8-4ff7-8454-6b849ab7c78f}" isNormal="1">
        <s:text>
          <s:r>
            <s:t xml:space="preserve">Chen Martin:
由迭代需求目录生成，影响工作量、成本。</s:t>
          </s:r>
        </s:text>
      </item>
    </comment>
  </commentList>
</comments>
</file>

<file path=customXml/item5.xml><?xml version="1.0" encoding="utf-8"?>
<sheetInterline xmlns="https://web.wps.cn/et/2018/main" xmlns:s="http://schemas.openxmlformats.org/spreadsheetml/2006/main">
  <interlineItem sheetStid="6" interlineOnOff="0" interlineColor="0"/>
  <interlineItem sheetStid="7" interlineOnOff="0" interlineColor="0"/>
  <interlineItem sheetStid="8" interlineOnOff="0" interlineColor="0"/>
  <interlineItem sheetStid="5" interlineOnOff="0" interlineColor="0"/>
  <interlineItem sheetStid="4" interlineOnOff="0" interlineColor="0"/>
  <interlineItem sheetStid="3" interlineOnOff="0" interlineColor="0"/>
  <interlineItem sheetStid="2" interlineOnOff="0" interlineColor="0"/>
  <interlineItem sheetStid="9" interlineOnOff="0" interlineColor="0"/>
</sheetInterline>
</file>

<file path=customXml/item6.xml><?xml version="1.0" encoding="utf-8"?>
<allowEditUser xmlns="https://web.wps.cn/et/2018/main" xmlns:s="http://schemas.openxmlformats.org/spreadsheetml/2006/main">
  <rangeList sheetStid="6" master=""/>
  <rangeList sheetStid="7" master=""/>
  <rangeList sheetStid="8" master=""/>
  <rangeList sheetStid="5" master=""/>
  <rangeList sheetStid="4" master=""/>
  <rangeList sheetStid="3" master=""/>
  <rangeList sheetStid="2" master=""/>
  <rangeList sheetStid="9" master=""/>
</allowEditUser>
</file>

<file path=customXml/itemProps1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组织基线</vt:lpstr>
      <vt:lpstr>修订说明</vt:lpstr>
      <vt:lpstr>项目性能目标模板</vt:lpstr>
      <vt:lpstr>基线</vt:lpstr>
      <vt:lpstr>Sheet3</vt:lpstr>
      <vt:lpstr>Sheet2</vt:lpstr>
      <vt:lpstr>问卷调查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姚远</dc:creator>
  <cp:lastModifiedBy>Ed Sung</cp:lastModifiedBy>
  <dcterms:created xsi:type="dcterms:W3CDTF">2006-09-17T16:00:00Z</dcterms:created>
  <dcterms:modified xsi:type="dcterms:W3CDTF">2026-06-15T12:30:42Z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